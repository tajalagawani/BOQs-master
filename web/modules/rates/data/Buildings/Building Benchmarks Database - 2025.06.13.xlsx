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Buildings/"/>
    </mc:Choice>
  </mc:AlternateContent>
  <xr:revisionPtr revIDLastSave="0" documentId="8_{A2C2576A-ACFA-5445-BDC9-7701A932CF69}" xr6:coauthVersionLast="47" xr6:coauthVersionMax="47" xr10:uidLastSave="{00000000-0000-0000-0000-000000000000}"/>
  <bookViews>
    <workbookView xWindow="0" yWindow="740" windowWidth="29400" windowHeight="17400" firstSheet="1" activeTab="1" xr2:uid="{58E3B757-B346-4EE9-8EB4-0B05174099D3}"/>
  </bookViews>
  <sheets>
    <sheet name="Rates" sheetId="1" state="hidden" r:id="rId1"/>
    <sheet name="Data" sheetId="7" r:id="rId2"/>
    <sheet name="Sheet1" sheetId="8" r:id="rId3"/>
  </sheets>
  <definedNames>
    <definedName name="__IntlFixup" hidden="1">TRUE</definedName>
    <definedName name="_xlnm._FilterDatabase" localSheetId="1" hidden="1">Data!$A$1:$AB$1140</definedName>
    <definedName name="_Order1" hidden="1">255</definedName>
    <definedName name="_Order2" hidden="1">255</definedName>
    <definedName name="AccessDatabase" hidden="1">"C:\AA-MEDIUM PROJECTS\Khaleej Times - GO 14017\Submittals Status.mdb"</definedName>
    <definedName name="b" hidden="1">{"'Break down'!$A$4"}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SUM" hidden="1">{"'Sheet1 (2)'!$A$1:$C$61"}</definedName>
    <definedName name="te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PRINT._.REPORT." hidden="1">{#N/A,#N/A,FALSE,"summary";#N/A,#N/A,FALSE,"preliminy";#N/A,#N/A,FALSE,"bill 3";#N/A,#N/A,FALSE,"bill 4"}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38" i="7" l="1"/>
  <c r="P1138" i="7"/>
  <c r="Q1138" i="7"/>
  <c r="R1138" i="7"/>
  <c r="S1138" i="7"/>
  <c r="T1138" i="7"/>
  <c r="U1138" i="7"/>
  <c r="V1138" i="7"/>
  <c r="W1138" i="7"/>
  <c r="X1138" i="7"/>
  <c r="Y1138" i="7"/>
  <c r="Z1138" i="7"/>
  <c r="AA1138" i="7"/>
  <c r="AA1055" i="7"/>
  <c r="Z1055" i="7"/>
  <c r="Y1055" i="7"/>
  <c r="X1055" i="7"/>
  <c r="AA1054" i="7"/>
  <c r="Z1054" i="7"/>
  <c r="Y1054" i="7"/>
  <c r="X1054" i="7"/>
  <c r="AA1053" i="7"/>
  <c r="Z1053" i="7"/>
  <c r="Y1053" i="7"/>
  <c r="X1053" i="7"/>
  <c r="AD1052" i="7"/>
  <c r="AA1052" i="7"/>
  <c r="Z1052" i="7"/>
  <c r="Y1052" i="7"/>
  <c r="X1052" i="7"/>
  <c r="AA1051" i="7"/>
  <c r="Z1051" i="7"/>
  <c r="Y1051" i="7"/>
  <c r="X1051" i="7"/>
  <c r="AA1050" i="7"/>
  <c r="Z1050" i="7"/>
  <c r="Y1050" i="7"/>
  <c r="X1050" i="7"/>
  <c r="AA1049" i="7"/>
  <c r="Z1049" i="7"/>
  <c r="Y1049" i="7"/>
  <c r="X1049" i="7"/>
  <c r="AA1048" i="7"/>
  <c r="Z1048" i="7"/>
  <c r="Y1048" i="7"/>
  <c r="X1048" i="7"/>
  <c r="AA1047" i="7"/>
  <c r="Z1047" i="7"/>
  <c r="Y1047" i="7"/>
  <c r="X1047" i="7"/>
  <c r="AA1046" i="7"/>
  <c r="Z1046" i="7"/>
  <c r="Y1046" i="7"/>
  <c r="X1046" i="7"/>
  <c r="AA1045" i="7"/>
  <c r="Z1045" i="7"/>
  <c r="Y1045" i="7"/>
  <c r="X1045" i="7"/>
  <c r="AD1044" i="7"/>
  <c r="AA1044" i="7"/>
  <c r="Z1044" i="7"/>
  <c r="Y1044" i="7"/>
  <c r="X1044" i="7"/>
  <c r="AC1043" i="7"/>
  <c r="AD1055" i="7" s="1"/>
  <c r="AA1043" i="7"/>
  <c r="Z1043" i="7"/>
  <c r="Y1043" i="7"/>
  <c r="X1043" i="7"/>
  <c r="AA1042" i="7"/>
  <c r="Z1042" i="7"/>
  <c r="Y1042" i="7"/>
  <c r="X1042" i="7"/>
  <c r="AA1041" i="7"/>
  <c r="Z1041" i="7"/>
  <c r="Y1041" i="7"/>
  <c r="X1041" i="7"/>
  <c r="AA1040" i="7"/>
  <c r="Z1040" i="7"/>
  <c r="Y1040" i="7"/>
  <c r="X1040" i="7"/>
  <c r="AA1039" i="7"/>
  <c r="Z1039" i="7"/>
  <c r="Y1039" i="7"/>
  <c r="X1039" i="7"/>
  <c r="AA1038" i="7"/>
  <c r="Z1038" i="7"/>
  <c r="Y1038" i="7"/>
  <c r="X1038" i="7"/>
  <c r="AA1037" i="7"/>
  <c r="Z1037" i="7"/>
  <c r="Y1037" i="7"/>
  <c r="X1037" i="7"/>
  <c r="AA1036" i="7"/>
  <c r="Z1036" i="7"/>
  <c r="Y1036" i="7"/>
  <c r="X1036" i="7"/>
  <c r="AA1035" i="7"/>
  <c r="Z1035" i="7"/>
  <c r="Y1035" i="7"/>
  <c r="X1035" i="7"/>
  <c r="AA1034" i="7"/>
  <c r="Z1034" i="7"/>
  <c r="Y1034" i="7"/>
  <c r="X1034" i="7"/>
  <c r="AA1033" i="7"/>
  <c r="Z1033" i="7"/>
  <c r="Y1033" i="7"/>
  <c r="X1033" i="7"/>
  <c r="AA1032" i="7"/>
  <c r="Z1032" i="7"/>
  <c r="Y1032" i="7"/>
  <c r="X1032" i="7"/>
  <c r="AA1031" i="7"/>
  <c r="Z1031" i="7"/>
  <c r="Y1031" i="7"/>
  <c r="X1031" i="7"/>
  <c r="AC1030" i="7"/>
  <c r="AD1042" i="7" s="1"/>
  <c r="AA1030" i="7"/>
  <c r="Z1030" i="7"/>
  <c r="Y1030" i="7"/>
  <c r="X1030" i="7"/>
  <c r="AA1029" i="7"/>
  <c r="Z1029" i="7"/>
  <c r="Y1029" i="7"/>
  <c r="X1029" i="7"/>
  <c r="AA1028" i="7"/>
  <c r="Z1028" i="7"/>
  <c r="Y1028" i="7"/>
  <c r="X1028" i="7"/>
  <c r="AA1027" i="7"/>
  <c r="Z1027" i="7"/>
  <c r="Y1027" i="7"/>
  <c r="X1027" i="7"/>
  <c r="AA1026" i="7"/>
  <c r="Z1026" i="7"/>
  <c r="Y1026" i="7"/>
  <c r="X1026" i="7"/>
  <c r="AA1025" i="7"/>
  <c r="Z1025" i="7"/>
  <c r="Y1025" i="7"/>
  <c r="X1025" i="7"/>
  <c r="AA1024" i="7"/>
  <c r="Z1024" i="7"/>
  <c r="Y1024" i="7"/>
  <c r="X1024" i="7"/>
  <c r="AA1023" i="7"/>
  <c r="Z1023" i="7"/>
  <c r="Y1023" i="7"/>
  <c r="X1023" i="7"/>
  <c r="AA1022" i="7"/>
  <c r="Z1022" i="7"/>
  <c r="Y1022" i="7"/>
  <c r="X1022" i="7"/>
  <c r="AA1021" i="7"/>
  <c r="Z1021" i="7"/>
  <c r="Y1021" i="7"/>
  <c r="X1021" i="7"/>
  <c r="AA1020" i="7"/>
  <c r="Z1020" i="7"/>
  <c r="Y1020" i="7"/>
  <c r="X1020" i="7"/>
  <c r="AA1019" i="7"/>
  <c r="Z1019" i="7"/>
  <c r="Y1019" i="7"/>
  <c r="X1019" i="7"/>
  <c r="AA1018" i="7"/>
  <c r="Z1018" i="7"/>
  <c r="Y1018" i="7"/>
  <c r="X1018" i="7"/>
  <c r="AC1017" i="7"/>
  <c r="AD1029" i="7" s="1"/>
  <c r="AA1017" i="7"/>
  <c r="Z1017" i="7"/>
  <c r="Y1017" i="7"/>
  <c r="X1017" i="7"/>
  <c r="L1135" i="7"/>
  <c r="P1135" i="7"/>
  <c r="Q1135" i="7"/>
  <c r="R1135" i="7"/>
  <c r="S1135" i="7"/>
  <c r="T1135" i="7"/>
  <c r="U1135" i="7"/>
  <c r="V1135" i="7"/>
  <c r="W1135" i="7"/>
  <c r="L1136" i="7"/>
  <c r="P1136" i="7"/>
  <c r="Q1136" i="7"/>
  <c r="R1136" i="7"/>
  <c r="S1136" i="7"/>
  <c r="T1136" i="7"/>
  <c r="U1136" i="7"/>
  <c r="V1136" i="7"/>
  <c r="W1136" i="7"/>
  <c r="X1136" i="7"/>
  <c r="Y1136" i="7"/>
  <c r="Z1136" i="7"/>
  <c r="AA1136" i="7"/>
  <c r="L1137" i="7"/>
  <c r="P1137" i="7"/>
  <c r="Q1137" i="7"/>
  <c r="R1137" i="7"/>
  <c r="S1137" i="7"/>
  <c r="T1137" i="7"/>
  <c r="U1137" i="7"/>
  <c r="V1137" i="7"/>
  <c r="W1137" i="7"/>
  <c r="X1137" i="7"/>
  <c r="Y1137" i="7"/>
  <c r="Z1137" i="7"/>
  <c r="AA1137" i="7"/>
  <c r="AD1043" i="7" l="1"/>
  <c r="AD1049" i="7"/>
  <c r="AD1046" i="7"/>
  <c r="AD1054" i="7"/>
  <c r="AD1051" i="7"/>
  <c r="AD1048" i="7"/>
  <c r="AD1045" i="7"/>
  <c r="AD1053" i="7"/>
  <c r="AD1050" i="7"/>
  <c r="AD1047" i="7"/>
  <c r="AD1030" i="7"/>
  <c r="AD1031" i="7"/>
  <c r="AD1039" i="7"/>
  <c r="AD1036" i="7"/>
  <c r="AD1033" i="7"/>
  <c r="AD1041" i="7"/>
  <c r="AD1038" i="7"/>
  <c r="AD1035" i="7"/>
  <c r="AD1032" i="7"/>
  <c r="AD1040" i="7"/>
  <c r="AD1037" i="7"/>
  <c r="AD1034" i="7"/>
  <c r="AD1018" i="7"/>
  <c r="AD1026" i="7"/>
  <c r="AD1023" i="7"/>
  <c r="AD1020" i="7"/>
  <c r="AD1028" i="7"/>
  <c r="AD1017" i="7"/>
  <c r="AD1025" i="7"/>
  <c r="AD1022" i="7"/>
  <c r="AD1019" i="7"/>
  <c r="AD1027" i="7"/>
  <c r="AD1024" i="7"/>
  <c r="AD1021" i="7"/>
  <c r="AA1016" i="7"/>
  <c r="Z1016" i="7"/>
  <c r="Y1016" i="7"/>
  <c r="X1016" i="7"/>
  <c r="AA1015" i="7"/>
  <c r="Z1015" i="7"/>
  <c r="Y1015" i="7"/>
  <c r="X1015" i="7"/>
  <c r="AA1014" i="7"/>
  <c r="Z1014" i="7"/>
  <c r="Y1014" i="7"/>
  <c r="X1014" i="7"/>
  <c r="AA1013" i="7"/>
  <c r="Z1013" i="7"/>
  <c r="Y1013" i="7"/>
  <c r="X1013" i="7"/>
  <c r="AA1012" i="7"/>
  <c r="Z1012" i="7"/>
  <c r="Y1012" i="7"/>
  <c r="X1012" i="7"/>
  <c r="AA1011" i="7"/>
  <c r="Z1011" i="7"/>
  <c r="Y1011" i="7"/>
  <c r="X1011" i="7"/>
  <c r="AA1010" i="7"/>
  <c r="Z1010" i="7"/>
  <c r="Y1010" i="7"/>
  <c r="X1010" i="7"/>
  <c r="AA1009" i="7"/>
  <c r="Z1009" i="7"/>
  <c r="Y1009" i="7"/>
  <c r="X1009" i="7"/>
  <c r="AA1008" i="7"/>
  <c r="Z1008" i="7"/>
  <c r="Y1008" i="7"/>
  <c r="X1008" i="7"/>
  <c r="AA1007" i="7"/>
  <c r="Z1007" i="7"/>
  <c r="Y1007" i="7"/>
  <c r="X1007" i="7"/>
  <c r="AA1006" i="7"/>
  <c r="Z1006" i="7"/>
  <c r="Y1006" i="7"/>
  <c r="X1006" i="7"/>
  <c r="AA1005" i="7"/>
  <c r="Z1005" i="7"/>
  <c r="Y1005" i="7"/>
  <c r="X1005" i="7"/>
  <c r="AC1004" i="7"/>
  <c r="AD1016" i="7" s="1"/>
  <c r="Z1004" i="7"/>
  <c r="Y1004" i="7"/>
  <c r="X1004" i="7"/>
  <c r="L1129" i="7"/>
  <c r="P1129" i="7"/>
  <c r="Q1129" i="7"/>
  <c r="R1129" i="7"/>
  <c r="S1129" i="7"/>
  <c r="T1129" i="7"/>
  <c r="U1129" i="7"/>
  <c r="V1129" i="7"/>
  <c r="W1129" i="7"/>
  <c r="L1130" i="7"/>
  <c r="P1130" i="7"/>
  <c r="Q1130" i="7"/>
  <c r="R1130" i="7"/>
  <c r="S1130" i="7"/>
  <c r="T1130" i="7"/>
  <c r="U1130" i="7"/>
  <c r="V1130" i="7"/>
  <c r="W1130" i="7"/>
  <c r="L1131" i="7"/>
  <c r="P1131" i="7"/>
  <c r="Q1131" i="7"/>
  <c r="R1131" i="7"/>
  <c r="S1131" i="7"/>
  <c r="T1131" i="7"/>
  <c r="U1131" i="7"/>
  <c r="V1131" i="7"/>
  <c r="W1131" i="7"/>
  <c r="L1132" i="7"/>
  <c r="P1132" i="7"/>
  <c r="Q1132" i="7"/>
  <c r="R1132" i="7"/>
  <c r="S1132" i="7"/>
  <c r="T1132" i="7"/>
  <c r="U1132" i="7"/>
  <c r="V1132" i="7"/>
  <c r="W1132" i="7"/>
  <c r="L1133" i="7"/>
  <c r="P1133" i="7"/>
  <c r="Q1133" i="7"/>
  <c r="R1133" i="7"/>
  <c r="S1133" i="7"/>
  <c r="T1133" i="7"/>
  <c r="U1133" i="7"/>
  <c r="V1133" i="7"/>
  <c r="W1133" i="7"/>
  <c r="L1134" i="7"/>
  <c r="P1134" i="7"/>
  <c r="Q1134" i="7"/>
  <c r="R1134" i="7"/>
  <c r="S1134" i="7"/>
  <c r="T1134" i="7"/>
  <c r="U1134" i="7"/>
  <c r="V1134" i="7"/>
  <c r="W1134" i="7"/>
  <c r="X1135" i="7" l="1"/>
  <c r="Y1135" i="7"/>
  <c r="Z1135" i="7"/>
  <c r="AD1004" i="7"/>
  <c r="AA1004" i="7"/>
  <c r="AA1135" i="7" s="1"/>
  <c r="AD1010" i="7"/>
  <c r="AD1007" i="7"/>
  <c r="AD1012" i="7"/>
  <c r="AD1015" i="7"/>
  <c r="AD1009" i="7"/>
  <c r="AD1006" i="7"/>
  <c r="AD1014" i="7"/>
  <c r="AD1011" i="7"/>
  <c r="AD1008" i="7"/>
  <c r="AD1005" i="7"/>
  <c r="AD1013" i="7"/>
  <c r="C2" i="8"/>
  <c r="D2" i="8"/>
  <c r="E2" i="8"/>
  <c r="F2" i="8"/>
  <c r="G2" i="8"/>
  <c r="H2" i="8"/>
  <c r="I2" i="8"/>
  <c r="B2" i="8"/>
  <c r="AA938" i="7"/>
  <c r="Z938" i="7"/>
  <c r="Y938" i="7"/>
  <c r="X938" i="7"/>
  <c r="AA937" i="7"/>
  <c r="Z937" i="7"/>
  <c r="Y937" i="7"/>
  <c r="X937" i="7"/>
  <c r="AA936" i="7"/>
  <c r="Z936" i="7"/>
  <c r="Y936" i="7"/>
  <c r="X936" i="7"/>
  <c r="AA935" i="7"/>
  <c r="Z935" i="7"/>
  <c r="Y935" i="7"/>
  <c r="X935" i="7"/>
  <c r="AA934" i="7"/>
  <c r="Z934" i="7"/>
  <c r="Y934" i="7"/>
  <c r="X934" i="7"/>
  <c r="AA933" i="7"/>
  <c r="Z933" i="7"/>
  <c r="Y933" i="7"/>
  <c r="X933" i="7"/>
  <c r="AA932" i="7"/>
  <c r="Z932" i="7"/>
  <c r="Y932" i="7"/>
  <c r="X932" i="7"/>
  <c r="AA931" i="7"/>
  <c r="Z931" i="7"/>
  <c r="Y931" i="7"/>
  <c r="X931" i="7"/>
  <c r="AA930" i="7"/>
  <c r="Z930" i="7"/>
  <c r="Y930" i="7"/>
  <c r="X930" i="7"/>
  <c r="AA929" i="7"/>
  <c r="Z929" i="7"/>
  <c r="Y929" i="7"/>
  <c r="X929" i="7"/>
  <c r="AA928" i="7"/>
  <c r="Z928" i="7"/>
  <c r="Y928" i="7"/>
  <c r="X928" i="7"/>
  <c r="AA927" i="7"/>
  <c r="Z927" i="7"/>
  <c r="Y927" i="7"/>
  <c r="X927" i="7"/>
  <c r="AA926" i="7"/>
  <c r="Z926" i="7"/>
  <c r="Y926" i="7"/>
  <c r="X926" i="7"/>
  <c r="C5" i="8"/>
  <c r="E5" i="8"/>
  <c r="F5" i="8"/>
  <c r="G5" i="8"/>
  <c r="H5" i="8"/>
  <c r="I5" i="8"/>
  <c r="C6" i="8"/>
  <c r="D6" i="8"/>
  <c r="E6" i="8"/>
  <c r="F6" i="8"/>
  <c r="G6" i="8"/>
  <c r="H6" i="8"/>
  <c r="I6" i="8"/>
  <c r="C7" i="8"/>
  <c r="D7" i="8"/>
  <c r="E7" i="8"/>
  <c r="F7" i="8"/>
  <c r="G7" i="8"/>
  <c r="H7" i="8"/>
  <c r="I7" i="8"/>
  <c r="C8" i="8"/>
  <c r="D8" i="8"/>
  <c r="E8" i="8"/>
  <c r="F8" i="8"/>
  <c r="G8" i="8"/>
  <c r="H8" i="8"/>
  <c r="I8" i="8"/>
  <c r="C9" i="8"/>
  <c r="D9" i="8"/>
  <c r="E9" i="8"/>
  <c r="F9" i="8"/>
  <c r="G9" i="8"/>
  <c r="H9" i="8"/>
  <c r="I9" i="8"/>
  <c r="C10" i="8"/>
  <c r="D10" i="8"/>
  <c r="E10" i="8"/>
  <c r="F10" i="8"/>
  <c r="G10" i="8"/>
  <c r="H10" i="8"/>
  <c r="I10" i="8"/>
  <c r="C11" i="8"/>
  <c r="D11" i="8"/>
  <c r="E11" i="8"/>
  <c r="F11" i="8"/>
  <c r="G11" i="8"/>
  <c r="H11" i="8"/>
  <c r="I11" i="8"/>
  <c r="C12" i="8"/>
  <c r="D12" i="8"/>
  <c r="E12" i="8"/>
  <c r="F12" i="8"/>
  <c r="G12" i="8"/>
  <c r="H12" i="8"/>
  <c r="I12" i="8"/>
  <c r="C13" i="8"/>
  <c r="D13" i="8"/>
  <c r="E13" i="8"/>
  <c r="F13" i="8"/>
  <c r="G13" i="8"/>
  <c r="H13" i="8"/>
  <c r="I13" i="8"/>
  <c r="C14" i="8"/>
  <c r="D14" i="8"/>
  <c r="E14" i="8"/>
  <c r="F14" i="8"/>
  <c r="G14" i="8"/>
  <c r="H14" i="8"/>
  <c r="I14" i="8"/>
  <c r="C15" i="8"/>
  <c r="D15" i="8"/>
  <c r="E15" i="8"/>
  <c r="F15" i="8"/>
  <c r="G15" i="8"/>
  <c r="H15" i="8"/>
  <c r="I15" i="8"/>
  <c r="C16" i="8"/>
  <c r="E16" i="8"/>
  <c r="F16" i="8"/>
  <c r="G16" i="8"/>
  <c r="H16" i="8"/>
  <c r="I16" i="8"/>
  <c r="C17" i="8"/>
  <c r="D17" i="8"/>
  <c r="E17" i="8"/>
  <c r="F17" i="8"/>
  <c r="G17" i="8"/>
  <c r="H17" i="8"/>
  <c r="I17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AC991" i="7"/>
  <c r="AC978" i="7"/>
  <c r="AD990" i="7" s="1"/>
  <c r="AC965" i="7"/>
  <c r="AD973" i="7" s="1"/>
  <c r="AC952" i="7"/>
  <c r="AD960" i="7" s="1"/>
  <c r="AC939" i="7"/>
  <c r="AD946" i="7" s="1"/>
  <c r="AC926" i="7"/>
  <c r="AC913" i="7"/>
  <c r="AC900" i="7"/>
  <c r="AD907" i="7" s="1"/>
  <c r="AC887" i="7"/>
  <c r="AD896" i="7" s="1"/>
  <c r="AC874" i="7"/>
  <c r="AD881" i="7" s="1"/>
  <c r="AC861" i="7"/>
  <c r="AD870" i="7" s="1"/>
  <c r="AC848" i="7"/>
  <c r="AD854" i="7" s="1"/>
  <c r="AC835" i="7"/>
  <c r="AD844" i="7" s="1"/>
  <c r="AC822" i="7"/>
  <c r="AD829" i="7" s="1"/>
  <c r="AC809" i="7"/>
  <c r="AD820" i="7" s="1"/>
  <c r="AC796" i="7"/>
  <c r="AD802" i="7" s="1"/>
  <c r="AC783" i="7"/>
  <c r="AD793" i="7" s="1"/>
  <c r="AC770" i="7"/>
  <c r="AD776" i="7" s="1"/>
  <c r="AC757" i="7"/>
  <c r="AD768" i="7" s="1"/>
  <c r="AC744" i="7"/>
  <c r="AD756" i="7" s="1"/>
  <c r="AC731" i="7"/>
  <c r="AD741" i="7" s="1"/>
  <c r="AC718" i="7"/>
  <c r="AD726" i="7" s="1"/>
  <c r="AC705" i="7"/>
  <c r="AD716" i="7" s="1"/>
  <c r="AC692" i="7"/>
  <c r="AD697" i="7" s="1"/>
  <c r="AC679" i="7"/>
  <c r="AD682" i="7" s="1"/>
  <c r="AC666" i="7"/>
  <c r="AD675" i="7" s="1"/>
  <c r="AC653" i="7"/>
  <c r="AD663" i="7" s="1"/>
  <c r="AC640" i="7"/>
  <c r="AD647" i="7" s="1"/>
  <c r="AC627" i="7"/>
  <c r="AD634" i="7" s="1"/>
  <c r="AC614" i="7"/>
  <c r="AD623" i="7" s="1"/>
  <c r="AC601" i="7"/>
  <c r="AD612" i="7" s="1"/>
  <c r="AC588" i="7"/>
  <c r="AD598" i="7" s="1"/>
  <c r="AC575" i="7"/>
  <c r="AD581" i="7" s="1"/>
  <c r="AC562" i="7"/>
  <c r="AD571" i="7" s="1"/>
  <c r="AC549" i="7"/>
  <c r="AD552" i="7" s="1"/>
  <c r="AC523" i="7"/>
  <c r="AD531" i="7" s="1"/>
  <c r="AC497" i="7"/>
  <c r="AD506" i="7" s="1"/>
  <c r="AC484" i="7"/>
  <c r="AD490" i="7" s="1"/>
  <c r="AC471" i="7"/>
  <c r="AD480" i="7" s="1"/>
  <c r="AC458" i="7"/>
  <c r="AD465" i="7" s="1"/>
  <c r="AC445" i="7"/>
  <c r="AD450" i="7" s="1"/>
  <c r="AC432" i="7"/>
  <c r="AD438" i="7" s="1"/>
  <c r="AC419" i="7"/>
  <c r="AD429" i="7" s="1"/>
  <c r="AC406" i="7"/>
  <c r="AD418" i="7" s="1"/>
  <c r="AC393" i="7"/>
  <c r="AD400" i="7" s="1"/>
  <c r="AC380" i="7"/>
  <c r="AD386" i="7" s="1"/>
  <c r="AC367" i="7"/>
  <c r="AD374" i="7" s="1"/>
  <c r="AC354" i="7"/>
  <c r="AD360" i="7" s="1"/>
  <c r="AC341" i="7"/>
  <c r="AD353" i="7" s="1"/>
  <c r="AC328" i="7"/>
  <c r="AD336" i="7" s="1"/>
  <c r="AC315" i="7"/>
  <c r="AD324" i="7" s="1"/>
  <c r="AC302" i="7"/>
  <c r="AD311" i="7" s="1"/>
  <c r="AC289" i="7"/>
  <c r="AD301" i="7" s="1"/>
  <c r="AC276" i="7"/>
  <c r="AD284" i="7" s="1"/>
  <c r="AC263" i="7"/>
  <c r="AD274" i="7" s="1"/>
  <c r="AC250" i="7"/>
  <c r="AD251" i="7" s="1"/>
  <c r="AC237" i="7"/>
  <c r="AD243" i="7" s="1"/>
  <c r="AC224" i="7"/>
  <c r="AD232" i="7" s="1"/>
  <c r="AC211" i="7"/>
  <c r="AD220" i="7" s="1"/>
  <c r="AC198" i="7"/>
  <c r="AD207" i="7" s="1"/>
  <c r="AC185" i="7"/>
  <c r="AD186" i="7" s="1"/>
  <c r="AC172" i="7"/>
  <c r="AD181" i="7" s="1"/>
  <c r="AC159" i="7"/>
  <c r="AD165" i="7" s="1"/>
  <c r="AC146" i="7"/>
  <c r="AD153" i="7" s="1"/>
  <c r="AC133" i="7"/>
  <c r="AD143" i="7" s="1"/>
  <c r="AC120" i="7"/>
  <c r="AD127" i="7" s="1"/>
  <c r="AC107" i="7"/>
  <c r="AD113" i="7" s="1"/>
  <c r="AC94" i="7"/>
  <c r="AD106" i="7" s="1"/>
  <c r="AC81" i="7"/>
  <c r="AD91" i="7" s="1"/>
  <c r="AC68" i="7"/>
  <c r="AD75" i="7" s="1"/>
  <c r="AC55" i="7"/>
  <c r="AD61" i="7" s="1"/>
  <c r="AC42" i="7"/>
  <c r="AD54" i="7" s="1"/>
  <c r="AC29" i="7"/>
  <c r="AD39" i="7" s="1"/>
  <c r="AC16" i="7"/>
  <c r="AD23" i="7" s="1"/>
  <c r="AC3" i="7"/>
  <c r="AD13" i="7" s="1"/>
  <c r="AA1003" i="7"/>
  <c r="Z1003" i="7"/>
  <c r="Y1003" i="7"/>
  <c r="X1003" i="7"/>
  <c r="AA1002" i="7"/>
  <c r="Z1002" i="7"/>
  <c r="Y1002" i="7"/>
  <c r="X1002" i="7"/>
  <c r="AA1001" i="7"/>
  <c r="Z1001" i="7"/>
  <c r="Y1001" i="7"/>
  <c r="X1001" i="7"/>
  <c r="AA1000" i="7"/>
  <c r="Z1000" i="7"/>
  <c r="Y1000" i="7"/>
  <c r="X1000" i="7"/>
  <c r="AA999" i="7"/>
  <c r="Z999" i="7"/>
  <c r="Y999" i="7"/>
  <c r="X999" i="7"/>
  <c r="AA998" i="7"/>
  <c r="Z998" i="7"/>
  <c r="Y998" i="7"/>
  <c r="X998" i="7"/>
  <c r="AA997" i="7"/>
  <c r="Z997" i="7"/>
  <c r="Y997" i="7"/>
  <c r="X997" i="7"/>
  <c r="AA996" i="7"/>
  <c r="Z996" i="7"/>
  <c r="Y996" i="7"/>
  <c r="X996" i="7"/>
  <c r="AA995" i="7"/>
  <c r="Z995" i="7"/>
  <c r="Y995" i="7"/>
  <c r="X995" i="7"/>
  <c r="AA994" i="7"/>
  <c r="Z994" i="7"/>
  <c r="Y994" i="7"/>
  <c r="X994" i="7"/>
  <c r="AA993" i="7"/>
  <c r="Z993" i="7"/>
  <c r="Y993" i="7"/>
  <c r="X993" i="7"/>
  <c r="AA992" i="7"/>
  <c r="Z992" i="7"/>
  <c r="Y992" i="7"/>
  <c r="X992" i="7"/>
  <c r="AA991" i="7"/>
  <c r="Z991" i="7"/>
  <c r="Y991" i="7"/>
  <c r="X991" i="7"/>
  <c r="AA990" i="7"/>
  <c r="Z990" i="7"/>
  <c r="Y990" i="7"/>
  <c r="X990" i="7"/>
  <c r="AA989" i="7"/>
  <c r="Z989" i="7"/>
  <c r="Y989" i="7"/>
  <c r="X989" i="7"/>
  <c r="AA988" i="7"/>
  <c r="Z988" i="7"/>
  <c r="Y988" i="7"/>
  <c r="X988" i="7"/>
  <c r="AA987" i="7"/>
  <c r="Z987" i="7"/>
  <c r="Y987" i="7"/>
  <c r="X987" i="7"/>
  <c r="AA986" i="7"/>
  <c r="Z986" i="7"/>
  <c r="Y986" i="7"/>
  <c r="X986" i="7"/>
  <c r="AA985" i="7"/>
  <c r="Z985" i="7"/>
  <c r="Y985" i="7"/>
  <c r="X985" i="7"/>
  <c r="AA984" i="7"/>
  <c r="Z984" i="7"/>
  <c r="Y984" i="7"/>
  <c r="X984" i="7"/>
  <c r="AA983" i="7"/>
  <c r="Z983" i="7"/>
  <c r="Y983" i="7"/>
  <c r="X983" i="7"/>
  <c r="AA982" i="7"/>
  <c r="Z982" i="7"/>
  <c r="Y982" i="7"/>
  <c r="X982" i="7"/>
  <c r="AA981" i="7"/>
  <c r="Z981" i="7"/>
  <c r="Y981" i="7"/>
  <c r="X981" i="7"/>
  <c r="AA980" i="7"/>
  <c r="Z980" i="7"/>
  <c r="Y980" i="7"/>
  <c r="X980" i="7"/>
  <c r="AA979" i="7"/>
  <c r="Z979" i="7"/>
  <c r="Y979" i="7"/>
  <c r="X979" i="7"/>
  <c r="AA978" i="7"/>
  <c r="Z978" i="7"/>
  <c r="Y978" i="7"/>
  <c r="X978" i="7"/>
  <c r="AA977" i="7"/>
  <c r="Z977" i="7"/>
  <c r="Y977" i="7"/>
  <c r="X977" i="7"/>
  <c r="AA976" i="7"/>
  <c r="Z976" i="7"/>
  <c r="Y976" i="7"/>
  <c r="X976" i="7"/>
  <c r="AA975" i="7"/>
  <c r="Z975" i="7"/>
  <c r="Y975" i="7"/>
  <c r="X975" i="7"/>
  <c r="AA974" i="7"/>
  <c r="Z974" i="7"/>
  <c r="Y974" i="7"/>
  <c r="X974" i="7"/>
  <c r="AA973" i="7"/>
  <c r="Z973" i="7"/>
  <c r="Y973" i="7"/>
  <c r="X973" i="7"/>
  <c r="AA972" i="7"/>
  <c r="Z972" i="7"/>
  <c r="Y972" i="7"/>
  <c r="X972" i="7"/>
  <c r="AA971" i="7"/>
  <c r="Z971" i="7"/>
  <c r="Y971" i="7"/>
  <c r="X971" i="7"/>
  <c r="AA970" i="7"/>
  <c r="Z970" i="7"/>
  <c r="Y970" i="7"/>
  <c r="X970" i="7"/>
  <c r="AA969" i="7"/>
  <c r="Z969" i="7"/>
  <c r="Y969" i="7"/>
  <c r="X969" i="7"/>
  <c r="AA968" i="7"/>
  <c r="Z968" i="7"/>
  <c r="Y968" i="7"/>
  <c r="X968" i="7"/>
  <c r="AA967" i="7"/>
  <c r="Z967" i="7"/>
  <c r="Y967" i="7"/>
  <c r="X967" i="7"/>
  <c r="AA966" i="7"/>
  <c r="Z966" i="7"/>
  <c r="Y966" i="7"/>
  <c r="X966" i="7"/>
  <c r="AA965" i="7"/>
  <c r="Z965" i="7"/>
  <c r="Y965" i="7"/>
  <c r="X965" i="7"/>
  <c r="AA964" i="7"/>
  <c r="Z964" i="7"/>
  <c r="Y964" i="7"/>
  <c r="X964" i="7"/>
  <c r="AA963" i="7"/>
  <c r="Z963" i="7"/>
  <c r="Y963" i="7"/>
  <c r="X963" i="7"/>
  <c r="AA962" i="7"/>
  <c r="Z962" i="7"/>
  <c r="Y962" i="7"/>
  <c r="X962" i="7"/>
  <c r="AA961" i="7"/>
  <c r="Z961" i="7"/>
  <c r="Y961" i="7"/>
  <c r="X961" i="7"/>
  <c r="AA960" i="7"/>
  <c r="Z960" i="7"/>
  <c r="Y960" i="7"/>
  <c r="X960" i="7"/>
  <c r="AA959" i="7"/>
  <c r="Z959" i="7"/>
  <c r="Y959" i="7"/>
  <c r="X959" i="7"/>
  <c r="AA958" i="7"/>
  <c r="Z958" i="7"/>
  <c r="Y958" i="7"/>
  <c r="X958" i="7"/>
  <c r="AA957" i="7"/>
  <c r="Z957" i="7"/>
  <c r="Y957" i="7"/>
  <c r="X957" i="7"/>
  <c r="AA956" i="7"/>
  <c r="Z956" i="7"/>
  <c r="Y956" i="7"/>
  <c r="X956" i="7"/>
  <c r="AA955" i="7"/>
  <c r="Z955" i="7"/>
  <c r="Y955" i="7"/>
  <c r="X955" i="7"/>
  <c r="AA954" i="7"/>
  <c r="Z954" i="7"/>
  <c r="Y954" i="7"/>
  <c r="X954" i="7"/>
  <c r="AA953" i="7"/>
  <c r="Z953" i="7"/>
  <c r="Y953" i="7"/>
  <c r="X953" i="7"/>
  <c r="AA952" i="7"/>
  <c r="Z952" i="7"/>
  <c r="Y952" i="7"/>
  <c r="X952" i="7"/>
  <c r="AA951" i="7"/>
  <c r="Z951" i="7"/>
  <c r="Y951" i="7"/>
  <c r="X951" i="7"/>
  <c r="AA950" i="7"/>
  <c r="Z950" i="7"/>
  <c r="Y950" i="7"/>
  <c r="X950" i="7"/>
  <c r="AA949" i="7"/>
  <c r="Z949" i="7"/>
  <c r="Y949" i="7"/>
  <c r="X949" i="7"/>
  <c r="AA948" i="7"/>
  <c r="Z948" i="7"/>
  <c r="Y948" i="7"/>
  <c r="X948" i="7"/>
  <c r="AA947" i="7"/>
  <c r="Z947" i="7"/>
  <c r="Y947" i="7"/>
  <c r="X947" i="7"/>
  <c r="AA946" i="7"/>
  <c r="Z946" i="7"/>
  <c r="Y946" i="7"/>
  <c r="X946" i="7"/>
  <c r="AA945" i="7"/>
  <c r="Z945" i="7"/>
  <c r="Y945" i="7"/>
  <c r="X945" i="7"/>
  <c r="AA944" i="7"/>
  <c r="Z944" i="7"/>
  <c r="Y944" i="7"/>
  <c r="X944" i="7"/>
  <c r="AA943" i="7"/>
  <c r="Z943" i="7"/>
  <c r="Y943" i="7"/>
  <c r="X943" i="7"/>
  <c r="AA942" i="7"/>
  <c r="Z942" i="7"/>
  <c r="Y942" i="7"/>
  <c r="X942" i="7"/>
  <c r="AA941" i="7"/>
  <c r="Z941" i="7"/>
  <c r="Y941" i="7"/>
  <c r="X941" i="7"/>
  <c r="AA940" i="7"/>
  <c r="Z940" i="7"/>
  <c r="Y940" i="7"/>
  <c r="X940" i="7"/>
  <c r="AA939" i="7"/>
  <c r="Z939" i="7"/>
  <c r="Y939" i="7"/>
  <c r="X939" i="7"/>
  <c r="L1124" i="7"/>
  <c r="P1124" i="7"/>
  <c r="Q1124" i="7"/>
  <c r="R1124" i="7"/>
  <c r="S1124" i="7"/>
  <c r="T1124" i="7"/>
  <c r="U1124" i="7"/>
  <c r="V1124" i="7"/>
  <c r="W1124" i="7"/>
  <c r="L1125" i="7"/>
  <c r="P1125" i="7"/>
  <c r="Q1125" i="7"/>
  <c r="R1125" i="7"/>
  <c r="S1125" i="7"/>
  <c r="T1125" i="7"/>
  <c r="U1125" i="7"/>
  <c r="V1125" i="7"/>
  <c r="W1125" i="7"/>
  <c r="L1126" i="7"/>
  <c r="P1126" i="7"/>
  <c r="Q1126" i="7"/>
  <c r="R1126" i="7"/>
  <c r="S1126" i="7"/>
  <c r="T1126" i="7"/>
  <c r="U1126" i="7"/>
  <c r="V1126" i="7"/>
  <c r="W1126" i="7"/>
  <c r="L1127" i="7"/>
  <c r="P1127" i="7"/>
  <c r="Q1127" i="7"/>
  <c r="R1127" i="7"/>
  <c r="S1127" i="7"/>
  <c r="T1127" i="7"/>
  <c r="U1127" i="7"/>
  <c r="V1127" i="7"/>
  <c r="W1127" i="7"/>
  <c r="L1128" i="7"/>
  <c r="P1128" i="7"/>
  <c r="Q1128" i="7"/>
  <c r="R1128" i="7"/>
  <c r="S1128" i="7"/>
  <c r="T1128" i="7"/>
  <c r="U1128" i="7"/>
  <c r="V1128" i="7"/>
  <c r="W1128" i="7"/>
  <c r="W1123" i="7"/>
  <c r="V1123" i="7"/>
  <c r="U1123" i="7"/>
  <c r="T1123" i="7"/>
  <c r="S1123" i="7"/>
  <c r="R1123" i="7"/>
  <c r="Q1123" i="7"/>
  <c r="P1123" i="7"/>
  <c r="L1123" i="7"/>
  <c r="Y1134" i="7" l="1"/>
  <c r="Z1131" i="7"/>
  <c r="AA1133" i="7"/>
  <c r="X1132" i="7"/>
  <c r="X1134" i="7"/>
  <c r="Y1132" i="7"/>
  <c r="Z1133" i="7"/>
  <c r="Y1130" i="7"/>
  <c r="Y1131" i="7"/>
  <c r="X1130" i="7"/>
  <c r="AA1131" i="7"/>
  <c r="Y1133" i="7"/>
  <c r="X1129" i="7"/>
  <c r="Z1130" i="7"/>
  <c r="Z1132" i="7"/>
  <c r="Z1134" i="7"/>
  <c r="Y1129" i="7"/>
  <c r="AD159" i="7"/>
  <c r="AD461" i="7"/>
  <c r="AA1130" i="7"/>
  <c r="AA1132" i="7"/>
  <c r="AA1134" i="7"/>
  <c r="Z1129" i="7"/>
  <c r="AD782" i="7"/>
  <c r="AD866" i="7"/>
  <c r="X1131" i="7"/>
  <c r="X1133" i="7"/>
  <c r="AA1129" i="7"/>
  <c r="AD212" i="7"/>
  <c r="AD412" i="7"/>
  <c r="AD361" i="7"/>
  <c r="AD362" i="7"/>
  <c r="AD554" i="7"/>
  <c r="AD199" i="7"/>
  <c r="AD410" i="7"/>
  <c r="AD462" i="7"/>
  <c r="AD411" i="7"/>
  <c r="AD463" i="7"/>
  <c r="AD86" i="7"/>
  <c r="AD160" i="7"/>
  <c r="AD225" i="7"/>
  <c r="AD228" i="7"/>
  <c r="AD26" i="7"/>
  <c r="AD229" i="7"/>
  <c r="AD236" i="7"/>
  <c r="AD198" i="7"/>
  <c r="AD459" i="7"/>
  <c r="AD25" i="7"/>
  <c r="AD211" i="7"/>
  <c r="AD553" i="7"/>
  <c r="AD213" i="7"/>
  <c r="AD391" i="7"/>
  <c r="AD555" i="7"/>
  <c r="AD640" i="7"/>
  <c r="AD126" i="7"/>
  <c r="AD188" i="7"/>
  <c r="AD214" i="7"/>
  <c r="AD345" i="7"/>
  <c r="AD392" i="7"/>
  <c r="AD487" i="7"/>
  <c r="AD218" i="7"/>
  <c r="AD348" i="7"/>
  <c r="AD488" i="7"/>
  <c r="AD660" i="7"/>
  <c r="K11" i="8"/>
  <c r="K6" i="8"/>
  <c r="K8" i="8"/>
  <c r="K15" i="8"/>
  <c r="K7" i="8"/>
  <c r="K14" i="8"/>
  <c r="K13" i="8"/>
  <c r="K12" i="8"/>
  <c r="K10" i="8"/>
  <c r="K17" i="8"/>
  <c r="K9" i="8"/>
  <c r="E19" i="8"/>
  <c r="E33" i="8" s="1"/>
  <c r="E40" i="8" s="1"/>
  <c r="B19" i="8"/>
  <c r="B25" i="8" s="1"/>
  <c r="C19" i="8"/>
  <c r="C26" i="8" s="1"/>
  <c r="I19" i="8"/>
  <c r="I31" i="8" s="1"/>
  <c r="H19" i="8"/>
  <c r="H33" i="8" s="1"/>
  <c r="H40" i="8" s="1"/>
  <c r="G19" i="8"/>
  <c r="G24" i="8" s="1"/>
  <c r="F19" i="8"/>
  <c r="F33" i="8" s="1"/>
  <c r="F40" i="8" s="1"/>
  <c r="AD852" i="7"/>
  <c r="AD859" i="7"/>
  <c r="AD9" i="7"/>
  <c r="AD115" i="7"/>
  <c r="AD330" i="7"/>
  <c r="AD394" i="7"/>
  <c r="AD679" i="7"/>
  <c r="AD161" i="7"/>
  <c r="AD203" i="7"/>
  <c r="AD395" i="7"/>
  <c r="AD528" i="7"/>
  <c r="AD556" i="7"/>
  <c r="AD685" i="7"/>
  <c r="AD848" i="7"/>
  <c r="AD867" i="7"/>
  <c r="AD17" i="7"/>
  <c r="AD55" i="7"/>
  <c r="AD162" i="7"/>
  <c r="AD204" i="7"/>
  <c r="AD529" i="7"/>
  <c r="AD561" i="7"/>
  <c r="AD689" i="7"/>
  <c r="AD849" i="7"/>
  <c r="AD21" i="7"/>
  <c r="AD226" i="7"/>
  <c r="AD346" i="7"/>
  <c r="AD382" i="7"/>
  <c r="AD407" i="7"/>
  <c r="AD485" i="7"/>
  <c r="AD530" i="7"/>
  <c r="AD641" i="7"/>
  <c r="AD850" i="7"/>
  <c r="AD886" i="7"/>
  <c r="AD22" i="7"/>
  <c r="AD138" i="7"/>
  <c r="AD227" i="7"/>
  <c r="AD347" i="7"/>
  <c r="AD383" i="7"/>
  <c r="AD409" i="7"/>
  <c r="AD458" i="7"/>
  <c r="AD486" i="7"/>
  <c r="AD851" i="7"/>
  <c r="AD41" i="7"/>
  <c r="AD171" i="7"/>
  <c r="AD573" i="7"/>
  <c r="AD658" i="7"/>
  <c r="AD777" i="7"/>
  <c r="AD807" i="7"/>
  <c r="AD879" i="7"/>
  <c r="AD908" i="7"/>
  <c r="AD947" i="7"/>
  <c r="AD6" i="7"/>
  <c r="AD85" i="7"/>
  <c r="AD123" i="7"/>
  <c r="AD329" i="7"/>
  <c r="AD664" i="7"/>
  <c r="AD699" i="7"/>
  <c r="AD767" i="7"/>
  <c r="AD818" i="7"/>
  <c r="AD952" i="7"/>
  <c r="AD375" i="7"/>
  <c r="AD590" i="7"/>
  <c r="AD665" i="7"/>
  <c r="AD700" i="7"/>
  <c r="AD957" i="7"/>
  <c r="AD14" i="7"/>
  <c r="AD56" i="7"/>
  <c r="AD87" i="7"/>
  <c r="AD132" i="7"/>
  <c r="AD189" i="7"/>
  <c r="AD334" i="7"/>
  <c r="AD376" i="7"/>
  <c r="AD565" i="7"/>
  <c r="AD595" i="7"/>
  <c r="AD654" i="7"/>
  <c r="AD701" i="7"/>
  <c r="AD773" i="7"/>
  <c r="AD799" i="7"/>
  <c r="AD874" i="7"/>
  <c r="AD902" i="7"/>
  <c r="AD942" i="7"/>
  <c r="AD959" i="7"/>
  <c r="AD33" i="7"/>
  <c r="AD57" i="7"/>
  <c r="AD93" i="7"/>
  <c r="AD163" i="7"/>
  <c r="AD190" i="7"/>
  <c r="AD205" i="7"/>
  <c r="AD219" i="7"/>
  <c r="AD230" i="7"/>
  <c r="AD280" i="7"/>
  <c r="AD337" i="7"/>
  <c r="AD352" i="7"/>
  <c r="AD439" i="7"/>
  <c r="AD467" i="7"/>
  <c r="AD489" i="7"/>
  <c r="AD569" i="7"/>
  <c r="AD655" i="7"/>
  <c r="AD774" i="7"/>
  <c r="AD800" i="7"/>
  <c r="AD842" i="7"/>
  <c r="AD853" i="7"/>
  <c r="AD875" i="7"/>
  <c r="AD903" i="7"/>
  <c r="AD944" i="7"/>
  <c r="AD16" i="7"/>
  <c r="AD34" i="7"/>
  <c r="AD58" i="7"/>
  <c r="AD169" i="7"/>
  <c r="AD191" i="7"/>
  <c r="AD206" i="7"/>
  <c r="AD222" i="7"/>
  <c r="AD233" i="7"/>
  <c r="AD339" i="7"/>
  <c r="AD470" i="7"/>
  <c r="AD496" i="7"/>
  <c r="AD570" i="7"/>
  <c r="AD656" i="7"/>
  <c r="AD775" i="7"/>
  <c r="AD801" i="7"/>
  <c r="AD843" i="7"/>
  <c r="AD877" i="7"/>
  <c r="AD905" i="7"/>
  <c r="AD945" i="7"/>
  <c r="AD35" i="7"/>
  <c r="AD63" i="7"/>
  <c r="AD170" i="7"/>
  <c r="AD192" i="7"/>
  <c r="AD235" i="7"/>
  <c r="AD340" i="7"/>
  <c r="AD657" i="7"/>
  <c r="AD803" i="7"/>
  <c r="AD860" i="7"/>
  <c r="AD878" i="7"/>
  <c r="AD76" i="7"/>
  <c r="AD582" i="7"/>
  <c r="AD613" i="7"/>
  <c r="AD625" i="7"/>
  <c r="AD637" i="7"/>
  <c r="AD684" i="7"/>
  <c r="AD833" i="7"/>
  <c r="AD969" i="7"/>
  <c r="AD7" i="7"/>
  <c r="AD15" i="7"/>
  <c r="AD68" i="7"/>
  <c r="AD77" i="7"/>
  <c r="AD116" i="7"/>
  <c r="AD124" i="7"/>
  <c r="AD244" i="7"/>
  <c r="AD270" i="7"/>
  <c r="AD281" i="7"/>
  <c r="AD442" i="7"/>
  <c r="AD586" i="7"/>
  <c r="AD603" i="7"/>
  <c r="AD638" i="7"/>
  <c r="AD834" i="7"/>
  <c r="AD970" i="7"/>
  <c r="AD8" i="7"/>
  <c r="AD24" i="7"/>
  <c r="AD69" i="7"/>
  <c r="AD78" i="7"/>
  <c r="AD117" i="7"/>
  <c r="AD125" i="7"/>
  <c r="AD137" i="7"/>
  <c r="AD248" i="7"/>
  <c r="AD271" i="7"/>
  <c r="AD282" i="7"/>
  <c r="AD338" i="7"/>
  <c r="AD363" i="7"/>
  <c r="AD432" i="7"/>
  <c r="AD443" i="7"/>
  <c r="AD477" i="7"/>
  <c r="AD501" i="7"/>
  <c r="AD604" i="7"/>
  <c r="AD614" i="7"/>
  <c r="AD628" i="7"/>
  <c r="AD686" i="7"/>
  <c r="AD752" i="7"/>
  <c r="AD823" i="7"/>
  <c r="AD894" i="7"/>
  <c r="AD962" i="7"/>
  <c r="AD974" i="7"/>
  <c r="AD70" i="7"/>
  <c r="AD79" i="7"/>
  <c r="AD118" i="7"/>
  <c r="AD249" i="7"/>
  <c r="AD272" i="7"/>
  <c r="AD285" i="7"/>
  <c r="AD433" i="7"/>
  <c r="AD444" i="7"/>
  <c r="AD478" i="7"/>
  <c r="AD502" i="7"/>
  <c r="AD605" i="7"/>
  <c r="AD615" i="7"/>
  <c r="AD629" i="7"/>
  <c r="AD688" i="7"/>
  <c r="AD825" i="7"/>
  <c r="AD895" i="7"/>
  <c r="AD963" i="7"/>
  <c r="AD975" i="7"/>
  <c r="AD10" i="7"/>
  <c r="AD71" i="7"/>
  <c r="AD80" i="7"/>
  <c r="AD107" i="7"/>
  <c r="AD128" i="7"/>
  <c r="AD139" i="7"/>
  <c r="AD179" i="7"/>
  <c r="AD286" i="7"/>
  <c r="AD368" i="7"/>
  <c r="AD434" i="7"/>
  <c r="AD479" i="7"/>
  <c r="AD503" i="7"/>
  <c r="AD577" i="7"/>
  <c r="AD606" i="7"/>
  <c r="AD620" i="7"/>
  <c r="AD630" i="7"/>
  <c r="AD826" i="7"/>
  <c r="AD976" i="7"/>
  <c r="AD3" i="7"/>
  <c r="AD11" i="7"/>
  <c r="AD18" i="7"/>
  <c r="AD27" i="7"/>
  <c r="AD48" i="7"/>
  <c r="AD64" i="7"/>
  <c r="AD72" i="7"/>
  <c r="AD108" i="7"/>
  <c r="AD120" i="7"/>
  <c r="AD129" i="7"/>
  <c r="AD145" i="7"/>
  <c r="AD164" i="7"/>
  <c r="AD196" i="7"/>
  <c r="AD234" i="7"/>
  <c r="AD257" i="7"/>
  <c r="AD277" i="7"/>
  <c r="AD287" i="7"/>
  <c r="AD331" i="7"/>
  <c r="AD355" i="7"/>
  <c r="AD369" i="7"/>
  <c r="AD384" i="7"/>
  <c r="AD399" i="7"/>
  <c r="AD413" i="7"/>
  <c r="AD435" i="7"/>
  <c r="AD454" i="7"/>
  <c r="AD464" i="7"/>
  <c r="AD493" i="7"/>
  <c r="AD504" i="7"/>
  <c r="AD578" i="7"/>
  <c r="AD596" i="7"/>
  <c r="AD607" i="7"/>
  <c r="AD621" i="7"/>
  <c r="AD632" i="7"/>
  <c r="AD645" i="7"/>
  <c r="AD659" i="7"/>
  <c r="AD680" i="7"/>
  <c r="AD690" i="7"/>
  <c r="AD724" i="7"/>
  <c r="AD792" i="7"/>
  <c r="AD808" i="7"/>
  <c r="AD827" i="7"/>
  <c r="AD855" i="7"/>
  <c r="AD868" i="7"/>
  <c r="AD880" i="7"/>
  <c r="AD953" i="7"/>
  <c r="AD966" i="7"/>
  <c r="AD977" i="7"/>
  <c r="AD4" i="7"/>
  <c r="AD12" i="7"/>
  <c r="AD19" i="7"/>
  <c r="AD28" i="7"/>
  <c r="AD49" i="7"/>
  <c r="AD65" i="7"/>
  <c r="AD73" i="7"/>
  <c r="AD109" i="7"/>
  <c r="AD121" i="7"/>
  <c r="AD130" i="7"/>
  <c r="AD166" i="7"/>
  <c r="AD258" i="7"/>
  <c r="AD278" i="7"/>
  <c r="AD288" i="7"/>
  <c r="AD332" i="7"/>
  <c r="AD359" i="7"/>
  <c r="AD370" i="7"/>
  <c r="AD385" i="7"/>
  <c r="AD417" i="7"/>
  <c r="AD436" i="7"/>
  <c r="AD455" i="7"/>
  <c r="AD494" i="7"/>
  <c r="AD580" i="7"/>
  <c r="AD597" i="7"/>
  <c r="AD608" i="7"/>
  <c r="AD622" i="7"/>
  <c r="AD633" i="7"/>
  <c r="AD681" i="7"/>
  <c r="AD725" i="7"/>
  <c r="AD828" i="7"/>
  <c r="AD857" i="7"/>
  <c r="AD883" i="7"/>
  <c r="AD954" i="7"/>
  <c r="AD967" i="7"/>
  <c r="AD5" i="7"/>
  <c r="AD20" i="7"/>
  <c r="AD66" i="7"/>
  <c r="AD74" i="7"/>
  <c r="AD110" i="7"/>
  <c r="AD122" i="7"/>
  <c r="AD131" i="7"/>
  <c r="AD168" i="7"/>
  <c r="AD259" i="7"/>
  <c r="AD279" i="7"/>
  <c r="AD333" i="7"/>
  <c r="AD387" i="7"/>
  <c r="AD437" i="7"/>
  <c r="AD469" i="7"/>
  <c r="AD484" i="7"/>
  <c r="AD495" i="7"/>
  <c r="AD798" i="7"/>
  <c r="AD816" i="7"/>
  <c r="AD858" i="7"/>
  <c r="AD885" i="7"/>
  <c r="AD955" i="7"/>
  <c r="AD968" i="7"/>
  <c r="AD180" i="7"/>
  <c r="AD172" i="7"/>
  <c r="AD178" i="7"/>
  <c r="AD293" i="7"/>
  <c r="AD103" i="7"/>
  <c r="AD32" i="7"/>
  <c r="AD40" i="7"/>
  <c r="AD47" i="7"/>
  <c r="AD62" i="7"/>
  <c r="AD84" i="7"/>
  <c r="AD92" i="7"/>
  <c r="AD99" i="7"/>
  <c r="AD114" i="7"/>
  <c r="AD136" i="7"/>
  <c r="AD144" i="7"/>
  <c r="AD152" i="7"/>
  <c r="AD177" i="7"/>
  <c r="AD256" i="7"/>
  <c r="AD266" i="7"/>
  <c r="AD401" i="7"/>
  <c r="AD393" i="7"/>
  <c r="AD398" i="7"/>
  <c r="AD397" i="7"/>
  <c r="AD405" i="7"/>
  <c r="AD396" i="7"/>
  <c r="AD452" i="7"/>
  <c r="AD646" i="7"/>
  <c r="AD644" i="7"/>
  <c r="AD652" i="7"/>
  <c r="AD643" i="7"/>
  <c r="AD651" i="7"/>
  <c r="AD642" i="7"/>
  <c r="AD674" i="7"/>
  <c r="AD709" i="7"/>
  <c r="AD739" i="7"/>
  <c r="AD751" i="7"/>
  <c r="AD766" i="7"/>
  <c r="AD791" i="7"/>
  <c r="AD936" i="7"/>
  <c r="AD928" i="7"/>
  <c r="AD934" i="7"/>
  <c r="AD926" i="7"/>
  <c r="AD931" i="7"/>
  <c r="AD930" i="7"/>
  <c r="AD929" i="7"/>
  <c r="AD938" i="7"/>
  <c r="AD927" i="7"/>
  <c r="AD100" i="7"/>
  <c r="AD299" i="7"/>
  <c r="AD291" i="7"/>
  <c r="AD298" i="7"/>
  <c r="AD290" i="7"/>
  <c r="AD297" i="7"/>
  <c r="AD289" i="7"/>
  <c r="AD314" i="7"/>
  <c r="AD306" i="7"/>
  <c r="AD313" i="7"/>
  <c r="AD305" i="7"/>
  <c r="AD312" i="7"/>
  <c r="AD304" i="7"/>
  <c r="AD321" i="7"/>
  <c r="AD320" i="7"/>
  <c r="AD327" i="7"/>
  <c r="AD319" i="7"/>
  <c r="AD325" i="7"/>
  <c r="AD431" i="7"/>
  <c r="AD423" i="7"/>
  <c r="AD424" i="7"/>
  <c r="AD422" i="7"/>
  <c r="AD430" i="7"/>
  <c r="AD421" i="7"/>
  <c r="AD714" i="7"/>
  <c r="AD740" i="7"/>
  <c r="AD921" i="7"/>
  <c r="AD913" i="7"/>
  <c r="AD919" i="7"/>
  <c r="AD922" i="7"/>
  <c r="AD920" i="7"/>
  <c r="AD918" i="7"/>
  <c r="AD917" i="7"/>
  <c r="AD932" i="7"/>
  <c r="AD101" i="7"/>
  <c r="AD158" i="7"/>
  <c r="AD150" i="7"/>
  <c r="AD154" i="7"/>
  <c r="AD292" i="7"/>
  <c r="AD302" i="7"/>
  <c r="AD315" i="7"/>
  <c r="AD326" i="7"/>
  <c r="AD419" i="7"/>
  <c r="AD715" i="7"/>
  <c r="AD819" i="7"/>
  <c r="AD914" i="7"/>
  <c r="AD933" i="7"/>
  <c r="AD50" i="7"/>
  <c r="AD94" i="7"/>
  <c r="AD155" i="7"/>
  <c r="AD303" i="7"/>
  <c r="AD316" i="7"/>
  <c r="AD420" i="7"/>
  <c r="AD676" i="7"/>
  <c r="AD668" i="7"/>
  <c r="AD670" i="7"/>
  <c r="AD678" i="7"/>
  <c r="AD669" i="7"/>
  <c r="AD677" i="7"/>
  <c r="AD667" i="7"/>
  <c r="AD743" i="7"/>
  <c r="AD735" i="7"/>
  <c r="AD738" i="7"/>
  <c r="AD737" i="7"/>
  <c r="AD736" i="7"/>
  <c r="AD742" i="7"/>
  <c r="AD765" i="7"/>
  <c r="AD757" i="7"/>
  <c r="AD763" i="7"/>
  <c r="AD762" i="7"/>
  <c r="AD761" i="7"/>
  <c r="AD769" i="7"/>
  <c r="AD795" i="7"/>
  <c r="AD787" i="7"/>
  <c r="AD789" i="7"/>
  <c r="AD788" i="7"/>
  <c r="AD786" i="7"/>
  <c r="AD794" i="7"/>
  <c r="AD915" i="7"/>
  <c r="AD935" i="7"/>
  <c r="AD102" i="7"/>
  <c r="AD146" i="7"/>
  <c r="AD95" i="7"/>
  <c r="AD273" i="7"/>
  <c r="AD666" i="7"/>
  <c r="AD713" i="7"/>
  <c r="AD705" i="7"/>
  <c r="AD712" i="7"/>
  <c r="AD711" i="7"/>
  <c r="AD710" i="7"/>
  <c r="AD717" i="7"/>
  <c r="AD731" i="7"/>
  <c r="AD750" i="7"/>
  <c r="AD755" i="7"/>
  <c r="AD746" i="7"/>
  <c r="AD754" i="7"/>
  <c r="AD745" i="7"/>
  <c r="AD753" i="7"/>
  <c r="AD744" i="7"/>
  <c r="AD758" i="7"/>
  <c r="AD783" i="7"/>
  <c r="AD817" i="7"/>
  <c r="AD809" i="7"/>
  <c r="AD814" i="7"/>
  <c r="AD813" i="7"/>
  <c r="AD821" i="7"/>
  <c r="AD812" i="7"/>
  <c r="AD916" i="7"/>
  <c r="AD937" i="7"/>
  <c r="AD43" i="7"/>
  <c r="AD88" i="7"/>
  <c r="AD147" i="7"/>
  <c r="AD247" i="7"/>
  <c r="AD239" i="7"/>
  <c r="AD246" i="7"/>
  <c r="AD238" i="7"/>
  <c r="AD245" i="7"/>
  <c r="AD237" i="7"/>
  <c r="AD294" i="7"/>
  <c r="AD29" i="7"/>
  <c r="AD37" i="7"/>
  <c r="AD44" i="7"/>
  <c r="AD52" i="7"/>
  <c r="AD59" i="7"/>
  <c r="AD67" i="7"/>
  <c r="AD81" i="7"/>
  <c r="AD89" i="7"/>
  <c r="AD96" i="7"/>
  <c r="AD104" i="7"/>
  <c r="AD111" i="7"/>
  <c r="AD119" i="7"/>
  <c r="AD133" i="7"/>
  <c r="AD141" i="7"/>
  <c r="AD148" i="7"/>
  <c r="AD157" i="7"/>
  <c r="AD174" i="7"/>
  <c r="AD184" i="7"/>
  <c r="AD240" i="7"/>
  <c r="AD250" i="7"/>
  <c r="AD263" i="7"/>
  <c r="AD295" i="7"/>
  <c r="AD308" i="7"/>
  <c r="AD318" i="7"/>
  <c r="AD402" i="7"/>
  <c r="AD426" i="7"/>
  <c r="AD446" i="7"/>
  <c r="AD483" i="7"/>
  <c r="AD475" i="7"/>
  <c r="AD474" i="7"/>
  <c r="AD482" i="7"/>
  <c r="AD473" i="7"/>
  <c r="AD481" i="7"/>
  <c r="AD472" i="7"/>
  <c r="AD572" i="7"/>
  <c r="AD564" i="7"/>
  <c r="AD568" i="7"/>
  <c r="AD567" i="7"/>
  <c r="AD566" i="7"/>
  <c r="AD574" i="7"/>
  <c r="AD594" i="7"/>
  <c r="AD593" i="7"/>
  <c r="AD592" i="7"/>
  <c r="AD600" i="7"/>
  <c r="AD591" i="7"/>
  <c r="AD599" i="7"/>
  <c r="AD648" i="7"/>
  <c r="AD671" i="7"/>
  <c r="AD698" i="7"/>
  <c r="AD704" i="7"/>
  <c r="AD695" i="7"/>
  <c r="AD703" i="7"/>
  <c r="AD694" i="7"/>
  <c r="AD702" i="7"/>
  <c r="AD693" i="7"/>
  <c r="AD706" i="7"/>
  <c r="AD728" i="7"/>
  <c r="AD720" i="7"/>
  <c r="AD730" i="7"/>
  <c r="AD721" i="7"/>
  <c r="AD729" i="7"/>
  <c r="AD719" i="7"/>
  <c r="AD727" i="7"/>
  <c r="AD718" i="7"/>
  <c r="AD732" i="7"/>
  <c r="AD747" i="7"/>
  <c r="AD759" i="7"/>
  <c r="AD784" i="7"/>
  <c r="AD810" i="7"/>
  <c r="AD847" i="7"/>
  <c r="AD839" i="7"/>
  <c r="AD840" i="7"/>
  <c r="AD838" i="7"/>
  <c r="AD846" i="7"/>
  <c r="AD837" i="7"/>
  <c r="AD845" i="7"/>
  <c r="AD836" i="7"/>
  <c r="AD923" i="7"/>
  <c r="AD42" i="7"/>
  <c r="AD182" i="7"/>
  <c r="AD36" i="7"/>
  <c r="AD51" i="7"/>
  <c r="AD269" i="7"/>
  <c r="AD268" i="7"/>
  <c r="AD275" i="7"/>
  <c r="AD267" i="7"/>
  <c r="AD317" i="7"/>
  <c r="AD30" i="7"/>
  <c r="AD38" i="7"/>
  <c r="AD45" i="7"/>
  <c r="AD53" i="7"/>
  <c r="AD60" i="7"/>
  <c r="AD82" i="7"/>
  <c r="AD90" i="7"/>
  <c r="AD97" i="7"/>
  <c r="AD105" i="7"/>
  <c r="AD112" i="7"/>
  <c r="AD134" i="7"/>
  <c r="AD142" i="7"/>
  <c r="AD149" i="7"/>
  <c r="AD167" i="7"/>
  <c r="AD175" i="7"/>
  <c r="AD195" i="7"/>
  <c r="AD187" i="7"/>
  <c r="AD194" i="7"/>
  <c r="AD193" i="7"/>
  <c r="AD185" i="7"/>
  <c r="AD197" i="7"/>
  <c r="AD241" i="7"/>
  <c r="AD264" i="7"/>
  <c r="AD296" i="7"/>
  <c r="AD309" i="7"/>
  <c r="AD322" i="7"/>
  <c r="AD351" i="7"/>
  <c r="AD343" i="7"/>
  <c r="AD350" i="7"/>
  <c r="AD342" i="7"/>
  <c r="AD349" i="7"/>
  <c r="AD341" i="7"/>
  <c r="AD366" i="7"/>
  <c r="AD358" i="7"/>
  <c r="AD365" i="7"/>
  <c r="AD357" i="7"/>
  <c r="AD364" i="7"/>
  <c r="AD356" i="7"/>
  <c r="AD379" i="7"/>
  <c r="AD373" i="7"/>
  <c r="AD372" i="7"/>
  <c r="AD371" i="7"/>
  <c r="AD377" i="7"/>
  <c r="AD403" i="7"/>
  <c r="AD427" i="7"/>
  <c r="AD471" i="7"/>
  <c r="AD535" i="7"/>
  <c r="AD527" i="7"/>
  <c r="AD534" i="7"/>
  <c r="AD525" i="7"/>
  <c r="AD533" i="7"/>
  <c r="AD524" i="7"/>
  <c r="AD532" i="7"/>
  <c r="AD523" i="7"/>
  <c r="AD562" i="7"/>
  <c r="AD588" i="7"/>
  <c r="AD649" i="7"/>
  <c r="AD672" i="7"/>
  <c r="AD692" i="7"/>
  <c r="AD707" i="7"/>
  <c r="AD722" i="7"/>
  <c r="AD733" i="7"/>
  <c r="AD748" i="7"/>
  <c r="AD760" i="7"/>
  <c r="AD785" i="7"/>
  <c r="AD811" i="7"/>
  <c r="AD835" i="7"/>
  <c r="AD899" i="7"/>
  <c r="AD891" i="7"/>
  <c r="AD897" i="7"/>
  <c r="AD889" i="7"/>
  <c r="AD892" i="7"/>
  <c r="AD890" i="7"/>
  <c r="AD888" i="7"/>
  <c r="AD898" i="7"/>
  <c r="AD887" i="7"/>
  <c r="AD924" i="7"/>
  <c r="AD140" i="7"/>
  <c r="AD156" i="7"/>
  <c r="AD173" i="7"/>
  <c r="AD183" i="7"/>
  <c r="AD262" i="7"/>
  <c r="AD254" i="7"/>
  <c r="AD261" i="7"/>
  <c r="AD253" i="7"/>
  <c r="AD260" i="7"/>
  <c r="AD252" i="7"/>
  <c r="AD307" i="7"/>
  <c r="AD425" i="7"/>
  <c r="AD453" i="7"/>
  <c r="AD445" i="7"/>
  <c r="AD449" i="7"/>
  <c r="AD457" i="7"/>
  <c r="AD448" i="7"/>
  <c r="AD456" i="7"/>
  <c r="AD447" i="7"/>
  <c r="AD31" i="7"/>
  <c r="AD46" i="7"/>
  <c r="AD83" i="7"/>
  <c r="AD98" i="7"/>
  <c r="AD135" i="7"/>
  <c r="AD151" i="7"/>
  <c r="AD176" i="7"/>
  <c r="AD210" i="7"/>
  <c r="AD202" i="7"/>
  <c r="AD209" i="7"/>
  <c r="AD201" i="7"/>
  <c r="AD208" i="7"/>
  <c r="AD200" i="7"/>
  <c r="AD217" i="7"/>
  <c r="AD216" i="7"/>
  <c r="AD223" i="7"/>
  <c r="AD215" i="7"/>
  <c r="AD221" i="7"/>
  <c r="AD242" i="7"/>
  <c r="AD255" i="7"/>
  <c r="AD265" i="7"/>
  <c r="AD300" i="7"/>
  <c r="AD310" i="7"/>
  <c r="AD323" i="7"/>
  <c r="AD344" i="7"/>
  <c r="AD354" i="7"/>
  <c r="AD367" i="7"/>
  <c r="AD378" i="7"/>
  <c r="AD404" i="7"/>
  <c r="AD428" i="7"/>
  <c r="AD451" i="7"/>
  <c r="AD476" i="7"/>
  <c r="AD505" i="7"/>
  <c r="AD497" i="7"/>
  <c r="AD509" i="7"/>
  <c r="AD500" i="7"/>
  <c r="AD508" i="7"/>
  <c r="AD499" i="7"/>
  <c r="AD507" i="7"/>
  <c r="AD498" i="7"/>
  <c r="AD526" i="7"/>
  <c r="AD563" i="7"/>
  <c r="AD589" i="7"/>
  <c r="AD624" i="7"/>
  <c r="AD616" i="7"/>
  <c r="AD619" i="7"/>
  <c r="AD618" i="7"/>
  <c r="AD626" i="7"/>
  <c r="AD617" i="7"/>
  <c r="AD650" i="7"/>
  <c r="AD673" i="7"/>
  <c r="AD696" i="7"/>
  <c r="AD708" i="7"/>
  <c r="AD723" i="7"/>
  <c r="AD734" i="7"/>
  <c r="AD749" i="7"/>
  <c r="AD764" i="7"/>
  <c r="AD790" i="7"/>
  <c r="AD815" i="7"/>
  <c r="AD841" i="7"/>
  <c r="AD869" i="7"/>
  <c r="AD861" i="7"/>
  <c r="AD865" i="7"/>
  <c r="AD873" i="7"/>
  <c r="AD864" i="7"/>
  <c r="AD872" i="7"/>
  <c r="AD863" i="7"/>
  <c r="AD871" i="7"/>
  <c r="AD862" i="7"/>
  <c r="AD893" i="7"/>
  <c r="AD925" i="7"/>
  <c r="AD984" i="7"/>
  <c r="AD985" i="7"/>
  <c r="AD989" i="7"/>
  <c r="AD988" i="7"/>
  <c r="AD980" i="7"/>
  <c r="AD987" i="7"/>
  <c r="AD979" i="7"/>
  <c r="AD986" i="7"/>
  <c r="AD978" i="7"/>
  <c r="AD1003" i="7"/>
  <c r="AD995" i="7"/>
  <c r="AD1002" i="7"/>
  <c r="AD994" i="7"/>
  <c r="AD1001" i="7"/>
  <c r="AD993" i="7"/>
  <c r="AD1000" i="7"/>
  <c r="AD998" i="7"/>
  <c r="AD997" i="7"/>
  <c r="AD996" i="7"/>
  <c r="AD388" i="7"/>
  <c r="AD557" i="7"/>
  <c r="AD549" i="7"/>
  <c r="AD558" i="7"/>
  <c r="AD587" i="7"/>
  <c r="AD579" i="7"/>
  <c r="AD583" i="7"/>
  <c r="AD780" i="7"/>
  <c r="AD772" i="7"/>
  <c r="AD778" i="7"/>
  <c r="AD804" i="7"/>
  <c r="AD906" i="7"/>
  <c r="AD912" i="7"/>
  <c r="AD904" i="7"/>
  <c r="AD909" i="7"/>
  <c r="AD951" i="7"/>
  <c r="AD943" i="7"/>
  <c r="AD949" i="7"/>
  <c r="AD941" i="7"/>
  <c r="AD948" i="7"/>
  <c r="AD981" i="7"/>
  <c r="AD991" i="7"/>
  <c r="AD231" i="7"/>
  <c r="AD283" i="7"/>
  <c r="AD335" i="7"/>
  <c r="AD380" i="7"/>
  <c r="AD389" i="7"/>
  <c r="AD416" i="7"/>
  <c r="AD408" i="7"/>
  <c r="AD414" i="7"/>
  <c r="AD440" i="7"/>
  <c r="AD491" i="7"/>
  <c r="AD550" i="7"/>
  <c r="AD559" i="7"/>
  <c r="AD575" i="7"/>
  <c r="AD584" i="7"/>
  <c r="AD609" i="7"/>
  <c r="AD601" i="7"/>
  <c r="AD610" i="7"/>
  <c r="AD639" i="7"/>
  <c r="AD631" i="7"/>
  <c r="AD635" i="7"/>
  <c r="AD770" i="7"/>
  <c r="AD779" i="7"/>
  <c r="AD796" i="7"/>
  <c r="AD805" i="7"/>
  <c r="AD832" i="7"/>
  <c r="AD824" i="7"/>
  <c r="AD830" i="7"/>
  <c r="AD856" i="7"/>
  <c r="AD900" i="7"/>
  <c r="AD910" i="7"/>
  <c r="AD939" i="7"/>
  <c r="AD950" i="7"/>
  <c r="AD982" i="7"/>
  <c r="AD992" i="7"/>
  <c r="AD224" i="7"/>
  <c r="AD276" i="7"/>
  <c r="AD328" i="7"/>
  <c r="AD381" i="7"/>
  <c r="AD390" i="7"/>
  <c r="AD406" i="7"/>
  <c r="AD415" i="7"/>
  <c r="AD441" i="7"/>
  <c r="AD468" i="7"/>
  <c r="AD460" i="7"/>
  <c r="AD466" i="7"/>
  <c r="AD492" i="7"/>
  <c r="AD551" i="7"/>
  <c r="AD560" i="7"/>
  <c r="AD576" i="7"/>
  <c r="AD585" i="7"/>
  <c r="AD602" i="7"/>
  <c r="AD611" i="7"/>
  <c r="AD627" i="7"/>
  <c r="AD636" i="7"/>
  <c r="AD661" i="7"/>
  <c r="AD653" i="7"/>
  <c r="AD662" i="7"/>
  <c r="AD691" i="7"/>
  <c r="AD683" i="7"/>
  <c r="AD687" i="7"/>
  <c r="AD771" i="7"/>
  <c r="AD781" i="7"/>
  <c r="AD797" i="7"/>
  <c r="AD806" i="7"/>
  <c r="AD822" i="7"/>
  <c r="AD831" i="7"/>
  <c r="AD884" i="7"/>
  <c r="AD876" i="7"/>
  <c r="AD882" i="7"/>
  <c r="AD901" i="7"/>
  <c r="AD911" i="7"/>
  <c r="AD940" i="7"/>
  <c r="AD958" i="7"/>
  <c r="AD964" i="7"/>
  <c r="AD956" i="7"/>
  <c r="AD961" i="7"/>
  <c r="AD983" i="7"/>
  <c r="AD999" i="7"/>
  <c r="AD971" i="7"/>
  <c r="AD972" i="7"/>
  <c r="AD965" i="7"/>
  <c r="AA925" i="7"/>
  <c r="Z925" i="7"/>
  <c r="Y925" i="7"/>
  <c r="X925" i="7"/>
  <c r="AA924" i="7"/>
  <c r="Z924" i="7"/>
  <c r="Y924" i="7"/>
  <c r="X924" i="7"/>
  <c r="AA923" i="7"/>
  <c r="Z923" i="7"/>
  <c r="Y923" i="7"/>
  <c r="X923" i="7"/>
  <c r="AA922" i="7"/>
  <c r="Z922" i="7"/>
  <c r="Y922" i="7"/>
  <c r="X922" i="7"/>
  <c r="AA921" i="7"/>
  <c r="Z921" i="7"/>
  <c r="Y921" i="7"/>
  <c r="X921" i="7"/>
  <c r="AA920" i="7"/>
  <c r="Z920" i="7"/>
  <c r="Y920" i="7"/>
  <c r="X920" i="7"/>
  <c r="AA919" i="7"/>
  <c r="Z919" i="7"/>
  <c r="Y919" i="7"/>
  <c r="X919" i="7"/>
  <c r="AA918" i="7"/>
  <c r="Z918" i="7"/>
  <c r="Y918" i="7"/>
  <c r="X918" i="7"/>
  <c r="AA917" i="7"/>
  <c r="Z917" i="7"/>
  <c r="Y917" i="7"/>
  <c r="X917" i="7"/>
  <c r="AA916" i="7"/>
  <c r="Z916" i="7"/>
  <c r="Y916" i="7"/>
  <c r="X916" i="7"/>
  <c r="AA915" i="7"/>
  <c r="Z915" i="7"/>
  <c r="Y915" i="7"/>
  <c r="X915" i="7"/>
  <c r="AA914" i="7"/>
  <c r="Z914" i="7"/>
  <c r="Y914" i="7"/>
  <c r="X914" i="7"/>
  <c r="AA913" i="7"/>
  <c r="Z913" i="7"/>
  <c r="Y913" i="7"/>
  <c r="X913" i="7"/>
  <c r="AA860" i="7"/>
  <c r="Z860" i="7"/>
  <c r="Y860" i="7"/>
  <c r="X860" i="7"/>
  <c r="AA859" i="7"/>
  <c r="Z859" i="7"/>
  <c r="Y859" i="7"/>
  <c r="X859" i="7"/>
  <c r="AA858" i="7"/>
  <c r="Z858" i="7"/>
  <c r="Y858" i="7"/>
  <c r="X858" i="7"/>
  <c r="AA857" i="7"/>
  <c r="Z857" i="7"/>
  <c r="Y857" i="7"/>
  <c r="X857" i="7"/>
  <c r="AA856" i="7"/>
  <c r="Z856" i="7"/>
  <c r="Y856" i="7"/>
  <c r="X856" i="7"/>
  <c r="AA855" i="7"/>
  <c r="Z855" i="7"/>
  <c r="Y855" i="7"/>
  <c r="X855" i="7"/>
  <c r="AA854" i="7"/>
  <c r="Z854" i="7"/>
  <c r="Y854" i="7"/>
  <c r="X854" i="7"/>
  <c r="AA853" i="7"/>
  <c r="Z853" i="7"/>
  <c r="Y853" i="7"/>
  <c r="X853" i="7"/>
  <c r="AA852" i="7"/>
  <c r="Z852" i="7"/>
  <c r="Y852" i="7"/>
  <c r="X852" i="7"/>
  <c r="AA851" i="7"/>
  <c r="Z851" i="7"/>
  <c r="Y851" i="7"/>
  <c r="X851" i="7"/>
  <c r="AA850" i="7"/>
  <c r="Z850" i="7"/>
  <c r="Y850" i="7"/>
  <c r="X850" i="7"/>
  <c r="AA849" i="7"/>
  <c r="Z849" i="7"/>
  <c r="Y849" i="7"/>
  <c r="X849" i="7"/>
  <c r="AA848" i="7"/>
  <c r="Z848" i="7"/>
  <c r="Y848" i="7"/>
  <c r="X848" i="7"/>
  <c r="AA847" i="7"/>
  <c r="Z847" i="7"/>
  <c r="Y847" i="7"/>
  <c r="X847" i="7"/>
  <c r="AA846" i="7"/>
  <c r="Z846" i="7"/>
  <c r="Y846" i="7"/>
  <c r="X846" i="7"/>
  <c r="AA845" i="7"/>
  <c r="Z845" i="7"/>
  <c r="Y845" i="7"/>
  <c r="X845" i="7"/>
  <c r="AA844" i="7"/>
  <c r="Z844" i="7"/>
  <c r="Y844" i="7"/>
  <c r="X844" i="7"/>
  <c r="AA843" i="7"/>
  <c r="Z843" i="7"/>
  <c r="Y843" i="7"/>
  <c r="X843" i="7"/>
  <c r="AA842" i="7"/>
  <c r="Z842" i="7"/>
  <c r="Y842" i="7"/>
  <c r="X842" i="7"/>
  <c r="AA841" i="7"/>
  <c r="Z841" i="7"/>
  <c r="Y841" i="7"/>
  <c r="X841" i="7"/>
  <c r="AA840" i="7"/>
  <c r="Z840" i="7"/>
  <c r="Y840" i="7"/>
  <c r="X840" i="7"/>
  <c r="AA839" i="7"/>
  <c r="Z839" i="7"/>
  <c r="Y839" i="7"/>
  <c r="X839" i="7"/>
  <c r="AA838" i="7"/>
  <c r="Z838" i="7"/>
  <c r="Y838" i="7"/>
  <c r="X838" i="7"/>
  <c r="AA837" i="7"/>
  <c r="Z837" i="7"/>
  <c r="Y837" i="7"/>
  <c r="X837" i="7"/>
  <c r="AA836" i="7"/>
  <c r="Z836" i="7"/>
  <c r="Y836" i="7"/>
  <c r="X836" i="7"/>
  <c r="AA835" i="7"/>
  <c r="Z835" i="7"/>
  <c r="Y835" i="7"/>
  <c r="X835" i="7"/>
  <c r="AA886" i="7"/>
  <c r="Z886" i="7"/>
  <c r="Y886" i="7"/>
  <c r="X886" i="7"/>
  <c r="AA885" i="7"/>
  <c r="Z885" i="7"/>
  <c r="Y885" i="7"/>
  <c r="X885" i="7"/>
  <c r="AA884" i="7"/>
  <c r="Z884" i="7"/>
  <c r="Y884" i="7"/>
  <c r="X884" i="7"/>
  <c r="AA883" i="7"/>
  <c r="Z883" i="7"/>
  <c r="Y883" i="7"/>
  <c r="X883" i="7"/>
  <c r="AA882" i="7"/>
  <c r="Z882" i="7"/>
  <c r="Y882" i="7"/>
  <c r="X882" i="7"/>
  <c r="AA881" i="7"/>
  <c r="Z881" i="7"/>
  <c r="Y881" i="7"/>
  <c r="X881" i="7"/>
  <c r="AA880" i="7"/>
  <c r="Z880" i="7"/>
  <c r="Y880" i="7"/>
  <c r="X880" i="7"/>
  <c r="AA879" i="7"/>
  <c r="Z879" i="7"/>
  <c r="Y879" i="7"/>
  <c r="X879" i="7"/>
  <c r="AA878" i="7"/>
  <c r="Z878" i="7"/>
  <c r="Y878" i="7"/>
  <c r="X878" i="7"/>
  <c r="AA877" i="7"/>
  <c r="Z877" i="7"/>
  <c r="Y877" i="7"/>
  <c r="X877" i="7"/>
  <c r="AA876" i="7"/>
  <c r="Z876" i="7"/>
  <c r="Y876" i="7"/>
  <c r="X876" i="7"/>
  <c r="AA875" i="7"/>
  <c r="Z875" i="7"/>
  <c r="Y875" i="7"/>
  <c r="X875" i="7"/>
  <c r="AA874" i="7"/>
  <c r="Z874" i="7"/>
  <c r="Y874" i="7"/>
  <c r="X874" i="7"/>
  <c r="AA873" i="7"/>
  <c r="Z873" i="7"/>
  <c r="Y873" i="7"/>
  <c r="X873" i="7"/>
  <c r="AA872" i="7"/>
  <c r="Z872" i="7"/>
  <c r="Y872" i="7"/>
  <c r="X872" i="7"/>
  <c r="AA871" i="7"/>
  <c r="Z871" i="7"/>
  <c r="Y871" i="7"/>
  <c r="X871" i="7"/>
  <c r="AA870" i="7"/>
  <c r="Z870" i="7"/>
  <c r="Y870" i="7"/>
  <c r="X870" i="7"/>
  <c r="AA869" i="7"/>
  <c r="Z869" i="7"/>
  <c r="Y869" i="7"/>
  <c r="X869" i="7"/>
  <c r="AA868" i="7"/>
  <c r="Z868" i="7"/>
  <c r="Y868" i="7"/>
  <c r="X868" i="7"/>
  <c r="AA867" i="7"/>
  <c r="Z867" i="7"/>
  <c r="Y867" i="7"/>
  <c r="X867" i="7"/>
  <c r="AA866" i="7"/>
  <c r="Z866" i="7"/>
  <c r="Y866" i="7"/>
  <c r="X866" i="7"/>
  <c r="AA865" i="7"/>
  <c r="Z865" i="7"/>
  <c r="Y865" i="7"/>
  <c r="X865" i="7"/>
  <c r="AA864" i="7"/>
  <c r="Z864" i="7"/>
  <c r="Y864" i="7"/>
  <c r="X864" i="7"/>
  <c r="AA863" i="7"/>
  <c r="Z863" i="7"/>
  <c r="Y863" i="7"/>
  <c r="X863" i="7"/>
  <c r="AA862" i="7"/>
  <c r="Z862" i="7"/>
  <c r="Y862" i="7"/>
  <c r="X862" i="7"/>
  <c r="AA861" i="7"/>
  <c r="Z861" i="7"/>
  <c r="Y861" i="7"/>
  <c r="X861" i="7"/>
  <c r="L1122" i="7"/>
  <c r="P1122" i="7"/>
  <c r="Q1122" i="7"/>
  <c r="R1122" i="7"/>
  <c r="S1122" i="7"/>
  <c r="T1122" i="7"/>
  <c r="U1122" i="7"/>
  <c r="V1122" i="7"/>
  <c r="W1122" i="7"/>
  <c r="AA899" i="7"/>
  <c r="Z899" i="7"/>
  <c r="Y899" i="7"/>
  <c r="X899" i="7"/>
  <c r="AA898" i="7"/>
  <c r="Z898" i="7"/>
  <c r="Y898" i="7"/>
  <c r="X898" i="7"/>
  <c r="AA897" i="7"/>
  <c r="Z897" i="7"/>
  <c r="Y897" i="7"/>
  <c r="X897" i="7"/>
  <c r="AA896" i="7"/>
  <c r="Z896" i="7"/>
  <c r="Y896" i="7"/>
  <c r="X896" i="7"/>
  <c r="AA895" i="7"/>
  <c r="Z895" i="7"/>
  <c r="Y895" i="7"/>
  <c r="X895" i="7"/>
  <c r="AA894" i="7"/>
  <c r="Z894" i="7"/>
  <c r="Y894" i="7"/>
  <c r="X894" i="7"/>
  <c r="AA893" i="7"/>
  <c r="Z893" i="7"/>
  <c r="Y893" i="7"/>
  <c r="X893" i="7"/>
  <c r="AA892" i="7"/>
  <c r="Z892" i="7"/>
  <c r="Y892" i="7"/>
  <c r="X892" i="7"/>
  <c r="AA891" i="7"/>
  <c r="Z891" i="7"/>
  <c r="Y891" i="7"/>
  <c r="X891" i="7"/>
  <c r="AA890" i="7"/>
  <c r="Z890" i="7"/>
  <c r="Y890" i="7"/>
  <c r="X890" i="7"/>
  <c r="AA889" i="7"/>
  <c r="Z889" i="7"/>
  <c r="Y889" i="7"/>
  <c r="X889" i="7"/>
  <c r="AA888" i="7"/>
  <c r="Z888" i="7"/>
  <c r="Y888" i="7"/>
  <c r="X888" i="7"/>
  <c r="AA887" i="7"/>
  <c r="Z887" i="7"/>
  <c r="Y887" i="7"/>
  <c r="X887" i="7"/>
  <c r="AA912" i="7"/>
  <c r="Z912" i="7"/>
  <c r="Y912" i="7"/>
  <c r="X912" i="7"/>
  <c r="AA911" i="7"/>
  <c r="Z911" i="7"/>
  <c r="Y911" i="7"/>
  <c r="X911" i="7"/>
  <c r="AA910" i="7"/>
  <c r="Z910" i="7"/>
  <c r="Y910" i="7"/>
  <c r="X910" i="7"/>
  <c r="AA909" i="7"/>
  <c r="Z909" i="7"/>
  <c r="Y909" i="7"/>
  <c r="X909" i="7"/>
  <c r="AA908" i="7"/>
  <c r="Z908" i="7"/>
  <c r="Y908" i="7"/>
  <c r="X908" i="7"/>
  <c r="AA907" i="7"/>
  <c r="Z907" i="7"/>
  <c r="Y907" i="7"/>
  <c r="X907" i="7"/>
  <c r="AA906" i="7"/>
  <c r="Z906" i="7"/>
  <c r="Y906" i="7"/>
  <c r="X906" i="7"/>
  <c r="AA905" i="7"/>
  <c r="Z905" i="7"/>
  <c r="Y905" i="7"/>
  <c r="X905" i="7"/>
  <c r="AA904" i="7"/>
  <c r="Z904" i="7"/>
  <c r="Y904" i="7"/>
  <c r="X904" i="7"/>
  <c r="AA903" i="7"/>
  <c r="Z903" i="7"/>
  <c r="Y903" i="7"/>
  <c r="X903" i="7"/>
  <c r="AA902" i="7"/>
  <c r="Z902" i="7"/>
  <c r="Y902" i="7"/>
  <c r="X902" i="7"/>
  <c r="AA901" i="7"/>
  <c r="Z901" i="7"/>
  <c r="Y901" i="7"/>
  <c r="X901" i="7"/>
  <c r="AA900" i="7"/>
  <c r="Z900" i="7"/>
  <c r="Y900" i="7"/>
  <c r="X900" i="7"/>
  <c r="B30" i="8" l="1"/>
  <c r="E27" i="8"/>
  <c r="F24" i="8"/>
  <c r="F21" i="8"/>
  <c r="B26" i="8"/>
  <c r="F25" i="8"/>
  <c r="G26" i="8"/>
  <c r="B23" i="8"/>
  <c r="I30" i="8"/>
  <c r="I26" i="8"/>
  <c r="B31" i="8"/>
  <c r="I28" i="8"/>
  <c r="I21" i="8"/>
  <c r="E30" i="8"/>
  <c r="B33" i="8"/>
  <c r="B40" i="8" s="1"/>
  <c r="E31" i="8"/>
  <c r="E25" i="8"/>
  <c r="E29" i="8"/>
  <c r="B21" i="8"/>
  <c r="F30" i="8"/>
  <c r="F22" i="8"/>
  <c r="B29" i="8"/>
  <c r="B27" i="8"/>
  <c r="E28" i="8"/>
  <c r="F29" i="8"/>
  <c r="E21" i="8"/>
  <c r="B22" i="8"/>
  <c r="B28" i="8"/>
  <c r="G30" i="8"/>
  <c r="I32" i="8"/>
  <c r="I39" i="8" s="1"/>
  <c r="C32" i="8"/>
  <c r="C39" i="8" s="1"/>
  <c r="H25" i="8"/>
  <c r="H21" i="8"/>
  <c r="G25" i="8"/>
  <c r="G23" i="8"/>
  <c r="H27" i="8"/>
  <c r="H24" i="8"/>
  <c r="I23" i="8"/>
  <c r="H26" i="8"/>
  <c r="I25" i="8"/>
  <c r="H22" i="8"/>
  <c r="G27" i="8"/>
  <c r="C28" i="8"/>
  <c r="G28" i="8"/>
  <c r="C27" i="8"/>
  <c r="H28" i="8"/>
  <c r="I27" i="8"/>
  <c r="H31" i="8"/>
  <c r="C30" i="8"/>
  <c r="H30" i="8"/>
  <c r="C31" i="8"/>
  <c r="C29" i="8"/>
  <c r="G31" i="8"/>
  <c r="G29" i="8"/>
  <c r="G21" i="8"/>
  <c r="C23" i="8"/>
  <c r="B24" i="8"/>
  <c r="C22" i="8"/>
  <c r="H32" i="8"/>
  <c r="H39" i="8" s="1"/>
  <c r="C33" i="8"/>
  <c r="C40" i="8" s="1"/>
  <c r="C21" i="8"/>
  <c r="I33" i="8"/>
  <c r="I40" i="8" s="1"/>
  <c r="C24" i="8"/>
  <c r="E22" i="8"/>
  <c r="F31" i="8"/>
  <c r="C25" i="8"/>
  <c r="F26" i="8"/>
  <c r="B32" i="8"/>
  <c r="B39" i="8" s="1"/>
  <c r="E32" i="8"/>
  <c r="E39" i="8" s="1"/>
  <c r="G22" i="8"/>
  <c r="I22" i="8"/>
  <c r="F32" i="8"/>
  <c r="F39" i="8" s="1"/>
  <c r="H23" i="8"/>
  <c r="F27" i="8"/>
  <c r="F23" i="8"/>
  <c r="G32" i="8"/>
  <c r="G39" i="8" s="1"/>
  <c r="F28" i="8"/>
  <c r="I29" i="8"/>
  <c r="E24" i="8"/>
  <c r="E37" i="8" s="1"/>
  <c r="I24" i="8"/>
  <c r="E26" i="8"/>
  <c r="E23" i="8"/>
  <c r="G33" i="8"/>
  <c r="G40" i="8" s="1"/>
  <c r="H29" i="8"/>
  <c r="AA1126" i="7"/>
  <c r="AA1125" i="7"/>
  <c r="AA1123" i="7"/>
  <c r="X1127" i="7"/>
  <c r="Z1125" i="7"/>
  <c r="Z1123" i="7"/>
  <c r="Z1126" i="7"/>
  <c r="Y1125" i="7"/>
  <c r="Y1123" i="7"/>
  <c r="Y1127" i="7"/>
  <c r="X1124" i="7"/>
  <c r="X1128" i="7"/>
  <c r="X1125" i="7"/>
  <c r="AA1128" i="7"/>
  <c r="Y1122" i="7"/>
  <c r="Y1126" i="7"/>
  <c r="X1123" i="7"/>
  <c r="Z1127" i="7"/>
  <c r="Y1124" i="7"/>
  <c r="Y1128" i="7"/>
  <c r="AA1127" i="7"/>
  <c r="Z1124" i="7"/>
  <c r="Z1128" i="7"/>
  <c r="X1126" i="7"/>
  <c r="AA1124" i="7"/>
  <c r="AA1122" i="7"/>
  <c r="X1122" i="7"/>
  <c r="Z1122" i="7"/>
  <c r="P1112" i="7"/>
  <c r="Q1112" i="7"/>
  <c r="R1112" i="7"/>
  <c r="S1112" i="7"/>
  <c r="T1112" i="7"/>
  <c r="U1112" i="7"/>
  <c r="V1112" i="7"/>
  <c r="W1112" i="7"/>
  <c r="P1113" i="7"/>
  <c r="Q1113" i="7"/>
  <c r="R1113" i="7"/>
  <c r="S1113" i="7"/>
  <c r="T1113" i="7"/>
  <c r="U1113" i="7"/>
  <c r="V1113" i="7"/>
  <c r="W1113" i="7"/>
  <c r="P1114" i="7"/>
  <c r="Q1114" i="7"/>
  <c r="R1114" i="7"/>
  <c r="S1114" i="7"/>
  <c r="T1114" i="7"/>
  <c r="U1114" i="7"/>
  <c r="V1114" i="7"/>
  <c r="W1114" i="7"/>
  <c r="P1115" i="7"/>
  <c r="Q1115" i="7"/>
  <c r="R1115" i="7"/>
  <c r="S1115" i="7"/>
  <c r="T1115" i="7"/>
  <c r="U1115" i="7"/>
  <c r="V1115" i="7"/>
  <c r="W1115" i="7"/>
  <c r="P1116" i="7"/>
  <c r="Q1116" i="7"/>
  <c r="R1116" i="7"/>
  <c r="S1116" i="7"/>
  <c r="T1116" i="7"/>
  <c r="U1116" i="7"/>
  <c r="V1116" i="7"/>
  <c r="W1116" i="7"/>
  <c r="P1117" i="7"/>
  <c r="Q1117" i="7"/>
  <c r="R1117" i="7"/>
  <c r="S1117" i="7"/>
  <c r="T1117" i="7"/>
  <c r="U1117" i="7"/>
  <c r="V1117" i="7"/>
  <c r="W1117" i="7"/>
  <c r="P1118" i="7"/>
  <c r="Q1118" i="7"/>
  <c r="R1118" i="7"/>
  <c r="S1118" i="7"/>
  <c r="T1118" i="7"/>
  <c r="U1118" i="7"/>
  <c r="V1118" i="7"/>
  <c r="W1118" i="7"/>
  <c r="P1119" i="7"/>
  <c r="Q1119" i="7"/>
  <c r="R1119" i="7"/>
  <c r="S1119" i="7"/>
  <c r="T1119" i="7"/>
  <c r="U1119" i="7"/>
  <c r="V1119" i="7"/>
  <c r="W1119" i="7"/>
  <c r="P1120" i="7"/>
  <c r="Q1120" i="7"/>
  <c r="R1120" i="7"/>
  <c r="S1120" i="7"/>
  <c r="T1120" i="7"/>
  <c r="U1120" i="7"/>
  <c r="V1120" i="7"/>
  <c r="W1120" i="7"/>
  <c r="P1121" i="7"/>
  <c r="Q1121" i="7"/>
  <c r="R1121" i="7"/>
  <c r="S1121" i="7"/>
  <c r="T1121" i="7"/>
  <c r="U1121" i="7"/>
  <c r="V1121" i="7"/>
  <c r="W1121" i="7"/>
  <c r="L1112" i="7"/>
  <c r="L1113" i="7"/>
  <c r="L1114" i="7"/>
  <c r="L1115" i="7"/>
  <c r="L1116" i="7"/>
  <c r="L1117" i="7"/>
  <c r="L1118" i="7"/>
  <c r="L1119" i="7"/>
  <c r="L1120" i="7"/>
  <c r="L1121" i="7"/>
  <c r="AA834" i="7"/>
  <c r="Z834" i="7"/>
  <c r="Y834" i="7"/>
  <c r="X834" i="7"/>
  <c r="AA833" i="7"/>
  <c r="Z833" i="7"/>
  <c r="Y833" i="7"/>
  <c r="X833" i="7"/>
  <c r="AA832" i="7"/>
  <c r="Z832" i="7"/>
  <c r="Y832" i="7"/>
  <c r="X832" i="7"/>
  <c r="AA831" i="7"/>
  <c r="Z831" i="7"/>
  <c r="Y831" i="7"/>
  <c r="X831" i="7"/>
  <c r="AA830" i="7"/>
  <c r="Z830" i="7"/>
  <c r="Y830" i="7"/>
  <c r="X830" i="7"/>
  <c r="AA829" i="7"/>
  <c r="Z829" i="7"/>
  <c r="Y829" i="7"/>
  <c r="X829" i="7"/>
  <c r="AA828" i="7"/>
  <c r="Z828" i="7"/>
  <c r="Y828" i="7"/>
  <c r="X828" i="7"/>
  <c r="AA827" i="7"/>
  <c r="Z827" i="7"/>
  <c r="Y827" i="7"/>
  <c r="X827" i="7"/>
  <c r="AA826" i="7"/>
  <c r="Z826" i="7"/>
  <c r="Y826" i="7"/>
  <c r="X826" i="7"/>
  <c r="AA825" i="7"/>
  <c r="Z825" i="7"/>
  <c r="Y825" i="7"/>
  <c r="X825" i="7"/>
  <c r="AA824" i="7"/>
  <c r="Z824" i="7"/>
  <c r="Y824" i="7"/>
  <c r="X824" i="7"/>
  <c r="AA823" i="7"/>
  <c r="Z823" i="7"/>
  <c r="Y823" i="7"/>
  <c r="X823" i="7"/>
  <c r="AA822" i="7"/>
  <c r="Z822" i="7"/>
  <c r="Y822" i="7"/>
  <c r="X822" i="7"/>
  <c r="AA821" i="7"/>
  <c r="Z821" i="7"/>
  <c r="Y821" i="7"/>
  <c r="X821" i="7"/>
  <c r="AA820" i="7"/>
  <c r="Z820" i="7"/>
  <c r="Y820" i="7"/>
  <c r="X820" i="7"/>
  <c r="AA819" i="7"/>
  <c r="Z819" i="7"/>
  <c r="Y819" i="7"/>
  <c r="X819" i="7"/>
  <c r="AA818" i="7"/>
  <c r="Z818" i="7"/>
  <c r="Y818" i="7"/>
  <c r="X818" i="7"/>
  <c r="AA817" i="7"/>
  <c r="Z817" i="7"/>
  <c r="Y817" i="7"/>
  <c r="X817" i="7"/>
  <c r="AA816" i="7"/>
  <c r="Z816" i="7"/>
  <c r="Y816" i="7"/>
  <c r="X816" i="7"/>
  <c r="AA815" i="7"/>
  <c r="Z815" i="7"/>
  <c r="Y815" i="7"/>
  <c r="X815" i="7"/>
  <c r="AA814" i="7"/>
  <c r="Z814" i="7"/>
  <c r="Y814" i="7"/>
  <c r="X814" i="7"/>
  <c r="AA813" i="7"/>
  <c r="Z813" i="7"/>
  <c r="Y813" i="7"/>
  <c r="X813" i="7"/>
  <c r="AA812" i="7"/>
  <c r="Z812" i="7"/>
  <c r="Y812" i="7"/>
  <c r="X812" i="7"/>
  <c r="AA811" i="7"/>
  <c r="Z811" i="7"/>
  <c r="Y811" i="7"/>
  <c r="X811" i="7"/>
  <c r="AA810" i="7"/>
  <c r="Z810" i="7"/>
  <c r="Y810" i="7"/>
  <c r="X810" i="7"/>
  <c r="AA809" i="7"/>
  <c r="Z809" i="7"/>
  <c r="Y809" i="7"/>
  <c r="X809" i="7"/>
  <c r="AA808" i="7"/>
  <c r="Z808" i="7"/>
  <c r="Y808" i="7"/>
  <c r="X808" i="7"/>
  <c r="AA807" i="7"/>
  <c r="Z807" i="7"/>
  <c r="Y807" i="7"/>
  <c r="X807" i="7"/>
  <c r="AA806" i="7"/>
  <c r="Z806" i="7"/>
  <c r="Y806" i="7"/>
  <c r="X806" i="7"/>
  <c r="AA805" i="7"/>
  <c r="Z805" i="7"/>
  <c r="Y805" i="7"/>
  <c r="X805" i="7"/>
  <c r="AA804" i="7"/>
  <c r="Z804" i="7"/>
  <c r="Y804" i="7"/>
  <c r="X804" i="7"/>
  <c r="AA803" i="7"/>
  <c r="Z803" i="7"/>
  <c r="Y803" i="7"/>
  <c r="X803" i="7"/>
  <c r="AA802" i="7"/>
  <c r="Z802" i="7"/>
  <c r="Y802" i="7"/>
  <c r="X802" i="7"/>
  <c r="AA801" i="7"/>
  <c r="Z801" i="7"/>
  <c r="Y801" i="7"/>
  <c r="X801" i="7"/>
  <c r="AA800" i="7"/>
  <c r="Z800" i="7"/>
  <c r="Y800" i="7"/>
  <c r="X800" i="7"/>
  <c r="AA799" i="7"/>
  <c r="Z799" i="7"/>
  <c r="Y799" i="7"/>
  <c r="X799" i="7"/>
  <c r="AA798" i="7"/>
  <c r="Z798" i="7"/>
  <c r="Y798" i="7"/>
  <c r="X798" i="7"/>
  <c r="AA797" i="7"/>
  <c r="Z797" i="7"/>
  <c r="Y797" i="7"/>
  <c r="X797" i="7"/>
  <c r="AA796" i="7"/>
  <c r="Z796" i="7"/>
  <c r="Y796" i="7"/>
  <c r="X796" i="7"/>
  <c r="AA795" i="7"/>
  <c r="Z795" i="7"/>
  <c r="Y795" i="7"/>
  <c r="X795" i="7"/>
  <c r="AA794" i="7"/>
  <c r="Z794" i="7"/>
  <c r="Y794" i="7"/>
  <c r="X794" i="7"/>
  <c r="AA793" i="7"/>
  <c r="Z793" i="7"/>
  <c r="Y793" i="7"/>
  <c r="X793" i="7"/>
  <c r="AA792" i="7"/>
  <c r="Z792" i="7"/>
  <c r="Y792" i="7"/>
  <c r="X792" i="7"/>
  <c r="AA791" i="7"/>
  <c r="Z791" i="7"/>
  <c r="Y791" i="7"/>
  <c r="X791" i="7"/>
  <c r="AA790" i="7"/>
  <c r="Z790" i="7"/>
  <c r="Y790" i="7"/>
  <c r="X790" i="7"/>
  <c r="AA789" i="7"/>
  <c r="Z789" i="7"/>
  <c r="Y789" i="7"/>
  <c r="X789" i="7"/>
  <c r="AA788" i="7"/>
  <c r="Z788" i="7"/>
  <c r="Y788" i="7"/>
  <c r="X788" i="7"/>
  <c r="AA787" i="7"/>
  <c r="Z787" i="7"/>
  <c r="Y787" i="7"/>
  <c r="X787" i="7"/>
  <c r="AA786" i="7"/>
  <c r="Z786" i="7"/>
  <c r="Y786" i="7"/>
  <c r="X786" i="7"/>
  <c r="AA785" i="7"/>
  <c r="Z785" i="7"/>
  <c r="Y785" i="7"/>
  <c r="X785" i="7"/>
  <c r="AA784" i="7"/>
  <c r="Z784" i="7"/>
  <c r="Y784" i="7"/>
  <c r="X784" i="7"/>
  <c r="AA783" i="7"/>
  <c r="Z783" i="7"/>
  <c r="Y783" i="7"/>
  <c r="X783" i="7"/>
  <c r="AA782" i="7"/>
  <c r="Z782" i="7"/>
  <c r="Y782" i="7"/>
  <c r="X782" i="7"/>
  <c r="AA781" i="7"/>
  <c r="Z781" i="7"/>
  <c r="Y781" i="7"/>
  <c r="X781" i="7"/>
  <c r="AA780" i="7"/>
  <c r="Z780" i="7"/>
  <c r="Y780" i="7"/>
  <c r="X780" i="7"/>
  <c r="AA779" i="7"/>
  <c r="Z779" i="7"/>
  <c r="Y779" i="7"/>
  <c r="X779" i="7"/>
  <c r="AA778" i="7"/>
  <c r="Z778" i="7"/>
  <c r="Y778" i="7"/>
  <c r="X778" i="7"/>
  <c r="AA777" i="7"/>
  <c r="Z777" i="7"/>
  <c r="Y777" i="7"/>
  <c r="X777" i="7"/>
  <c r="AA776" i="7"/>
  <c r="Z776" i="7"/>
  <c r="Y776" i="7"/>
  <c r="X776" i="7"/>
  <c r="AA775" i="7"/>
  <c r="Z775" i="7"/>
  <c r="Y775" i="7"/>
  <c r="X775" i="7"/>
  <c r="AA774" i="7"/>
  <c r="Z774" i="7"/>
  <c r="Y774" i="7"/>
  <c r="X774" i="7"/>
  <c r="AA773" i="7"/>
  <c r="Z773" i="7"/>
  <c r="Y773" i="7"/>
  <c r="X773" i="7"/>
  <c r="AA772" i="7"/>
  <c r="Z772" i="7"/>
  <c r="Y772" i="7"/>
  <c r="X772" i="7"/>
  <c r="AA771" i="7"/>
  <c r="Z771" i="7"/>
  <c r="Y771" i="7"/>
  <c r="X771" i="7"/>
  <c r="AA770" i="7"/>
  <c r="Z770" i="7"/>
  <c r="Y770" i="7"/>
  <c r="X770" i="7"/>
  <c r="AA769" i="7"/>
  <c r="Z769" i="7"/>
  <c r="Y769" i="7"/>
  <c r="X769" i="7"/>
  <c r="AA768" i="7"/>
  <c r="Z768" i="7"/>
  <c r="Y768" i="7"/>
  <c r="X768" i="7"/>
  <c r="AA767" i="7"/>
  <c r="Z767" i="7"/>
  <c r="Y767" i="7"/>
  <c r="X767" i="7"/>
  <c r="AA766" i="7"/>
  <c r="Z766" i="7"/>
  <c r="Y766" i="7"/>
  <c r="X766" i="7"/>
  <c r="AA765" i="7"/>
  <c r="Z765" i="7"/>
  <c r="Y765" i="7"/>
  <c r="X765" i="7"/>
  <c r="AA764" i="7"/>
  <c r="Z764" i="7"/>
  <c r="Y764" i="7"/>
  <c r="X764" i="7"/>
  <c r="AA763" i="7"/>
  <c r="Z763" i="7"/>
  <c r="Y763" i="7"/>
  <c r="X763" i="7"/>
  <c r="AA762" i="7"/>
  <c r="Z762" i="7"/>
  <c r="Y762" i="7"/>
  <c r="X762" i="7"/>
  <c r="AA761" i="7"/>
  <c r="Z761" i="7"/>
  <c r="Y761" i="7"/>
  <c r="X761" i="7"/>
  <c r="AA760" i="7"/>
  <c r="Z760" i="7"/>
  <c r="Y760" i="7"/>
  <c r="X760" i="7"/>
  <c r="AA759" i="7"/>
  <c r="Z759" i="7"/>
  <c r="Y759" i="7"/>
  <c r="X759" i="7"/>
  <c r="AA758" i="7"/>
  <c r="Z758" i="7"/>
  <c r="Y758" i="7"/>
  <c r="X758" i="7"/>
  <c r="AA757" i="7"/>
  <c r="Z757" i="7"/>
  <c r="Y757" i="7"/>
  <c r="X757" i="7"/>
  <c r="AA756" i="7"/>
  <c r="Z756" i="7"/>
  <c r="Y756" i="7"/>
  <c r="X756" i="7"/>
  <c r="AA755" i="7"/>
  <c r="Z755" i="7"/>
  <c r="Y755" i="7"/>
  <c r="X755" i="7"/>
  <c r="AA754" i="7"/>
  <c r="Z754" i="7"/>
  <c r="Y754" i="7"/>
  <c r="X754" i="7"/>
  <c r="AA753" i="7"/>
  <c r="Z753" i="7"/>
  <c r="Y753" i="7"/>
  <c r="X753" i="7"/>
  <c r="AA752" i="7"/>
  <c r="Z752" i="7"/>
  <c r="Y752" i="7"/>
  <c r="X752" i="7"/>
  <c r="AA751" i="7"/>
  <c r="Z751" i="7"/>
  <c r="Y751" i="7"/>
  <c r="X751" i="7"/>
  <c r="AA750" i="7"/>
  <c r="Z750" i="7"/>
  <c r="Y750" i="7"/>
  <c r="X750" i="7"/>
  <c r="AA749" i="7"/>
  <c r="Z749" i="7"/>
  <c r="Y749" i="7"/>
  <c r="X749" i="7"/>
  <c r="AA748" i="7"/>
  <c r="Z748" i="7"/>
  <c r="Y748" i="7"/>
  <c r="X748" i="7"/>
  <c r="AA747" i="7"/>
  <c r="Z747" i="7"/>
  <c r="Y747" i="7"/>
  <c r="X747" i="7"/>
  <c r="AA746" i="7"/>
  <c r="Z746" i="7"/>
  <c r="Y746" i="7"/>
  <c r="X746" i="7"/>
  <c r="AA745" i="7"/>
  <c r="Z745" i="7"/>
  <c r="Y745" i="7"/>
  <c r="X745" i="7"/>
  <c r="AA744" i="7"/>
  <c r="Z744" i="7"/>
  <c r="Y744" i="7"/>
  <c r="X744" i="7"/>
  <c r="AA743" i="7"/>
  <c r="Z743" i="7"/>
  <c r="Y743" i="7"/>
  <c r="X743" i="7"/>
  <c r="AA742" i="7"/>
  <c r="Z742" i="7"/>
  <c r="Y742" i="7"/>
  <c r="X742" i="7"/>
  <c r="AA741" i="7"/>
  <c r="Z741" i="7"/>
  <c r="Y741" i="7"/>
  <c r="X741" i="7"/>
  <c r="AA740" i="7"/>
  <c r="Z740" i="7"/>
  <c r="Y740" i="7"/>
  <c r="X740" i="7"/>
  <c r="AA739" i="7"/>
  <c r="Z739" i="7"/>
  <c r="Y739" i="7"/>
  <c r="X739" i="7"/>
  <c r="AA738" i="7"/>
  <c r="Z738" i="7"/>
  <c r="Y738" i="7"/>
  <c r="X738" i="7"/>
  <c r="AA737" i="7"/>
  <c r="Z737" i="7"/>
  <c r="Y737" i="7"/>
  <c r="X737" i="7"/>
  <c r="AA736" i="7"/>
  <c r="Z736" i="7"/>
  <c r="Y736" i="7"/>
  <c r="X736" i="7"/>
  <c r="AA735" i="7"/>
  <c r="Z735" i="7"/>
  <c r="Y735" i="7"/>
  <c r="X735" i="7"/>
  <c r="AA734" i="7"/>
  <c r="Z734" i="7"/>
  <c r="Y734" i="7"/>
  <c r="X734" i="7"/>
  <c r="AA733" i="7"/>
  <c r="Z733" i="7"/>
  <c r="Y733" i="7"/>
  <c r="X733" i="7"/>
  <c r="AA732" i="7"/>
  <c r="Z732" i="7"/>
  <c r="Y732" i="7"/>
  <c r="X732" i="7"/>
  <c r="AA731" i="7"/>
  <c r="Z731" i="7"/>
  <c r="Y731" i="7"/>
  <c r="X731" i="7"/>
  <c r="AA730" i="7"/>
  <c r="Z730" i="7"/>
  <c r="Y730" i="7"/>
  <c r="X730" i="7"/>
  <c r="AA729" i="7"/>
  <c r="Z729" i="7"/>
  <c r="Y729" i="7"/>
  <c r="X729" i="7"/>
  <c r="AA728" i="7"/>
  <c r="Z728" i="7"/>
  <c r="Y728" i="7"/>
  <c r="X728" i="7"/>
  <c r="AA727" i="7"/>
  <c r="Z727" i="7"/>
  <c r="Y727" i="7"/>
  <c r="X727" i="7"/>
  <c r="AA726" i="7"/>
  <c r="Z726" i="7"/>
  <c r="Y726" i="7"/>
  <c r="X726" i="7"/>
  <c r="AA725" i="7"/>
  <c r="Z725" i="7"/>
  <c r="Y725" i="7"/>
  <c r="X725" i="7"/>
  <c r="AA724" i="7"/>
  <c r="Z724" i="7"/>
  <c r="Y724" i="7"/>
  <c r="X724" i="7"/>
  <c r="AA723" i="7"/>
  <c r="Z723" i="7"/>
  <c r="Y723" i="7"/>
  <c r="X723" i="7"/>
  <c r="AA722" i="7"/>
  <c r="Z722" i="7"/>
  <c r="Y722" i="7"/>
  <c r="X722" i="7"/>
  <c r="AA721" i="7"/>
  <c r="Z721" i="7"/>
  <c r="Y721" i="7"/>
  <c r="X721" i="7"/>
  <c r="AA720" i="7"/>
  <c r="Z720" i="7"/>
  <c r="Y720" i="7"/>
  <c r="X720" i="7"/>
  <c r="AA719" i="7"/>
  <c r="Z719" i="7"/>
  <c r="Y719" i="7"/>
  <c r="X719" i="7"/>
  <c r="AA718" i="7"/>
  <c r="Z718" i="7"/>
  <c r="Y718" i="7"/>
  <c r="X718" i="7"/>
  <c r="AA717" i="7"/>
  <c r="Z717" i="7"/>
  <c r="Y717" i="7"/>
  <c r="X717" i="7"/>
  <c r="AA716" i="7"/>
  <c r="Z716" i="7"/>
  <c r="Y716" i="7"/>
  <c r="X716" i="7"/>
  <c r="AA715" i="7"/>
  <c r="Z715" i="7"/>
  <c r="Y715" i="7"/>
  <c r="X715" i="7"/>
  <c r="AA714" i="7"/>
  <c r="Z714" i="7"/>
  <c r="Y714" i="7"/>
  <c r="X714" i="7"/>
  <c r="AA713" i="7"/>
  <c r="Z713" i="7"/>
  <c r="Y713" i="7"/>
  <c r="X713" i="7"/>
  <c r="AA712" i="7"/>
  <c r="Z712" i="7"/>
  <c r="Y712" i="7"/>
  <c r="X712" i="7"/>
  <c r="AA711" i="7"/>
  <c r="Z711" i="7"/>
  <c r="Y711" i="7"/>
  <c r="X711" i="7"/>
  <c r="AA710" i="7"/>
  <c r="Z710" i="7"/>
  <c r="Y710" i="7"/>
  <c r="X710" i="7"/>
  <c r="AA709" i="7"/>
  <c r="Z709" i="7"/>
  <c r="Y709" i="7"/>
  <c r="X709" i="7"/>
  <c r="AA708" i="7"/>
  <c r="Z708" i="7"/>
  <c r="Y708" i="7"/>
  <c r="X708" i="7"/>
  <c r="AA707" i="7"/>
  <c r="Z707" i="7"/>
  <c r="Y707" i="7"/>
  <c r="X707" i="7"/>
  <c r="AA706" i="7"/>
  <c r="Z706" i="7"/>
  <c r="Y706" i="7"/>
  <c r="X706" i="7"/>
  <c r="AA705" i="7"/>
  <c r="Z705" i="7"/>
  <c r="Y705" i="7"/>
  <c r="X705" i="7"/>
  <c r="G36" i="8" l="1"/>
  <c r="F38" i="8"/>
  <c r="C36" i="8"/>
  <c r="H37" i="8"/>
  <c r="G37" i="8"/>
  <c r="C37" i="8"/>
  <c r="H38" i="8"/>
  <c r="I36" i="8"/>
  <c r="G38" i="8"/>
  <c r="B38" i="8"/>
  <c r="I38" i="8"/>
  <c r="F36" i="8"/>
  <c r="C38" i="8"/>
  <c r="B36" i="8"/>
  <c r="F37" i="8"/>
  <c r="E36" i="8"/>
  <c r="B37" i="8"/>
  <c r="H36" i="8"/>
  <c r="I37" i="8"/>
  <c r="E38" i="8"/>
  <c r="Z1120" i="7"/>
  <c r="X1121" i="7"/>
  <c r="Y1112" i="7"/>
  <c r="Y1121" i="7"/>
  <c r="AA1113" i="7"/>
  <c r="AA1115" i="7"/>
  <c r="AA1117" i="7"/>
  <c r="AA1119" i="7"/>
  <c r="AA1121" i="7"/>
  <c r="Y1113" i="7"/>
  <c r="Y1115" i="7"/>
  <c r="Z1113" i="7"/>
  <c r="Z1115" i="7"/>
  <c r="Z1117" i="7"/>
  <c r="X1112" i="7"/>
  <c r="X1114" i="7"/>
  <c r="X1116" i="7"/>
  <c r="X1118" i="7"/>
  <c r="X1120" i="7"/>
  <c r="AA1112" i="7"/>
  <c r="AA1114" i="7"/>
  <c r="AA1116" i="7"/>
  <c r="AA1118" i="7"/>
  <c r="AA1120" i="7"/>
  <c r="X1113" i="7"/>
  <c r="X1115" i="7"/>
  <c r="X1117" i="7"/>
  <c r="X1119" i="7"/>
  <c r="Y1118" i="7"/>
  <c r="Y1114" i="7"/>
  <c r="Y1116" i="7"/>
  <c r="Y1117" i="7"/>
  <c r="Y1119" i="7"/>
  <c r="Y1120" i="7"/>
  <c r="Z1112" i="7"/>
  <c r="Z1114" i="7"/>
  <c r="Z1116" i="7"/>
  <c r="Z1118" i="7"/>
  <c r="Z1119" i="7"/>
  <c r="Z1121" i="7"/>
  <c r="W536" i="7"/>
  <c r="W547" i="7"/>
  <c r="E41" i="8" l="1"/>
  <c r="G41" i="8"/>
  <c r="C41" i="8"/>
  <c r="H41" i="8"/>
  <c r="F41" i="8"/>
  <c r="I41" i="8"/>
  <c r="B41" i="8"/>
  <c r="AC536" i="7"/>
  <c r="AD536" i="7" s="1"/>
  <c r="W510" i="7"/>
  <c r="D5" i="8" s="1"/>
  <c r="W521" i="7"/>
  <c r="D16" i="8" s="1"/>
  <c r="K16" i="8" l="1"/>
  <c r="D19" i="8"/>
  <c r="K5" i="8"/>
  <c r="K19" i="8" s="1"/>
  <c r="D21" i="8"/>
  <c r="AC510" i="7"/>
  <c r="AD510" i="7" s="1"/>
  <c r="AD547" i="7"/>
  <c r="AD546" i="7"/>
  <c r="AD545" i="7"/>
  <c r="AD544" i="7"/>
  <c r="AD538" i="7"/>
  <c r="AD542" i="7"/>
  <c r="AD543" i="7"/>
  <c r="AD541" i="7"/>
  <c r="AD537" i="7"/>
  <c r="AD539" i="7"/>
  <c r="AD540" i="7"/>
  <c r="AD548" i="7"/>
  <c r="L1097" i="7"/>
  <c r="P1097" i="7"/>
  <c r="Q1097" i="7"/>
  <c r="R1097" i="7"/>
  <c r="S1097" i="7"/>
  <c r="T1097" i="7"/>
  <c r="U1097" i="7"/>
  <c r="V1097" i="7"/>
  <c r="W1097" i="7"/>
  <c r="L1098" i="7"/>
  <c r="P1098" i="7"/>
  <c r="Q1098" i="7"/>
  <c r="R1098" i="7"/>
  <c r="S1098" i="7"/>
  <c r="T1098" i="7"/>
  <c r="U1098" i="7"/>
  <c r="V1098" i="7"/>
  <c r="W1098" i="7"/>
  <c r="L1099" i="7"/>
  <c r="P1099" i="7"/>
  <c r="Q1099" i="7"/>
  <c r="R1099" i="7"/>
  <c r="S1099" i="7"/>
  <c r="T1099" i="7"/>
  <c r="U1099" i="7"/>
  <c r="V1099" i="7"/>
  <c r="W1099" i="7"/>
  <c r="AA548" i="7"/>
  <c r="Z548" i="7"/>
  <c r="Y548" i="7"/>
  <c r="X548" i="7"/>
  <c r="AA547" i="7"/>
  <c r="Z547" i="7"/>
  <c r="Y547" i="7"/>
  <c r="X547" i="7"/>
  <c r="AA546" i="7"/>
  <c r="Z546" i="7"/>
  <c r="Y546" i="7"/>
  <c r="X546" i="7"/>
  <c r="AA545" i="7"/>
  <c r="Z545" i="7"/>
  <c r="Y545" i="7"/>
  <c r="X545" i="7"/>
  <c r="AA544" i="7"/>
  <c r="Z544" i="7"/>
  <c r="Y544" i="7"/>
  <c r="X544" i="7"/>
  <c r="AA543" i="7"/>
  <c r="Z543" i="7"/>
  <c r="Y543" i="7"/>
  <c r="X543" i="7"/>
  <c r="AA542" i="7"/>
  <c r="Z542" i="7"/>
  <c r="Y542" i="7"/>
  <c r="X542" i="7"/>
  <c r="AA541" i="7"/>
  <c r="Z541" i="7"/>
  <c r="Y541" i="7"/>
  <c r="X541" i="7"/>
  <c r="AA540" i="7"/>
  <c r="Z540" i="7"/>
  <c r="Y540" i="7"/>
  <c r="X540" i="7"/>
  <c r="AA539" i="7"/>
  <c r="Z539" i="7"/>
  <c r="Y539" i="7"/>
  <c r="X539" i="7"/>
  <c r="AA538" i="7"/>
  <c r="Z538" i="7"/>
  <c r="Y538" i="7"/>
  <c r="X538" i="7"/>
  <c r="AA537" i="7"/>
  <c r="Z537" i="7"/>
  <c r="Y537" i="7"/>
  <c r="X537" i="7"/>
  <c r="AA536" i="7"/>
  <c r="Z536" i="7"/>
  <c r="Y536" i="7"/>
  <c r="X536" i="7"/>
  <c r="AA535" i="7"/>
  <c r="Z535" i="7"/>
  <c r="Y535" i="7"/>
  <c r="X535" i="7"/>
  <c r="AA534" i="7"/>
  <c r="Z534" i="7"/>
  <c r="Y534" i="7"/>
  <c r="X534" i="7"/>
  <c r="AA533" i="7"/>
  <c r="Z533" i="7"/>
  <c r="Y533" i="7"/>
  <c r="X533" i="7"/>
  <c r="AA532" i="7"/>
  <c r="Z532" i="7"/>
  <c r="Y532" i="7"/>
  <c r="X532" i="7"/>
  <c r="AA531" i="7"/>
  <c r="Z531" i="7"/>
  <c r="Y531" i="7"/>
  <c r="X531" i="7"/>
  <c r="AA530" i="7"/>
  <c r="Z530" i="7"/>
  <c r="Y530" i="7"/>
  <c r="X530" i="7"/>
  <c r="AA529" i="7"/>
  <c r="Z529" i="7"/>
  <c r="Y529" i="7"/>
  <c r="X529" i="7"/>
  <c r="AA528" i="7"/>
  <c r="Z528" i="7"/>
  <c r="Y528" i="7"/>
  <c r="X528" i="7"/>
  <c r="AA527" i="7"/>
  <c r="Z527" i="7"/>
  <c r="Y527" i="7"/>
  <c r="X527" i="7"/>
  <c r="AA526" i="7"/>
  <c r="Z526" i="7"/>
  <c r="Y526" i="7"/>
  <c r="X526" i="7"/>
  <c r="AA525" i="7"/>
  <c r="Z525" i="7"/>
  <c r="Y525" i="7"/>
  <c r="X525" i="7"/>
  <c r="AA524" i="7"/>
  <c r="Z524" i="7"/>
  <c r="Y524" i="7"/>
  <c r="X524" i="7"/>
  <c r="AA523" i="7"/>
  <c r="Z523" i="7"/>
  <c r="Y523" i="7"/>
  <c r="X523" i="7"/>
  <c r="AA522" i="7"/>
  <c r="Z522" i="7"/>
  <c r="Y522" i="7"/>
  <c r="X522" i="7"/>
  <c r="AA521" i="7"/>
  <c r="Z521" i="7"/>
  <c r="Y521" i="7"/>
  <c r="X521" i="7"/>
  <c r="AA520" i="7"/>
  <c r="Z520" i="7"/>
  <c r="Y520" i="7"/>
  <c r="X520" i="7"/>
  <c r="AA519" i="7"/>
  <c r="Z519" i="7"/>
  <c r="Y519" i="7"/>
  <c r="X519" i="7"/>
  <c r="AA518" i="7"/>
  <c r="Z518" i="7"/>
  <c r="Y518" i="7"/>
  <c r="X518" i="7"/>
  <c r="AA517" i="7"/>
  <c r="Z517" i="7"/>
  <c r="Y517" i="7"/>
  <c r="X517" i="7"/>
  <c r="AA516" i="7"/>
  <c r="Z516" i="7"/>
  <c r="Y516" i="7"/>
  <c r="X516" i="7"/>
  <c r="AA515" i="7"/>
  <c r="Z515" i="7"/>
  <c r="Y515" i="7"/>
  <c r="X515" i="7"/>
  <c r="AA514" i="7"/>
  <c r="Z514" i="7"/>
  <c r="Y514" i="7"/>
  <c r="X514" i="7"/>
  <c r="AA513" i="7"/>
  <c r="Z513" i="7"/>
  <c r="Y513" i="7"/>
  <c r="X513" i="7"/>
  <c r="AA512" i="7"/>
  <c r="Z512" i="7"/>
  <c r="Y512" i="7"/>
  <c r="X512" i="7"/>
  <c r="AA511" i="7"/>
  <c r="Z511" i="7"/>
  <c r="Y511" i="7"/>
  <c r="X511" i="7"/>
  <c r="AA510" i="7"/>
  <c r="Z510" i="7"/>
  <c r="Y510" i="7"/>
  <c r="X510" i="7"/>
  <c r="AA1109" i="7"/>
  <c r="W1109" i="7"/>
  <c r="V1109" i="7"/>
  <c r="U1109" i="7"/>
  <c r="T1109" i="7"/>
  <c r="S1109" i="7"/>
  <c r="R1109" i="7"/>
  <c r="Q1109" i="7"/>
  <c r="P1109" i="7"/>
  <c r="L1109" i="7"/>
  <c r="AA1110" i="7"/>
  <c r="W1110" i="7"/>
  <c r="V1110" i="7"/>
  <c r="U1110" i="7"/>
  <c r="T1110" i="7"/>
  <c r="S1110" i="7"/>
  <c r="R1110" i="7"/>
  <c r="Q1110" i="7"/>
  <c r="P1110" i="7"/>
  <c r="L1110" i="7"/>
  <c r="Z691" i="7"/>
  <c r="Y691" i="7"/>
  <c r="X691" i="7"/>
  <c r="Z690" i="7"/>
  <c r="Y690" i="7"/>
  <c r="X690" i="7"/>
  <c r="Z689" i="7"/>
  <c r="Y689" i="7"/>
  <c r="X689" i="7"/>
  <c r="Z688" i="7"/>
  <c r="Y688" i="7"/>
  <c r="X688" i="7"/>
  <c r="Z687" i="7"/>
  <c r="Y687" i="7"/>
  <c r="X687" i="7"/>
  <c r="Z686" i="7"/>
  <c r="Y686" i="7"/>
  <c r="X686" i="7"/>
  <c r="Z685" i="7"/>
  <c r="Y685" i="7"/>
  <c r="X685" i="7"/>
  <c r="Z684" i="7"/>
  <c r="Y684" i="7"/>
  <c r="X684" i="7"/>
  <c r="Z683" i="7"/>
  <c r="Y683" i="7"/>
  <c r="X683" i="7"/>
  <c r="Z682" i="7"/>
  <c r="Y682" i="7"/>
  <c r="X682" i="7"/>
  <c r="Z681" i="7"/>
  <c r="Y681" i="7"/>
  <c r="X681" i="7"/>
  <c r="Z680" i="7"/>
  <c r="Y680" i="7"/>
  <c r="X680" i="7"/>
  <c r="Z679" i="7"/>
  <c r="Y679" i="7"/>
  <c r="X679" i="7"/>
  <c r="X693" i="7"/>
  <c r="Y693" i="7"/>
  <c r="Z693" i="7"/>
  <c r="X694" i="7"/>
  <c r="Y694" i="7"/>
  <c r="Z694" i="7"/>
  <c r="X695" i="7"/>
  <c r="Y695" i="7"/>
  <c r="Z695" i="7"/>
  <c r="X696" i="7"/>
  <c r="Y696" i="7"/>
  <c r="Z696" i="7"/>
  <c r="X697" i="7"/>
  <c r="Y697" i="7"/>
  <c r="Z697" i="7"/>
  <c r="X698" i="7"/>
  <c r="Y698" i="7"/>
  <c r="Z698" i="7"/>
  <c r="X699" i="7"/>
  <c r="Y699" i="7"/>
  <c r="Z699" i="7"/>
  <c r="X700" i="7"/>
  <c r="Y700" i="7"/>
  <c r="Z700" i="7"/>
  <c r="X701" i="7"/>
  <c r="Y701" i="7"/>
  <c r="Z701" i="7"/>
  <c r="X702" i="7"/>
  <c r="Y702" i="7"/>
  <c r="Z702" i="7"/>
  <c r="X703" i="7"/>
  <c r="Y703" i="7"/>
  <c r="Z703" i="7"/>
  <c r="X704" i="7"/>
  <c r="Y704" i="7"/>
  <c r="Z704" i="7"/>
  <c r="Z678" i="7"/>
  <c r="Y678" i="7"/>
  <c r="X678" i="7"/>
  <c r="Z677" i="7"/>
  <c r="Y677" i="7"/>
  <c r="X677" i="7"/>
  <c r="Z676" i="7"/>
  <c r="Y676" i="7"/>
  <c r="X676" i="7"/>
  <c r="Z675" i="7"/>
  <c r="Y675" i="7"/>
  <c r="X675" i="7"/>
  <c r="Z674" i="7"/>
  <c r="Y674" i="7"/>
  <c r="X674" i="7"/>
  <c r="Z673" i="7"/>
  <c r="Y673" i="7"/>
  <c r="X673" i="7"/>
  <c r="Z672" i="7"/>
  <c r="Y672" i="7"/>
  <c r="X672" i="7"/>
  <c r="Z671" i="7"/>
  <c r="Y671" i="7"/>
  <c r="X671" i="7"/>
  <c r="Z670" i="7"/>
  <c r="Y670" i="7"/>
  <c r="X670" i="7"/>
  <c r="Z669" i="7"/>
  <c r="Y669" i="7"/>
  <c r="X669" i="7"/>
  <c r="Z668" i="7"/>
  <c r="Y668" i="7"/>
  <c r="X668" i="7"/>
  <c r="Z667" i="7"/>
  <c r="Y667" i="7"/>
  <c r="X667" i="7"/>
  <c r="Z666" i="7"/>
  <c r="Y666" i="7"/>
  <c r="X666" i="7"/>
  <c r="AA1108" i="7"/>
  <c r="W1108" i="7"/>
  <c r="V1108" i="7"/>
  <c r="U1108" i="7"/>
  <c r="T1108" i="7"/>
  <c r="S1108" i="7"/>
  <c r="R1108" i="7"/>
  <c r="Q1108" i="7"/>
  <c r="P1108" i="7"/>
  <c r="L1108" i="7"/>
  <c r="Z665" i="7"/>
  <c r="Y665" i="7"/>
  <c r="X665" i="7"/>
  <c r="Z664" i="7"/>
  <c r="Y664" i="7"/>
  <c r="X664" i="7"/>
  <c r="Z663" i="7"/>
  <c r="Y663" i="7"/>
  <c r="X663" i="7"/>
  <c r="Z662" i="7"/>
  <c r="Y662" i="7"/>
  <c r="X662" i="7"/>
  <c r="Z661" i="7"/>
  <c r="Y661" i="7"/>
  <c r="X661" i="7"/>
  <c r="Z660" i="7"/>
  <c r="Y660" i="7"/>
  <c r="X660" i="7"/>
  <c r="Z659" i="7"/>
  <c r="Y659" i="7"/>
  <c r="X659" i="7"/>
  <c r="Z658" i="7"/>
  <c r="Y658" i="7"/>
  <c r="X658" i="7"/>
  <c r="Z657" i="7"/>
  <c r="Y657" i="7"/>
  <c r="X657" i="7"/>
  <c r="Z656" i="7"/>
  <c r="Y656" i="7"/>
  <c r="X656" i="7"/>
  <c r="Z655" i="7"/>
  <c r="Y655" i="7"/>
  <c r="X655" i="7"/>
  <c r="Z654" i="7"/>
  <c r="Y654" i="7"/>
  <c r="X654" i="7"/>
  <c r="Z653" i="7"/>
  <c r="Y653" i="7"/>
  <c r="X653" i="7"/>
  <c r="K21" i="8" l="1"/>
  <c r="K33" i="8"/>
  <c r="K40" i="8" s="1"/>
  <c r="K31" i="8"/>
  <c r="K23" i="8"/>
  <c r="K29" i="8"/>
  <c r="K26" i="8"/>
  <c r="K27" i="8"/>
  <c r="K22" i="8"/>
  <c r="K30" i="8"/>
  <c r="K28" i="8"/>
  <c r="K25" i="8"/>
  <c r="K24" i="8"/>
  <c r="D22" i="8"/>
  <c r="D33" i="8"/>
  <c r="D40" i="8" s="1"/>
  <c r="D30" i="8"/>
  <c r="D23" i="8"/>
  <c r="D24" i="8"/>
  <c r="D28" i="8"/>
  <c r="D26" i="8"/>
  <c r="D31" i="8"/>
  <c r="D27" i="8"/>
  <c r="D29" i="8"/>
  <c r="D25" i="8"/>
  <c r="D32" i="8"/>
  <c r="D39" i="8" s="1"/>
  <c r="K32" i="8"/>
  <c r="K39" i="8" s="1"/>
  <c r="AD519" i="7"/>
  <c r="AD518" i="7"/>
  <c r="AD514" i="7"/>
  <c r="AD513" i="7"/>
  <c r="AD520" i="7"/>
  <c r="AD512" i="7"/>
  <c r="AD517" i="7"/>
  <c r="AD516" i="7"/>
  <c r="AD515" i="7"/>
  <c r="AD522" i="7"/>
  <c r="AD511" i="7"/>
  <c r="AD521" i="7"/>
  <c r="AA1098" i="7"/>
  <c r="X1097" i="7"/>
  <c r="Y1097" i="7"/>
  <c r="Z1098" i="7"/>
  <c r="Z1099" i="7"/>
  <c r="X1099" i="7"/>
  <c r="Y1098" i="7"/>
  <c r="Z1097" i="7"/>
  <c r="AA1099" i="7"/>
  <c r="X1098" i="7"/>
  <c r="Y1099" i="7"/>
  <c r="AA1097" i="7"/>
  <c r="X1108" i="7"/>
  <c r="X1110" i="7"/>
  <c r="Z1110" i="7"/>
  <c r="Z1108" i="7"/>
  <c r="Y1109" i="7"/>
  <c r="Z1109" i="7"/>
  <c r="X1109" i="7"/>
  <c r="Y1108" i="7"/>
  <c r="Y1110" i="7"/>
  <c r="D36" i="8" l="1"/>
  <c r="K37" i="8"/>
  <c r="D38" i="8"/>
  <c r="K38" i="8"/>
  <c r="D37" i="8"/>
  <c r="K36" i="8"/>
  <c r="L1107" i="7"/>
  <c r="P1107" i="7"/>
  <c r="Q1107" i="7"/>
  <c r="R1107" i="7"/>
  <c r="S1107" i="7"/>
  <c r="T1107" i="7"/>
  <c r="U1107" i="7"/>
  <c r="V1107" i="7"/>
  <c r="W1107" i="7"/>
  <c r="AA1107" i="7"/>
  <c r="L1111" i="7"/>
  <c r="P1111" i="7"/>
  <c r="Q1111" i="7"/>
  <c r="R1111" i="7"/>
  <c r="S1111" i="7"/>
  <c r="T1111" i="7"/>
  <c r="U1111" i="7"/>
  <c r="V1111" i="7"/>
  <c r="W1111" i="7"/>
  <c r="AA1111" i="7"/>
  <c r="D41" i="8" l="1"/>
  <c r="K41" i="8"/>
  <c r="Z652" i="7"/>
  <c r="Y652" i="7"/>
  <c r="X652" i="7"/>
  <c r="Z651" i="7"/>
  <c r="Y651" i="7"/>
  <c r="X651" i="7"/>
  <c r="Z650" i="7"/>
  <c r="Y650" i="7"/>
  <c r="X650" i="7"/>
  <c r="Z649" i="7"/>
  <c r="Y649" i="7"/>
  <c r="X649" i="7"/>
  <c r="Z648" i="7"/>
  <c r="Y648" i="7"/>
  <c r="X648" i="7"/>
  <c r="Z647" i="7"/>
  <c r="Y647" i="7"/>
  <c r="X647" i="7"/>
  <c r="Z646" i="7"/>
  <c r="Y646" i="7"/>
  <c r="X646" i="7"/>
  <c r="Z645" i="7"/>
  <c r="Y645" i="7"/>
  <c r="X645" i="7"/>
  <c r="Z644" i="7"/>
  <c r="Y644" i="7"/>
  <c r="X644" i="7"/>
  <c r="Z643" i="7"/>
  <c r="Y643" i="7"/>
  <c r="X643" i="7"/>
  <c r="Z642" i="7"/>
  <c r="Y642" i="7"/>
  <c r="X642" i="7"/>
  <c r="Z641" i="7"/>
  <c r="Y641" i="7"/>
  <c r="X641" i="7"/>
  <c r="Z640" i="7"/>
  <c r="Z1107" i="7" s="1"/>
  <c r="Y640" i="7"/>
  <c r="Y1107" i="7" s="1"/>
  <c r="X640" i="7"/>
  <c r="X1107" i="7" l="1"/>
  <c r="X63" i="7"/>
  <c r="Y63" i="7"/>
  <c r="Z63" i="7"/>
  <c r="AA63" i="7"/>
  <c r="X64" i="7"/>
  <c r="Y64" i="7"/>
  <c r="Z64" i="7"/>
  <c r="AA64" i="7"/>
  <c r="X65" i="7"/>
  <c r="Y65" i="7"/>
  <c r="Z65" i="7"/>
  <c r="AA65" i="7"/>
  <c r="X66" i="7"/>
  <c r="Y66" i="7"/>
  <c r="Z66" i="7"/>
  <c r="AA66" i="7"/>
  <c r="X67" i="7"/>
  <c r="Y67" i="7"/>
  <c r="Z67" i="7"/>
  <c r="AA67" i="7"/>
  <c r="X68" i="7"/>
  <c r="Y68" i="7"/>
  <c r="Z68" i="7"/>
  <c r="AA68" i="7"/>
  <c r="X69" i="7"/>
  <c r="Y69" i="7"/>
  <c r="Z69" i="7"/>
  <c r="AA69" i="7"/>
  <c r="X70" i="7"/>
  <c r="Y70" i="7"/>
  <c r="Z70" i="7"/>
  <c r="AA70" i="7"/>
  <c r="X71" i="7"/>
  <c r="Y71" i="7"/>
  <c r="Z71" i="7"/>
  <c r="AA71" i="7"/>
  <c r="X72" i="7"/>
  <c r="Y72" i="7"/>
  <c r="Z72" i="7"/>
  <c r="AA72" i="7"/>
  <c r="X73" i="7"/>
  <c r="Y73" i="7"/>
  <c r="Z73" i="7"/>
  <c r="AA73" i="7"/>
  <c r="X74" i="7"/>
  <c r="Y74" i="7"/>
  <c r="Z74" i="7"/>
  <c r="AA74" i="7"/>
  <c r="X75" i="7"/>
  <c r="Y75" i="7"/>
  <c r="Z75" i="7"/>
  <c r="AA75" i="7"/>
  <c r="X76" i="7"/>
  <c r="Y76" i="7"/>
  <c r="Z76" i="7"/>
  <c r="AA76" i="7"/>
  <c r="X77" i="7"/>
  <c r="Y77" i="7"/>
  <c r="Z77" i="7"/>
  <c r="AA77" i="7"/>
  <c r="X78" i="7"/>
  <c r="Y78" i="7"/>
  <c r="Z78" i="7"/>
  <c r="AA78" i="7"/>
  <c r="X79" i="7"/>
  <c r="Y79" i="7"/>
  <c r="Z79" i="7"/>
  <c r="AA79" i="7"/>
  <c r="X80" i="7"/>
  <c r="Y80" i="7"/>
  <c r="Z80" i="7"/>
  <c r="AA80" i="7"/>
  <c r="X81" i="7"/>
  <c r="Y81" i="7"/>
  <c r="Z81" i="7"/>
  <c r="AA81" i="7"/>
  <c r="X82" i="7"/>
  <c r="Y82" i="7"/>
  <c r="Z82" i="7"/>
  <c r="AA82" i="7"/>
  <c r="X83" i="7"/>
  <c r="Y83" i="7"/>
  <c r="Z83" i="7"/>
  <c r="AA83" i="7"/>
  <c r="X84" i="7"/>
  <c r="Y84" i="7"/>
  <c r="Z84" i="7"/>
  <c r="AA84" i="7"/>
  <c r="X85" i="7"/>
  <c r="Y85" i="7"/>
  <c r="Z85" i="7"/>
  <c r="AA85" i="7"/>
  <c r="X86" i="7"/>
  <c r="Y86" i="7"/>
  <c r="Z86" i="7"/>
  <c r="AA86" i="7"/>
  <c r="X87" i="7"/>
  <c r="Y87" i="7"/>
  <c r="Z87" i="7"/>
  <c r="AA87" i="7"/>
  <c r="X88" i="7"/>
  <c r="Y88" i="7"/>
  <c r="Z88" i="7"/>
  <c r="AA88" i="7"/>
  <c r="X89" i="7"/>
  <c r="Y89" i="7"/>
  <c r="Z89" i="7"/>
  <c r="AA89" i="7"/>
  <c r="X90" i="7"/>
  <c r="Y90" i="7"/>
  <c r="Z90" i="7"/>
  <c r="AA90" i="7"/>
  <c r="X91" i="7"/>
  <c r="Y91" i="7"/>
  <c r="Z91" i="7"/>
  <c r="AA91" i="7"/>
  <c r="X92" i="7"/>
  <c r="Y92" i="7"/>
  <c r="Z92" i="7"/>
  <c r="AA92" i="7"/>
  <c r="X93" i="7"/>
  <c r="Y93" i="7"/>
  <c r="Z93" i="7"/>
  <c r="AA93" i="7"/>
  <c r="X94" i="7"/>
  <c r="Y94" i="7"/>
  <c r="Z94" i="7"/>
  <c r="AA94" i="7"/>
  <c r="X95" i="7"/>
  <c r="Y95" i="7"/>
  <c r="Z95" i="7"/>
  <c r="AA95" i="7"/>
  <c r="X96" i="7"/>
  <c r="Y96" i="7"/>
  <c r="Z96" i="7"/>
  <c r="AA96" i="7"/>
  <c r="X97" i="7"/>
  <c r="Y97" i="7"/>
  <c r="Z97" i="7"/>
  <c r="AA97" i="7"/>
  <c r="X98" i="7"/>
  <c r="Y98" i="7"/>
  <c r="Z98" i="7"/>
  <c r="AA98" i="7"/>
  <c r="X99" i="7"/>
  <c r="Y99" i="7"/>
  <c r="Z99" i="7"/>
  <c r="AA99" i="7"/>
  <c r="X100" i="7"/>
  <c r="Y100" i="7"/>
  <c r="Z100" i="7"/>
  <c r="AA100" i="7"/>
  <c r="X101" i="7"/>
  <c r="Y101" i="7"/>
  <c r="Z101" i="7"/>
  <c r="AA101" i="7"/>
  <c r="X102" i="7"/>
  <c r="Y102" i="7"/>
  <c r="Z102" i="7"/>
  <c r="AA102" i="7"/>
  <c r="X103" i="7"/>
  <c r="Y103" i="7"/>
  <c r="Z103" i="7"/>
  <c r="AA103" i="7"/>
  <c r="X104" i="7"/>
  <c r="Y104" i="7"/>
  <c r="Z104" i="7"/>
  <c r="AA104" i="7"/>
  <c r="X105" i="7"/>
  <c r="Y105" i="7"/>
  <c r="Z105" i="7"/>
  <c r="AA105" i="7"/>
  <c r="X106" i="7"/>
  <c r="Y106" i="7"/>
  <c r="Z106" i="7"/>
  <c r="AA106" i="7"/>
  <c r="X107" i="7"/>
  <c r="Y107" i="7"/>
  <c r="Z107" i="7"/>
  <c r="AA107" i="7"/>
  <c r="X108" i="7"/>
  <c r="Y108" i="7"/>
  <c r="Z108" i="7"/>
  <c r="AA108" i="7"/>
  <c r="X109" i="7"/>
  <c r="Y109" i="7"/>
  <c r="Z109" i="7"/>
  <c r="AA109" i="7"/>
  <c r="X110" i="7"/>
  <c r="Y110" i="7"/>
  <c r="Z110" i="7"/>
  <c r="AA110" i="7"/>
  <c r="X111" i="7"/>
  <c r="Y111" i="7"/>
  <c r="Z111" i="7"/>
  <c r="AA111" i="7"/>
  <c r="X112" i="7"/>
  <c r="Y112" i="7"/>
  <c r="Z112" i="7"/>
  <c r="AA112" i="7"/>
  <c r="X113" i="7"/>
  <c r="Y113" i="7"/>
  <c r="Z113" i="7"/>
  <c r="AA113" i="7"/>
  <c r="X114" i="7"/>
  <c r="Y114" i="7"/>
  <c r="Z114" i="7"/>
  <c r="AA114" i="7"/>
  <c r="X115" i="7"/>
  <c r="Y115" i="7"/>
  <c r="Z115" i="7"/>
  <c r="AA115" i="7"/>
  <c r="X116" i="7"/>
  <c r="Y116" i="7"/>
  <c r="Z116" i="7"/>
  <c r="AA116" i="7"/>
  <c r="X117" i="7"/>
  <c r="Y117" i="7"/>
  <c r="Z117" i="7"/>
  <c r="AA117" i="7"/>
  <c r="X118" i="7"/>
  <c r="Y118" i="7"/>
  <c r="Z118" i="7"/>
  <c r="AA118" i="7"/>
  <c r="X119" i="7"/>
  <c r="Y119" i="7"/>
  <c r="Z119" i="7"/>
  <c r="AA119" i="7"/>
  <c r="X120" i="7"/>
  <c r="Y120" i="7"/>
  <c r="Z120" i="7"/>
  <c r="AA120" i="7"/>
  <c r="X121" i="7"/>
  <c r="Y121" i="7"/>
  <c r="Z121" i="7"/>
  <c r="AA121" i="7"/>
  <c r="X122" i="7"/>
  <c r="Y122" i="7"/>
  <c r="Z122" i="7"/>
  <c r="AA122" i="7"/>
  <c r="X123" i="7"/>
  <c r="Y123" i="7"/>
  <c r="Z123" i="7"/>
  <c r="AA123" i="7"/>
  <c r="X124" i="7"/>
  <c r="Y124" i="7"/>
  <c r="Z124" i="7"/>
  <c r="AA124" i="7"/>
  <c r="X125" i="7"/>
  <c r="Y125" i="7"/>
  <c r="Z125" i="7"/>
  <c r="AA125" i="7"/>
  <c r="X126" i="7"/>
  <c r="Y126" i="7"/>
  <c r="Z126" i="7"/>
  <c r="AA126" i="7"/>
  <c r="X127" i="7"/>
  <c r="Y127" i="7"/>
  <c r="Z127" i="7"/>
  <c r="AA127" i="7"/>
  <c r="X128" i="7"/>
  <c r="Y128" i="7"/>
  <c r="Z128" i="7"/>
  <c r="AA128" i="7"/>
  <c r="X129" i="7"/>
  <c r="Y129" i="7"/>
  <c r="Z129" i="7"/>
  <c r="AA129" i="7"/>
  <c r="X130" i="7"/>
  <c r="Y130" i="7"/>
  <c r="Z130" i="7"/>
  <c r="AA130" i="7"/>
  <c r="X131" i="7"/>
  <c r="Y131" i="7"/>
  <c r="Z131" i="7"/>
  <c r="AA131" i="7"/>
  <c r="X132" i="7"/>
  <c r="Y132" i="7"/>
  <c r="Z132" i="7"/>
  <c r="AA132" i="7"/>
  <c r="X133" i="7"/>
  <c r="Y133" i="7"/>
  <c r="Z133" i="7"/>
  <c r="AA133" i="7"/>
  <c r="X134" i="7"/>
  <c r="Y134" i="7"/>
  <c r="Z134" i="7"/>
  <c r="AA134" i="7"/>
  <c r="X135" i="7"/>
  <c r="Y135" i="7"/>
  <c r="Z135" i="7"/>
  <c r="AA135" i="7"/>
  <c r="X136" i="7"/>
  <c r="Y136" i="7"/>
  <c r="Z136" i="7"/>
  <c r="AA136" i="7"/>
  <c r="X137" i="7"/>
  <c r="Y137" i="7"/>
  <c r="Z137" i="7"/>
  <c r="AA137" i="7"/>
  <c r="X138" i="7"/>
  <c r="Y138" i="7"/>
  <c r="Z138" i="7"/>
  <c r="AA138" i="7"/>
  <c r="X139" i="7"/>
  <c r="Y139" i="7"/>
  <c r="Z139" i="7"/>
  <c r="AA139" i="7"/>
  <c r="X140" i="7"/>
  <c r="Y140" i="7"/>
  <c r="Z140" i="7"/>
  <c r="AA140" i="7"/>
  <c r="X141" i="7"/>
  <c r="Y141" i="7"/>
  <c r="Z141" i="7"/>
  <c r="AA141" i="7"/>
  <c r="X142" i="7"/>
  <c r="Y142" i="7"/>
  <c r="Z142" i="7"/>
  <c r="AA142" i="7"/>
  <c r="X143" i="7"/>
  <c r="Y143" i="7"/>
  <c r="Z143" i="7"/>
  <c r="AA143" i="7"/>
  <c r="X144" i="7"/>
  <c r="Y144" i="7"/>
  <c r="Z144" i="7"/>
  <c r="AA144" i="7"/>
  <c r="X145" i="7"/>
  <c r="Y145" i="7"/>
  <c r="Z145" i="7"/>
  <c r="AA145" i="7"/>
  <c r="X146" i="7"/>
  <c r="Y146" i="7"/>
  <c r="Z146" i="7"/>
  <c r="AA146" i="7"/>
  <c r="X147" i="7"/>
  <c r="Y147" i="7"/>
  <c r="Z147" i="7"/>
  <c r="AA147" i="7"/>
  <c r="X148" i="7"/>
  <c r="Y148" i="7"/>
  <c r="Z148" i="7"/>
  <c r="AA148" i="7"/>
  <c r="X149" i="7"/>
  <c r="Y149" i="7"/>
  <c r="Z149" i="7"/>
  <c r="AA149" i="7"/>
  <c r="X150" i="7"/>
  <c r="Y150" i="7"/>
  <c r="Z150" i="7"/>
  <c r="AA150" i="7"/>
  <c r="X151" i="7"/>
  <c r="Y151" i="7"/>
  <c r="Z151" i="7"/>
  <c r="AA151" i="7"/>
  <c r="X152" i="7"/>
  <c r="Y152" i="7"/>
  <c r="Z152" i="7"/>
  <c r="AA152" i="7"/>
  <c r="X153" i="7"/>
  <c r="Y153" i="7"/>
  <c r="Z153" i="7"/>
  <c r="AA153" i="7"/>
  <c r="X154" i="7"/>
  <c r="Y154" i="7"/>
  <c r="Z154" i="7"/>
  <c r="AA154" i="7"/>
  <c r="X155" i="7"/>
  <c r="Y155" i="7"/>
  <c r="Z155" i="7"/>
  <c r="AA155" i="7"/>
  <c r="X156" i="7"/>
  <c r="Y156" i="7"/>
  <c r="Z156" i="7"/>
  <c r="AA156" i="7"/>
  <c r="X157" i="7"/>
  <c r="Y157" i="7"/>
  <c r="Z157" i="7"/>
  <c r="AA157" i="7"/>
  <c r="X158" i="7"/>
  <c r="Y158" i="7"/>
  <c r="Z158" i="7"/>
  <c r="AA158" i="7"/>
  <c r="X159" i="7"/>
  <c r="Y159" i="7"/>
  <c r="Z159" i="7"/>
  <c r="AA159" i="7"/>
  <c r="X160" i="7"/>
  <c r="Y160" i="7"/>
  <c r="Z160" i="7"/>
  <c r="AA160" i="7"/>
  <c r="X161" i="7"/>
  <c r="Y161" i="7"/>
  <c r="Z161" i="7"/>
  <c r="AA161" i="7"/>
  <c r="X162" i="7"/>
  <c r="Y162" i="7"/>
  <c r="Z162" i="7"/>
  <c r="AA162" i="7"/>
  <c r="X163" i="7"/>
  <c r="Y163" i="7"/>
  <c r="Z163" i="7"/>
  <c r="AA163" i="7"/>
  <c r="X164" i="7"/>
  <c r="Y164" i="7"/>
  <c r="Z164" i="7"/>
  <c r="AA164" i="7"/>
  <c r="X165" i="7"/>
  <c r="Y165" i="7"/>
  <c r="Z165" i="7"/>
  <c r="AA165" i="7"/>
  <c r="X166" i="7"/>
  <c r="Y166" i="7"/>
  <c r="Z166" i="7"/>
  <c r="AA166" i="7"/>
  <c r="X167" i="7"/>
  <c r="Y167" i="7"/>
  <c r="Z167" i="7"/>
  <c r="AA167" i="7"/>
  <c r="X168" i="7"/>
  <c r="Y168" i="7"/>
  <c r="Z168" i="7"/>
  <c r="AA168" i="7"/>
  <c r="X169" i="7"/>
  <c r="Y169" i="7"/>
  <c r="Z169" i="7"/>
  <c r="AA169" i="7"/>
  <c r="X170" i="7"/>
  <c r="Y170" i="7"/>
  <c r="Z170" i="7"/>
  <c r="AA170" i="7"/>
  <c r="X171" i="7"/>
  <c r="Y171" i="7"/>
  <c r="Z171" i="7"/>
  <c r="AA171" i="7"/>
  <c r="X172" i="7"/>
  <c r="Y172" i="7"/>
  <c r="Z172" i="7"/>
  <c r="AA172" i="7"/>
  <c r="X173" i="7"/>
  <c r="Y173" i="7"/>
  <c r="Z173" i="7"/>
  <c r="AA173" i="7"/>
  <c r="X174" i="7"/>
  <c r="Y174" i="7"/>
  <c r="Z174" i="7"/>
  <c r="AA174" i="7"/>
  <c r="X175" i="7"/>
  <c r="Y175" i="7"/>
  <c r="Z175" i="7"/>
  <c r="AA175" i="7"/>
  <c r="X176" i="7"/>
  <c r="Y176" i="7"/>
  <c r="Z176" i="7"/>
  <c r="AA176" i="7"/>
  <c r="X177" i="7"/>
  <c r="Y177" i="7"/>
  <c r="Z177" i="7"/>
  <c r="AA177" i="7"/>
  <c r="X178" i="7"/>
  <c r="Y178" i="7"/>
  <c r="Z178" i="7"/>
  <c r="AA178" i="7"/>
  <c r="X179" i="7"/>
  <c r="Y179" i="7"/>
  <c r="Z179" i="7"/>
  <c r="AA179" i="7"/>
  <c r="X180" i="7"/>
  <c r="Y180" i="7"/>
  <c r="Z180" i="7"/>
  <c r="AA180" i="7"/>
  <c r="X181" i="7"/>
  <c r="Y181" i="7"/>
  <c r="Z181" i="7"/>
  <c r="AA181" i="7"/>
  <c r="X182" i="7"/>
  <c r="Y182" i="7"/>
  <c r="Z182" i="7"/>
  <c r="AA182" i="7"/>
  <c r="X183" i="7"/>
  <c r="Y183" i="7"/>
  <c r="Z183" i="7"/>
  <c r="AA183" i="7"/>
  <c r="X184" i="7"/>
  <c r="Y184" i="7"/>
  <c r="Z184" i="7"/>
  <c r="AA184" i="7"/>
  <c r="X185" i="7"/>
  <c r="Y185" i="7"/>
  <c r="Z185" i="7"/>
  <c r="AA185" i="7"/>
  <c r="X186" i="7"/>
  <c r="Y186" i="7"/>
  <c r="Z186" i="7"/>
  <c r="AA186" i="7"/>
  <c r="X187" i="7"/>
  <c r="Y187" i="7"/>
  <c r="Z187" i="7"/>
  <c r="AA187" i="7"/>
  <c r="X188" i="7"/>
  <c r="Y188" i="7"/>
  <c r="Z188" i="7"/>
  <c r="AA188" i="7"/>
  <c r="X189" i="7"/>
  <c r="Y189" i="7"/>
  <c r="Z189" i="7"/>
  <c r="AA189" i="7"/>
  <c r="X190" i="7"/>
  <c r="Y190" i="7"/>
  <c r="Z190" i="7"/>
  <c r="AA190" i="7"/>
  <c r="X191" i="7"/>
  <c r="Y191" i="7"/>
  <c r="Z191" i="7"/>
  <c r="AA191" i="7"/>
  <c r="X192" i="7"/>
  <c r="Y192" i="7"/>
  <c r="Z192" i="7"/>
  <c r="AA192" i="7"/>
  <c r="X193" i="7"/>
  <c r="Y193" i="7"/>
  <c r="Z193" i="7"/>
  <c r="AA193" i="7"/>
  <c r="X194" i="7"/>
  <c r="Y194" i="7"/>
  <c r="Z194" i="7"/>
  <c r="AA194" i="7"/>
  <c r="X195" i="7"/>
  <c r="Y195" i="7"/>
  <c r="Z195" i="7"/>
  <c r="AA195" i="7"/>
  <c r="X196" i="7"/>
  <c r="Y196" i="7"/>
  <c r="Z196" i="7"/>
  <c r="AA196" i="7"/>
  <c r="X197" i="7"/>
  <c r="Y197" i="7"/>
  <c r="Z197" i="7"/>
  <c r="AA197" i="7"/>
  <c r="X224" i="7"/>
  <c r="Y224" i="7"/>
  <c r="Z224" i="7"/>
  <c r="AA224" i="7"/>
  <c r="X225" i="7"/>
  <c r="Y225" i="7"/>
  <c r="Z225" i="7"/>
  <c r="AA225" i="7"/>
  <c r="X226" i="7"/>
  <c r="Y226" i="7"/>
  <c r="Z226" i="7"/>
  <c r="AA226" i="7"/>
  <c r="X227" i="7"/>
  <c r="Y227" i="7"/>
  <c r="Z227" i="7"/>
  <c r="AA227" i="7"/>
  <c r="X228" i="7"/>
  <c r="Y228" i="7"/>
  <c r="Z228" i="7"/>
  <c r="AA228" i="7"/>
  <c r="X229" i="7"/>
  <c r="Y229" i="7"/>
  <c r="Z229" i="7"/>
  <c r="AA229" i="7"/>
  <c r="X230" i="7"/>
  <c r="Y230" i="7"/>
  <c r="Z230" i="7"/>
  <c r="AA230" i="7"/>
  <c r="X231" i="7"/>
  <c r="Y231" i="7"/>
  <c r="Z231" i="7"/>
  <c r="AA231" i="7"/>
  <c r="X232" i="7"/>
  <c r="Y232" i="7"/>
  <c r="Z232" i="7"/>
  <c r="AA232" i="7"/>
  <c r="X233" i="7"/>
  <c r="Y233" i="7"/>
  <c r="Z233" i="7"/>
  <c r="AA233" i="7"/>
  <c r="X234" i="7"/>
  <c r="Y234" i="7"/>
  <c r="Z234" i="7"/>
  <c r="AA234" i="7"/>
  <c r="X235" i="7"/>
  <c r="Y235" i="7"/>
  <c r="Z235" i="7"/>
  <c r="AA235" i="7"/>
  <c r="X236" i="7"/>
  <c r="Y236" i="7"/>
  <c r="Z236" i="7"/>
  <c r="AA236" i="7"/>
  <c r="X211" i="7"/>
  <c r="Y211" i="7"/>
  <c r="Z211" i="7"/>
  <c r="AA211" i="7"/>
  <c r="X212" i="7"/>
  <c r="Y212" i="7"/>
  <c r="Z212" i="7"/>
  <c r="AA212" i="7"/>
  <c r="X213" i="7"/>
  <c r="Y213" i="7"/>
  <c r="Z213" i="7"/>
  <c r="AA213" i="7"/>
  <c r="X214" i="7"/>
  <c r="Y214" i="7"/>
  <c r="Z214" i="7"/>
  <c r="AA214" i="7"/>
  <c r="X215" i="7"/>
  <c r="Y215" i="7"/>
  <c r="Z215" i="7"/>
  <c r="AA215" i="7"/>
  <c r="X216" i="7"/>
  <c r="Y216" i="7"/>
  <c r="Z216" i="7"/>
  <c r="AA216" i="7"/>
  <c r="X217" i="7"/>
  <c r="Y217" i="7"/>
  <c r="Z217" i="7"/>
  <c r="AA217" i="7"/>
  <c r="X218" i="7"/>
  <c r="Y218" i="7"/>
  <c r="Z218" i="7"/>
  <c r="AA218" i="7"/>
  <c r="X219" i="7"/>
  <c r="Y219" i="7"/>
  <c r="Z219" i="7"/>
  <c r="AA219" i="7"/>
  <c r="X220" i="7"/>
  <c r="Y220" i="7"/>
  <c r="Z220" i="7"/>
  <c r="AA220" i="7"/>
  <c r="X221" i="7"/>
  <c r="Y221" i="7"/>
  <c r="Z221" i="7"/>
  <c r="AA221" i="7"/>
  <c r="X222" i="7"/>
  <c r="Y222" i="7"/>
  <c r="Z222" i="7"/>
  <c r="AA222" i="7"/>
  <c r="X223" i="7"/>
  <c r="Y223" i="7"/>
  <c r="Z223" i="7"/>
  <c r="AA223" i="7"/>
  <c r="X198" i="7"/>
  <c r="Y198" i="7"/>
  <c r="Z198" i="7"/>
  <c r="AA198" i="7"/>
  <c r="X199" i="7"/>
  <c r="Y199" i="7"/>
  <c r="Z199" i="7"/>
  <c r="AA199" i="7"/>
  <c r="X200" i="7"/>
  <c r="Y200" i="7"/>
  <c r="Z200" i="7"/>
  <c r="AA200" i="7"/>
  <c r="X201" i="7"/>
  <c r="Y201" i="7"/>
  <c r="Z201" i="7"/>
  <c r="AA201" i="7"/>
  <c r="X202" i="7"/>
  <c r="Y202" i="7"/>
  <c r="Z202" i="7"/>
  <c r="AA202" i="7"/>
  <c r="X203" i="7"/>
  <c r="Y203" i="7"/>
  <c r="Z203" i="7"/>
  <c r="AA203" i="7"/>
  <c r="X204" i="7"/>
  <c r="Y204" i="7"/>
  <c r="Z204" i="7"/>
  <c r="AA204" i="7"/>
  <c r="X205" i="7"/>
  <c r="Y205" i="7"/>
  <c r="Z205" i="7"/>
  <c r="AA205" i="7"/>
  <c r="X206" i="7"/>
  <c r="Y206" i="7"/>
  <c r="Z206" i="7"/>
  <c r="AA206" i="7"/>
  <c r="X207" i="7"/>
  <c r="Y207" i="7"/>
  <c r="Z207" i="7"/>
  <c r="AA207" i="7"/>
  <c r="X208" i="7"/>
  <c r="Y208" i="7"/>
  <c r="Z208" i="7"/>
  <c r="AA208" i="7"/>
  <c r="X209" i="7"/>
  <c r="Y209" i="7"/>
  <c r="Z209" i="7"/>
  <c r="AA209" i="7"/>
  <c r="X210" i="7"/>
  <c r="Y210" i="7"/>
  <c r="Z210" i="7"/>
  <c r="AA210" i="7"/>
  <c r="X237" i="7"/>
  <c r="Y237" i="7"/>
  <c r="Z237" i="7"/>
  <c r="AA237" i="7"/>
  <c r="X238" i="7"/>
  <c r="Y238" i="7"/>
  <c r="Z238" i="7"/>
  <c r="AA238" i="7"/>
  <c r="X239" i="7"/>
  <c r="Y239" i="7"/>
  <c r="Z239" i="7"/>
  <c r="AA239" i="7"/>
  <c r="X240" i="7"/>
  <c r="Y240" i="7"/>
  <c r="Z240" i="7"/>
  <c r="AA240" i="7"/>
  <c r="X241" i="7"/>
  <c r="Y241" i="7"/>
  <c r="Z241" i="7"/>
  <c r="AA241" i="7"/>
  <c r="X242" i="7"/>
  <c r="Y242" i="7"/>
  <c r="Z242" i="7"/>
  <c r="AA242" i="7"/>
  <c r="X243" i="7"/>
  <c r="Y243" i="7"/>
  <c r="Z243" i="7"/>
  <c r="AA243" i="7"/>
  <c r="X244" i="7"/>
  <c r="Y244" i="7"/>
  <c r="Z244" i="7"/>
  <c r="AA244" i="7"/>
  <c r="X245" i="7"/>
  <c r="Y245" i="7"/>
  <c r="Z245" i="7"/>
  <c r="AA245" i="7"/>
  <c r="X246" i="7"/>
  <c r="Y246" i="7"/>
  <c r="Z246" i="7"/>
  <c r="AA246" i="7"/>
  <c r="X247" i="7"/>
  <c r="Y247" i="7"/>
  <c r="Z247" i="7"/>
  <c r="AA247" i="7"/>
  <c r="X248" i="7"/>
  <c r="Y248" i="7"/>
  <c r="Z248" i="7"/>
  <c r="AA248" i="7"/>
  <c r="X249" i="7"/>
  <c r="Y249" i="7"/>
  <c r="Z249" i="7"/>
  <c r="AA249" i="7"/>
  <c r="X250" i="7"/>
  <c r="Y250" i="7"/>
  <c r="Z250" i="7"/>
  <c r="AA250" i="7"/>
  <c r="X251" i="7"/>
  <c r="Y251" i="7"/>
  <c r="Z251" i="7"/>
  <c r="AA251" i="7"/>
  <c r="X252" i="7"/>
  <c r="Y252" i="7"/>
  <c r="Z252" i="7"/>
  <c r="AA252" i="7"/>
  <c r="X253" i="7"/>
  <c r="Y253" i="7"/>
  <c r="Z253" i="7"/>
  <c r="AA253" i="7"/>
  <c r="X254" i="7"/>
  <c r="Y254" i="7"/>
  <c r="Z254" i="7"/>
  <c r="AA254" i="7"/>
  <c r="X255" i="7"/>
  <c r="Y255" i="7"/>
  <c r="Z255" i="7"/>
  <c r="AA255" i="7"/>
  <c r="X256" i="7"/>
  <c r="Y256" i="7"/>
  <c r="Z256" i="7"/>
  <c r="AA256" i="7"/>
  <c r="X257" i="7"/>
  <c r="Y257" i="7"/>
  <c r="Z257" i="7"/>
  <c r="AA257" i="7"/>
  <c r="X258" i="7"/>
  <c r="Y258" i="7"/>
  <c r="Z258" i="7"/>
  <c r="AA258" i="7"/>
  <c r="X259" i="7"/>
  <c r="Y259" i="7"/>
  <c r="Z259" i="7"/>
  <c r="AA259" i="7"/>
  <c r="X260" i="7"/>
  <c r="Y260" i="7"/>
  <c r="Z260" i="7"/>
  <c r="AA260" i="7"/>
  <c r="X261" i="7"/>
  <c r="Y261" i="7"/>
  <c r="Z261" i="7"/>
  <c r="AA261" i="7"/>
  <c r="X262" i="7"/>
  <c r="Y262" i="7"/>
  <c r="Z262" i="7"/>
  <c r="AA262" i="7"/>
  <c r="X263" i="7"/>
  <c r="Y263" i="7"/>
  <c r="Z263" i="7"/>
  <c r="AA263" i="7"/>
  <c r="X264" i="7"/>
  <c r="Y264" i="7"/>
  <c r="Z264" i="7"/>
  <c r="AA264" i="7"/>
  <c r="X265" i="7"/>
  <c r="Y265" i="7"/>
  <c r="Z265" i="7"/>
  <c r="AA265" i="7"/>
  <c r="X266" i="7"/>
  <c r="Y266" i="7"/>
  <c r="Z266" i="7"/>
  <c r="AA266" i="7"/>
  <c r="X267" i="7"/>
  <c r="Y267" i="7"/>
  <c r="Z267" i="7"/>
  <c r="AA267" i="7"/>
  <c r="X268" i="7"/>
  <c r="Y268" i="7"/>
  <c r="Z268" i="7"/>
  <c r="AA268" i="7"/>
  <c r="X269" i="7"/>
  <c r="Y269" i="7"/>
  <c r="Z269" i="7"/>
  <c r="AA269" i="7"/>
  <c r="X270" i="7"/>
  <c r="Y270" i="7"/>
  <c r="Z270" i="7"/>
  <c r="AA270" i="7"/>
  <c r="X271" i="7"/>
  <c r="Y271" i="7"/>
  <c r="Z271" i="7"/>
  <c r="AA271" i="7"/>
  <c r="X272" i="7"/>
  <c r="Y272" i="7"/>
  <c r="Z272" i="7"/>
  <c r="AA272" i="7"/>
  <c r="X273" i="7"/>
  <c r="Y273" i="7"/>
  <c r="Z273" i="7"/>
  <c r="AA273" i="7"/>
  <c r="X274" i="7"/>
  <c r="Y274" i="7"/>
  <c r="Z274" i="7"/>
  <c r="AA274" i="7"/>
  <c r="X275" i="7"/>
  <c r="Y275" i="7"/>
  <c r="Z275" i="7"/>
  <c r="AA275" i="7"/>
  <c r="X276" i="7"/>
  <c r="Y276" i="7"/>
  <c r="Z276" i="7"/>
  <c r="AA276" i="7"/>
  <c r="X277" i="7"/>
  <c r="Y277" i="7"/>
  <c r="Z277" i="7"/>
  <c r="AA277" i="7"/>
  <c r="X278" i="7"/>
  <c r="Y278" i="7"/>
  <c r="Z278" i="7"/>
  <c r="AA278" i="7"/>
  <c r="X279" i="7"/>
  <c r="Y279" i="7"/>
  <c r="Z279" i="7"/>
  <c r="AA279" i="7"/>
  <c r="X280" i="7"/>
  <c r="Y280" i="7"/>
  <c r="Z280" i="7"/>
  <c r="AA280" i="7"/>
  <c r="X281" i="7"/>
  <c r="Y281" i="7"/>
  <c r="Z281" i="7"/>
  <c r="AA281" i="7"/>
  <c r="X282" i="7"/>
  <c r="Y282" i="7"/>
  <c r="Z282" i="7"/>
  <c r="AA282" i="7"/>
  <c r="X283" i="7"/>
  <c r="Y283" i="7"/>
  <c r="Z283" i="7"/>
  <c r="AA283" i="7"/>
  <c r="X284" i="7"/>
  <c r="Y284" i="7"/>
  <c r="Z284" i="7"/>
  <c r="AA284" i="7"/>
  <c r="X285" i="7"/>
  <c r="Y285" i="7"/>
  <c r="Z285" i="7"/>
  <c r="AA285" i="7"/>
  <c r="X286" i="7"/>
  <c r="Y286" i="7"/>
  <c r="Z286" i="7"/>
  <c r="AA286" i="7"/>
  <c r="X287" i="7"/>
  <c r="Y287" i="7"/>
  <c r="Z287" i="7"/>
  <c r="AA287" i="7"/>
  <c r="X288" i="7"/>
  <c r="Y288" i="7"/>
  <c r="Z288" i="7"/>
  <c r="AA288" i="7"/>
  <c r="X289" i="7"/>
  <c r="Y289" i="7"/>
  <c r="Z289" i="7"/>
  <c r="AA289" i="7"/>
  <c r="X290" i="7"/>
  <c r="Y290" i="7"/>
  <c r="Z290" i="7"/>
  <c r="AA290" i="7"/>
  <c r="X291" i="7"/>
  <c r="Y291" i="7"/>
  <c r="Z291" i="7"/>
  <c r="AA291" i="7"/>
  <c r="X292" i="7"/>
  <c r="Y292" i="7"/>
  <c r="Z292" i="7"/>
  <c r="AA292" i="7"/>
  <c r="X293" i="7"/>
  <c r="Y293" i="7"/>
  <c r="Z293" i="7"/>
  <c r="AA293" i="7"/>
  <c r="X294" i="7"/>
  <c r="Y294" i="7"/>
  <c r="Z294" i="7"/>
  <c r="AA294" i="7"/>
  <c r="X295" i="7"/>
  <c r="Y295" i="7"/>
  <c r="Z295" i="7"/>
  <c r="AA295" i="7"/>
  <c r="X296" i="7"/>
  <c r="Y296" i="7"/>
  <c r="Z296" i="7"/>
  <c r="AA296" i="7"/>
  <c r="X297" i="7"/>
  <c r="Y297" i="7"/>
  <c r="Z297" i="7"/>
  <c r="AA297" i="7"/>
  <c r="X298" i="7"/>
  <c r="Y298" i="7"/>
  <c r="Z298" i="7"/>
  <c r="AA298" i="7"/>
  <c r="X299" i="7"/>
  <c r="Y299" i="7"/>
  <c r="Z299" i="7"/>
  <c r="AA299" i="7"/>
  <c r="X300" i="7"/>
  <c r="Y300" i="7"/>
  <c r="Z300" i="7"/>
  <c r="AA300" i="7"/>
  <c r="X301" i="7"/>
  <c r="Y301" i="7"/>
  <c r="Z301" i="7"/>
  <c r="AA301" i="7"/>
  <c r="X302" i="7"/>
  <c r="Y302" i="7"/>
  <c r="Z302" i="7"/>
  <c r="AA302" i="7"/>
  <c r="X303" i="7"/>
  <c r="Y303" i="7"/>
  <c r="Z303" i="7"/>
  <c r="AA303" i="7"/>
  <c r="X304" i="7"/>
  <c r="Y304" i="7"/>
  <c r="Z304" i="7"/>
  <c r="AA304" i="7"/>
  <c r="X305" i="7"/>
  <c r="Y305" i="7"/>
  <c r="Z305" i="7"/>
  <c r="AA305" i="7"/>
  <c r="X306" i="7"/>
  <c r="Y306" i="7"/>
  <c r="Z306" i="7"/>
  <c r="AA306" i="7"/>
  <c r="X307" i="7"/>
  <c r="Y307" i="7"/>
  <c r="Z307" i="7"/>
  <c r="AA307" i="7"/>
  <c r="X308" i="7"/>
  <c r="Y308" i="7"/>
  <c r="Z308" i="7"/>
  <c r="AA308" i="7"/>
  <c r="X309" i="7"/>
  <c r="Y309" i="7"/>
  <c r="Z309" i="7"/>
  <c r="AA309" i="7"/>
  <c r="X310" i="7"/>
  <c r="Y310" i="7"/>
  <c r="Z310" i="7"/>
  <c r="AA310" i="7"/>
  <c r="X311" i="7"/>
  <c r="Y311" i="7"/>
  <c r="Z311" i="7"/>
  <c r="AA311" i="7"/>
  <c r="X312" i="7"/>
  <c r="Y312" i="7"/>
  <c r="Z312" i="7"/>
  <c r="AA312" i="7"/>
  <c r="X313" i="7"/>
  <c r="Y313" i="7"/>
  <c r="Z313" i="7"/>
  <c r="AA313" i="7"/>
  <c r="X314" i="7"/>
  <c r="Y314" i="7"/>
  <c r="Z314" i="7"/>
  <c r="AA314" i="7"/>
  <c r="X315" i="7"/>
  <c r="Y315" i="7"/>
  <c r="Z315" i="7"/>
  <c r="AA315" i="7"/>
  <c r="X316" i="7"/>
  <c r="Y316" i="7"/>
  <c r="Z316" i="7"/>
  <c r="AA316" i="7"/>
  <c r="X317" i="7"/>
  <c r="Y317" i="7"/>
  <c r="Z317" i="7"/>
  <c r="AA317" i="7"/>
  <c r="X318" i="7"/>
  <c r="Y318" i="7"/>
  <c r="Z318" i="7"/>
  <c r="AA318" i="7"/>
  <c r="X319" i="7"/>
  <c r="Y319" i="7"/>
  <c r="Z319" i="7"/>
  <c r="AA319" i="7"/>
  <c r="X320" i="7"/>
  <c r="Y320" i="7"/>
  <c r="Z320" i="7"/>
  <c r="AA320" i="7"/>
  <c r="X321" i="7"/>
  <c r="Y321" i="7"/>
  <c r="Z321" i="7"/>
  <c r="AA321" i="7"/>
  <c r="X322" i="7"/>
  <c r="Y322" i="7"/>
  <c r="Z322" i="7"/>
  <c r="AA322" i="7"/>
  <c r="X323" i="7"/>
  <c r="Y323" i="7"/>
  <c r="Z323" i="7"/>
  <c r="AA323" i="7"/>
  <c r="X324" i="7"/>
  <c r="Y324" i="7"/>
  <c r="Z324" i="7"/>
  <c r="AA324" i="7"/>
  <c r="X325" i="7"/>
  <c r="Y325" i="7"/>
  <c r="Z325" i="7"/>
  <c r="AA325" i="7"/>
  <c r="X326" i="7"/>
  <c r="Y326" i="7"/>
  <c r="Z326" i="7"/>
  <c r="AA326" i="7"/>
  <c r="X327" i="7"/>
  <c r="Y327" i="7"/>
  <c r="Z327" i="7"/>
  <c r="AA327" i="7"/>
  <c r="X328" i="7"/>
  <c r="Y328" i="7"/>
  <c r="Z328" i="7"/>
  <c r="AA328" i="7"/>
  <c r="X329" i="7"/>
  <c r="Y329" i="7"/>
  <c r="Z329" i="7"/>
  <c r="AA329" i="7"/>
  <c r="X330" i="7"/>
  <c r="Y330" i="7"/>
  <c r="Z330" i="7"/>
  <c r="AA330" i="7"/>
  <c r="X331" i="7"/>
  <c r="Y331" i="7"/>
  <c r="Z331" i="7"/>
  <c r="AA331" i="7"/>
  <c r="X332" i="7"/>
  <c r="Y332" i="7"/>
  <c r="Z332" i="7"/>
  <c r="AA332" i="7"/>
  <c r="X333" i="7"/>
  <c r="Y333" i="7"/>
  <c r="Z333" i="7"/>
  <c r="AA333" i="7"/>
  <c r="X334" i="7"/>
  <c r="Y334" i="7"/>
  <c r="Z334" i="7"/>
  <c r="AA334" i="7"/>
  <c r="X335" i="7"/>
  <c r="Y335" i="7"/>
  <c r="Z335" i="7"/>
  <c r="AA335" i="7"/>
  <c r="X336" i="7"/>
  <c r="Y336" i="7"/>
  <c r="Z336" i="7"/>
  <c r="AA336" i="7"/>
  <c r="X337" i="7"/>
  <c r="Y337" i="7"/>
  <c r="Z337" i="7"/>
  <c r="AA337" i="7"/>
  <c r="X338" i="7"/>
  <c r="Y338" i="7"/>
  <c r="Z338" i="7"/>
  <c r="AA338" i="7"/>
  <c r="X339" i="7"/>
  <c r="Y339" i="7"/>
  <c r="Z339" i="7"/>
  <c r="AA339" i="7"/>
  <c r="X340" i="7"/>
  <c r="Y340" i="7"/>
  <c r="Z340" i="7"/>
  <c r="AA340" i="7"/>
  <c r="X341" i="7"/>
  <c r="Y341" i="7"/>
  <c r="Z341" i="7"/>
  <c r="AA341" i="7"/>
  <c r="X342" i="7"/>
  <c r="Y342" i="7"/>
  <c r="Z342" i="7"/>
  <c r="AA342" i="7"/>
  <c r="X343" i="7"/>
  <c r="Y343" i="7"/>
  <c r="Z343" i="7"/>
  <c r="AA343" i="7"/>
  <c r="X344" i="7"/>
  <c r="Y344" i="7"/>
  <c r="Z344" i="7"/>
  <c r="AA344" i="7"/>
  <c r="X345" i="7"/>
  <c r="Y345" i="7"/>
  <c r="Z345" i="7"/>
  <c r="AA345" i="7"/>
  <c r="X346" i="7"/>
  <c r="Y346" i="7"/>
  <c r="Z346" i="7"/>
  <c r="AA346" i="7"/>
  <c r="X347" i="7"/>
  <c r="Y347" i="7"/>
  <c r="Z347" i="7"/>
  <c r="AA347" i="7"/>
  <c r="X348" i="7"/>
  <c r="Y348" i="7"/>
  <c r="Z348" i="7"/>
  <c r="AA348" i="7"/>
  <c r="X349" i="7"/>
  <c r="Y349" i="7"/>
  <c r="Z349" i="7"/>
  <c r="AA349" i="7"/>
  <c r="X350" i="7"/>
  <c r="Y350" i="7"/>
  <c r="Z350" i="7"/>
  <c r="AA350" i="7"/>
  <c r="X351" i="7"/>
  <c r="Y351" i="7"/>
  <c r="Z351" i="7"/>
  <c r="AA351" i="7"/>
  <c r="X352" i="7"/>
  <c r="Y352" i="7"/>
  <c r="Z352" i="7"/>
  <c r="AA352" i="7"/>
  <c r="X353" i="7"/>
  <c r="Y353" i="7"/>
  <c r="Z353" i="7"/>
  <c r="AA353" i="7"/>
  <c r="X354" i="7"/>
  <c r="Y354" i="7"/>
  <c r="Z354" i="7"/>
  <c r="AA354" i="7"/>
  <c r="X355" i="7"/>
  <c r="Y355" i="7"/>
  <c r="Z355" i="7"/>
  <c r="AA355" i="7"/>
  <c r="X356" i="7"/>
  <c r="Y356" i="7"/>
  <c r="Z356" i="7"/>
  <c r="AA356" i="7"/>
  <c r="X357" i="7"/>
  <c r="Y357" i="7"/>
  <c r="Z357" i="7"/>
  <c r="AA357" i="7"/>
  <c r="X358" i="7"/>
  <c r="Y358" i="7"/>
  <c r="Z358" i="7"/>
  <c r="AA358" i="7"/>
  <c r="X359" i="7"/>
  <c r="Y359" i="7"/>
  <c r="Z359" i="7"/>
  <c r="AA359" i="7"/>
  <c r="X360" i="7"/>
  <c r="Y360" i="7"/>
  <c r="Z360" i="7"/>
  <c r="AA360" i="7"/>
  <c r="X361" i="7"/>
  <c r="Y361" i="7"/>
  <c r="Z361" i="7"/>
  <c r="AA361" i="7"/>
  <c r="X362" i="7"/>
  <c r="Y362" i="7"/>
  <c r="Z362" i="7"/>
  <c r="AA362" i="7"/>
  <c r="X363" i="7"/>
  <c r="Y363" i="7"/>
  <c r="Z363" i="7"/>
  <c r="AA363" i="7"/>
  <c r="X364" i="7"/>
  <c r="Y364" i="7"/>
  <c r="Z364" i="7"/>
  <c r="AA364" i="7"/>
  <c r="X365" i="7"/>
  <c r="Y365" i="7"/>
  <c r="Z365" i="7"/>
  <c r="AA365" i="7"/>
  <c r="X366" i="7"/>
  <c r="Y366" i="7"/>
  <c r="Z366" i="7"/>
  <c r="AA366" i="7"/>
  <c r="X367" i="7"/>
  <c r="Y367" i="7"/>
  <c r="Z367" i="7"/>
  <c r="AA367" i="7"/>
  <c r="X368" i="7"/>
  <c r="Y368" i="7"/>
  <c r="Z368" i="7"/>
  <c r="AA368" i="7"/>
  <c r="X369" i="7"/>
  <c r="Y369" i="7"/>
  <c r="Z369" i="7"/>
  <c r="AA369" i="7"/>
  <c r="X370" i="7"/>
  <c r="Y370" i="7"/>
  <c r="Z370" i="7"/>
  <c r="AA370" i="7"/>
  <c r="X371" i="7"/>
  <c r="Y371" i="7"/>
  <c r="Z371" i="7"/>
  <c r="AA371" i="7"/>
  <c r="X372" i="7"/>
  <c r="Y372" i="7"/>
  <c r="Z372" i="7"/>
  <c r="AA372" i="7"/>
  <c r="X373" i="7"/>
  <c r="Y373" i="7"/>
  <c r="Z373" i="7"/>
  <c r="AA373" i="7"/>
  <c r="X374" i="7"/>
  <c r="Y374" i="7"/>
  <c r="Z374" i="7"/>
  <c r="AA374" i="7"/>
  <c r="X375" i="7"/>
  <c r="Y375" i="7"/>
  <c r="Z375" i="7"/>
  <c r="AA375" i="7"/>
  <c r="X376" i="7"/>
  <c r="Y376" i="7"/>
  <c r="Z376" i="7"/>
  <c r="AA376" i="7"/>
  <c r="X377" i="7"/>
  <c r="Y377" i="7"/>
  <c r="Z377" i="7"/>
  <c r="AA377" i="7"/>
  <c r="X378" i="7"/>
  <c r="Y378" i="7"/>
  <c r="Z378" i="7"/>
  <c r="AA378" i="7"/>
  <c r="X379" i="7"/>
  <c r="Y379" i="7"/>
  <c r="Z379" i="7"/>
  <c r="AA379" i="7"/>
  <c r="X380" i="7"/>
  <c r="Y380" i="7"/>
  <c r="Z380" i="7"/>
  <c r="AA380" i="7"/>
  <c r="X381" i="7"/>
  <c r="Y381" i="7"/>
  <c r="Z381" i="7"/>
  <c r="AA381" i="7"/>
  <c r="X382" i="7"/>
  <c r="Y382" i="7"/>
  <c r="Z382" i="7"/>
  <c r="AA382" i="7"/>
  <c r="X383" i="7"/>
  <c r="Y383" i="7"/>
  <c r="Z383" i="7"/>
  <c r="AA383" i="7"/>
  <c r="X384" i="7"/>
  <c r="Y384" i="7"/>
  <c r="Z384" i="7"/>
  <c r="AA384" i="7"/>
  <c r="X385" i="7"/>
  <c r="Y385" i="7"/>
  <c r="Z385" i="7"/>
  <c r="AA385" i="7"/>
  <c r="X386" i="7"/>
  <c r="Y386" i="7"/>
  <c r="Z386" i="7"/>
  <c r="AA386" i="7"/>
  <c r="X387" i="7"/>
  <c r="Y387" i="7"/>
  <c r="Z387" i="7"/>
  <c r="AA387" i="7"/>
  <c r="X388" i="7"/>
  <c r="Y388" i="7"/>
  <c r="Z388" i="7"/>
  <c r="AA388" i="7"/>
  <c r="X389" i="7"/>
  <c r="Y389" i="7"/>
  <c r="Z389" i="7"/>
  <c r="AA389" i="7"/>
  <c r="X390" i="7"/>
  <c r="Y390" i="7"/>
  <c r="Z390" i="7"/>
  <c r="AA390" i="7"/>
  <c r="X391" i="7"/>
  <c r="Y391" i="7"/>
  <c r="Z391" i="7"/>
  <c r="AA391" i="7"/>
  <c r="X392" i="7"/>
  <c r="Y392" i="7"/>
  <c r="Z392" i="7"/>
  <c r="AA392" i="7"/>
  <c r="X445" i="7"/>
  <c r="Y445" i="7"/>
  <c r="Z445" i="7"/>
  <c r="AA445" i="7"/>
  <c r="X446" i="7"/>
  <c r="Y446" i="7"/>
  <c r="Z446" i="7"/>
  <c r="AA446" i="7"/>
  <c r="X447" i="7"/>
  <c r="Y447" i="7"/>
  <c r="Z447" i="7"/>
  <c r="AA447" i="7"/>
  <c r="X448" i="7"/>
  <c r="Y448" i="7"/>
  <c r="Z448" i="7"/>
  <c r="AA448" i="7"/>
  <c r="X449" i="7"/>
  <c r="Y449" i="7"/>
  <c r="Z449" i="7"/>
  <c r="AA449" i="7"/>
  <c r="X450" i="7"/>
  <c r="Y450" i="7"/>
  <c r="Z450" i="7"/>
  <c r="AA450" i="7"/>
  <c r="X451" i="7"/>
  <c r="Y451" i="7"/>
  <c r="Z451" i="7"/>
  <c r="AA451" i="7"/>
  <c r="X452" i="7"/>
  <c r="Y452" i="7"/>
  <c r="Z452" i="7"/>
  <c r="AA452" i="7"/>
  <c r="X453" i="7"/>
  <c r="Y453" i="7"/>
  <c r="Z453" i="7"/>
  <c r="AA453" i="7"/>
  <c r="X454" i="7"/>
  <c r="Y454" i="7"/>
  <c r="Z454" i="7"/>
  <c r="AA454" i="7"/>
  <c r="X455" i="7"/>
  <c r="Y455" i="7"/>
  <c r="Z455" i="7"/>
  <c r="AA455" i="7"/>
  <c r="X456" i="7"/>
  <c r="Y456" i="7"/>
  <c r="Z456" i="7"/>
  <c r="AA456" i="7"/>
  <c r="X457" i="7"/>
  <c r="Y457" i="7"/>
  <c r="Z457" i="7"/>
  <c r="AA457" i="7"/>
  <c r="X432" i="7"/>
  <c r="Y432" i="7"/>
  <c r="Z432" i="7"/>
  <c r="AA432" i="7"/>
  <c r="X433" i="7"/>
  <c r="Y433" i="7"/>
  <c r="Z433" i="7"/>
  <c r="AA433" i="7"/>
  <c r="X434" i="7"/>
  <c r="Y434" i="7"/>
  <c r="Z434" i="7"/>
  <c r="AA434" i="7"/>
  <c r="X435" i="7"/>
  <c r="Y435" i="7"/>
  <c r="Z435" i="7"/>
  <c r="AA435" i="7"/>
  <c r="X436" i="7"/>
  <c r="Y436" i="7"/>
  <c r="Z436" i="7"/>
  <c r="AA436" i="7"/>
  <c r="X437" i="7"/>
  <c r="Y437" i="7"/>
  <c r="Z437" i="7"/>
  <c r="AA437" i="7"/>
  <c r="X438" i="7"/>
  <c r="Y438" i="7"/>
  <c r="Z438" i="7"/>
  <c r="AA438" i="7"/>
  <c r="X439" i="7"/>
  <c r="Y439" i="7"/>
  <c r="Z439" i="7"/>
  <c r="AA439" i="7"/>
  <c r="X440" i="7"/>
  <c r="Y440" i="7"/>
  <c r="Z440" i="7"/>
  <c r="AA440" i="7"/>
  <c r="X441" i="7"/>
  <c r="Y441" i="7"/>
  <c r="Z441" i="7"/>
  <c r="AA441" i="7"/>
  <c r="X442" i="7"/>
  <c r="Y442" i="7"/>
  <c r="Z442" i="7"/>
  <c r="AA442" i="7"/>
  <c r="X443" i="7"/>
  <c r="Y443" i="7"/>
  <c r="Z443" i="7"/>
  <c r="AA443" i="7"/>
  <c r="X444" i="7"/>
  <c r="Y444" i="7"/>
  <c r="Z444" i="7"/>
  <c r="AA444" i="7"/>
  <c r="X458" i="7"/>
  <c r="Y458" i="7"/>
  <c r="Z458" i="7"/>
  <c r="AA458" i="7"/>
  <c r="X459" i="7"/>
  <c r="Y459" i="7"/>
  <c r="Z459" i="7"/>
  <c r="AA459" i="7"/>
  <c r="X460" i="7"/>
  <c r="Y460" i="7"/>
  <c r="Z460" i="7"/>
  <c r="AA460" i="7"/>
  <c r="X461" i="7"/>
  <c r="Y461" i="7"/>
  <c r="Z461" i="7"/>
  <c r="AA461" i="7"/>
  <c r="X462" i="7"/>
  <c r="Y462" i="7"/>
  <c r="Z462" i="7"/>
  <c r="AA462" i="7"/>
  <c r="X463" i="7"/>
  <c r="Y463" i="7"/>
  <c r="Z463" i="7"/>
  <c r="AA463" i="7"/>
  <c r="X464" i="7"/>
  <c r="Y464" i="7"/>
  <c r="Z464" i="7"/>
  <c r="AA464" i="7"/>
  <c r="X465" i="7"/>
  <c r="Y465" i="7"/>
  <c r="Z465" i="7"/>
  <c r="AA465" i="7"/>
  <c r="X466" i="7"/>
  <c r="Y466" i="7"/>
  <c r="Z466" i="7"/>
  <c r="AA466" i="7"/>
  <c r="X467" i="7"/>
  <c r="Y467" i="7"/>
  <c r="Z467" i="7"/>
  <c r="AA467" i="7"/>
  <c r="X468" i="7"/>
  <c r="Y468" i="7"/>
  <c r="Z468" i="7"/>
  <c r="AA468" i="7"/>
  <c r="X469" i="7"/>
  <c r="Y469" i="7"/>
  <c r="Z469" i="7"/>
  <c r="AA469" i="7"/>
  <c r="X470" i="7"/>
  <c r="Y470" i="7"/>
  <c r="Z470" i="7"/>
  <c r="AA470" i="7"/>
  <c r="X419" i="7"/>
  <c r="Y419" i="7"/>
  <c r="Z419" i="7"/>
  <c r="AA419" i="7"/>
  <c r="X420" i="7"/>
  <c r="Y420" i="7"/>
  <c r="Z420" i="7"/>
  <c r="AA420" i="7"/>
  <c r="X421" i="7"/>
  <c r="Y421" i="7"/>
  <c r="Z421" i="7"/>
  <c r="AA421" i="7"/>
  <c r="X422" i="7"/>
  <c r="Y422" i="7"/>
  <c r="Z422" i="7"/>
  <c r="AA422" i="7"/>
  <c r="X423" i="7"/>
  <c r="Y423" i="7"/>
  <c r="Z423" i="7"/>
  <c r="AA423" i="7"/>
  <c r="X424" i="7"/>
  <c r="Y424" i="7"/>
  <c r="Z424" i="7"/>
  <c r="AA424" i="7"/>
  <c r="X425" i="7"/>
  <c r="Y425" i="7"/>
  <c r="Z425" i="7"/>
  <c r="AA425" i="7"/>
  <c r="X426" i="7"/>
  <c r="Y426" i="7"/>
  <c r="Z426" i="7"/>
  <c r="AA426" i="7"/>
  <c r="X427" i="7"/>
  <c r="Y427" i="7"/>
  <c r="Z427" i="7"/>
  <c r="AA427" i="7"/>
  <c r="X428" i="7"/>
  <c r="Y428" i="7"/>
  <c r="Z428" i="7"/>
  <c r="AA428" i="7"/>
  <c r="X429" i="7"/>
  <c r="Y429" i="7"/>
  <c r="Z429" i="7"/>
  <c r="AA429" i="7"/>
  <c r="X430" i="7"/>
  <c r="Y430" i="7"/>
  <c r="Z430" i="7"/>
  <c r="AA430" i="7"/>
  <c r="X431" i="7"/>
  <c r="Y431" i="7"/>
  <c r="Z431" i="7"/>
  <c r="AA431" i="7"/>
  <c r="X406" i="7"/>
  <c r="Y406" i="7"/>
  <c r="Z406" i="7"/>
  <c r="AA406" i="7"/>
  <c r="X407" i="7"/>
  <c r="Y407" i="7"/>
  <c r="Z407" i="7"/>
  <c r="AA407" i="7"/>
  <c r="X408" i="7"/>
  <c r="Y408" i="7"/>
  <c r="Z408" i="7"/>
  <c r="AA408" i="7"/>
  <c r="X409" i="7"/>
  <c r="Y409" i="7"/>
  <c r="Z409" i="7"/>
  <c r="AA409" i="7"/>
  <c r="X410" i="7"/>
  <c r="Y410" i="7"/>
  <c r="Z410" i="7"/>
  <c r="AA410" i="7"/>
  <c r="X411" i="7"/>
  <c r="Y411" i="7"/>
  <c r="Z411" i="7"/>
  <c r="AA411" i="7"/>
  <c r="X412" i="7"/>
  <c r="Y412" i="7"/>
  <c r="Z412" i="7"/>
  <c r="AA412" i="7"/>
  <c r="X413" i="7"/>
  <c r="Y413" i="7"/>
  <c r="Z413" i="7"/>
  <c r="AA413" i="7"/>
  <c r="X414" i="7"/>
  <c r="Y414" i="7"/>
  <c r="Z414" i="7"/>
  <c r="AA414" i="7"/>
  <c r="X415" i="7"/>
  <c r="Y415" i="7"/>
  <c r="Z415" i="7"/>
  <c r="AA415" i="7"/>
  <c r="X416" i="7"/>
  <c r="Y416" i="7"/>
  <c r="Z416" i="7"/>
  <c r="AA416" i="7"/>
  <c r="X417" i="7"/>
  <c r="Y417" i="7"/>
  <c r="Z417" i="7"/>
  <c r="AA417" i="7"/>
  <c r="X418" i="7"/>
  <c r="Y418" i="7"/>
  <c r="Z418" i="7"/>
  <c r="AA418" i="7"/>
  <c r="X393" i="7"/>
  <c r="Y393" i="7"/>
  <c r="Z393" i="7"/>
  <c r="AA393" i="7"/>
  <c r="X394" i="7"/>
  <c r="Y394" i="7"/>
  <c r="Z394" i="7"/>
  <c r="AA394" i="7"/>
  <c r="X395" i="7"/>
  <c r="Y395" i="7"/>
  <c r="Z395" i="7"/>
  <c r="AA395" i="7"/>
  <c r="X396" i="7"/>
  <c r="Y396" i="7"/>
  <c r="Z396" i="7"/>
  <c r="AA396" i="7"/>
  <c r="X397" i="7"/>
  <c r="Y397" i="7"/>
  <c r="Z397" i="7"/>
  <c r="AA397" i="7"/>
  <c r="X398" i="7"/>
  <c r="Y398" i="7"/>
  <c r="Z398" i="7"/>
  <c r="AA398" i="7"/>
  <c r="X399" i="7"/>
  <c r="Y399" i="7"/>
  <c r="Z399" i="7"/>
  <c r="AA399" i="7"/>
  <c r="X400" i="7"/>
  <c r="Y400" i="7"/>
  <c r="Z400" i="7"/>
  <c r="AA400" i="7"/>
  <c r="X401" i="7"/>
  <c r="Y401" i="7"/>
  <c r="Z401" i="7"/>
  <c r="AA401" i="7"/>
  <c r="X402" i="7"/>
  <c r="Y402" i="7"/>
  <c r="Z402" i="7"/>
  <c r="AA402" i="7"/>
  <c r="X403" i="7"/>
  <c r="Y403" i="7"/>
  <c r="Z403" i="7"/>
  <c r="AA403" i="7"/>
  <c r="X404" i="7"/>
  <c r="Y404" i="7"/>
  <c r="Z404" i="7"/>
  <c r="AA404" i="7"/>
  <c r="X405" i="7"/>
  <c r="Y405" i="7"/>
  <c r="Z405" i="7"/>
  <c r="AA405" i="7"/>
  <c r="X471" i="7"/>
  <c r="Y471" i="7"/>
  <c r="Z471" i="7"/>
  <c r="AA471" i="7"/>
  <c r="X472" i="7"/>
  <c r="Y472" i="7"/>
  <c r="Z472" i="7"/>
  <c r="AA472" i="7"/>
  <c r="X473" i="7"/>
  <c r="Y473" i="7"/>
  <c r="Z473" i="7"/>
  <c r="AA473" i="7"/>
  <c r="X474" i="7"/>
  <c r="Y474" i="7"/>
  <c r="Z474" i="7"/>
  <c r="AA474" i="7"/>
  <c r="X475" i="7"/>
  <c r="Y475" i="7"/>
  <c r="Z475" i="7"/>
  <c r="AA475" i="7"/>
  <c r="X476" i="7"/>
  <c r="Y476" i="7"/>
  <c r="Z476" i="7"/>
  <c r="AA476" i="7"/>
  <c r="X477" i="7"/>
  <c r="Y477" i="7"/>
  <c r="Z477" i="7"/>
  <c r="AA477" i="7"/>
  <c r="X478" i="7"/>
  <c r="Y478" i="7"/>
  <c r="Z478" i="7"/>
  <c r="AA478" i="7"/>
  <c r="X479" i="7"/>
  <c r="Y479" i="7"/>
  <c r="Z479" i="7"/>
  <c r="AA479" i="7"/>
  <c r="X480" i="7"/>
  <c r="Y480" i="7"/>
  <c r="Z480" i="7"/>
  <c r="AA480" i="7"/>
  <c r="X481" i="7"/>
  <c r="Y481" i="7"/>
  <c r="Z481" i="7"/>
  <c r="AA481" i="7"/>
  <c r="X482" i="7"/>
  <c r="Y482" i="7"/>
  <c r="Z482" i="7"/>
  <c r="AA482" i="7"/>
  <c r="X483" i="7"/>
  <c r="Y483" i="7"/>
  <c r="Z483" i="7"/>
  <c r="AA483" i="7"/>
  <c r="X484" i="7"/>
  <c r="Y484" i="7"/>
  <c r="Z484" i="7"/>
  <c r="AA484" i="7"/>
  <c r="X485" i="7"/>
  <c r="Y485" i="7"/>
  <c r="Z485" i="7"/>
  <c r="AA485" i="7"/>
  <c r="X486" i="7"/>
  <c r="Y486" i="7"/>
  <c r="Z486" i="7"/>
  <c r="AA486" i="7"/>
  <c r="X487" i="7"/>
  <c r="Y487" i="7"/>
  <c r="Z487" i="7"/>
  <c r="AA487" i="7"/>
  <c r="X488" i="7"/>
  <c r="Y488" i="7"/>
  <c r="Z488" i="7"/>
  <c r="AA488" i="7"/>
  <c r="X489" i="7"/>
  <c r="Y489" i="7"/>
  <c r="Z489" i="7"/>
  <c r="AA489" i="7"/>
  <c r="X490" i="7"/>
  <c r="Y490" i="7"/>
  <c r="Z490" i="7"/>
  <c r="AA490" i="7"/>
  <c r="X491" i="7"/>
  <c r="Y491" i="7"/>
  <c r="Z491" i="7"/>
  <c r="AA491" i="7"/>
  <c r="X492" i="7"/>
  <c r="Y492" i="7"/>
  <c r="Z492" i="7"/>
  <c r="AA492" i="7"/>
  <c r="X493" i="7"/>
  <c r="Y493" i="7"/>
  <c r="Z493" i="7"/>
  <c r="AA493" i="7"/>
  <c r="X494" i="7"/>
  <c r="Y494" i="7"/>
  <c r="Z494" i="7"/>
  <c r="AA494" i="7"/>
  <c r="X495" i="7"/>
  <c r="Y495" i="7"/>
  <c r="Z495" i="7"/>
  <c r="AA495" i="7"/>
  <c r="X496" i="7"/>
  <c r="Y496" i="7"/>
  <c r="Z496" i="7"/>
  <c r="AA496" i="7"/>
  <c r="X497" i="7"/>
  <c r="Y497" i="7"/>
  <c r="Z497" i="7"/>
  <c r="AA497" i="7"/>
  <c r="X498" i="7"/>
  <c r="Y498" i="7"/>
  <c r="Z498" i="7"/>
  <c r="AA498" i="7"/>
  <c r="X499" i="7"/>
  <c r="Y499" i="7"/>
  <c r="Z499" i="7"/>
  <c r="AA499" i="7"/>
  <c r="X500" i="7"/>
  <c r="Y500" i="7"/>
  <c r="Z500" i="7"/>
  <c r="AA500" i="7"/>
  <c r="X501" i="7"/>
  <c r="Y501" i="7"/>
  <c r="Z501" i="7"/>
  <c r="AA501" i="7"/>
  <c r="X502" i="7"/>
  <c r="Y502" i="7"/>
  <c r="Z502" i="7"/>
  <c r="AA502" i="7"/>
  <c r="X503" i="7"/>
  <c r="Y503" i="7"/>
  <c r="Z503" i="7"/>
  <c r="AA503" i="7"/>
  <c r="X504" i="7"/>
  <c r="Y504" i="7"/>
  <c r="Z504" i="7"/>
  <c r="AA504" i="7"/>
  <c r="X505" i="7"/>
  <c r="Y505" i="7"/>
  <c r="Z505" i="7"/>
  <c r="AA505" i="7"/>
  <c r="X506" i="7"/>
  <c r="Y506" i="7"/>
  <c r="Z506" i="7"/>
  <c r="AA506" i="7"/>
  <c r="X507" i="7"/>
  <c r="Y507" i="7"/>
  <c r="Z507" i="7"/>
  <c r="AA507" i="7"/>
  <c r="X508" i="7"/>
  <c r="Y508" i="7"/>
  <c r="Z508" i="7"/>
  <c r="AA508" i="7"/>
  <c r="X509" i="7"/>
  <c r="Y509" i="7"/>
  <c r="Z509" i="7"/>
  <c r="AA509" i="7"/>
  <c r="X549" i="7"/>
  <c r="Y549" i="7"/>
  <c r="Z549" i="7"/>
  <c r="AA549" i="7"/>
  <c r="X550" i="7"/>
  <c r="Y550" i="7"/>
  <c r="Z550" i="7"/>
  <c r="AA550" i="7"/>
  <c r="X551" i="7"/>
  <c r="Y551" i="7"/>
  <c r="Z551" i="7"/>
  <c r="AA551" i="7"/>
  <c r="X552" i="7"/>
  <c r="Y552" i="7"/>
  <c r="Z552" i="7"/>
  <c r="AA552" i="7"/>
  <c r="X553" i="7"/>
  <c r="Y553" i="7"/>
  <c r="Z553" i="7"/>
  <c r="AA553" i="7"/>
  <c r="X554" i="7"/>
  <c r="Y554" i="7"/>
  <c r="Z554" i="7"/>
  <c r="AA554" i="7"/>
  <c r="X555" i="7"/>
  <c r="Y555" i="7"/>
  <c r="Z555" i="7"/>
  <c r="AA555" i="7"/>
  <c r="X556" i="7"/>
  <c r="Y556" i="7"/>
  <c r="Z556" i="7"/>
  <c r="AA556" i="7"/>
  <c r="X557" i="7"/>
  <c r="Y557" i="7"/>
  <c r="Z557" i="7"/>
  <c r="AA557" i="7"/>
  <c r="X558" i="7"/>
  <c r="Y558" i="7"/>
  <c r="Z558" i="7"/>
  <c r="AA558" i="7"/>
  <c r="X559" i="7"/>
  <c r="Y559" i="7"/>
  <c r="Z559" i="7"/>
  <c r="AA559" i="7"/>
  <c r="X560" i="7"/>
  <c r="Y560" i="7"/>
  <c r="Z560" i="7"/>
  <c r="AA560" i="7"/>
  <c r="X561" i="7"/>
  <c r="Y561" i="7"/>
  <c r="Z561" i="7"/>
  <c r="AA561" i="7"/>
  <c r="X562" i="7"/>
  <c r="Y562" i="7"/>
  <c r="Z562" i="7"/>
  <c r="AA562" i="7"/>
  <c r="X563" i="7"/>
  <c r="Y563" i="7"/>
  <c r="Z563" i="7"/>
  <c r="AA563" i="7"/>
  <c r="X564" i="7"/>
  <c r="Y564" i="7"/>
  <c r="Z564" i="7"/>
  <c r="AA564" i="7"/>
  <c r="X565" i="7"/>
  <c r="Y565" i="7"/>
  <c r="Z565" i="7"/>
  <c r="AA565" i="7"/>
  <c r="X566" i="7"/>
  <c r="Y566" i="7"/>
  <c r="Z566" i="7"/>
  <c r="AA566" i="7"/>
  <c r="X567" i="7"/>
  <c r="Y567" i="7"/>
  <c r="Z567" i="7"/>
  <c r="AA567" i="7"/>
  <c r="X568" i="7"/>
  <c r="Y568" i="7"/>
  <c r="Z568" i="7"/>
  <c r="AA568" i="7"/>
  <c r="X569" i="7"/>
  <c r="Y569" i="7"/>
  <c r="Z569" i="7"/>
  <c r="AA569" i="7"/>
  <c r="X570" i="7"/>
  <c r="Y570" i="7"/>
  <c r="Z570" i="7"/>
  <c r="AA570" i="7"/>
  <c r="X571" i="7"/>
  <c r="Y571" i="7"/>
  <c r="Z571" i="7"/>
  <c r="AA571" i="7"/>
  <c r="X572" i="7"/>
  <c r="Y572" i="7"/>
  <c r="Z572" i="7"/>
  <c r="AA572" i="7"/>
  <c r="X573" i="7"/>
  <c r="Y573" i="7"/>
  <c r="Z573" i="7"/>
  <c r="AA573" i="7"/>
  <c r="X574" i="7"/>
  <c r="Y574" i="7"/>
  <c r="Z574" i="7"/>
  <c r="AA574" i="7"/>
  <c r="X575" i="7"/>
  <c r="Y575" i="7"/>
  <c r="Z575" i="7"/>
  <c r="AA575" i="7"/>
  <c r="X576" i="7"/>
  <c r="Y576" i="7"/>
  <c r="Z576" i="7"/>
  <c r="AA576" i="7"/>
  <c r="X577" i="7"/>
  <c r="Y577" i="7"/>
  <c r="Z577" i="7"/>
  <c r="AA577" i="7"/>
  <c r="X578" i="7"/>
  <c r="Y578" i="7"/>
  <c r="Z578" i="7"/>
  <c r="AA578" i="7"/>
  <c r="X579" i="7"/>
  <c r="Y579" i="7"/>
  <c r="Z579" i="7"/>
  <c r="AA579" i="7"/>
  <c r="X580" i="7"/>
  <c r="Y580" i="7"/>
  <c r="Z580" i="7"/>
  <c r="AA580" i="7"/>
  <c r="X581" i="7"/>
  <c r="Y581" i="7"/>
  <c r="Z581" i="7"/>
  <c r="AA581" i="7"/>
  <c r="X582" i="7"/>
  <c r="Y582" i="7"/>
  <c r="Z582" i="7"/>
  <c r="AA582" i="7"/>
  <c r="X583" i="7"/>
  <c r="Y583" i="7"/>
  <c r="Z583" i="7"/>
  <c r="AA583" i="7"/>
  <c r="X584" i="7"/>
  <c r="Y584" i="7"/>
  <c r="Z584" i="7"/>
  <c r="AA584" i="7"/>
  <c r="X585" i="7"/>
  <c r="Y585" i="7"/>
  <c r="Z585" i="7"/>
  <c r="AA585" i="7"/>
  <c r="X586" i="7"/>
  <c r="Y586" i="7"/>
  <c r="Z586" i="7"/>
  <c r="AA586" i="7"/>
  <c r="X587" i="7"/>
  <c r="Y587" i="7"/>
  <c r="Z587" i="7"/>
  <c r="AA587" i="7"/>
  <c r="X588" i="7"/>
  <c r="Y588" i="7"/>
  <c r="Z588" i="7"/>
  <c r="X589" i="7"/>
  <c r="Y589" i="7"/>
  <c r="Z589" i="7"/>
  <c r="X590" i="7"/>
  <c r="Y590" i="7"/>
  <c r="Z590" i="7"/>
  <c r="X591" i="7"/>
  <c r="Y591" i="7"/>
  <c r="Z591" i="7"/>
  <c r="X592" i="7"/>
  <c r="Y592" i="7"/>
  <c r="Z592" i="7"/>
  <c r="X593" i="7"/>
  <c r="Y593" i="7"/>
  <c r="Z593" i="7"/>
  <c r="X594" i="7"/>
  <c r="Y594" i="7"/>
  <c r="Z594" i="7"/>
  <c r="X595" i="7"/>
  <c r="Y595" i="7"/>
  <c r="Z595" i="7"/>
  <c r="X596" i="7"/>
  <c r="Y596" i="7"/>
  <c r="Z596" i="7"/>
  <c r="X597" i="7"/>
  <c r="Y597" i="7"/>
  <c r="Z597" i="7"/>
  <c r="X598" i="7"/>
  <c r="Y598" i="7"/>
  <c r="Z598" i="7"/>
  <c r="X599" i="7"/>
  <c r="Y599" i="7"/>
  <c r="Z599" i="7"/>
  <c r="X600" i="7"/>
  <c r="Y600" i="7"/>
  <c r="Z600" i="7"/>
  <c r="X601" i="7"/>
  <c r="Y601" i="7"/>
  <c r="Z601" i="7"/>
  <c r="X602" i="7"/>
  <c r="Y602" i="7"/>
  <c r="Z602" i="7"/>
  <c r="X603" i="7"/>
  <c r="Y603" i="7"/>
  <c r="Z603" i="7"/>
  <c r="X604" i="7"/>
  <c r="Y604" i="7"/>
  <c r="Z604" i="7"/>
  <c r="X605" i="7"/>
  <c r="Y605" i="7"/>
  <c r="Z605" i="7"/>
  <c r="X606" i="7"/>
  <c r="Y606" i="7"/>
  <c r="Z606" i="7"/>
  <c r="X607" i="7"/>
  <c r="Y607" i="7"/>
  <c r="Z607" i="7"/>
  <c r="X608" i="7"/>
  <c r="Y608" i="7"/>
  <c r="Z608" i="7"/>
  <c r="X609" i="7"/>
  <c r="Y609" i="7"/>
  <c r="Z609" i="7"/>
  <c r="X610" i="7"/>
  <c r="Y610" i="7"/>
  <c r="Z610" i="7"/>
  <c r="X611" i="7"/>
  <c r="Y611" i="7"/>
  <c r="Z611" i="7"/>
  <c r="X612" i="7"/>
  <c r="Y612" i="7"/>
  <c r="Z612" i="7"/>
  <c r="X613" i="7"/>
  <c r="Y613" i="7"/>
  <c r="Z613" i="7"/>
  <c r="X614" i="7"/>
  <c r="Y614" i="7"/>
  <c r="Z614" i="7"/>
  <c r="X615" i="7"/>
  <c r="Y615" i="7"/>
  <c r="Z615" i="7"/>
  <c r="X616" i="7"/>
  <c r="Y616" i="7"/>
  <c r="Z616" i="7"/>
  <c r="X617" i="7"/>
  <c r="Y617" i="7"/>
  <c r="Z617" i="7"/>
  <c r="X618" i="7"/>
  <c r="Y618" i="7"/>
  <c r="Z618" i="7"/>
  <c r="X619" i="7"/>
  <c r="Y619" i="7"/>
  <c r="Z619" i="7"/>
  <c r="X620" i="7"/>
  <c r="Y620" i="7"/>
  <c r="Z620" i="7"/>
  <c r="X621" i="7"/>
  <c r="Y621" i="7"/>
  <c r="Z621" i="7"/>
  <c r="X622" i="7"/>
  <c r="Y622" i="7"/>
  <c r="Z622" i="7"/>
  <c r="X623" i="7"/>
  <c r="Y623" i="7"/>
  <c r="Z623" i="7"/>
  <c r="X624" i="7"/>
  <c r="Y624" i="7"/>
  <c r="Z624" i="7"/>
  <c r="X625" i="7"/>
  <c r="Y625" i="7"/>
  <c r="Z625" i="7"/>
  <c r="X626" i="7"/>
  <c r="Y626" i="7"/>
  <c r="Z626" i="7"/>
  <c r="X627" i="7"/>
  <c r="Y627" i="7"/>
  <c r="Z627" i="7"/>
  <c r="X628" i="7"/>
  <c r="Y628" i="7"/>
  <c r="Z628" i="7"/>
  <c r="X629" i="7"/>
  <c r="Y629" i="7"/>
  <c r="Z629" i="7"/>
  <c r="X630" i="7"/>
  <c r="Y630" i="7"/>
  <c r="Z630" i="7"/>
  <c r="X631" i="7"/>
  <c r="Y631" i="7"/>
  <c r="Z631" i="7"/>
  <c r="X632" i="7"/>
  <c r="Y632" i="7"/>
  <c r="Z632" i="7"/>
  <c r="X633" i="7"/>
  <c r="Y633" i="7"/>
  <c r="Z633" i="7"/>
  <c r="X634" i="7"/>
  <c r="Y634" i="7"/>
  <c r="Z634" i="7"/>
  <c r="X635" i="7"/>
  <c r="Y635" i="7"/>
  <c r="Z635" i="7"/>
  <c r="X636" i="7"/>
  <c r="Y636" i="7"/>
  <c r="Z636" i="7"/>
  <c r="X637" i="7"/>
  <c r="Y637" i="7"/>
  <c r="Z637" i="7"/>
  <c r="X638" i="7"/>
  <c r="Y638" i="7"/>
  <c r="Z638" i="7"/>
  <c r="X639" i="7"/>
  <c r="Y639" i="7"/>
  <c r="Z639" i="7"/>
  <c r="X692" i="7"/>
  <c r="Y692" i="7"/>
  <c r="Z692" i="7"/>
  <c r="X4" i="7"/>
  <c r="Y4" i="7"/>
  <c r="Z4" i="7"/>
  <c r="AA4" i="7"/>
  <c r="X5" i="7"/>
  <c r="Y5" i="7"/>
  <c r="Z5" i="7"/>
  <c r="AA5" i="7"/>
  <c r="X6" i="7"/>
  <c r="Y6" i="7"/>
  <c r="Z6" i="7"/>
  <c r="AA6" i="7"/>
  <c r="X7" i="7"/>
  <c r="Y7" i="7"/>
  <c r="Z7" i="7"/>
  <c r="AA7" i="7"/>
  <c r="X8" i="7"/>
  <c r="Y8" i="7"/>
  <c r="Z8" i="7"/>
  <c r="AA8" i="7"/>
  <c r="X9" i="7"/>
  <c r="Y9" i="7"/>
  <c r="Z9" i="7"/>
  <c r="AA9" i="7"/>
  <c r="X10" i="7"/>
  <c r="Y10" i="7"/>
  <c r="Z10" i="7"/>
  <c r="AA10" i="7"/>
  <c r="X11" i="7"/>
  <c r="Y11" i="7"/>
  <c r="Z11" i="7"/>
  <c r="AA11" i="7"/>
  <c r="X12" i="7"/>
  <c r="Y12" i="7"/>
  <c r="Z12" i="7"/>
  <c r="AA12" i="7"/>
  <c r="X13" i="7"/>
  <c r="Y13" i="7"/>
  <c r="Z13" i="7"/>
  <c r="AA13" i="7"/>
  <c r="X14" i="7"/>
  <c r="Y14" i="7"/>
  <c r="Z14" i="7"/>
  <c r="AA14" i="7"/>
  <c r="X15" i="7"/>
  <c r="Y15" i="7"/>
  <c r="Z15" i="7"/>
  <c r="AA15" i="7"/>
  <c r="X16" i="7"/>
  <c r="Y16" i="7"/>
  <c r="Z16" i="7"/>
  <c r="AA16" i="7"/>
  <c r="X17" i="7"/>
  <c r="Y17" i="7"/>
  <c r="Z17" i="7"/>
  <c r="AA17" i="7"/>
  <c r="X18" i="7"/>
  <c r="Y18" i="7"/>
  <c r="Z18" i="7"/>
  <c r="AA18" i="7"/>
  <c r="X19" i="7"/>
  <c r="Y19" i="7"/>
  <c r="Z19" i="7"/>
  <c r="AA19" i="7"/>
  <c r="X20" i="7"/>
  <c r="Y20" i="7"/>
  <c r="Z20" i="7"/>
  <c r="AA20" i="7"/>
  <c r="X21" i="7"/>
  <c r="Y21" i="7"/>
  <c r="Z21" i="7"/>
  <c r="AA21" i="7"/>
  <c r="X22" i="7"/>
  <c r="Y22" i="7"/>
  <c r="Z22" i="7"/>
  <c r="AA22" i="7"/>
  <c r="X23" i="7"/>
  <c r="Y23" i="7"/>
  <c r="Z23" i="7"/>
  <c r="AA23" i="7"/>
  <c r="X24" i="7"/>
  <c r="Y24" i="7"/>
  <c r="Z24" i="7"/>
  <c r="AA24" i="7"/>
  <c r="X25" i="7"/>
  <c r="Y25" i="7"/>
  <c r="Z25" i="7"/>
  <c r="AA25" i="7"/>
  <c r="X26" i="7"/>
  <c r="Y26" i="7"/>
  <c r="Z26" i="7"/>
  <c r="AA26" i="7"/>
  <c r="X27" i="7"/>
  <c r="Y27" i="7"/>
  <c r="Z27" i="7"/>
  <c r="AA27" i="7"/>
  <c r="X28" i="7"/>
  <c r="Y28" i="7"/>
  <c r="Z28" i="7"/>
  <c r="AA28" i="7"/>
  <c r="X29" i="7"/>
  <c r="Y29" i="7"/>
  <c r="Z29" i="7"/>
  <c r="AA29" i="7"/>
  <c r="X30" i="7"/>
  <c r="Y30" i="7"/>
  <c r="Z30" i="7"/>
  <c r="AA30" i="7"/>
  <c r="X31" i="7"/>
  <c r="Y31" i="7"/>
  <c r="Z31" i="7"/>
  <c r="AA31" i="7"/>
  <c r="X32" i="7"/>
  <c r="Y32" i="7"/>
  <c r="Z32" i="7"/>
  <c r="AA32" i="7"/>
  <c r="X33" i="7"/>
  <c r="Y33" i="7"/>
  <c r="Z33" i="7"/>
  <c r="AA33" i="7"/>
  <c r="X34" i="7"/>
  <c r="Y34" i="7"/>
  <c r="Z34" i="7"/>
  <c r="AA34" i="7"/>
  <c r="X35" i="7"/>
  <c r="Y35" i="7"/>
  <c r="Z35" i="7"/>
  <c r="AA35" i="7"/>
  <c r="X36" i="7"/>
  <c r="Y36" i="7"/>
  <c r="Z36" i="7"/>
  <c r="AA36" i="7"/>
  <c r="X37" i="7"/>
  <c r="Y37" i="7"/>
  <c r="Z37" i="7"/>
  <c r="AA37" i="7"/>
  <c r="X38" i="7"/>
  <c r="Y38" i="7"/>
  <c r="Z38" i="7"/>
  <c r="AA38" i="7"/>
  <c r="X39" i="7"/>
  <c r="Y39" i="7"/>
  <c r="Z39" i="7"/>
  <c r="AA39" i="7"/>
  <c r="X40" i="7"/>
  <c r="Y40" i="7"/>
  <c r="Z40" i="7"/>
  <c r="AA40" i="7"/>
  <c r="X41" i="7"/>
  <c r="Y41" i="7"/>
  <c r="Z41" i="7"/>
  <c r="AA41" i="7"/>
  <c r="X42" i="7"/>
  <c r="Y42" i="7"/>
  <c r="Z42" i="7"/>
  <c r="AA42" i="7"/>
  <c r="X43" i="7"/>
  <c r="Y43" i="7"/>
  <c r="Z43" i="7"/>
  <c r="AA43" i="7"/>
  <c r="X44" i="7"/>
  <c r="Y44" i="7"/>
  <c r="Z44" i="7"/>
  <c r="AA44" i="7"/>
  <c r="X45" i="7"/>
  <c r="Y45" i="7"/>
  <c r="Z45" i="7"/>
  <c r="AA45" i="7"/>
  <c r="X46" i="7"/>
  <c r="Y46" i="7"/>
  <c r="Z46" i="7"/>
  <c r="AA46" i="7"/>
  <c r="X47" i="7"/>
  <c r="Y47" i="7"/>
  <c r="Z47" i="7"/>
  <c r="AA47" i="7"/>
  <c r="X48" i="7"/>
  <c r="Y48" i="7"/>
  <c r="Z48" i="7"/>
  <c r="AA48" i="7"/>
  <c r="X49" i="7"/>
  <c r="Y49" i="7"/>
  <c r="Z49" i="7"/>
  <c r="AA49" i="7"/>
  <c r="X50" i="7"/>
  <c r="Y50" i="7"/>
  <c r="Z50" i="7"/>
  <c r="AA50" i="7"/>
  <c r="X51" i="7"/>
  <c r="Y51" i="7"/>
  <c r="Z51" i="7"/>
  <c r="AA51" i="7"/>
  <c r="X52" i="7"/>
  <c r="Y52" i="7"/>
  <c r="Z52" i="7"/>
  <c r="AA52" i="7"/>
  <c r="X53" i="7"/>
  <c r="Y53" i="7"/>
  <c r="Z53" i="7"/>
  <c r="AA53" i="7"/>
  <c r="X54" i="7"/>
  <c r="Y54" i="7"/>
  <c r="Z54" i="7"/>
  <c r="AA54" i="7"/>
  <c r="X55" i="7"/>
  <c r="Y55" i="7"/>
  <c r="Z55" i="7"/>
  <c r="AA55" i="7"/>
  <c r="X56" i="7"/>
  <c r="Y56" i="7"/>
  <c r="Z56" i="7"/>
  <c r="AA56" i="7"/>
  <c r="X57" i="7"/>
  <c r="Y57" i="7"/>
  <c r="Z57" i="7"/>
  <c r="AA57" i="7"/>
  <c r="X58" i="7"/>
  <c r="Y58" i="7"/>
  <c r="Z58" i="7"/>
  <c r="AA58" i="7"/>
  <c r="X59" i="7"/>
  <c r="Y59" i="7"/>
  <c r="Z59" i="7"/>
  <c r="AA59" i="7"/>
  <c r="X60" i="7"/>
  <c r="Y60" i="7"/>
  <c r="Z60" i="7"/>
  <c r="AA60" i="7"/>
  <c r="X61" i="7"/>
  <c r="Y61" i="7"/>
  <c r="Z61" i="7"/>
  <c r="AA61" i="7"/>
  <c r="X62" i="7"/>
  <c r="Y62" i="7"/>
  <c r="Z62" i="7"/>
  <c r="AA62" i="7"/>
  <c r="X1111" i="7" l="1"/>
  <c r="Y1111" i="7"/>
  <c r="Z1111" i="7"/>
  <c r="L1106" i="7" l="1"/>
  <c r="L1105" i="7"/>
  <c r="L1104" i="7"/>
  <c r="L1103" i="7"/>
  <c r="L1102" i="7"/>
  <c r="L1101" i="7"/>
  <c r="L1100" i="7"/>
  <c r="L1096" i="7"/>
  <c r="L1095" i="7"/>
  <c r="L1094" i="7"/>
  <c r="L1093" i="7"/>
  <c r="L1092" i="7"/>
  <c r="L1091" i="7"/>
  <c r="L1090" i="7"/>
  <c r="L1089" i="7"/>
  <c r="L1088" i="7"/>
  <c r="L1087" i="7"/>
  <c r="L1086" i="7"/>
  <c r="L1085" i="7"/>
  <c r="L1084" i="7"/>
  <c r="L1083" i="7"/>
  <c r="L1082" i="7"/>
  <c r="L1081" i="7"/>
  <c r="L1080" i="7"/>
  <c r="L1079" i="7"/>
  <c r="L1078" i="7"/>
  <c r="L1077" i="7"/>
  <c r="L1076" i="7"/>
  <c r="L1075" i="7"/>
  <c r="L1074" i="7"/>
  <c r="L1073" i="7"/>
  <c r="L1072" i="7"/>
  <c r="L1071" i="7"/>
  <c r="L1070" i="7"/>
  <c r="L1069" i="7"/>
  <c r="L1068" i="7"/>
  <c r="L1067" i="7"/>
  <c r="L1066" i="7"/>
  <c r="L1065" i="7"/>
  <c r="L1064" i="7"/>
  <c r="L1063" i="7"/>
  <c r="L1062" i="7"/>
  <c r="L1061" i="7"/>
  <c r="L1060" i="7"/>
  <c r="L1059" i="7"/>
  <c r="L1058" i="7"/>
  <c r="W1059" i="7"/>
  <c r="X1059" i="7"/>
  <c r="Y1059" i="7"/>
  <c r="Z1059" i="7"/>
  <c r="AA1059" i="7"/>
  <c r="W1060" i="7"/>
  <c r="X1060" i="7"/>
  <c r="Y1060" i="7"/>
  <c r="Z1060" i="7"/>
  <c r="AA1060" i="7"/>
  <c r="W1061" i="7"/>
  <c r="X1061" i="7"/>
  <c r="Y1061" i="7"/>
  <c r="Z1061" i="7"/>
  <c r="AA1061" i="7"/>
  <c r="W1062" i="7"/>
  <c r="X1062" i="7"/>
  <c r="Y1062" i="7"/>
  <c r="Z1062" i="7"/>
  <c r="AA1062" i="7"/>
  <c r="W1063" i="7"/>
  <c r="X1063" i="7"/>
  <c r="Y1063" i="7"/>
  <c r="Z1063" i="7"/>
  <c r="AA1063" i="7"/>
  <c r="W1064" i="7"/>
  <c r="X1064" i="7"/>
  <c r="Y1064" i="7"/>
  <c r="Z1064" i="7"/>
  <c r="AA1064" i="7"/>
  <c r="W1065" i="7"/>
  <c r="X1065" i="7"/>
  <c r="Y1065" i="7"/>
  <c r="Z1065" i="7"/>
  <c r="AA1065" i="7"/>
  <c r="W1066" i="7"/>
  <c r="X1066" i="7"/>
  <c r="Y1066" i="7"/>
  <c r="Z1066" i="7"/>
  <c r="AA1066" i="7"/>
  <c r="W1067" i="7"/>
  <c r="X1067" i="7"/>
  <c r="Y1067" i="7"/>
  <c r="Z1067" i="7"/>
  <c r="AA1067" i="7"/>
  <c r="W1068" i="7"/>
  <c r="X1068" i="7"/>
  <c r="Y1068" i="7"/>
  <c r="Z1068" i="7"/>
  <c r="AA1068" i="7"/>
  <c r="W1069" i="7"/>
  <c r="X1069" i="7"/>
  <c r="Y1069" i="7"/>
  <c r="Z1069" i="7"/>
  <c r="AA1069" i="7"/>
  <c r="W1070" i="7"/>
  <c r="X1070" i="7"/>
  <c r="Y1070" i="7"/>
  <c r="Z1070" i="7"/>
  <c r="AA1070" i="7"/>
  <c r="W1071" i="7"/>
  <c r="X1071" i="7"/>
  <c r="Y1071" i="7"/>
  <c r="Z1071" i="7"/>
  <c r="AA1071" i="7"/>
  <c r="W1072" i="7"/>
  <c r="X1072" i="7"/>
  <c r="Y1072" i="7"/>
  <c r="Z1072" i="7"/>
  <c r="AA1072" i="7"/>
  <c r="W1073" i="7"/>
  <c r="X1073" i="7"/>
  <c r="Y1073" i="7"/>
  <c r="Z1073" i="7"/>
  <c r="AA1073" i="7"/>
  <c r="W1074" i="7"/>
  <c r="X1074" i="7"/>
  <c r="Y1074" i="7"/>
  <c r="Z1074" i="7"/>
  <c r="AA1074" i="7"/>
  <c r="W1075" i="7"/>
  <c r="X1075" i="7"/>
  <c r="Y1075" i="7"/>
  <c r="Z1075" i="7"/>
  <c r="AA1075" i="7"/>
  <c r="W1076" i="7"/>
  <c r="X1076" i="7"/>
  <c r="Y1076" i="7"/>
  <c r="Z1076" i="7"/>
  <c r="AA1076" i="7"/>
  <c r="W1077" i="7"/>
  <c r="X1077" i="7"/>
  <c r="Y1077" i="7"/>
  <c r="Z1077" i="7"/>
  <c r="AA1077" i="7"/>
  <c r="W1078" i="7"/>
  <c r="X1078" i="7"/>
  <c r="Y1078" i="7"/>
  <c r="Z1078" i="7"/>
  <c r="AA1078" i="7"/>
  <c r="W1079" i="7"/>
  <c r="X1079" i="7"/>
  <c r="Y1079" i="7"/>
  <c r="Z1079" i="7"/>
  <c r="AA1079" i="7"/>
  <c r="W1080" i="7"/>
  <c r="X1080" i="7"/>
  <c r="Y1080" i="7"/>
  <c r="Z1080" i="7"/>
  <c r="AA1080" i="7"/>
  <c r="W1081" i="7"/>
  <c r="X1081" i="7"/>
  <c r="Y1081" i="7"/>
  <c r="Z1081" i="7"/>
  <c r="AA1081" i="7"/>
  <c r="W1082" i="7"/>
  <c r="X1082" i="7"/>
  <c r="Y1082" i="7"/>
  <c r="Z1082" i="7"/>
  <c r="AA1082" i="7"/>
  <c r="W1083" i="7"/>
  <c r="X1083" i="7"/>
  <c r="Y1083" i="7"/>
  <c r="Z1083" i="7"/>
  <c r="AA1083" i="7"/>
  <c r="W1084" i="7"/>
  <c r="X1084" i="7"/>
  <c r="Y1084" i="7"/>
  <c r="Z1084" i="7"/>
  <c r="AA1084" i="7"/>
  <c r="W1085" i="7"/>
  <c r="X1085" i="7"/>
  <c r="Y1085" i="7"/>
  <c r="Z1085" i="7"/>
  <c r="AA1085" i="7"/>
  <c r="W1086" i="7"/>
  <c r="X1086" i="7"/>
  <c r="Y1086" i="7"/>
  <c r="Z1086" i="7"/>
  <c r="AA1086" i="7"/>
  <c r="W1087" i="7"/>
  <c r="X1087" i="7"/>
  <c r="Y1087" i="7"/>
  <c r="Z1087" i="7"/>
  <c r="AA1087" i="7"/>
  <c r="W1088" i="7"/>
  <c r="X1088" i="7"/>
  <c r="Y1088" i="7"/>
  <c r="Z1088" i="7"/>
  <c r="AA1088" i="7"/>
  <c r="W1089" i="7"/>
  <c r="X1089" i="7"/>
  <c r="Y1089" i="7"/>
  <c r="Z1089" i="7"/>
  <c r="AA1089" i="7"/>
  <c r="W1090" i="7"/>
  <c r="X1090" i="7"/>
  <c r="Y1090" i="7"/>
  <c r="Z1090" i="7"/>
  <c r="AA1090" i="7"/>
  <c r="W1091" i="7"/>
  <c r="X1091" i="7"/>
  <c r="Y1091" i="7"/>
  <c r="Z1091" i="7"/>
  <c r="AA1091" i="7"/>
  <c r="W1092" i="7"/>
  <c r="X1092" i="7"/>
  <c r="Y1092" i="7"/>
  <c r="Z1092" i="7"/>
  <c r="AA1092" i="7"/>
  <c r="W1093" i="7"/>
  <c r="X1093" i="7"/>
  <c r="Y1093" i="7"/>
  <c r="Z1093" i="7"/>
  <c r="AA1093" i="7"/>
  <c r="W1094" i="7"/>
  <c r="X1094" i="7"/>
  <c r="Y1094" i="7"/>
  <c r="Z1094" i="7"/>
  <c r="AA1094" i="7"/>
  <c r="W1095" i="7"/>
  <c r="X1095" i="7"/>
  <c r="Y1095" i="7"/>
  <c r="Z1095" i="7"/>
  <c r="AA1095" i="7"/>
  <c r="W1096" i="7"/>
  <c r="X1096" i="7"/>
  <c r="Y1096" i="7"/>
  <c r="Z1096" i="7"/>
  <c r="AA1096" i="7"/>
  <c r="W1100" i="7"/>
  <c r="X1100" i="7"/>
  <c r="Y1100" i="7"/>
  <c r="Z1100" i="7"/>
  <c r="AA1100" i="7"/>
  <c r="W1101" i="7"/>
  <c r="X1101" i="7"/>
  <c r="Y1101" i="7"/>
  <c r="Z1101" i="7"/>
  <c r="AA1101" i="7"/>
  <c r="W1102" i="7"/>
  <c r="X1102" i="7"/>
  <c r="Y1102" i="7"/>
  <c r="Z1102" i="7"/>
  <c r="AA1102" i="7"/>
  <c r="W1103" i="7"/>
  <c r="X1103" i="7"/>
  <c r="Y1103" i="7"/>
  <c r="Z1103" i="7"/>
  <c r="AA1103" i="7"/>
  <c r="W1104" i="7"/>
  <c r="X1104" i="7"/>
  <c r="Y1104" i="7"/>
  <c r="Z1104" i="7"/>
  <c r="AA1104" i="7"/>
  <c r="W1105" i="7"/>
  <c r="X1105" i="7"/>
  <c r="Y1105" i="7"/>
  <c r="Z1105" i="7"/>
  <c r="AA1105" i="7"/>
  <c r="W1106" i="7"/>
  <c r="X1106" i="7"/>
  <c r="Y1106" i="7"/>
  <c r="Z1106" i="7"/>
  <c r="AA1106" i="7"/>
  <c r="W1058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100" i="7"/>
  <c r="P1101" i="7"/>
  <c r="P1102" i="7"/>
  <c r="P1103" i="7"/>
  <c r="P1104" i="7"/>
  <c r="P1105" i="7"/>
  <c r="P1106" i="7"/>
  <c r="P1059" i="7"/>
  <c r="P1060" i="7"/>
  <c r="P1061" i="7"/>
  <c r="P1062" i="7"/>
  <c r="P1058" i="7"/>
  <c r="U1058" i="7"/>
  <c r="V1058" i="7"/>
  <c r="U1059" i="7"/>
  <c r="V1059" i="7"/>
  <c r="U1060" i="7"/>
  <c r="V1060" i="7"/>
  <c r="U1061" i="7"/>
  <c r="V1061" i="7"/>
  <c r="U1062" i="7"/>
  <c r="V1062" i="7"/>
  <c r="U1063" i="7"/>
  <c r="V1063" i="7"/>
  <c r="U1064" i="7"/>
  <c r="V1064" i="7"/>
  <c r="U1065" i="7"/>
  <c r="V1065" i="7"/>
  <c r="U1066" i="7"/>
  <c r="V1066" i="7"/>
  <c r="U1067" i="7"/>
  <c r="V1067" i="7"/>
  <c r="U1068" i="7"/>
  <c r="V1068" i="7"/>
  <c r="U1069" i="7"/>
  <c r="V1069" i="7"/>
  <c r="U1070" i="7"/>
  <c r="V1070" i="7"/>
  <c r="U1071" i="7"/>
  <c r="V1071" i="7"/>
  <c r="U1072" i="7"/>
  <c r="V1072" i="7"/>
  <c r="U1073" i="7"/>
  <c r="V1073" i="7"/>
  <c r="U1074" i="7"/>
  <c r="V1074" i="7"/>
  <c r="U1075" i="7"/>
  <c r="V1075" i="7"/>
  <c r="U1076" i="7"/>
  <c r="V1076" i="7"/>
  <c r="U1077" i="7"/>
  <c r="V1077" i="7"/>
  <c r="U1078" i="7"/>
  <c r="V1078" i="7"/>
  <c r="U1079" i="7"/>
  <c r="V1079" i="7"/>
  <c r="U1080" i="7"/>
  <c r="V1080" i="7"/>
  <c r="U1081" i="7"/>
  <c r="V1081" i="7"/>
  <c r="U1082" i="7"/>
  <c r="V1082" i="7"/>
  <c r="U1083" i="7"/>
  <c r="V1083" i="7"/>
  <c r="U1084" i="7"/>
  <c r="V1084" i="7"/>
  <c r="U1085" i="7"/>
  <c r="V1085" i="7"/>
  <c r="U1086" i="7"/>
  <c r="V1086" i="7"/>
  <c r="U1087" i="7"/>
  <c r="V1087" i="7"/>
  <c r="U1088" i="7"/>
  <c r="V1088" i="7"/>
  <c r="U1089" i="7"/>
  <c r="V1089" i="7"/>
  <c r="U1090" i="7"/>
  <c r="V1090" i="7"/>
  <c r="U1091" i="7"/>
  <c r="V1091" i="7"/>
  <c r="U1092" i="7"/>
  <c r="V1092" i="7"/>
  <c r="U1093" i="7"/>
  <c r="V1093" i="7"/>
  <c r="U1094" i="7"/>
  <c r="V1094" i="7"/>
  <c r="U1095" i="7"/>
  <c r="V1095" i="7"/>
  <c r="U1096" i="7"/>
  <c r="V1096" i="7"/>
  <c r="U1100" i="7"/>
  <c r="V1100" i="7"/>
  <c r="U1101" i="7"/>
  <c r="V1101" i="7"/>
  <c r="U1102" i="7"/>
  <c r="V1102" i="7"/>
  <c r="U1103" i="7"/>
  <c r="V1103" i="7"/>
  <c r="U1104" i="7"/>
  <c r="V1104" i="7"/>
  <c r="U1105" i="7"/>
  <c r="V1105" i="7"/>
  <c r="U1106" i="7"/>
  <c r="V1106" i="7"/>
  <c r="R1058" i="7"/>
  <c r="S1058" i="7"/>
  <c r="T1058" i="7"/>
  <c r="R1059" i="7"/>
  <c r="S1059" i="7"/>
  <c r="T1059" i="7"/>
  <c r="R1060" i="7"/>
  <c r="S1060" i="7"/>
  <c r="T1060" i="7"/>
  <c r="R1061" i="7"/>
  <c r="S1061" i="7"/>
  <c r="T1061" i="7"/>
  <c r="R1062" i="7"/>
  <c r="S1062" i="7"/>
  <c r="T1062" i="7"/>
  <c r="R1063" i="7"/>
  <c r="S1063" i="7"/>
  <c r="T1063" i="7"/>
  <c r="R1064" i="7"/>
  <c r="S1064" i="7"/>
  <c r="T1064" i="7"/>
  <c r="R1065" i="7"/>
  <c r="S1065" i="7"/>
  <c r="T1065" i="7"/>
  <c r="R1066" i="7"/>
  <c r="S1066" i="7"/>
  <c r="T1066" i="7"/>
  <c r="R1067" i="7"/>
  <c r="S1067" i="7"/>
  <c r="T1067" i="7"/>
  <c r="R1068" i="7"/>
  <c r="S1068" i="7"/>
  <c r="T1068" i="7"/>
  <c r="R1069" i="7"/>
  <c r="S1069" i="7"/>
  <c r="T1069" i="7"/>
  <c r="R1070" i="7"/>
  <c r="S1070" i="7"/>
  <c r="T1070" i="7"/>
  <c r="R1071" i="7"/>
  <c r="S1071" i="7"/>
  <c r="T1071" i="7"/>
  <c r="R1072" i="7"/>
  <c r="S1072" i="7"/>
  <c r="T1072" i="7"/>
  <c r="R1073" i="7"/>
  <c r="S1073" i="7"/>
  <c r="T1073" i="7"/>
  <c r="R1074" i="7"/>
  <c r="S1074" i="7"/>
  <c r="T1074" i="7"/>
  <c r="R1075" i="7"/>
  <c r="S1075" i="7"/>
  <c r="T1075" i="7"/>
  <c r="R1076" i="7"/>
  <c r="S1076" i="7"/>
  <c r="T1076" i="7"/>
  <c r="R1077" i="7"/>
  <c r="S1077" i="7"/>
  <c r="T1077" i="7"/>
  <c r="R1078" i="7"/>
  <c r="S1078" i="7"/>
  <c r="T1078" i="7"/>
  <c r="R1079" i="7"/>
  <c r="S1079" i="7"/>
  <c r="T1079" i="7"/>
  <c r="R1080" i="7"/>
  <c r="S1080" i="7"/>
  <c r="T1080" i="7"/>
  <c r="R1081" i="7"/>
  <c r="S1081" i="7"/>
  <c r="T1081" i="7"/>
  <c r="R1082" i="7"/>
  <c r="S1082" i="7"/>
  <c r="T1082" i="7"/>
  <c r="R1083" i="7"/>
  <c r="S1083" i="7"/>
  <c r="T1083" i="7"/>
  <c r="R1084" i="7"/>
  <c r="S1084" i="7"/>
  <c r="T1084" i="7"/>
  <c r="R1085" i="7"/>
  <c r="S1085" i="7"/>
  <c r="T1085" i="7"/>
  <c r="R1086" i="7"/>
  <c r="S1086" i="7"/>
  <c r="T1086" i="7"/>
  <c r="R1087" i="7"/>
  <c r="S1087" i="7"/>
  <c r="T1087" i="7"/>
  <c r="R1088" i="7"/>
  <c r="S1088" i="7"/>
  <c r="T1088" i="7"/>
  <c r="R1089" i="7"/>
  <c r="S1089" i="7"/>
  <c r="T1089" i="7"/>
  <c r="R1090" i="7"/>
  <c r="S1090" i="7"/>
  <c r="T1090" i="7"/>
  <c r="R1091" i="7"/>
  <c r="S1091" i="7"/>
  <c r="T1091" i="7"/>
  <c r="R1092" i="7"/>
  <c r="S1092" i="7"/>
  <c r="T1092" i="7"/>
  <c r="R1093" i="7"/>
  <c r="S1093" i="7"/>
  <c r="T1093" i="7"/>
  <c r="R1094" i="7"/>
  <c r="S1094" i="7"/>
  <c r="T1094" i="7"/>
  <c r="R1095" i="7"/>
  <c r="T1095" i="7"/>
  <c r="R1096" i="7"/>
  <c r="S1096" i="7"/>
  <c r="T1096" i="7"/>
  <c r="R1100" i="7"/>
  <c r="S1100" i="7"/>
  <c r="T1100" i="7"/>
  <c r="R1101" i="7"/>
  <c r="S1101" i="7"/>
  <c r="T1101" i="7"/>
  <c r="R1102" i="7"/>
  <c r="S1102" i="7"/>
  <c r="T1102" i="7"/>
  <c r="R1103" i="7"/>
  <c r="S1103" i="7"/>
  <c r="T1103" i="7"/>
  <c r="R1104" i="7"/>
  <c r="S1104" i="7"/>
  <c r="T1104" i="7"/>
  <c r="R1105" i="7"/>
  <c r="S1105" i="7"/>
  <c r="T1105" i="7"/>
  <c r="R1106" i="7"/>
  <c r="S1106" i="7"/>
  <c r="T1106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100" i="7"/>
  <c r="Q1101" i="7"/>
  <c r="Q1102" i="7"/>
  <c r="Q1103" i="7"/>
  <c r="Q1104" i="7"/>
  <c r="Q1105" i="7"/>
  <c r="Q1106" i="7"/>
  <c r="Q1058" i="7"/>
  <c r="V1140" i="7" l="1"/>
  <c r="U1140" i="7"/>
  <c r="R1140" i="7"/>
  <c r="T1140" i="7"/>
  <c r="Q1140" i="7"/>
  <c r="W1140" i="7"/>
  <c r="S1095" i="7"/>
  <c r="S1140" i="7" s="1"/>
  <c r="AA3" i="7" l="1"/>
  <c r="Z3" i="7"/>
  <c r="Y3" i="7"/>
  <c r="H4" i="1"/>
  <c r="G4" i="1"/>
  <c r="F4" i="1"/>
  <c r="E4" i="1"/>
  <c r="D4" i="1"/>
  <c r="C4" i="1"/>
  <c r="B4" i="1"/>
  <c r="A4" i="1"/>
  <c r="Y1058" i="7" l="1"/>
  <c r="Y1140" i="7" s="1"/>
  <c r="Z1058" i="7"/>
  <c r="Z1140" i="7" s="1"/>
  <c r="AA1058" i="7"/>
  <c r="AA1140" i="7" s="1"/>
  <c r="X3" i="7"/>
  <c r="X1058" i="7" l="1"/>
  <c r="X114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Bradley Fisher</author>
  </authors>
  <commentList>
    <comment ref="R3" authorId="0" shapeId="0" xr:uid="{7FF749A9-297C-184B-B365-B15195B21ABB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GIA Measure located</t>
        </r>
      </text>
    </comment>
    <comment ref="R29" authorId="0" shapeId="0" xr:uid="{B8547EE0-0A50-6441-8A9D-E7296D87F5F0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Can't locate PTE, drawings etc. on server</t>
        </r>
      </text>
    </comment>
    <comment ref="R42" authorId="0" shapeId="0" xr:uid="{C43E4EA5-EAE9-AA47-9716-115E2A9EAE62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Can't locate on server
</t>
        </r>
      </text>
    </comment>
    <comment ref="W55" authorId="0" shapeId="0" xr:uid="{7C7A54EE-2927-CC4A-89CA-DA65A2DCE957}">
      <text>
        <r>
          <rPr>
            <b/>
            <sz val="9"/>
            <color indexed="81"/>
            <rFont val="Tahoma"/>
            <family val="2"/>
          </rPr>
          <t>Bradley Fisher:</t>
        </r>
        <r>
          <rPr>
            <sz val="9"/>
            <color indexed="81"/>
            <rFont val="Tahoma"/>
            <family val="2"/>
          </rPr>
          <t xml:space="preserve">
Includes
1) Split of Gen Req's
2) Boundary Walls
3) Associated Prov Sums
Excludes
1) VE
2) Gate House &amp; Club House
3) Infra</t>
        </r>
      </text>
    </comment>
    <comment ref="W68" authorId="0" shapeId="0" xr:uid="{CDF68CCF-2471-774B-8420-2EF885F9A190}">
      <text>
        <r>
          <rPr>
            <b/>
            <sz val="9"/>
            <color indexed="81"/>
            <rFont val="Tahoma"/>
            <family val="2"/>
          </rPr>
          <t>Bradley Fisher:</t>
        </r>
        <r>
          <rPr>
            <sz val="9"/>
            <color indexed="81"/>
            <rFont val="Tahoma"/>
            <family val="2"/>
          </rPr>
          <t xml:space="preserve">
Includes
1) Split of Gen Req's
2) Boundary Walls
3) Associated Prov Sums
Excludes
1) VE
2) Gate House &amp; Club House
3) Infra</t>
        </r>
      </text>
    </comment>
    <comment ref="R133" authorId="0" shapeId="0" xr:uid="{C64BD0E1-978B-5C4E-9DDE-4D0F7AA86C57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Can't locate PTE, drawings etc. on server</t>
        </r>
      </text>
    </comment>
    <comment ref="R146" authorId="0" shapeId="0" xr:uid="{31304076-906E-D24A-8A71-E61B2BD502F1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GIA Measure located</t>
        </r>
      </text>
    </comment>
    <comment ref="R159" authorId="0" shapeId="0" xr:uid="{028F3780-5E58-DA4C-B557-F4D1625EA5B7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GIA Measure located</t>
        </r>
      </text>
    </comment>
    <comment ref="W185" authorId="0" shapeId="0" xr:uid="{1C4D797B-5C87-324B-AC4C-860C652A4513}">
      <text>
        <r>
          <rPr>
            <b/>
            <sz val="9"/>
            <color indexed="81"/>
            <rFont val="Tahoma"/>
            <family val="2"/>
          </rPr>
          <t>Bradley Fisher:</t>
        </r>
        <r>
          <rPr>
            <sz val="9"/>
            <color indexed="81"/>
            <rFont val="Tahoma"/>
            <family val="2"/>
          </rPr>
          <t xml:space="preserve">
Includes
1) Split of Gen Req's
2) Boundary Walls
3) Associated Prov Sums
Excludes
1) VE
2) Gate House &amp; Club House
3) Infra</t>
        </r>
      </text>
    </comment>
  </commentList>
</comments>
</file>

<file path=xl/sharedStrings.xml><?xml version="1.0" encoding="utf-8"?>
<sst xmlns="http://schemas.openxmlformats.org/spreadsheetml/2006/main" count="15566" uniqueCount="302">
  <si>
    <t>Asset</t>
  </si>
  <si>
    <t>Country</t>
  </si>
  <si>
    <t>City</t>
  </si>
  <si>
    <t>Project</t>
  </si>
  <si>
    <t>Base Date</t>
  </si>
  <si>
    <t>Contractor</t>
  </si>
  <si>
    <t>Status</t>
  </si>
  <si>
    <t>Contract Type</t>
  </si>
  <si>
    <t>BUA</t>
  </si>
  <si>
    <t>GIA</t>
  </si>
  <si>
    <t>GFA</t>
  </si>
  <si>
    <t>Keys</t>
  </si>
  <si>
    <t>NRM Lvl 1</t>
  </si>
  <si>
    <t>POMI</t>
  </si>
  <si>
    <t>Description</t>
  </si>
  <si>
    <t>Quantity</t>
  </si>
  <si>
    <t>Unit</t>
  </si>
  <si>
    <t>Contract Rate</t>
  </si>
  <si>
    <t>Average Tender Rate</t>
  </si>
  <si>
    <t>Townhouses</t>
  </si>
  <si>
    <t>UAE</t>
  </si>
  <si>
    <t>Dubai</t>
  </si>
  <si>
    <t>The Valley - Nara</t>
  </si>
  <si>
    <t>METAC</t>
  </si>
  <si>
    <t>Award</t>
  </si>
  <si>
    <t>Fixed Price Lump Sum</t>
  </si>
  <si>
    <t>Foundations</t>
  </si>
  <si>
    <t>Concrete Work</t>
  </si>
  <si>
    <t>Plain concrete; concrete grade C20/16</t>
  </si>
  <si>
    <t>m3</t>
  </si>
  <si>
    <t>Lowest Floor Construction</t>
  </si>
  <si>
    <t>Reinforced concrete; concrete grade C25</t>
  </si>
  <si>
    <t>Asset Lvl 1</t>
  </si>
  <si>
    <t>Asset Lvl 2</t>
  </si>
  <si>
    <t>Asset Lvl 3</t>
  </si>
  <si>
    <t>Developer</t>
  </si>
  <si>
    <t>Alias Lvl 1</t>
  </si>
  <si>
    <t>Alias Lvl 2</t>
  </si>
  <si>
    <t>Project Lvl 1</t>
  </si>
  <si>
    <t>Project Lvl 2</t>
  </si>
  <si>
    <t>Procurement</t>
  </si>
  <si>
    <t>Currency</t>
  </si>
  <si>
    <t>Total Cost</t>
  </si>
  <si>
    <t>Cost/BUA</t>
  </si>
  <si>
    <t>Cost/GIA</t>
  </si>
  <si>
    <t>Cost/GFA</t>
  </si>
  <si>
    <t>Cost/Key</t>
  </si>
  <si>
    <t>Chart</t>
  </si>
  <si>
    <t>Single Asset</t>
  </si>
  <si>
    <t>Villas</t>
  </si>
  <si>
    <t>EMAAR</t>
  </si>
  <si>
    <t>Project V16.1</t>
  </si>
  <si>
    <t>Azalea</t>
  </si>
  <si>
    <t>Pivot</t>
  </si>
  <si>
    <t>Competitive - Traditional</t>
  </si>
  <si>
    <t>Substructure</t>
  </si>
  <si>
    <t>AED</t>
  </si>
  <si>
    <t>NO</t>
  </si>
  <si>
    <t>Superstructure</t>
  </si>
  <si>
    <t>Building External Envelope</t>
  </si>
  <si>
    <t>Internal Walls and Doors</t>
  </si>
  <si>
    <t>Internal Finishes</t>
  </si>
  <si>
    <t>FF&amp;E</t>
  </si>
  <si>
    <t>Sanitary Fittings</t>
  </si>
  <si>
    <t>Services Equipment</t>
  </si>
  <si>
    <t>Mechanical</t>
  </si>
  <si>
    <t>Electrical</t>
  </si>
  <si>
    <t>Conveying Systems</t>
  </si>
  <si>
    <t>External Works</t>
  </si>
  <si>
    <t>General Requirements</t>
  </si>
  <si>
    <t>Project V18.1</t>
  </si>
  <si>
    <t>Sidra 3</t>
  </si>
  <si>
    <t>Trojan</t>
  </si>
  <si>
    <t>YES</t>
  </si>
  <si>
    <t>Project V18.2</t>
  </si>
  <si>
    <t>Club Villas</t>
  </si>
  <si>
    <t>Project V19.1</t>
  </si>
  <si>
    <t>Golf Place Villas (Phase 1)</t>
  </si>
  <si>
    <t>Project V21.1</t>
  </si>
  <si>
    <t>Al Furjan (P3-V)</t>
  </si>
  <si>
    <t>ASGC</t>
  </si>
  <si>
    <t>Project V21.2</t>
  </si>
  <si>
    <t>Al Furjan (P5)</t>
  </si>
  <si>
    <t>Golf Place 2</t>
  </si>
  <si>
    <t>Project V22.2</t>
  </si>
  <si>
    <t>Palm Hills Villas</t>
  </si>
  <si>
    <t>Project V22.3</t>
  </si>
  <si>
    <t>Majestic Vistas</t>
  </si>
  <si>
    <t>iBuild</t>
  </si>
  <si>
    <t>Project V23.1</t>
  </si>
  <si>
    <t>Elysian Mansions</t>
  </si>
  <si>
    <t>IBuild</t>
  </si>
  <si>
    <t>Project TH17.1</t>
  </si>
  <si>
    <t>Maple 3</t>
  </si>
  <si>
    <t>Project TH19.1</t>
  </si>
  <si>
    <t>Camelia 1</t>
  </si>
  <si>
    <t>Ginco</t>
  </si>
  <si>
    <t>Project TH19.2</t>
  </si>
  <si>
    <t>Camelia 2</t>
  </si>
  <si>
    <t>Project TH21.1</t>
  </si>
  <si>
    <t>Eden (NH01)</t>
  </si>
  <si>
    <t>Project TH21.2</t>
  </si>
  <si>
    <t>Al Furjan (P3-T)</t>
  </si>
  <si>
    <t>Project TH22.1</t>
  </si>
  <si>
    <t>Al Furjan (P15)</t>
  </si>
  <si>
    <t>Project TH22.2</t>
  </si>
  <si>
    <t>Al Furjan (P14)</t>
  </si>
  <si>
    <t>Project TH22.3</t>
  </si>
  <si>
    <t>Nara (NH02)</t>
  </si>
  <si>
    <t>Project TH22.4</t>
  </si>
  <si>
    <t>Talia (NH03)</t>
  </si>
  <si>
    <t>Project TH23.1</t>
  </si>
  <si>
    <t>Orania (NH04)</t>
  </si>
  <si>
    <t>Al Rakha</t>
  </si>
  <si>
    <t>Apartments</t>
  </si>
  <si>
    <t>Project A16.1</t>
  </si>
  <si>
    <t>Boulevard Heights</t>
  </si>
  <si>
    <t>Target</t>
  </si>
  <si>
    <t>Apartments, Serviced</t>
  </si>
  <si>
    <t>Project A16.2S</t>
  </si>
  <si>
    <t>Vida Residences</t>
  </si>
  <si>
    <t>ABM</t>
  </si>
  <si>
    <t>Project A17.1</t>
  </si>
  <si>
    <t>Harbour Gate (A030)</t>
  </si>
  <si>
    <t>Project A18.1</t>
  </si>
  <si>
    <t>Creek Rise (A029)</t>
  </si>
  <si>
    <t>Al Fara'a</t>
  </si>
  <si>
    <t>Project A19.1</t>
  </si>
  <si>
    <t>Collective 1.0</t>
  </si>
  <si>
    <t>Project A19.2</t>
  </si>
  <si>
    <t>Collective 2.0</t>
  </si>
  <si>
    <t>Project A19.3</t>
  </si>
  <si>
    <t>Golf Suites</t>
  </si>
  <si>
    <t>Parkway</t>
  </si>
  <si>
    <t>Project A21.1</t>
  </si>
  <si>
    <t>Burj Crown</t>
  </si>
  <si>
    <t>Project A23.1</t>
  </si>
  <si>
    <t>Lime Gardens</t>
  </si>
  <si>
    <t>China Railway</t>
  </si>
  <si>
    <t>Project A23.2</t>
  </si>
  <si>
    <t>Park Field</t>
  </si>
  <si>
    <t>EAGLE HILLS</t>
  </si>
  <si>
    <t>Project A23.3</t>
  </si>
  <si>
    <t>Maryam Island Plots 8&amp;9</t>
  </si>
  <si>
    <t>ASAK</t>
  </si>
  <si>
    <t>DHRE</t>
  </si>
  <si>
    <t>Project A23.4</t>
  </si>
  <si>
    <t>Citywalk Phase 5.10</t>
  </si>
  <si>
    <t>Eastern</t>
  </si>
  <si>
    <t>Project A23.5</t>
  </si>
  <si>
    <t>Citywalk Phase 5.08</t>
  </si>
  <si>
    <t>Project A23.6</t>
  </si>
  <si>
    <t>Citywalk Phase 5.03</t>
  </si>
  <si>
    <t>Project A23.7</t>
  </si>
  <si>
    <t>Citywalk Phase 5.02</t>
  </si>
  <si>
    <t>Project A23.8</t>
  </si>
  <si>
    <t>Citywalk Phase 5.07</t>
  </si>
  <si>
    <t>Project A24.1</t>
  </si>
  <si>
    <t>Citywalk Phase 5.06</t>
  </si>
  <si>
    <t>Abu Dhabi</t>
  </si>
  <si>
    <t>Q-PROPERTIES</t>
  </si>
  <si>
    <t>Project A24.2</t>
  </si>
  <si>
    <t>REEM HILLS, Town Plaza</t>
  </si>
  <si>
    <t>NAKHEEL</t>
  </si>
  <si>
    <t>Project A24.3</t>
  </si>
  <si>
    <t>Como Residences</t>
  </si>
  <si>
    <t>ALEC</t>
  </si>
  <si>
    <t>NEW</t>
  </si>
  <si>
    <t>TARAF</t>
  </si>
  <si>
    <t>Project A24.4</t>
  </si>
  <si>
    <t>Palm Residences</t>
  </si>
  <si>
    <t>AL ASHRAM</t>
  </si>
  <si>
    <t>NINE YARDS</t>
  </si>
  <si>
    <t>Project A24.5</t>
  </si>
  <si>
    <t>Sea La vie, Yas Towers</t>
  </si>
  <si>
    <t>ZUBLIN</t>
  </si>
  <si>
    <t>NORTHACRE</t>
  </si>
  <si>
    <t>Project A24.6</t>
  </si>
  <si>
    <t>Ocean House</t>
  </si>
  <si>
    <t>BHATIA</t>
  </si>
  <si>
    <t>Hospitality</t>
  </si>
  <si>
    <t>Project H15.1</t>
  </si>
  <si>
    <t>The Address - Sky View</t>
  </si>
  <si>
    <t>ACC</t>
  </si>
  <si>
    <t>UAQ City</t>
  </si>
  <si>
    <t>NSHAMA</t>
  </si>
  <si>
    <t>Project H18.1</t>
  </si>
  <si>
    <t>Vida Hotel</t>
  </si>
  <si>
    <t>Roberts</t>
  </si>
  <si>
    <t>ICD</t>
  </si>
  <si>
    <t>Project H18.2</t>
  </si>
  <si>
    <t>DWD - Plot 05, Hotel</t>
  </si>
  <si>
    <t>Beaver Gulf</t>
  </si>
  <si>
    <t>Offices</t>
  </si>
  <si>
    <t>Project O16.1</t>
  </si>
  <si>
    <t>Dubai Hills - Business Park</t>
  </si>
  <si>
    <t>SPME</t>
  </si>
  <si>
    <t>Project O18.1</t>
  </si>
  <si>
    <t>DWD - Plot 08</t>
  </si>
  <si>
    <t>Project O19.1</t>
  </si>
  <si>
    <t>DWD - Plot 09</t>
  </si>
  <si>
    <t>China State</t>
  </si>
  <si>
    <t>KSA</t>
  </si>
  <si>
    <t>Riyadh</t>
  </si>
  <si>
    <t>MISK</t>
  </si>
  <si>
    <t>Project O23.1</t>
  </si>
  <si>
    <t>Forum Offices</t>
  </si>
  <si>
    <t>MARCO</t>
  </si>
  <si>
    <t>Tender</t>
  </si>
  <si>
    <t>SAR</t>
  </si>
  <si>
    <t>Thematic</t>
  </si>
  <si>
    <t>EXPO 2020</t>
  </si>
  <si>
    <t>Project T18.1</t>
  </si>
  <si>
    <t>EXPO 2020, Mobility Pavilion</t>
  </si>
  <si>
    <t>Project T18.2</t>
  </si>
  <si>
    <t>EXPO 2020, Sustainability Pavilion</t>
  </si>
  <si>
    <t>Project T18.3</t>
  </si>
  <si>
    <t>EXPO 2020, Qatar Pavilion</t>
  </si>
  <si>
    <t>ALEC FITOUT</t>
  </si>
  <si>
    <t>Project T19.1</t>
  </si>
  <si>
    <t>EXPO 2020, Emirates Pavilion</t>
  </si>
  <si>
    <t>City Diamond</t>
  </si>
  <si>
    <t>Project T20.1</t>
  </si>
  <si>
    <t>EXPO 2020, UAE Pavilion</t>
  </si>
  <si>
    <t>Mixed Use</t>
  </si>
  <si>
    <t>Retail</t>
  </si>
  <si>
    <t>ITHRA</t>
  </si>
  <si>
    <t>Project M17.1</t>
  </si>
  <si>
    <t>Project M17.101</t>
  </si>
  <si>
    <t>One Za'abeel</t>
  </si>
  <si>
    <t>OZ - Retail</t>
  </si>
  <si>
    <t>Project M17.102</t>
  </si>
  <si>
    <t>OZ - Rental Offices</t>
  </si>
  <si>
    <t>Project M17.103</t>
  </si>
  <si>
    <t>OZ - Luxury Hotel</t>
  </si>
  <si>
    <t>Project M17.104</t>
  </si>
  <si>
    <t>OZ - SIRO</t>
  </si>
  <si>
    <t>Project M17.105</t>
  </si>
  <si>
    <t>OZ - Ultra Luxury Hotel</t>
  </si>
  <si>
    <t>Project M17.106</t>
  </si>
  <si>
    <t>OZ - Serviced Apartments</t>
  </si>
  <si>
    <t>Project M17.107</t>
  </si>
  <si>
    <t>OZ - Penthouse</t>
  </si>
  <si>
    <t>Project M17.108</t>
  </si>
  <si>
    <t>OZ - ICD Offices</t>
  </si>
  <si>
    <t>Project M17.109</t>
  </si>
  <si>
    <t>OZ - Residential</t>
  </si>
  <si>
    <t>Project M17.110</t>
  </si>
  <si>
    <t>OZ - One Zaa"beel Link</t>
  </si>
  <si>
    <t>MAF</t>
  </si>
  <si>
    <t>Project V24.1</t>
  </si>
  <si>
    <t>Serenity Mansions</t>
  </si>
  <si>
    <t>Dutco</t>
  </si>
  <si>
    <t>Project V25.1</t>
  </si>
  <si>
    <t>Lanai Island Estates</t>
  </si>
  <si>
    <t>SPME / Bond Interiors</t>
  </si>
  <si>
    <t>Project V24.2</t>
  </si>
  <si>
    <t>PJA - Fronds O &amp; P</t>
  </si>
  <si>
    <t>GINCO</t>
  </si>
  <si>
    <t>Project V24.3</t>
  </si>
  <si>
    <t>PJA - Fronds M &amp; N</t>
  </si>
  <si>
    <t>Project V24.4</t>
  </si>
  <si>
    <t>PJA - Fronds K &amp; L</t>
  </si>
  <si>
    <t>UNEC</t>
  </si>
  <si>
    <t>Project V24.5</t>
  </si>
  <si>
    <t>Oasis - Mirage (Phase 1B)</t>
  </si>
  <si>
    <t>DUTCO</t>
  </si>
  <si>
    <t>Project V25.2</t>
  </si>
  <si>
    <t>Dubai Islands - Bay Villas</t>
  </si>
  <si>
    <t>FIBREX</t>
  </si>
  <si>
    <t>Regional Mall</t>
  </si>
  <si>
    <t>Project R14.1</t>
  </si>
  <si>
    <t>Dubai Mall, Fashion Avenue</t>
  </si>
  <si>
    <t>DBB</t>
  </si>
  <si>
    <t>Project R18.1</t>
  </si>
  <si>
    <t>Dubai Hills Mall</t>
  </si>
  <si>
    <t>Project R18.2</t>
  </si>
  <si>
    <t>Dubai Mall, Boulevard</t>
  </si>
  <si>
    <t>Neighbourhood Mall</t>
  </si>
  <si>
    <t>Project R21.1</t>
  </si>
  <si>
    <t>AR3D, Souk</t>
  </si>
  <si>
    <t>TBA</t>
  </si>
  <si>
    <t>Project R23.1</t>
  </si>
  <si>
    <t>The Valley, Pavilion</t>
  </si>
  <si>
    <t>AL RAKHA</t>
  </si>
  <si>
    <t>Oasis Pavilion</t>
  </si>
  <si>
    <t>Project A25.1</t>
  </si>
  <si>
    <t>DHE, Palace Residences</t>
  </si>
  <si>
    <t>Project A25.2</t>
  </si>
  <si>
    <t>Ghaf Woods, Pkg 8, Cilia</t>
  </si>
  <si>
    <t>INNOVO</t>
  </si>
  <si>
    <t>Project A25.3</t>
  </si>
  <si>
    <t>Ghaf Woods, Pkg 9, Serra</t>
  </si>
  <si>
    <t>Project V25.3</t>
  </si>
  <si>
    <t>The Palm Crown Villas</t>
  </si>
  <si>
    <t>Alias</t>
  </si>
  <si>
    <t>Totals</t>
  </si>
  <si>
    <t>STRUCTURE</t>
  </si>
  <si>
    <t>INTERNAL FIT-OUT</t>
  </si>
  <si>
    <t>MEP</t>
  </si>
  <si>
    <t>EXTEERNAL</t>
  </si>
  <si>
    <t>PRELIMS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</si>
</sst>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AED]\ #,##0.00"/>
    <numFmt numFmtId="165" formatCode="[$SAR]\ #,##0.00"/>
    <numFmt numFmtId="166" formatCode="_-&quot;₱&quot;* #,##0.00_-;\-&quot;₱&quot;* #,##0.00_-;_-&quot;₱&quot;* &quot;-&quot;??_-;_-@_-"/>
    <numFmt numFmtId="167" formatCode="m/d/yy\ h:mm;@"/>
    <numFmt numFmtId="168" formatCode="yyyy"/>
    <numFmt numFmtId="169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.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2" applyFont="1" applyBorder="1" applyAlignment="1">
      <alignment horizontal="left" wrapText="1"/>
    </xf>
    <xf numFmtId="3" fontId="0" fillId="0" borderId="0" xfId="2" applyNumberFormat="1" applyFont="1" applyAlignment="1">
      <alignment horizontal="left" wrapText="1"/>
    </xf>
    <xf numFmtId="164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3" applyFont="1" applyAlignment="1">
      <alignment horizontal="left" wrapText="1"/>
    </xf>
    <xf numFmtId="3" fontId="1" fillId="0" borderId="0" xfId="2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left"/>
    </xf>
    <xf numFmtId="165" fontId="0" fillId="0" borderId="0" xfId="2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2" applyNumberFormat="1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6" fillId="3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49" fontId="6" fillId="3" borderId="2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68" fontId="6" fillId="3" borderId="2" xfId="0" applyNumberFormat="1" applyFont="1" applyFill="1" applyBorder="1" applyAlignment="1">
      <alignment horizontal="center" vertical="top" wrapText="1"/>
    </xf>
    <xf numFmtId="168" fontId="0" fillId="0" borderId="5" xfId="0" applyNumberFormat="1" applyBorder="1" applyAlignment="1">
      <alignment horizontal="center" wrapText="1"/>
    </xf>
    <xf numFmtId="168" fontId="0" fillId="0" borderId="0" xfId="0" applyNumberFormat="1" applyAlignment="1">
      <alignment horizontal="center"/>
    </xf>
    <xf numFmtId="43" fontId="6" fillId="3" borderId="2" xfId="4" applyFont="1" applyFill="1" applyBorder="1" applyAlignment="1">
      <alignment horizontal="right" vertical="top" wrapText="1"/>
    </xf>
    <xf numFmtId="43" fontId="0" fillId="0" borderId="0" xfId="4" applyFont="1" applyAlignment="1">
      <alignment horizontal="right"/>
    </xf>
    <xf numFmtId="0" fontId="0" fillId="0" borderId="8" xfId="0" applyBorder="1" applyAlignment="1">
      <alignment horizontal="left" wrapText="1"/>
    </xf>
    <xf numFmtId="0" fontId="0" fillId="4" borderId="9" xfId="0" applyFill="1" applyBorder="1"/>
    <xf numFmtId="169" fontId="6" fillId="3" borderId="2" xfId="4" applyNumberFormat="1" applyFont="1" applyFill="1" applyBorder="1" applyAlignment="1">
      <alignment horizontal="right" vertical="top" wrapText="1"/>
    </xf>
    <xf numFmtId="169" fontId="0" fillId="0" borderId="5" xfId="4" applyNumberFormat="1" applyFont="1" applyBorder="1" applyAlignment="1">
      <alignment horizontal="right" wrapText="1"/>
    </xf>
    <xf numFmtId="169" fontId="0" fillId="0" borderId="0" xfId="4" applyNumberFormat="1" applyFont="1" applyAlignment="1">
      <alignment horizontal="right"/>
    </xf>
    <xf numFmtId="169" fontId="0" fillId="0" borderId="5" xfId="4" applyNumberFormat="1" applyFont="1" applyBorder="1" applyAlignment="1">
      <alignment horizontal="right"/>
    </xf>
    <xf numFmtId="169" fontId="6" fillId="3" borderId="3" xfId="4" applyNumberFormat="1" applyFont="1" applyFill="1" applyBorder="1" applyAlignment="1">
      <alignment horizontal="right" vertical="top" wrapText="1"/>
    </xf>
    <xf numFmtId="169" fontId="0" fillId="0" borderId="6" xfId="4" applyNumberFormat="1" applyFont="1" applyBorder="1" applyAlignment="1">
      <alignment horizontal="right"/>
    </xf>
    <xf numFmtId="43" fontId="6" fillId="3" borderId="2" xfId="4" applyFont="1" applyFill="1" applyBorder="1" applyAlignment="1">
      <alignment horizontal="center" vertical="top" wrapText="1"/>
    </xf>
    <xf numFmtId="43" fontId="0" fillId="0" borderId="0" xfId="4" applyFont="1" applyAlignment="1">
      <alignment horizontal="center"/>
    </xf>
    <xf numFmtId="43" fontId="11" fillId="0" borderId="5" xfId="4" applyFont="1" applyBorder="1" applyAlignment="1">
      <alignment horizontal="right" wrapText="1"/>
    </xf>
    <xf numFmtId="43" fontId="11" fillId="0" borderId="5" xfId="4" applyFont="1" applyBorder="1" applyAlignment="1">
      <alignment horizontal="center" wrapText="1"/>
    </xf>
    <xf numFmtId="169" fontId="11" fillId="0" borderId="5" xfId="4" applyNumberFormat="1" applyFont="1" applyBorder="1" applyAlignment="1">
      <alignment horizontal="right" wrapText="1"/>
    </xf>
    <xf numFmtId="0" fontId="0" fillId="4" borderId="10" xfId="0" applyFill="1" applyBorder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69" fontId="0" fillId="2" borderId="11" xfId="4" applyNumberFormat="1" applyFont="1" applyFill="1" applyBorder="1" applyAlignment="1">
      <alignment horizontal="center"/>
    </xf>
    <xf numFmtId="169" fontId="12" fillId="2" borderId="11" xfId="4" applyNumberFormat="1" applyFont="1" applyFill="1" applyBorder="1" applyAlignment="1">
      <alignment horizontal="center"/>
    </xf>
    <xf numFmtId="0" fontId="0" fillId="2" borderId="11" xfId="4" applyNumberFormat="1" applyFont="1" applyFill="1" applyBorder="1" applyAlignment="1">
      <alignment horizontal="center"/>
    </xf>
    <xf numFmtId="169" fontId="0" fillId="2" borderId="0" xfId="4" applyNumberFormat="1" applyFont="1" applyFill="1" applyAlignment="1">
      <alignment horizontal="right"/>
    </xf>
    <xf numFmtId="169" fontId="6" fillId="3" borderId="3" xfId="4" applyNumberFormat="1" applyFont="1" applyFill="1" applyBorder="1" applyAlignment="1">
      <alignment horizontal="center" vertical="top" wrapText="1"/>
    </xf>
    <xf numFmtId="169" fontId="0" fillId="0" borderId="6" xfId="4" applyNumberFormat="1" applyFont="1" applyBorder="1" applyAlignment="1">
      <alignment horizontal="center"/>
    </xf>
    <xf numFmtId="169" fontId="0" fillId="0" borderId="0" xfId="4" applyNumberFormat="1" applyFont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left" wrapText="1"/>
    </xf>
    <xf numFmtId="0" fontId="0" fillId="0" borderId="12" xfId="0" applyBorder="1" applyAlignment="1">
      <alignment horizontal="center" wrapText="1"/>
    </xf>
    <xf numFmtId="169" fontId="0" fillId="0" borderId="12" xfId="4" applyNumberFormat="1" applyFont="1" applyFill="1" applyBorder="1" applyAlignment="1">
      <alignment horizontal="right"/>
    </xf>
    <xf numFmtId="169" fontId="0" fillId="0" borderId="12" xfId="4" applyNumberFormat="1" applyFont="1" applyFill="1" applyBorder="1" applyAlignment="1">
      <alignment horizontal="right" wrapText="1"/>
    </xf>
    <xf numFmtId="43" fontId="0" fillId="0" borderId="12" xfId="4" applyFont="1" applyFill="1" applyBorder="1" applyAlignment="1">
      <alignment horizontal="right"/>
    </xf>
    <xf numFmtId="43" fontId="0" fillId="0" borderId="12" xfId="4" applyFont="1" applyFill="1" applyBorder="1" applyAlignment="1">
      <alignment horizontal="center"/>
    </xf>
    <xf numFmtId="169" fontId="0" fillId="0" borderId="12" xfId="4" applyNumberFormat="1" applyFont="1" applyFill="1" applyBorder="1" applyAlignment="1">
      <alignment horizontal="center"/>
    </xf>
    <xf numFmtId="0" fontId="0" fillId="4" borderId="12" xfId="0" applyFill="1" applyBorder="1"/>
    <xf numFmtId="0" fontId="0" fillId="4" borderId="12" xfId="0" applyFill="1" applyBorder="1" applyAlignment="1">
      <alignment horizontal="left" wrapText="1"/>
    </xf>
    <xf numFmtId="0" fontId="0" fillId="4" borderId="12" xfId="0" applyFill="1" applyBorder="1" applyAlignment="1">
      <alignment horizontal="center" wrapText="1"/>
    </xf>
    <xf numFmtId="169" fontId="0" fillId="4" borderId="12" xfId="4" applyNumberFormat="1" applyFont="1" applyFill="1" applyBorder="1" applyAlignment="1">
      <alignment horizontal="right"/>
    </xf>
    <xf numFmtId="169" fontId="0" fillId="4" borderId="12" xfId="4" applyNumberFormat="1" applyFont="1" applyFill="1" applyBorder="1" applyAlignment="1">
      <alignment horizontal="right" wrapText="1"/>
    </xf>
    <xf numFmtId="43" fontId="11" fillId="4" borderId="12" xfId="4" applyFont="1" applyFill="1" applyBorder="1" applyAlignment="1">
      <alignment horizontal="right" wrapText="1"/>
    </xf>
    <xf numFmtId="43" fontId="11" fillId="4" borderId="12" xfId="4" applyFont="1" applyFill="1" applyBorder="1" applyAlignment="1">
      <alignment horizontal="center" wrapText="1"/>
    </xf>
    <xf numFmtId="169" fontId="11" fillId="4" borderId="12" xfId="4" applyNumberFormat="1" applyFont="1" applyFill="1" applyBorder="1" applyAlignment="1">
      <alignment horizontal="right" wrapText="1"/>
    </xf>
    <xf numFmtId="169" fontId="0" fillId="4" borderId="12" xfId="4" applyNumberFormat="1" applyFont="1" applyFill="1" applyBorder="1" applyAlignment="1">
      <alignment horizontal="center"/>
    </xf>
    <xf numFmtId="43" fontId="0" fillId="4" borderId="12" xfId="4" applyFont="1" applyFill="1" applyBorder="1" applyAlignment="1">
      <alignment horizontal="right"/>
    </xf>
    <xf numFmtId="43" fontId="0" fillId="4" borderId="12" xfId="4" applyFont="1" applyFill="1" applyBorder="1" applyAlignment="1">
      <alignment horizontal="center"/>
    </xf>
    <xf numFmtId="17" fontId="0" fillId="4" borderId="12" xfId="0" applyNumberFormat="1" applyFill="1" applyBorder="1" applyAlignment="1">
      <alignment horizontal="left" wrapText="1"/>
    </xf>
    <xf numFmtId="0" fontId="0" fillId="0" borderId="12" xfId="0" applyBorder="1" applyAlignment="1">
      <alignment horizontal="center"/>
    </xf>
    <xf numFmtId="0" fontId="0" fillId="4" borderId="12" xfId="0" applyFill="1" applyBorder="1" applyAlignment="1">
      <alignment horizontal="center"/>
    </xf>
    <xf numFmtId="17" fontId="0" fillId="0" borderId="12" xfId="0" applyNumberFormat="1" applyBorder="1" applyAlignment="1">
      <alignment horizontal="left" wrapText="1"/>
    </xf>
    <xf numFmtId="169" fontId="0" fillId="4" borderId="12" xfId="4" applyNumberFormat="1" applyFont="1" applyFill="1" applyBorder="1" applyAlignment="1">
      <alignment horizontal="right" vertical="top"/>
    </xf>
    <xf numFmtId="169" fontId="11" fillId="4" borderId="12" xfId="4" applyNumberFormat="1" applyFont="1" applyFill="1" applyBorder="1" applyAlignment="1">
      <alignment horizontal="right" vertical="top"/>
    </xf>
    <xf numFmtId="43" fontId="0" fillId="4" borderId="12" xfId="4" applyFont="1" applyFill="1" applyBorder="1" applyAlignment="1">
      <alignment horizontal="right" vertical="top"/>
    </xf>
    <xf numFmtId="43" fontId="0" fillId="4" borderId="12" xfId="4" applyFont="1" applyFill="1" applyBorder="1" applyAlignment="1">
      <alignment horizontal="center" vertical="top"/>
    </xf>
    <xf numFmtId="169" fontId="0" fillId="0" borderId="12" xfId="4" applyNumberFormat="1" applyFont="1" applyFill="1" applyBorder="1" applyAlignment="1">
      <alignment horizontal="right" vertical="top"/>
    </xf>
    <xf numFmtId="169" fontId="11" fillId="0" borderId="12" xfId="4" applyNumberFormat="1" applyFont="1" applyFill="1" applyBorder="1" applyAlignment="1">
      <alignment horizontal="right" vertical="top" wrapText="1"/>
    </xf>
    <xf numFmtId="43" fontId="0" fillId="0" borderId="12" xfId="4" applyFont="1" applyFill="1" applyBorder="1" applyAlignment="1">
      <alignment horizontal="right" vertical="top"/>
    </xf>
    <xf numFmtId="43" fontId="0" fillId="0" borderId="12" xfId="4" applyFont="1" applyFill="1" applyBorder="1" applyAlignment="1">
      <alignment horizontal="center" vertical="top"/>
    </xf>
    <xf numFmtId="169" fontId="0" fillId="0" borderId="12" xfId="4" applyNumberFormat="1" applyFont="1" applyFill="1" applyBorder="1" applyAlignment="1">
      <alignment horizontal="right" vertical="top" wrapText="1"/>
    </xf>
    <xf numFmtId="169" fontId="11" fillId="0" borderId="12" xfId="4" applyNumberFormat="1" applyFont="1" applyFill="1" applyBorder="1" applyAlignment="1">
      <alignment horizontal="right" vertical="top"/>
    </xf>
    <xf numFmtId="169" fontId="10" fillId="4" borderId="12" xfId="4" applyNumberFormat="1" applyFont="1" applyFill="1" applyBorder="1" applyAlignment="1">
      <alignment horizontal="right" vertical="top"/>
    </xf>
    <xf numFmtId="169" fontId="10" fillId="0" borderId="12" xfId="4" applyNumberFormat="1" applyFont="1" applyFill="1" applyBorder="1" applyAlignment="1">
      <alignment horizontal="right" vertical="top"/>
    </xf>
    <xf numFmtId="169" fontId="0" fillId="0" borderId="9" xfId="0" applyNumberFormat="1" applyBorder="1"/>
    <xf numFmtId="10" fontId="0" fillId="0" borderId="9" xfId="5" applyNumberFormat="1" applyFont="1" applyBorder="1"/>
    <xf numFmtId="0" fontId="0" fillId="0" borderId="0" xfId="0" applyAlignment="1">
      <alignment horizontal="center" vertical="center"/>
    </xf>
    <xf numFmtId="43" fontId="0" fillId="0" borderId="0" xfId="4" applyFont="1"/>
    <xf numFmtId="43" fontId="0" fillId="0" borderId="0" xfId="0" applyNumberFormat="1"/>
    <xf numFmtId="10" fontId="0" fillId="0" borderId="0" xfId="5" applyNumberFormat="1" applyFont="1"/>
    <xf numFmtId="10" fontId="0" fillId="5" borderId="0" xfId="5" applyNumberFormat="1" applyFont="1" applyFill="1"/>
    <xf numFmtId="0" fontId="13" fillId="6" borderId="0" xfId="0" applyFont="1" applyFill="1" applyAlignment="1">
      <alignment horizontal="center"/>
    </xf>
    <xf numFmtId="0" fontId="13" fillId="6" borderId="0" xfId="0" applyFont="1" applyFill="1"/>
    <xf numFmtId="0" fontId="13" fillId="6" borderId="7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0" fillId="2" borderId="0" xfId="4" applyNumberFormat="1" applyFont="1" applyFill="1" applyBorder="1" applyAlignment="1">
      <alignment horizontal="center"/>
    </xf>
    <xf numFmtId="169" fontId="12" fillId="2" borderId="0" xfId="4" applyNumberFormat="1" applyFont="1" applyFill="1" applyBorder="1" applyAlignment="1">
      <alignment horizontal="center"/>
    </xf>
    <xf numFmtId="169" fontId="0" fillId="2" borderId="0" xfId="4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9" xfId="5" applyNumberFormat="1" applyFont="1" applyFill="1" applyBorder="1"/>
    <xf numFmtId="10" fontId="0" fillId="0" borderId="0" xfId="0" applyNumberFormat="1"/>
    <xf numFmtId="0" fontId="0" fillId="0" borderId="13" xfId="0" applyBorder="1" applyAlignment="1">
      <alignment horizontal="left" wrapText="1"/>
    </xf>
  </cellXfs>
  <cellStyles count="8">
    <cellStyle name="Comma" xfId="4" builtinId="3"/>
    <cellStyle name="Comma 12" xfId="7" xr:uid="{8FDD1811-55EB-2F48-9566-A8C02EEA2517}"/>
    <cellStyle name="Comma 6" xfId="6" xr:uid="{779CA894-D8B0-4B46-B356-5DF3C3F15A84}"/>
    <cellStyle name="Currency" xfId="1" builtinId="4"/>
    <cellStyle name="Currency 3" xfId="2" xr:uid="{356AF87E-EB1A-4483-8083-80511014A5BC}"/>
    <cellStyle name="Normal" xfId="0" builtinId="0"/>
    <cellStyle name="Normal 10 2" xfId="3" xr:uid="{C1E8141C-0BAD-4CCE-8B5F-2C79D6CD4590}"/>
    <cellStyle name="Percent" xfId="5" builtinId="5"/>
  </cellStyles>
  <dxfs count="21">
    <dxf>
      <numFmt numFmtId="165" formatCode="[$SAR]\ #,##0.00"/>
      <alignment horizontal="left" vertical="bottom" textRotation="0" wrapText="0" indent="0" justifyLastLine="0" shrinkToFit="0" readingOrder="0"/>
    </dxf>
    <dxf>
      <numFmt numFmtId="165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SAR]\ #,##0.00"/>
      <alignment horizontal="left" vertical="bottom" textRotation="0" wrapText="0" indent="0" justifyLastLine="0" shrinkToFit="0" readingOrder="0"/>
    </dxf>
    <dxf>
      <numFmt numFmtId="165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FCDAF-910E-477E-8865-AC8F9EB7F158}" name="financials" displayName="financials" ref="A1:S113" totalsRowShown="0" headerRowDxfId="20" dataDxfId="19" headerRowCellStyle="Currency" dataCellStyle="Currency">
  <autoFilter ref="A1:S113" xr:uid="{656214F7-FA8A-44C5-85E8-11B3ECD99D9D}"/>
  <tableColumns count="19">
    <tableColumn id="1" xr3:uid="{8EDD972D-9B28-4FDA-85E4-457C2F8C2D97}" name="Asset" dataDxfId="18"/>
    <tableColumn id="2" xr3:uid="{B9D4B98F-CA0D-4371-B00E-D6FFF2C56EFF}" name="Country" dataDxfId="17"/>
    <tableColumn id="3" xr3:uid="{94D45C6C-3444-4EF3-8BD4-C93EBBFE655F}" name="City" dataDxfId="16"/>
    <tableColumn id="7" xr3:uid="{3737A6C9-956B-4F65-96FF-097715B4DB01}" name="Project" dataDxfId="15"/>
    <tableColumn id="16" xr3:uid="{70EB5652-BC1E-42DA-871F-4D0746A46419}" name="Base Date" dataDxfId="14"/>
    <tableColumn id="12" xr3:uid="{ACEBC89D-50C8-4CD2-8BC1-AEFCA4449A3E}" name="Contractor" dataDxfId="13"/>
    <tableColumn id="11" xr3:uid="{F55BA073-181B-4A6F-A50A-C9DED952B72E}" name="Status" dataDxfId="12"/>
    <tableColumn id="13" xr3:uid="{025BC91F-1CEA-42D5-9CE0-3908E9CDE66A}" name="Contract Type" dataDxfId="11"/>
    <tableColumn id="14" xr3:uid="{4D334CCC-ED0F-4C5A-B35A-7C19601D4E74}" name="BUA" dataDxfId="10"/>
    <tableColumn id="17" xr3:uid="{590BC311-642E-4377-AA4F-3CE5FE76AD39}" name="GIA" dataDxfId="9"/>
    <tableColumn id="21" xr3:uid="{AABABE69-BE9E-4473-A5B0-441F53A46D31}" name="GFA" dataDxfId="8"/>
    <tableColumn id="15" xr3:uid="{11506AAD-29A4-4F73-9F2A-A6044ACD77D0}" name="Keys" dataDxfId="7"/>
    <tableColumn id="23" xr3:uid="{20C9806B-2338-405F-A246-9C1A0199408D}" name="NRM Lvl 1" dataDxfId="6" dataCellStyle="Currency"/>
    <tableColumn id="19" xr3:uid="{311737AA-66C4-4D23-B05A-F13BDF4417E8}" name="POMI" dataDxfId="5" dataCellStyle="Currency"/>
    <tableColumn id="6" xr3:uid="{5CD7F6F6-1238-4E76-B8D5-7E47DD662D5B}" name="Description" dataDxfId="4"/>
    <tableColumn id="10" xr3:uid="{2D290D39-1079-4C56-87F7-CDFAD86D8DC3}" name="Quantity" dataDxfId="3" dataCellStyle="Currency"/>
    <tableColumn id="9" xr3:uid="{1E7A4CF1-D469-4530-85E9-BA16A7041302}" name="Unit" dataDxfId="2" dataCellStyle="Currency"/>
    <tableColumn id="4" xr3:uid="{145C4671-5A6B-4212-98D7-ADB487B25A77}" name="Contract Rate" dataDxfId="1"/>
    <tableColumn id="5" xr3:uid="{9454220A-031B-45B5-AD12-EA7F40757E6C}" name="Average Tender R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DCAD-7773-4921-871A-F87AEC757360}">
  <sheetPr>
    <tabColor rgb="FF00B050"/>
  </sheetPr>
  <dimension ref="A1:S113"/>
  <sheetViews>
    <sheetView zoomScale="85" zoomScaleNormal="85" workbookViewId="0">
      <selection activeCell="G28" sqref="G28"/>
    </sheetView>
  </sheetViews>
  <sheetFormatPr defaultColWidth="8.85546875" defaultRowHeight="15"/>
  <cols>
    <col min="1" max="3" width="15.7109375" style="7" customWidth="1"/>
    <col min="4" max="4" width="23.7109375" style="15" customWidth="1"/>
    <col min="5" max="7" width="15.7109375" style="15" customWidth="1"/>
    <col min="8" max="9" width="21.7109375" style="15" customWidth="1"/>
    <col min="10" max="12" width="15.7109375" style="15" customWidth="1"/>
    <col min="13" max="13" width="25.140625" style="16" bestFit="1" customWidth="1"/>
    <col min="14" max="14" width="15.7109375" style="17" customWidth="1"/>
    <col min="15" max="15" width="38.7109375" style="18" bestFit="1" customWidth="1"/>
    <col min="16" max="19" width="15.7109375" style="13" customWidth="1"/>
  </cols>
  <sheetData>
    <row r="1" spans="1:19" ht="32.1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A2" s="2"/>
      <c r="B2" s="2"/>
      <c r="C2" s="2"/>
      <c r="D2" s="2"/>
      <c r="E2" s="2"/>
      <c r="F2" s="2"/>
      <c r="G2" s="2"/>
      <c r="H2" s="2"/>
      <c r="I2" s="7"/>
      <c r="J2" s="7"/>
      <c r="K2" s="2"/>
      <c r="L2" s="2"/>
      <c r="M2" s="8"/>
      <c r="N2" s="9"/>
      <c r="O2" s="10"/>
      <c r="P2" s="10"/>
      <c r="Q2" s="10"/>
      <c r="R2" s="10"/>
      <c r="S2" s="10"/>
    </row>
    <row r="3" spans="1:19" ht="15.95">
      <c r="A3" s="2" t="s">
        <v>19</v>
      </c>
      <c r="B3" s="2" t="s">
        <v>20</v>
      </c>
      <c r="C3" s="2" t="s">
        <v>21</v>
      </c>
      <c r="D3" s="2" t="s">
        <v>22</v>
      </c>
      <c r="E3" s="2">
        <v>2022</v>
      </c>
      <c r="F3" s="2" t="s">
        <v>23</v>
      </c>
      <c r="G3" s="2" t="s">
        <v>24</v>
      </c>
      <c r="H3" s="2" t="s">
        <v>25</v>
      </c>
      <c r="I3" s="7">
        <v>69927</v>
      </c>
      <c r="J3" s="7"/>
      <c r="K3" s="2">
        <v>53764</v>
      </c>
      <c r="L3" s="2">
        <v>372</v>
      </c>
      <c r="M3" s="8" t="s">
        <v>26</v>
      </c>
      <c r="N3" s="9" t="s">
        <v>27</v>
      </c>
      <c r="O3" s="10" t="s">
        <v>28</v>
      </c>
      <c r="P3" s="19">
        <v>30</v>
      </c>
      <c r="Q3" s="10" t="s">
        <v>29</v>
      </c>
      <c r="R3" s="19">
        <v>370</v>
      </c>
      <c r="S3" s="19">
        <v>309</v>
      </c>
    </row>
    <row r="4" spans="1:19" ht="15.95">
      <c r="A4" s="2" t="str">
        <f t="shared" ref="A4:H4" si="0">A3</f>
        <v>Townhouses</v>
      </c>
      <c r="B4" s="2" t="str">
        <f t="shared" si="0"/>
        <v>UAE</v>
      </c>
      <c r="C4" s="2" t="str">
        <f t="shared" si="0"/>
        <v>Dubai</v>
      </c>
      <c r="D4" s="2" t="str">
        <f t="shared" si="0"/>
        <v>The Valley - Nara</v>
      </c>
      <c r="E4" s="2">
        <f t="shared" si="0"/>
        <v>2022</v>
      </c>
      <c r="F4" s="2" t="str">
        <f t="shared" si="0"/>
        <v>METAC</v>
      </c>
      <c r="G4" s="2" t="str">
        <f t="shared" si="0"/>
        <v>Award</v>
      </c>
      <c r="H4" s="2" t="str">
        <f t="shared" si="0"/>
        <v>Fixed Price Lump Sum</v>
      </c>
      <c r="I4" s="7"/>
      <c r="J4" s="7"/>
      <c r="K4" s="2"/>
      <c r="L4" s="2"/>
      <c r="M4" s="8" t="s">
        <v>30</v>
      </c>
      <c r="N4" s="9" t="s">
        <v>27</v>
      </c>
      <c r="O4" s="10" t="s">
        <v>31</v>
      </c>
      <c r="P4" s="19">
        <v>51</v>
      </c>
      <c r="Q4" s="10" t="s">
        <v>29</v>
      </c>
      <c r="R4" s="19">
        <v>370</v>
      </c>
      <c r="S4" s="19">
        <v>305</v>
      </c>
    </row>
    <row r="5" spans="1:19">
      <c r="A5" s="2"/>
      <c r="B5" s="2"/>
      <c r="C5" s="2"/>
      <c r="D5" s="2"/>
      <c r="E5" s="2"/>
      <c r="F5" s="2"/>
      <c r="G5" s="2"/>
      <c r="H5" s="2"/>
      <c r="I5" s="7"/>
      <c r="J5" s="7"/>
      <c r="K5" s="2"/>
      <c r="L5" s="2"/>
      <c r="M5" s="8"/>
      <c r="N5" s="9"/>
      <c r="O5" s="10"/>
      <c r="P5" s="10"/>
      <c r="Q5" s="10"/>
      <c r="R5" s="10"/>
      <c r="S5" s="10"/>
    </row>
    <row r="6" spans="1:19">
      <c r="A6" s="2"/>
      <c r="B6" s="2"/>
      <c r="C6" s="2"/>
      <c r="D6" s="2"/>
      <c r="E6" s="2"/>
      <c r="F6" s="2"/>
      <c r="G6" s="2"/>
      <c r="H6" s="2"/>
      <c r="I6" s="7"/>
      <c r="J6" s="7"/>
      <c r="K6" s="2"/>
      <c r="L6" s="2"/>
      <c r="M6" s="8"/>
      <c r="N6" s="9"/>
      <c r="O6" s="10"/>
      <c r="P6" s="10"/>
      <c r="Q6" s="10"/>
      <c r="R6" s="10"/>
      <c r="S6" s="10"/>
    </row>
    <row r="7" spans="1:19">
      <c r="A7" s="2"/>
      <c r="B7" s="2"/>
      <c r="C7" s="2"/>
      <c r="D7" s="2"/>
      <c r="E7" s="2"/>
      <c r="F7" s="2"/>
      <c r="G7" s="2"/>
      <c r="H7" s="2"/>
      <c r="I7" s="7"/>
      <c r="J7" s="7"/>
      <c r="K7" s="2"/>
      <c r="L7" s="2"/>
      <c r="M7" s="8"/>
      <c r="N7" s="9"/>
      <c r="O7" s="10"/>
      <c r="P7" s="10"/>
      <c r="Q7" s="10"/>
      <c r="R7" s="10"/>
      <c r="S7" s="10"/>
    </row>
    <row r="8" spans="1:19">
      <c r="A8" s="2"/>
      <c r="B8" s="2"/>
      <c r="C8" s="2"/>
      <c r="D8" s="2"/>
      <c r="E8" s="2"/>
      <c r="F8" s="2"/>
      <c r="G8" s="2"/>
      <c r="H8" s="2"/>
      <c r="I8" s="7"/>
      <c r="J8" s="7"/>
      <c r="K8" s="2"/>
      <c r="L8" s="2"/>
      <c r="M8" s="8"/>
      <c r="N8" s="9"/>
      <c r="O8" s="10"/>
      <c r="P8" s="10"/>
      <c r="Q8" s="10"/>
      <c r="R8" s="10"/>
      <c r="S8" s="10"/>
    </row>
    <row r="9" spans="1:19">
      <c r="A9" s="2"/>
      <c r="B9" s="2"/>
      <c r="C9" s="2"/>
      <c r="D9" s="2"/>
      <c r="E9" s="2"/>
      <c r="F9" s="2"/>
      <c r="G9" s="2"/>
      <c r="H9" s="2"/>
      <c r="I9" s="7"/>
      <c r="J9" s="7"/>
      <c r="K9" s="2"/>
      <c r="L9" s="2"/>
      <c r="M9" s="11"/>
      <c r="N9" s="12"/>
      <c r="O9" s="13"/>
      <c r="P9" s="14"/>
      <c r="Q9" s="14"/>
    </row>
    <row r="10" spans="1:19">
      <c r="A10" s="2"/>
      <c r="B10" s="2"/>
      <c r="C10" s="2"/>
      <c r="D10" s="2"/>
      <c r="E10" s="2"/>
      <c r="F10" s="2"/>
      <c r="G10" s="2"/>
      <c r="H10" s="2"/>
      <c r="I10" s="7"/>
      <c r="J10" s="7"/>
      <c r="K10" s="2"/>
      <c r="L10" s="2"/>
      <c r="M10" s="11"/>
      <c r="N10" s="12"/>
      <c r="O10" s="13"/>
      <c r="P10" s="14"/>
      <c r="Q10" s="14"/>
    </row>
    <row r="11" spans="1:19">
      <c r="A11" s="2"/>
      <c r="B11" s="2"/>
      <c r="C11" s="2"/>
      <c r="D11" s="2"/>
      <c r="E11" s="2"/>
      <c r="F11" s="2"/>
      <c r="G11" s="2"/>
      <c r="H11" s="2"/>
      <c r="I11" s="7"/>
      <c r="J11" s="7"/>
      <c r="K11" s="2"/>
      <c r="L11" s="2"/>
      <c r="M11" s="11"/>
      <c r="N11" s="12"/>
      <c r="O11" s="13"/>
      <c r="P11" s="14"/>
      <c r="Q11" s="14"/>
    </row>
    <row r="12" spans="1:19">
      <c r="A12" s="2"/>
      <c r="B12" s="2"/>
      <c r="C12" s="2"/>
      <c r="D12" s="2"/>
      <c r="E12" s="2"/>
      <c r="F12" s="2"/>
      <c r="G12" s="2"/>
      <c r="H12" s="2"/>
      <c r="I12" s="7"/>
      <c r="J12" s="7"/>
      <c r="K12" s="2"/>
      <c r="L12" s="2"/>
      <c r="M12" s="11"/>
      <c r="N12" s="12"/>
      <c r="O12" s="13"/>
      <c r="P12" s="14"/>
      <c r="Q12" s="14"/>
    </row>
    <row r="13" spans="1:19">
      <c r="A13" s="2"/>
      <c r="B13" s="2"/>
      <c r="C13" s="2"/>
      <c r="D13" s="2"/>
      <c r="E13" s="2"/>
      <c r="F13" s="2"/>
      <c r="G13" s="2"/>
      <c r="H13" s="2"/>
      <c r="I13" s="7"/>
      <c r="J13" s="7"/>
      <c r="K13" s="2"/>
      <c r="L13" s="2"/>
      <c r="M13" s="11"/>
      <c r="N13" s="12"/>
      <c r="O13" s="13"/>
      <c r="P13" s="14"/>
      <c r="Q13" s="14"/>
    </row>
    <row r="14" spans="1:19">
      <c r="A14" s="2"/>
      <c r="B14" s="2"/>
      <c r="C14" s="2"/>
      <c r="D14" s="2"/>
      <c r="E14" s="2"/>
      <c r="F14" s="2"/>
      <c r="G14" s="2"/>
      <c r="H14" s="2"/>
      <c r="I14" s="7"/>
      <c r="J14" s="7"/>
      <c r="K14" s="2"/>
      <c r="L14" s="2"/>
      <c r="M14" s="11"/>
      <c r="N14" s="12"/>
      <c r="O14" s="13"/>
      <c r="P14" s="14"/>
      <c r="Q14" s="14"/>
    </row>
    <row r="15" spans="1:19">
      <c r="A15" s="2"/>
      <c r="B15" s="2"/>
      <c r="C15" s="2"/>
      <c r="D15" s="2"/>
      <c r="E15" s="2"/>
      <c r="F15" s="2"/>
      <c r="G15" s="2"/>
      <c r="H15" s="2"/>
      <c r="I15" s="7"/>
      <c r="J15" s="7"/>
      <c r="K15" s="2"/>
      <c r="L15" s="2"/>
      <c r="M15" s="11"/>
      <c r="N15" s="12"/>
      <c r="O15" s="13"/>
      <c r="P15" s="14"/>
      <c r="Q15" s="14"/>
    </row>
    <row r="16" spans="1:19">
      <c r="A16" s="2"/>
      <c r="B16" s="2"/>
      <c r="C16" s="2"/>
      <c r="D16" s="2"/>
      <c r="E16" s="2"/>
      <c r="F16" s="2"/>
      <c r="G16" s="2"/>
      <c r="H16" s="2"/>
      <c r="I16" s="7"/>
      <c r="J16" s="7"/>
      <c r="K16" s="2"/>
      <c r="L16" s="2"/>
      <c r="M16" s="11"/>
      <c r="N16" s="12"/>
      <c r="O16" s="13"/>
      <c r="P16" s="14"/>
      <c r="Q16" s="14"/>
    </row>
    <row r="17" spans="1:17">
      <c r="A17" s="2"/>
      <c r="B17" s="2"/>
      <c r="C17" s="2"/>
      <c r="D17" s="2"/>
      <c r="E17" s="2"/>
      <c r="F17" s="2"/>
      <c r="G17" s="2"/>
      <c r="H17" s="2"/>
      <c r="I17" s="7"/>
      <c r="J17" s="7"/>
      <c r="K17" s="2"/>
      <c r="L17" s="2"/>
      <c r="M17" s="11"/>
      <c r="N17" s="12"/>
      <c r="O17" s="13"/>
      <c r="P17" s="14"/>
      <c r="Q17" s="14"/>
    </row>
    <row r="18" spans="1:17">
      <c r="A18" s="2"/>
      <c r="B18" s="2"/>
      <c r="C18" s="2"/>
      <c r="D18" s="2"/>
      <c r="E18" s="2"/>
      <c r="F18" s="2"/>
      <c r="G18" s="2"/>
      <c r="H18" s="2"/>
      <c r="I18" s="7"/>
      <c r="J18" s="7"/>
      <c r="K18" s="2"/>
      <c r="L18" s="2"/>
      <c r="M18" s="11"/>
      <c r="N18" s="12"/>
      <c r="O18" s="13"/>
      <c r="P18" s="14"/>
      <c r="Q18" s="14"/>
    </row>
    <row r="19" spans="1:17">
      <c r="A19" s="2"/>
      <c r="B19" s="2"/>
      <c r="C19" s="2"/>
      <c r="D19" s="2"/>
      <c r="E19" s="2"/>
      <c r="F19" s="2"/>
      <c r="G19" s="2"/>
      <c r="H19" s="2"/>
      <c r="I19" s="7"/>
      <c r="J19" s="7"/>
      <c r="K19" s="2"/>
      <c r="L19" s="2"/>
      <c r="M19" s="11"/>
      <c r="N19" s="12"/>
      <c r="O19" s="13"/>
      <c r="P19" s="14"/>
      <c r="Q19" s="14"/>
    </row>
    <row r="20" spans="1:17">
      <c r="A20" s="2"/>
      <c r="B20" s="2"/>
      <c r="C20" s="2"/>
      <c r="D20" s="2"/>
      <c r="E20" s="2"/>
      <c r="F20" s="2"/>
      <c r="G20" s="2"/>
      <c r="H20" s="2"/>
      <c r="I20" s="7"/>
      <c r="J20" s="7"/>
      <c r="K20" s="2"/>
      <c r="L20" s="2"/>
      <c r="M20" s="11"/>
      <c r="N20" s="12"/>
      <c r="O20" s="13"/>
      <c r="P20" s="14"/>
      <c r="Q20" s="14"/>
    </row>
    <row r="21" spans="1:17">
      <c r="A21" s="2"/>
      <c r="B21" s="2"/>
      <c r="C21" s="2"/>
      <c r="D21" s="2"/>
      <c r="E21" s="2"/>
      <c r="F21" s="2"/>
      <c r="G21" s="2"/>
      <c r="H21" s="2"/>
      <c r="I21" s="7"/>
      <c r="J21" s="7"/>
      <c r="K21" s="2"/>
      <c r="L21" s="2"/>
      <c r="M21" s="11"/>
      <c r="N21" s="12"/>
      <c r="O21" s="13"/>
      <c r="P21" s="14"/>
      <c r="Q21" s="14"/>
    </row>
    <row r="22" spans="1:17">
      <c r="A22" s="2"/>
      <c r="B22" s="2"/>
      <c r="C22" s="2"/>
      <c r="D22" s="2"/>
      <c r="E22" s="2"/>
      <c r="F22" s="2"/>
      <c r="G22" s="2"/>
      <c r="H22" s="2"/>
      <c r="I22" s="7"/>
      <c r="J22" s="7"/>
      <c r="K22" s="2"/>
      <c r="L22" s="2"/>
      <c r="M22" s="11"/>
      <c r="N22" s="12"/>
      <c r="O22" s="13"/>
      <c r="P22" s="14"/>
      <c r="Q22" s="14"/>
    </row>
    <row r="23" spans="1:17">
      <c r="A23" s="2"/>
      <c r="B23" s="2"/>
      <c r="C23" s="2"/>
      <c r="D23" s="2"/>
      <c r="E23" s="2"/>
      <c r="F23" s="2"/>
      <c r="G23" s="2"/>
      <c r="H23" s="2"/>
      <c r="I23" s="7"/>
      <c r="J23" s="7"/>
      <c r="K23" s="2"/>
      <c r="L23" s="2"/>
      <c r="M23" s="11"/>
      <c r="N23" s="12"/>
      <c r="O23" s="13"/>
      <c r="P23" s="14"/>
      <c r="Q23" s="14"/>
    </row>
    <row r="24" spans="1:17">
      <c r="A24" s="2"/>
      <c r="B24" s="2"/>
      <c r="C24" s="2"/>
      <c r="D24" s="2"/>
      <c r="E24" s="2"/>
      <c r="F24" s="2"/>
      <c r="G24" s="2"/>
      <c r="H24" s="2"/>
      <c r="I24" s="7"/>
      <c r="J24" s="7"/>
      <c r="K24" s="2"/>
      <c r="L24" s="2"/>
      <c r="M24" s="11"/>
      <c r="N24" s="12"/>
      <c r="O24" s="13"/>
      <c r="P24" s="14"/>
      <c r="Q24" s="14"/>
    </row>
    <row r="25" spans="1:17">
      <c r="A25" s="2"/>
      <c r="B25" s="2"/>
      <c r="C25" s="2"/>
      <c r="D25" s="2"/>
      <c r="E25" s="2"/>
      <c r="F25" s="2"/>
      <c r="G25" s="2"/>
      <c r="H25" s="2"/>
      <c r="I25" s="7"/>
      <c r="J25" s="7"/>
      <c r="K25" s="2"/>
      <c r="L25" s="2"/>
      <c r="M25" s="11"/>
      <c r="N25" s="12"/>
      <c r="O25" s="13"/>
      <c r="P25" s="14"/>
      <c r="Q25" s="14"/>
    </row>
    <row r="26" spans="1:17">
      <c r="A26" s="2"/>
      <c r="B26" s="2"/>
      <c r="C26" s="2"/>
      <c r="D26" s="2"/>
      <c r="E26" s="2"/>
      <c r="F26" s="2"/>
      <c r="G26" s="2"/>
      <c r="H26" s="2"/>
      <c r="I26" s="7"/>
      <c r="J26" s="7"/>
      <c r="K26" s="2"/>
      <c r="L26" s="2"/>
      <c r="M26" s="11"/>
      <c r="N26" s="12"/>
      <c r="O26" s="13"/>
      <c r="P26" s="14"/>
      <c r="Q26" s="14"/>
    </row>
    <row r="27" spans="1:17">
      <c r="A27" s="2"/>
      <c r="B27" s="2"/>
      <c r="C27" s="2"/>
      <c r="D27" s="2"/>
      <c r="E27" s="2"/>
      <c r="F27" s="2"/>
      <c r="G27" s="2"/>
      <c r="H27" s="2"/>
      <c r="I27" s="7"/>
      <c r="J27" s="7"/>
      <c r="K27" s="2"/>
      <c r="L27" s="2"/>
      <c r="M27" s="11"/>
      <c r="N27" s="12"/>
      <c r="O27" s="13"/>
      <c r="P27" s="14"/>
      <c r="Q27" s="14"/>
    </row>
    <row r="28" spans="1:17">
      <c r="A28" s="2"/>
      <c r="B28" s="2"/>
      <c r="C28" s="2"/>
      <c r="D28" s="2"/>
      <c r="E28" s="2"/>
      <c r="F28" s="2"/>
      <c r="G28" s="2"/>
      <c r="H28" s="2"/>
      <c r="I28" s="7"/>
      <c r="J28" s="7"/>
      <c r="K28" s="2"/>
      <c r="L28" s="2"/>
      <c r="M28" s="11"/>
      <c r="N28" s="12"/>
      <c r="O28" s="13"/>
      <c r="P28" s="14"/>
      <c r="Q28" s="14"/>
    </row>
    <row r="29" spans="1:17">
      <c r="A29" s="2"/>
      <c r="B29" s="2"/>
      <c r="C29" s="2"/>
      <c r="D29" s="2"/>
      <c r="E29" s="2"/>
      <c r="F29" s="2"/>
      <c r="G29" s="2"/>
      <c r="H29" s="2"/>
      <c r="I29" s="7"/>
      <c r="J29" s="7"/>
      <c r="K29" s="2"/>
      <c r="L29" s="2"/>
      <c r="M29" s="11"/>
      <c r="N29" s="12"/>
      <c r="O29" s="13"/>
      <c r="P29" s="14"/>
      <c r="Q29" s="14"/>
    </row>
    <row r="30" spans="1:17">
      <c r="A30" s="2"/>
      <c r="B30" s="2"/>
      <c r="C30" s="2"/>
      <c r="D30" s="2"/>
      <c r="E30" s="2"/>
      <c r="F30" s="2"/>
      <c r="G30" s="2"/>
      <c r="H30" s="2"/>
      <c r="I30" s="7"/>
      <c r="J30" s="7"/>
      <c r="K30" s="2"/>
      <c r="L30" s="2"/>
      <c r="M30" s="11"/>
      <c r="N30" s="12"/>
      <c r="O30" s="13"/>
      <c r="P30" s="14"/>
      <c r="Q30" s="14"/>
    </row>
    <row r="31" spans="1:17">
      <c r="A31" s="2"/>
      <c r="B31" s="2"/>
      <c r="C31" s="2"/>
      <c r="D31" s="2"/>
      <c r="E31" s="2"/>
      <c r="F31" s="2"/>
      <c r="G31" s="2"/>
      <c r="H31" s="2"/>
      <c r="I31" s="7"/>
      <c r="J31" s="7"/>
      <c r="K31" s="2"/>
      <c r="L31" s="2"/>
      <c r="M31" s="11"/>
      <c r="N31" s="12"/>
      <c r="O31" s="13"/>
      <c r="P31" s="14"/>
      <c r="Q31" s="14"/>
    </row>
    <row r="32" spans="1:17">
      <c r="A32" s="2"/>
      <c r="B32" s="2"/>
      <c r="C32" s="2"/>
      <c r="D32" s="2"/>
      <c r="E32" s="2"/>
      <c r="F32" s="2"/>
      <c r="G32" s="2"/>
      <c r="H32" s="2"/>
      <c r="I32" s="7"/>
      <c r="J32" s="7"/>
      <c r="K32" s="2"/>
      <c r="L32" s="2"/>
      <c r="M32" s="11"/>
      <c r="N32" s="12"/>
      <c r="O32" s="13"/>
      <c r="P32" s="14"/>
      <c r="Q32" s="14"/>
    </row>
    <row r="33" spans="1:17">
      <c r="A33" s="2"/>
      <c r="B33" s="2"/>
      <c r="C33" s="2"/>
      <c r="D33" s="2"/>
      <c r="E33" s="2"/>
      <c r="F33" s="2"/>
      <c r="G33" s="2"/>
      <c r="H33" s="2"/>
      <c r="I33" s="7"/>
      <c r="J33" s="7"/>
      <c r="K33" s="2"/>
      <c r="L33" s="2"/>
      <c r="M33" s="11"/>
      <c r="N33" s="12"/>
      <c r="O33" s="13"/>
      <c r="P33" s="14"/>
      <c r="Q33" s="14"/>
    </row>
    <row r="34" spans="1:17">
      <c r="A34" s="2"/>
      <c r="B34" s="2"/>
      <c r="C34" s="2"/>
      <c r="D34" s="2"/>
      <c r="E34" s="2"/>
      <c r="F34" s="2"/>
      <c r="G34" s="2"/>
      <c r="H34" s="2"/>
      <c r="I34" s="7"/>
      <c r="J34" s="7"/>
      <c r="K34" s="2"/>
      <c r="L34" s="2"/>
      <c r="M34" s="11"/>
      <c r="N34" s="12"/>
      <c r="O34" s="13"/>
      <c r="P34" s="14"/>
      <c r="Q34" s="14"/>
    </row>
    <row r="35" spans="1:17">
      <c r="A35" s="2"/>
      <c r="B35" s="2"/>
      <c r="C35" s="2"/>
      <c r="D35" s="2"/>
      <c r="E35" s="2"/>
      <c r="F35" s="2"/>
      <c r="G35" s="2"/>
      <c r="H35" s="2"/>
      <c r="I35" s="7"/>
      <c r="J35" s="7"/>
      <c r="K35" s="2"/>
      <c r="L35" s="2"/>
      <c r="M35" s="11"/>
      <c r="N35" s="12"/>
      <c r="O35" s="13"/>
      <c r="P35" s="14"/>
      <c r="Q35" s="14"/>
    </row>
    <row r="36" spans="1:17">
      <c r="A36" s="2"/>
      <c r="B36" s="2"/>
      <c r="C36" s="2"/>
      <c r="D36" s="2"/>
      <c r="E36" s="2"/>
      <c r="F36" s="2"/>
      <c r="G36" s="2"/>
      <c r="H36" s="2"/>
      <c r="I36" s="7"/>
      <c r="J36" s="7"/>
      <c r="K36" s="2"/>
      <c r="L36" s="2"/>
      <c r="M36" s="11"/>
      <c r="N36" s="12"/>
      <c r="O36" s="13"/>
      <c r="P36" s="14"/>
      <c r="Q36" s="14"/>
    </row>
    <row r="37" spans="1:17">
      <c r="A37" s="2"/>
      <c r="B37" s="2"/>
      <c r="C37" s="2"/>
      <c r="D37" s="2"/>
      <c r="E37" s="2"/>
      <c r="F37" s="2"/>
      <c r="G37" s="2"/>
      <c r="H37" s="2"/>
      <c r="I37" s="7"/>
      <c r="J37" s="7"/>
      <c r="K37" s="2"/>
      <c r="L37" s="2"/>
      <c r="M37" s="11"/>
      <c r="N37" s="12"/>
      <c r="O37" s="13"/>
      <c r="P37" s="14"/>
      <c r="Q37" s="14"/>
    </row>
    <row r="38" spans="1:17">
      <c r="A38" s="2"/>
      <c r="B38" s="2"/>
      <c r="C38" s="2"/>
      <c r="D38" s="2"/>
      <c r="E38" s="2"/>
      <c r="F38" s="2"/>
      <c r="G38" s="2"/>
      <c r="H38" s="2"/>
      <c r="I38" s="7"/>
      <c r="J38" s="7"/>
      <c r="K38" s="2"/>
      <c r="L38" s="2"/>
      <c r="M38" s="11"/>
      <c r="N38" s="12"/>
      <c r="O38" s="13"/>
      <c r="P38" s="14"/>
      <c r="Q38" s="14"/>
    </row>
    <row r="39" spans="1:17">
      <c r="A39" s="2"/>
      <c r="B39" s="2"/>
      <c r="C39" s="2"/>
      <c r="D39" s="2"/>
      <c r="E39" s="2"/>
      <c r="F39" s="2"/>
      <c r="G39" s="2"/>
      <c r="H39" s="2"/>
      <c r="I39" s="7"/>
      <c r="J39" s="7"/>
      <c r="K39" s="2"/>
      <c r="L39" s="2"/>
      <c r="M39" s="11"/>
      <c r="N39" s="12"/>
      <c r="O39" s="13"/>
      <c r="P39" s="14"/>
      <c r="Q39" s="14"/>
    </row>
    <row r="40" spans="1:17">
      <c r="A40" s="2"/>
      <c r="B40" s="2"/>
      <c r="C40" s="2"/>
      <c r="D40" s="2"/>
      <c r="E40" s="2"/>
      <c r="F40" s="2"/>
      <c r="G40" s="2"/>
      <c r="H40" s="2"/>
      <c r="I40" s="7"/>
      <c r="J40" s="7"/>
      <c r="K40" s="2"/>
      <c r="L40" s="2"/>
      <c r="M40" s="11"/>
      <c r="N40" s="12"/>
      <c r="O40" s="13"/>
      <c r="P40" s="14"/>
      <c r="Q40" s="14"/>
    </row>
    <row r="41" spans="1:17">
      <c r="A41" s="2"/>
      <c r="B41" s="2"/>
      <c r="C41" s="2"/>
      <c r="D41" s="2"/>
      <c r="E41" s="2"/>
      <c r="F41" s="2"/>
      <c r="G41" s="2"/>
      <c r="H41" s="2"/>
      <c r="I41" s="7"/>
      <c r="J41" s="7"/>
      <c r="K41" s="2"/>
      <c r="L41" s="2"/>
      <c r="M41" s="11"/>
      <c r="N41" s="12"/>
      <c r="O41" s="13"/>
      <c r="P41" s="14"/>
      <c r="Q41" s="14"/>
    </row>
    <row r="42" spans="1:17">
      <c r="A42" s="2"/>
      <c r="B42" s="2"/>
      <c r="C42" s="2"/>
      <c r="D42" s="2"/>
      <c r="E42" s="2"/>
      <c r="F42" s="2"/>
      <c r="G42" s="2"/>
      <c r="H42" s="2"/>
      <c r="I42" s="7"/>
      <c r="J42" s="7"/>
      <c r="K42" s="2"/>
      <c r="L42" s="2"/>
      <c r="M42" s="11"/>
      <c r="N42" s="12"/>
      <c r="O42" s="13"/>
      <c r="P42" s="14"/>
      <c r="Q42" s="14"/>
    </row>
    <row r="43" spans="1:17">
      <c r="A43" s="2"/>
      <c r="B43" s="2"/>
      <c r="C43" s="2"/>
      <c r="D43" s="2"/>
      <c r="E43" s="2"/>
      <c r="F43" s="2"/>
      <c r="G43" s="2"/>
      <c r="H43" s="2"/>
      <c r="I43" s="7"/>
      <c r="J43" s="7"/>
      <c r="K43" s="2"/>
      <c r="L43" s="2"/>
      <c r="M43" s="11"/>
      <c r="N43" s="12"/>
      <c r="O43" s="13"/>
      <c r="P43" s="14"/>
      <c r="Q43" s="14"/>
    </row>
    <row r="44" spans="1:17">
      <c r="A44" s="2"/>
      <c r="B44" s="2"/>
      <c r="C44" s="2"/>
      <c r="D44" s="2"/>
      <c r="E44" s="2"/>
      <c r="F44" s="2"/>
      <c r="G44" s="2"/>
      <c r="H44" s="2"/>
      <c r="I44" s="7"/>
      <c r="J44" s="7"/>
      <c r="K44" s="2"/>
      <c r="L44" s="2"/>
      <c r="M44" s="11"/>
      <c r="N44" s="12"/>
      <c r="O44" s="13"/>
      <c r="P44" s="14"/>
      <c r="Q44" s="14"/>
    </row>
    <row r="45" spans="1:17">
      <c r="A45" s="2"/>
      <c r="B45" s="2"/>
      <c r="C45" s="2"/>
      <c r="D45" s="2"/>
      <c r="E45" s="2"/>
      <c r="F45" s="2"/>
      <c r="G45" s="2"/>
      <c r="H45" s="2"/>
      <c r="I45" s="7"/>
      <c r="J45" s="7"/>
      <c r="K45" s="2"/>
      <c r="L45" s="2"/>
      <c r="M45" s="11"/>
      <c r="N45" s="12"/>
      <c r="O45" s="13"/>
      <c r="P45" s="14"/>
      <c r="Q45" s="14"/>
    </row>
    <row r="46" spans="1:17">
      <c r="A46" s="2"/>
      <c r="B46" s="2"/>
      <c r="C46" s="2"/>
      <c r="D46" s="2"/>
      <c r="E46" s="2"/>
      <c r="F46" s="2"/>
      <c r="G46" s="2"/>
      <c r="H46" s="2"/>
      <c r="I46" s="7"/>
      <c r="J46" s="7"/>
      <c r="K46" s="2"/>
      <c r="L46" s="2"/>
      <c r="M46" s="11"/>
      <c r="N46" s="12"/>
      <c r="O46" s="13"/>
      <c r="P46" s="14"/>
      <c r="Q46" s="14"/>
    </row>
    <row r="47" spans="1:17">
      <c r="A47" s="2"/>
      <c r="B47" s="2"/>
      <c r="C47" s="2"/>
      <c r="D47" s="2"/>
      <c r="E47" s="2"/>
      <c r="F47" s="2"/>
      <c r="G47" s="2"/>
      <c r="H47" s="2"/>
      <c r="I47" s="7"/>
      <c r="J47" s="7"/>
      <c r="K47" s="2"/>
      <c r="L47" s="2"/>
      <c r="M47" s="11"/>
      <c r="N47" s="12"/>
      <c r="O47" s="13"/>
      <c r="P47" s="14"/>
      <c r="Q47" s="14"/>
    </row>
    <row r="48" spans="1:17">
      <c r="A48" s="2"/>
      <c r="B48" s="2"/>
      <c r="C48" s="2"/>
      <c r="D48" s="2"/>
      <c r="E48" s="2"/>
      <c r="F48" s="2"/>
      <c r="G48" s="2"/>
      <c r="H48" s="2"/>
      <c r="I48" s="7"/>
      <c r="J48" s="7"/>
      <c r="K48" s="2"/>
      <c r="L48" s="2"/>
      <c r="M48" s="11"/>
      <c r="N48" s="12"/>
      <c r="O48" s="13"/>
      <c r="P48" s="14"/>
      <c r="Q48" s="14"/>
    </row>
    <row r="49" spans="1:17">
      <c r="A49" s="2"/>
      <c r="B49" s="2"/>
      <c r="C49" s="2"/>
      <c r="D49" s="2"/>
      <c r="E49" s="2"/>
      <c r="F49" s="2"/>
      <c r="G49" s="2"/>
      <c r="H49" s="2"/>
      <c r="I49" s="7"/>
      <c r="J49" s="7"/>
      <c r="K49" s="2"/>
      <c r="L49" s="2"/>
      <c r="M49" s="11"/>
      <c r="N49" s="12"/>
      <c r="O49" s="13"/>
      <c r="P49" s="14"/>
      <c r="Q49" s="14"/>
    </row>
    <row r="50" spans="1:17">
      <c r="A50" s="2"/>
      <c r="B50" s="2"/>
      <c r="C50" s="2"/>
      <c r="D50" s="2"/>
      <c r="E50" s="2"/>
      <c r="F50" s="2"/>
      <c r="G50" s="2"/>
      <c r="H50" s="2"/>
      <c r="I50" s="7"/>
      <c r="J50" s="7"/>
      <c r="K50" s="2"/>
      <c r="L50" s="2"/>
      <c r="M50" s="11"/>
      <c r="N50" s="12"/>
      <c r="O50" s="13"/>
      <c r="P50" s="14"/>
      <c r="Q50" s="14"/>
    </row>
    <row r="51" spans="1:17">
      <c r="A51" s="2"/>
      <c r="B51" s="2"/>
      <c r="C51" s="2"/>
      <c r="D51" s="2"/>
      <c r="E51" s="2"/>
      <c r="F51" s="2"/>
      <c r="G51" s="2"/>
      <c r="H51" s="2"/>
      <c r="I51" s="7"/>
      <c r="J51" s="7"/>
      <c r="K51" s="2"/>
      <c r="L51" s="2"/>
      <c r="M51" s="11"/>
      <c r="N51" s="12"/>
      <c r="O51" s="13"/>
      <c r="P51" s="14"/>
      <c r="Q51" s="14"/>
    </row>
    <row r="52" spans="1:17">
      <c r="A52" s="2"/>
      <c r="B52" s="2"/>
      <c r="C52" s="2"/>
      <c r="D52" s="2"/>
      <c r="E52" s="2"/>
      <c r="F52" s="2"/>
      <c r="G52" s="2"/>
      <c r="H52" s="2"/>
      <c r="I52" s="7"/>
      <c r="J52" s="7"/>
      <c r="K52" s="2"/>
      <c r="L52" s="2"/>
      <c r="M52" s="11"/>
      <c r="N52" s="12"/>
      <c r="O52" s="13"/>
      <c r="P52" s="14"/>
      <c r="Q52" s="14"/>
    </row>
    <row r="53" spans="1:17">
      <c r="A53" s="2"/>
      <c r="B53" s="2"/>
      <c r="C53" s="2"/>
      <c r="D53" s="2"/>
      <c r="E53" s="2"/>
      <c r="F53" s="2"/>
      <c r="G53" s="2"/>
      <c r="H53" s="2"/>
      <c r="I53" s="7"/>
      <c r="J53" s="7"/>
      <c r="K53" s="2"/>
      <c r="L53" s="2"/>
      <c r="M53" s="11"/>
      <c r="N53" s="12"/>
      <c r="O53" s="13"/>
      <c r="P53" s="14"/>
      <c r="Q53" s="14"/>
    </row>
    <row r="54" spans="1:17">
      <c r="A54" s="2"/>
      <c r="B54" s="2"/>
      <c r="C54" s="2"/>
      <c r="D54" s="2"/>
      <c r="E54" s="2"/>
      <c r="F54" s="2"/>
      <c r="G54" s="2"/>
      <c r="H54" s="2"/>
      <c r="I54" s="7"/>
      <c r="J54" s="7"/>
      <c r="K54" s="2"/>
      <c r="L54" s="2"/>
      <c r="M54" s="11"/>
      <c r="N54" s="12"/>
      <c r="O54" s="13"/>
      <c r="P54" s="14"/>
      <c r="Q54" s="14"/>
    </row>
    <row r="55" spans="1:17">
      <c r="A55" s="2"/>
      <c r="B55" s="2"/>
      <c r="C55" s="2"/>
      <c r="D55" s="2"/>
      <c r="E55" s="2"/>
      <c r="F55" s="2"/>
      <c r="G55" s="2"/>
      <c r="H55" s="2"/>
      <c r="I55" s="7"/>
      <c r="J55" s="7"/>
      <c r="K55" s="2"/>
      <c r="L55" s="2"/>
      <c r="M55" s="11"/>
      <c r="N55" s="12"/>
      <c r="O55" s="13"/>
      <c r="P55" s="14"/>
      <c r="Q55" s="14"/>
    </row>
    <row r="56" spans="1:17">
      <c r="A56" s="2"/>
      <c r="B56" s="2"/>
      <c r="C56" s="2"/>
      <c r="D56" s="2"/>
      <c r="E56" s="2"/>
      <c r="F56" s="2"/>
      <c r="G56" s="2"/>
      <c r="H56" s="2"/>
      <c r="I56" s="7"/>
      <c r="J56" s="7"/>
      <c r="K56" s="2"/>
      <c r="L56" s="2"/>
      <c r="M56" s="11"/>
      <c r="N56" s="12"/>
      <c r="O56" s="13"/>
      <c r="P56" s="14"/>
      <c r="Q56" s="14"/>
    </row>
    <row r="57" spans="1:17">
      <c r="A57" s="2"/>
      <c r="B57" s="2"/>
      <c r="C57" s="2"/>
      <c r="D57" s="2"/>
      <c r="E57" s="2"/>
      <c r="F57" s="2"/>
      <c r="G57" s="2"/>
      <c r="H57" s="2"/>
      <c r="I57" s="7"/>
      <c r="J57" s="7"/>
      <c r="K57" s="2"/>
      <c r="L57" s="2"/>
      <c r="M57" s="11"/>
      <c r="N57" s="12"/>
      <c r="O57" s="13"/>
      <c r="P57" s="14"/>
      <c r="Q57" s="14"/>
    </row>
    <row r="58" spans="1:17">
      <c r="A58" s="2"/>
      <c r="B58" s="2"/>
      <c r="C58" s="2"/>
      <c r="D58" s="2"/>
      <c r="E58" s="2"/>
      <c r="F58" s="2"/>
      <c r="G58" s="2"/>
      <c r="H58" s="2"/>
      <c r="I58" s="7"/>
      <c r="J58" s="7"/>
      <c r="K58" s="2"/>
      <c r="L58" s="2"/>
      <c r="M58" s="11"/>
      <c r="N58" s="12"/>
      <c r="O58" s="13"/>
      <c r="P58" s="14"/>
      <c r="Q58" s="14"/>
    </row>
    <row r="59" spans="1:17">
      <c r="A59" s="2"/>
      <c r="B59" s="2"/>
      <c r="C59" s="2"/>
      <c r="D59" s="2"/>
      <c r="E59" s="2"/>
      <c r="F59" s="2"/>
      <c r="G59" s="2"/>
      <c r="H59" s="2"/>
      <c r="I59" s="7"/>
      <c r="J59" s="7"/>
      <c r="K59" s="2"/>
      <c r="L59" s="2"/>
      <c r="M59" s="11"/>
      <c r="N59" s="12"/>
      <c r="O59" s="13"/>
      <c r="P59" s="14"/>
      <c r="Q59" s="14"/>
    </row>
    <row r="60" spans="1:17">
      <c r="A60" s="2"/>
      <c r="B60" s="2"/>
      <c r="C60" s="2"/>
      <c r="D60" s="2"/>
      <c r="E60" s="2"/>
      <c r="F60" s="2"/>
      <c r="G60" s="2"/>
      <c r="H60" s="2"/>
      <c r="I60" s="7"/>
      <c r="J60" s="7"/>
      <c r="K60" s="2"/>
      <c r="L60" s="2"/>
      <c r="M60" s="11"/>
      <c r="N60" s="12"/>
      <c r="O60" s="13"/>
      <c r="P60" s="14"/>
      <c r="Q60" s="14"/>
    </row>
    <row r="61" spans="1:17">
      <c r="A61" s="2"/>
      <c r="B61" s="2"/>
      <c r="C61" s="2"/>
      <c r="D61" s="2"/>
      <c r="E61" s="2"/>
      <c r="F61" s="2"/>
      <c r="G61" s="2"/>
      <c r="H61" s="2"/>
      <c r="I61" s="7"/>
      <c r="J61" s="7"/>
      <c r="K61" s="2"/>
      <c r="L61" s="2"/>
      <c r="M61" s="11"/>
      <c r="N61" s="12"/>
      <c r="O61" s="13"/>
      <c r="P61" s="14"/>
      <c r="Q61" s="14"/>
    </row>
    <row r="62" spans="1:17">
      <c r="A62" s="2"/>
      <c r="B62" s="2"/>
      <c r="C62" s="2"/>
      <c r="D62" s="2"/>
      <c r="E62" s="2"/>
      <c r="F62" s="2"/>
      <c r="G62" s="2"/>
      <c r="H62" s="2"/>
      <c r="I62" s="7"/>
      <c r="J62" s="7"/>
      <c r="K62" s="2"/>
      <c r="L62" s="2"/>
      <c r="M62" s="11"/>
      <c r="N62" s="12"/>
      <c r="O62" s="13"/>
      <c r="P62" s="14"/>
      <c r="Q62" s="14"/>
    </row>
    <row r="63" spans="1:17">
      <c r="A63" s="2"/>
      <c r="B63" s="2"/>
      <c r="C63" s="2"/>
      <c r="D63" s="2"/>
      <c r="E63" s="2"/>
      <c r="F63" s="2"/>
      <c r="G63" s="2"/>
      <c r="H63" s="2"/>
      <c r="I63" s="7"/>
      <c r="J63" s="7"/>
      <c r="K63" s="2"/>
      <c r="L63" s="2"/>
      <c r="M63" s="11"/>
      <c r="N63" s="12"/>
      <c r="O63" s="13"/>
      <c r="P63" s="14"/>
      <c r="Q63" s="14"/>
    </row>
    <row r="64" spans="1:17">
      <c r="A64" s="2"/>
      <c r="B64" s="2"/>
      <c r="C64" s="2"/>
      <c r="D64" s="2"/>
      <c r="E64" s="2"/>
      <c r="F64" s="2"/>
      <c r="G64" s="2"/>
      <c r="H64" s="2"/>
      <c r="I64" s="7"/>
      <c r="J64" s="7"/>
      <c r="K64" s="2"/>
      <c r="L64" s="2"/>
      <c r="M64" s="11"/>
      <c r="N64" s="12"/>
      <c r="O64" s="13"/>
      <c r="P64" s="14"/>
      <c r="Q64" s="14"/>
    </row>
    <row r="65" spans="1:17">
      <c r="A65" s="2"/>
      <c r="B65" s="2"/>
      <c r="C65" s="2"/>
      <c r="D65" s="2"/>
      <c r="E65" s="2"/>
      <c r="F65" s="2"/>
      <c r="G65" s="2"/>
      <c r="H65" s="2"/>
      <c r="I65" s="7"/>
      <c r="J65" s="7"/>
      <c r="K65" s="2"/>
      <c r="L65" s="2"/>
      <c r="M65" s="11"/>
      <c r="N65" s="12"/>
      <c r="O65" s="13"/>
      <c r="P65" s="14"/>
      <c r="Q65" s="14"/>
    </row>
    <row r="66" spans="1:17">
      <c r="A66" s="2"/>
      <c r="B66" s="2"/>
      <c r="C66" s="2"/>
      <c r="D66" s="2"/>
      <c r="E66" s="2"/>
      <c r="F66" s="2"/>
      <c r="G66" s="2"/>
      <c r="H66" s="2"/>
      <c r="I66" s="7"/>
      <c r="J66" s="7"/>
      <c r="K66" s="2"/>
      <c r="L66" s="2"/>
      <c r="M66" s="11"/>
      <c r="N66" s="12"/>
      <c r="O66" s="13"/>
      <c r="P66" s="14"/>
      <c r="Q66" s="14"/>
    </row>
    <row r="67" spans="1:17">
      <c r="A67" s="2"/>
      <c r="B67" s="2"/>
      <c r="C67" s="2"/>
      <c r="D67" s="2"/>
      <c r="E67" s="2"/>
      <c r="F67" s="2"/>
      <c r="G67" s="2"/>
      <c r="H67" s="2"/>
      <c r="I67" s="7"/>
      <c r="J67" s="7"/>
      <c r="K67" s="2"/>
      <c r="L67" s="2"/>
      <c r="M67" s="11"/>
      <c r="N67" s="12"/>
      <c r="O67" s="13"/>
      <c r="P67" s="14"/>
      <c r="Q67" s="14"/>
    </row>
    <row r="68" spans="1:17">
      <c r="A68" s="2"/>
      <c r="B68" s="2"/>
      <c r="C68" s="2"/>
      <c r="D68" s="2"/>
      <c r="E68" s="2"/>
      <c r="F68" s="2"/>
      <c r="G68" s="2"/>
      <c r="H68" s="2"/>
      <c r="I68" s="7"/>
      <c r="J68" s="7"/>
      <c r="K68" s="2"/>
      <c r="L68" s="2"/>
      <c r="M68" s="11"/>
      <c r="N68" s="12"/>
      <c r="O68" s="13"/>
      <c r="P68" s="14"/>
      <c r="Q68" s="14"/>
    </row>
    <row r="69" spans="1:17">
      <c r="A69" s="2"/>
      <c r="B69" s="2"/>
      <c r="C69" s="2"/>
      <c r="D69" s="2"/>
      <c r="E69" s="2"/>
      <c r="F69" s="2"/>
      <c r="G69" s="2"/>
      <c r="H69" s="2"/>
      <c r="I69" s="7"/>
      <c r="J69" s="7"/>
      <c r="K69" s="2"/>
      <c r="L69" s="2"/>
      <c r="M69" s="11"/>
      <c r="N69" s="12"/>
      <c r="O69" s="13"/>
      <c r="P69" s="14"/>
      <c r="Q69" s="14"/>
    </row>
    <row r="70" spans="1:17">
      <c r="A70" s="2"/>
      <c r="B70" s="2"/>
      <c r="C70" s="2"/>
      <c r="D70" s="2"/>
      <c r="E70" s="2"/>
      <c r="F70" s="2"/>
      <c r="G70" s="2"/>
      <c r="H70" s="2"/>
      <c r="I70" s="7"/>
      <c r="J70" s="7"/>
      <c r="K70" s="2"/>
      <c r="L70" s="2"/>
      <c r="M70" s="11"/>
      <c r="N70" s="12"/>
      <c r="O70" s="13"/>
      <c r="P70" s="14"/>
      <c r="Q70" s="14"/>
    </row>
    <row r="71" spans="1:17">
      <c r="A71" s="2"/>
      <c r="B71" s="2"/>
      <c r="C71" s="2"/>
      <c r="D71" s="2"/>
      <c r="E71" s="2"/>
      <c r="F71" s="2"/>
      <c r="G71" s="2"/>
      <c r="H71" s="2"/>
      <c r="I71" s="7"/>
      <c r="J71" s="7"/>
      <c r="K71" s="2"/>
      <c r="L71" s="2"/>
      <c r="M71" s="11"/>
      <c r="N71" s="12"/>
      <c r="O71" s="13"/>
      <c r="P71" s="14"/>
      <c r="Q71" s="14"/>
    </row>
    <row r="72" spans="1:17">
      <c r="A72" s="2"/>
      <c r="B72" s="2"/>
      <c r="C72" s="2"/>
      <c r="D72" s="2"/>
      <c r="E72" s="2"/>
      <c r="F72" s="2"/>
      <c r="G72" s="2"/>
      <c r="H72" s="2"/>
      <c r="I72" s="7"/>
      <c r="J72" s="7"/>
      <c r="K72" s="2"/>
      <c r="L72" s="2"/>
      <c r="M72" s="11"/>
      <c r="N72" s="12"/>
      <c r="O72" s="13"/>
      <c r="P72" s="14"/>
      <c r="Q72" s="14"/>
    </row>
    <row r="73" spans="1:17">
      <c r="A73" s="2"/>
      <c r="B73" s="2"/>
      <c r="C73" s="2"/>
      <c r="D73" s="2"/>
      <c r="E73" s="2"/>
      <c r="F73" s="2"/>
      <c r="G73" s="2"/>
      <c r="H73" s="2"/>
      <c r="I73" s="7"/>
      <c r="J73" s="7"/>
      <c r="K73" s="2"/>
      <c r="L73" s="2"/>
      <c r="M73" s="11"/>
      <c r="N73" s="12"/>
      <c r="O73" s="13"/>
      <c r="P73" s="14"/>
      <c r="Q73" s="14"/>
    </row>
    <row r="74" spans="1:17">
      <c r="A74" s="2"/>
      <c r="B74" s="2"/>
      <c r="C74" s="2"/>
      <c r="D74" s="2"/>
      <c r="E74" s="2"/>
      <c r="F74" s="2"/>
      <c r="G74" s="2"/>
      <c r="H74" s="2"/>
      <c r="I74" s="7"/>
      <c r="J74" s="7"/>
      <c r="K74" s="2"/>
      <c r="L74" s="2"/>
      <c r="M74" s="11"/>
      <c r="N74" s="12"/>
      <c r="O74" s="13"/>
      <c r="P74" s="14"/>
      <c r="Q74" s="14"/>
    </row>
    <row r="75" spans="1:17">
      <c r="A75" s="2"/>
      <c r="B75" s="2"/>
      <c r="C75" s="2"/>
      <c r="D75" s="2"/>
      <c r="E75" s="2"/>
      <c r="F75" s="2"/>
      <c r="G75" s="2"/>
      <c r="H75" s="2"/>
      <c r="I75" s="7"/>
      <c r="J75" s="7"/>
      <c r="K75" s="2"/>
      <c r="L75" s="2"/>
      <c r="M75" s="11"/>
      <c r="N75" s="12"/>
      <c r="O75" s="13"/>
      <c r="P75" s="14"/>
      <c r="Q75" s="14"/>
    </row>
    <row r="76" spans="1:17">
      <c r="A76" s="2"/>
      <c r="B76" s="2"/>
      <c r="C76" s="2"/>
      <c r="D76" s="2"/>
      <c r="E76" s="2"/>
      <c r="F76" s="2"/>
      <c r="G76" s="2"/>
      <c r="H76" s="2"/>
      <c r="I76" s="7"/>
      <c r="J76" s="7"/>
      <c r="K76" s="2"/>
      <c r="L76" s="2"/>
      <c r="M76" s="11"/>
      <c r="N76" s="12"/>
      <c r="O76" s="13"/>
      <c r="P76" s="14"/>
      <c r="Q76" s="14"/>
    </row>
    <row r="77" spans="1:17">
      <c r="A77" s="2"/>
      <c r="B77" s="2"/>
      <c r="C77" s="2"/>
      <c r="D77" s="2"/>
      <c r="E77" s="2"/>
      <c r="F77" s="2"/>
      <c r="G77" s="2"/>
      <c r="H77" s="2"/>
      <c r="I77" s="7"/>
      <c r="J77" s="7"/>
      <c r="K77" s="2"/>
      <c r="L77" s="2"/>
      <c r="M77" s="11"/>
      <c r="N77" s="12"/>
      <c r="O77" s="13"/>
      <c r="P77" s="14"/>
      <c r="Q77" s="14"/>
    </row>
    <row r="78" spans="1:17">
      <c r="A78" s="2"/>
      <c r="B78" s="2"/>
      <c r="C78" s="2"/>
      <c r="D78" s="2"/>
      <c r="E78" s="2"/>
      <c r="F78" s="2"/>
      <c r="G78" s="2"/>
      <c r="H78" s="2"/>
      <c r="I78" s="7"/>
      <c r="J78" s="7"/>
      <c r="K78" s="2"/>
      <c r="L78" s="2"/>
      <c r="M78" s="11"/>
      <c r="N78" s="12"/>
      <c r="O78" s="13"/>
      <c r="P78" s="14"/>
      <c r="Q78" s="14"/>
    </row>
    <row r="79" spans="1:17">
      <c r="A79" s="2"/>
      <c r="B79" s="2"/>
      <c r="C79" s="2"/>
      <c r="D79" s="2"/>
      <c r="E79" s="2"/>
      <c r="F79" s="2"/>
      <c r="G79" s="2"/>
      <c r="H79" s="2"/>
      <c r="I79" s="7"/>
      <c r="J79" s="7"/>
      <c r="K79" s="2"/>
      <c r="L79" s="2"/>
      <c r="M79" s="11"/>
      <c r="N79" s="12"/>
      <c r="O79" s="13"/>
      <c r="P79" s="14"/>
      <c r="Q79" s="14"/>
    </row>
    <row r="80" spans="1:17">
      <c r="A80" s="2"/>
      <c r="B80" s="2"/>
      <c r="C80" s="2"/>
      <c r="D80" s="2"/>
      <c r="E80" s="2"/>
      <c r="F80" s="2"/>
      <c r="G80" s="2"/>
      <c r="H80" s="2"/>
      <c r="I80" s="7"/>
      <c r="J80" s="7"/>
      <c r="K80" s="2"/>
      <c r="L80" s="2"/>
      <c r="M80" s="11"/>
      <c r="N80" s="12"/>
      <c r="O80" s="13"/>
      <c r="P80" s="14"/>
      <c r="Q80" s="14"/>
    </row>
    <row r="81" spans="1:17">
      <c r="A81" s="2"/>
      <c r="B81" s="2"/>
      <c r="C81" s="2"/>
      <c r="D81" s="2"/>
      <c r="E81" s="2"/>
      <c r="F81" s="2"/>
      <c r="G81" s="2"/>
      <c r="H81" s="2"/>
      <c r="I81" s="7"/>
      <c r="J81" s="7"/>
      <c r="K81" s="2"/>
      <c r="L81" s="2"/>
      <c r="M81" s="11"/>
      <c r="N81" s="12"/>
      <c r="O81" s="13"/>
      <c r="P81" s="14"/>
      <c r="Q81" s="14"/>
    </row>
    <row r="82" spans="1:17">
      <c r="A82" s="2"/>
      <c r="B82" s="2"/>
      <c r="C82" s="2"/>
      <c r="D82" s="2"/>
      <c r="E82" s="2"/>
      <c r="F82" s="2"/>
      <c r="G82" s="2"/>
      <c r="H82" s="2"/>
      <c r="I82" s="7"/>
      <c r="J82" s="7"/>
      <c r="K82" s="2"/>
      <c r="L82" s="2"/>
      <c r="M82" s="11"/>
      <c r="N82" s="12"/>
      <c r="O82" s="13"/>
      <c r="P82" s="14"/>
      <c r="Q82" s="14"/>
    </row>
    <row r="83" spans="1:17">
      <c r="A83" s="2"/>
      <c r="B83" s="2"/>
      <c r="C83" s="2"/>
      <c r="D83" s="2"/>
      <c r="E83" s="2"/>
      <c r="F83" s="2"/>
      <c r="G83" s="2"/>
      <c r="H83" s="2"/>
      <c r="I83" s="7"/>
      <c r="J83" s="7"/>
      <c r="K83" s="2"/>
      <c r="L83" s="2"/>
      <c r="M83" s="11"/>
      <c r="N83" s="12"/>
      <c r="O83" s="13"/>
      <c r="P83" s="14"/>
      <c r="Q83" s="14"/>
    </row>
    <row r="84" spans="1:17">
      <c r="A84" s="2"/>
      <c r="B84" s="2"/>
      <c r="C84" s="2"/>
      <c r="D84" s="2"/>
      <c r="E84" s="2"/>
      <c r="F84" s="2"/>
      <c r="G84" s="2"/>
      <c r="H84" s="2"/>
      <c r="I84" s="7"/>
      <c r="J84" s="7"/>
      <c r="K84" s="2"/>
      <c r="L84" s="2"/>
      <c r="M84" s="11"/>
      <c r="N84" s="12"/>
      <c r="O84" s="13"/>
      <c r="P84" s="14"/>
      <c r="Q84" s="14"/>
    </row>
    <row r="85" spans="1:17">
      <c r="A85" s="2"/>
      <c r="B85" s="2"/>
      <c r="C85" s="2"/>
      <c r="D85" s="2"/>
      <c r="E85" s="2"/>
      <c r="F85" s="2"/>
      <c r="G85" s="2"/>
      <c r="H85" s="2"/>
      <c r="I85" s="7"/>
      <c r="J85" s="7"/>
      <c r="K85" s="2"/>
      <c r="L85" s="2"/>
      <c r="M85" s="11"/>
      <c r="N85" s="12"/>
      <c r="O85" s="13"/>
      <c r="P85" s="14"/>
      <c r="Q85" s="14"/>
    </row>
    <row r="86" spans="1:17">
      <c r="A86" s="2"/>
      <c r="B86" s="2"/>
      <c r="C86" s="2"/>
      <c r="D86" s="2"/>
      <c r="E86" s="2"/>
      <c r="F86" s="2"/>
      <c r="G86" s="2"/>
      <c r="H86" s="2"/>
      <c r="I86" s="7"/>
      <c r="J86" s="7"/>
      <c r="K86" s="2"/>
      <c r="L86" s="2"/>
      <c r="M86" s="11"/>
      <c r="N86" s="12"/>
      <c r="O86" s="13"/>
      <c r="P86" s="14"/>
      <c r="Q86" s="14"/>
    </row>
    <row r="87" spans="1:17">
      <c r="A87" s="2"/>
      <c r="B87" s="2"/>
      <c r="C87" s="2"/>
      <c r="D87" s="2"/>
      <c r="E87" s="2"/>
      <c r="F87" s="2"/>
      <c r="G87" s="2"/>
      <c r="H87" s="2"/>
      <c r="I87" s="7"/>
      <c r="J87" s="7"/>
      <c r="K87" s="2"/>
      <c r="L87" s="2"/>
      <c r="M87" s="11"/>
      <c r="N87" s="12"/>
      <c r="O87" s="13"/>
      <c r="P87" s="14"/>
      <c r="Q87" s="14"/>
    </row>
    <row r="88" spans="1:17">
      <c r="A88" s="2"/>
      <c r="B88" s="2"/>
      <c r="C88" s="2"/>
      <c r="D88" s="2"/>
      <c r="E88" s="2"/>
      <c r="F88" s="2"/>
      <c r="G88" s="2"/>
      <c r="H88" s="2"/>
      <c r="I88" s="7"/>
      <c r="J88" s="7"/>
      <c r="K88" s="2"/>
      <c r="L88" s="2"/>
      <c r="M88" s="11"/>
      <c r="N88" s="12"/>
      <c r="O88" s="13"/>
      <c r="P88" s="14"/>
      <c r="Q88" s="14"/>
    </row>
    <row r="89" spans="1:17">
      <c r="A89" s="2"/>
      <c r="B89" s="2"/>
      <c r="C89" s="2"/>
      <c r="D89" s="2"/>
      <c r="E89" s="2"/>
      <c r="F89" s="2"/>
      <c r="G89" s="2"/>
      <c r="H89" s="2"/>
      <c r="I89" s="7"/>
      <c r="J89" s="7"/>
      <c r="K89" s="2"/>
      <c r="L89" s="2"/>
      <c r="M89" s="11"/>
      <c r="N89" s="12"/>
      <c r="O89" s="13"/>
      <c r="P89" s="14"/>
      <c r="Q89" s="14"/>
    </row>
    <row r="90" spans="1:17">
      <c r="A90" s="2"/>
      <c r="B90" s="2"/>
      <c r="C90" s="2"/>
      <c r="D90" s="2"/>
      <c r="E90" s="2"/>
      <c r="F90" s="2"/>
      <c r="G90" s="2"/>
      <c r="H90" s="2"/>
      <c r="I90" s="7"/>
      <c r="J90" s="7"/>
      <c r="K90" s="2"/>
      <c r="L90" s="2"/>
      <c r="M90" s="11"/>
      <c r="N90" s="12"/>
      <c r="O90" s="13"/>
      <c r="P90" s="14"/>
      <c r="Q90" s="14"/>
    </row>
    <row r="91" spans="1:17">
      <c r="A91" s="2"/>
      <c r="B91" s="2"/>
      <c r="C91" s="2"/>
      <c r="D91" s="2"/>
      <c r="E91" s="2"/>
      <c r="F91" s="2"/>
      <c r="G91" s="2"/>
      <c r="H91" s="2"/>
      <c r="I91" s="7"/>
      <c r="J91" s="7"/>
      <c r="K91" s="2"/>
      <c r="L91" s="2"/>
      <c r="M91" s="11"/>
      <c r="N91" s="12"/>
      <c r="O91" s="13"/>
      <c r="P91" s="14"/>
      <c r="Q91" s="14"/>
    </row>
    <row r="92" spans="1:17">
      <c r="A92" s="2"/>
      <c r="B92" s="2"/>
      <c r="C92" s="2"/>
      <c r="D92" s="2"/>
      <c r="E92" s="2"/>
      <c r="F92" s="2"/>
      <c r="G92" s="2"/>
      <c r="H92" s="2"/>
      <c r="I92" s="7"/>
      <c r="J92" s="7"/>
      <c r="K92" s="2"/>
      <c r="L92" s="2"/>
      <c r="M92" s="11"/>
      <c r="N92" s="12"/>
      <c r="O92" s="13"/>
      <c r="P92" s="14"/>
      <c r="Q92" s="14"/>
    </row>
    <row r="93" spans="1:17">
      <c r="A93" s="2"/>
      <c r="B93" s="2"/>
      <c r="C93" s="2"/>
      <c r="D93" s="2"/>
      <c r="E93" s="2"/>
      <c r="F93" s="2"/>
      <c r="G93" s="2"/>
      <c r="H93" s="2"/>
      <c r="I93" s="7"/>
      <c r="J93" s="7"/>
      <c r="K93" s="2"/>
      <c r="L93" s="2"/>
      <c r="M93" s="11"/>
      <c r="N93" s="12"/>
      <c r="O93" s="13"/>
      <c r="P93" s="14"/>
      <c r="Q93" s="14"/>
    </row>
    <row r="94" spans="1:17">
      <c r="A94" s="2"/>
      <c r="B94" s="2"/>
      <c r="C94" s="2"/>
      <c r="D94" s="2"/>
      <c r="E94" s="2"/>
      <c r="F94" s="2"/>
      <c r="G94" s="2"/>
      <c r="H94" s="2"/>
      <c r="I94" s="7"/>
      <c r="J94" s="7"/>
      <c r="K94" s="2"/>
      <c r="L94" s="2"/>
      <c r="M94" s="11"/>
      <c r="N94" s="12"/>
      <c r="O94" s="13"/>
      <c r="P94" s="14"/>
      <c r="Q94" s="14"/>
    </row>
    <row r="95" spans="1:17">
      <c r="A95" s="2"/>
      <c r="B95" s="2"/>
      <c r="C95" s="2"/>
      <c r="D95" s="2"/>
      <c r="E95" s="2"/>
      <c r="F95" s="2"/>
      <c r="G95" s="2"/>
      <c r="H95" s="2"/>
      <c r="I95" s="7"/>
      <c r="J95" s="7"/>
      <c r="K95" s="2"/>
      <c r="L95" s="2"/>
      <c r="M95" s="11"/>
      <c r="N95" s="12"/>
      <c r="O95" s="13"/>
      <c r="P95" s="14"/>
      <c r="Q95" s="14"/>
    </row>
    <row r="96" spans="1:17">
      <c r="A96" s="2"/>
      <c r="B96" s="2"/>
      <c r="C96" s="2"/>
      <c r="D96" s="2"/>
      <c r="E96" s="2"/>
      <c r="F96" s="2"/>
      <c r="G96" s="2"/>
      <c r="H96" s="2"/>
      <c r="I96" s="7"/>
      <c r="J96" s="7"/>
      <c r="K96" s="2"/>
      <c r="L96" s="2"/>
      <c r="M96" s="11"/>
      <c r="N96" s="12"/>
      <c r="O96" s="13"/>
      <c r="P96" s="14"/>
      <c r="Q96" s="14"/>
    </row>
    <row r="97" spans="1:17">
      <c r="A97" s="2"/>
      <c r="B97" s="2"/>
      <c r="C97" s="2"/>
      <c r="D97" s="2"/>
      <c r="E97" s="2"/>
      <c r="F97" s="2"/>
      <c r="G97" s="2"/>
      <c r="H97" s="2"/>
      <c r="I97" s="7"/>
      <c r="J97" s="7"/>
      <c r="K97" s="2"/>
      <c r="L97" s="2"/>
      <c r="M97" s="11"/>
      <c r="N97" s="12"/>
      <c r="O97" s="13"/>
      <c r="P97" s="14"/>
      <c r="Q97" s="14"/>
    </row>
    <row r="98" spans="1:17">
      <c r="A98" s="2"/>
      <c r="B98" s="2"/>
      <c r="C98" s="2"/>
      <c r="D98" s="2"/>
      <c r="E98" s="2"/>
      <c r="F98" s="2"/>
      <c r="G98" s="2"/>
      <c r="H98" s="2"/>
      <c r="I98" s="7"/>
      <c r="J98" s="7"/>
      <c r="K98" s="2"/>
      <c r="L98" s="2"/>
      <c r="M98" s="11"/>
      <c r="N98" s="12"/>
      <c r="O98" s="13"/>
      <c r="P98" s="14"/>
      <c r="Q98" s="14"/>
    </row>
    <row r="99" spans="1:17">
      <c r="A99" s="2"/>
      <c r="B99" s="2"/>
      <c r="C99" s="2"/>
      <c r="D99" s="2"/>
      <c r="E99" s="2"/>
      <c r="F99" s="2"/>
      <c r="G99" s="2"/>
      <c r="H99" s="2"/>
      <c r="I99" s="7"/>
      <c r="J99" s="7"/>
      <c r="K99" s="2"/>
      <c r="L99" s="2"/>
      <c r="M99" s="11"/>
      <c r="N99" s="12"/>
      <c r="O99" s="13"/>
      <c r="P99" s="14"/>
      <c r="Q99" s="14"/>
    </row>
    <row r="100" spans="1:17">
      <c r="A100" s="2"/>
      <c r="B100" s="2"/>
      <c r="C100" s="2"/>
      <c r="D100" s="2"/>
      <c r="E100" s="2"/>
      <c r="F100" s="2"/>
      <c r="G100" s="2"/>
      <c r="H100" s="2"/>
      <c r="I100" s="7"/>
      <c r="J100" s="7"/>
      <c r="K100" s="2"/>
      <c r="L100" s="2"/>
      <c r="M100" s="11"/>
      <c r="N100" s="12"/>
      <c r="O100" s="13"/>
      <c r="P100" s="14"/>
      <c r="Q100" s="14"/>
    </row>
    <row r="101" spans="1:17">
      <c r="A101" s="2"/>
      <c r="B101" s="2"/>
      <c r="C101" s="2"/>
      <c r="D101" s="2"/>
      <c r="E101" s="2"/>
      <c r="F101" s="2"/>
      <c r="G101" s="2"/>
      <c r="H101" s="2"/>
      <c r="I101" s="7"/>
      <c r="J101" s="7"/>
      <c r="K101" s="2"/>
      <c r="L101" s="2"/>
      <c r="M101" s="11"/>
      <c r="N101" s="12"/>
      <c r="O101" s="13"/>
      <c r="P101" s="14"/>
      <c r="Q101" s="14"/>
    </row>
    <row r="102" spans="1:17">
      <c r="A102" s="2"/>
      <c r="B102" s="2"/>
      <c r="C102" s="2"/>
      <c r="D102" s="2"/>
      <c r="E102" s="2"/>
      <c r="F102" s="2"/>
      <c r="G102" s="2"/>
      <c r="H102" s="2"/>
      <c r="I102" s="7"/>
      <c r="J102" s="7"/>
      <c r="K102" s="2"/>
      <c r="L102" s="2"/>
      <c r="M102" s="11"/>
      <c r="N102" s="12"/>
      <c r="O102" s="13"/>
      <c r="P102" s="14"/>
      <c r="Q102" s="14"/>
    </row>
    <row r="103" spans="1:17">
      <c r="A103" s="2"/>
      <c r="B103" s="2"/>
      <c r="C103" s="2"/>
      <c r="D103" s="2"/>
      <c r="E103" s="2"/>
      <c r="F103" s="2"/>
      <c r="G103" s="2"/>
      <c r="H103" s="2"/>
      <c r="I103" s="7"/>
      <c r="J103" s="7"/>
      <c r="K103" s="2"/>
      <c r="L103" s="2"/>
      <c r="M103" s="11"/>
      <c r="N103" s="12"/>
      <c r="O103" s="13"/>
      <c r="P103" s="14"/>
      <c r="Q103" s="14"/>
    </row>
    <row r="104" spans="1:17">
      <c r="A104" s="2"/>
      <c r="B104" s="2"/>
      <c r="C104" s="2"/>
      <c r="D104" s="2"/>
      <c r="E104" s="2"/>
      <c r="F104" s="2"/>
      <c r="G104" s="2"/>
      <c r="H104" s="2"/>
      <c r="I104" s="7"/>
      <c r="J104" s="7"/>
      <c r="K104" s="2"/>
      <c r="L104" s="2"/>
      <c r="M104" s="11"/>
      <c r="N104" s="12"/>
      <c r="O104" s="13"/>
      <c r="P104" s="14"/>
      <c r="Q104" s="14"/>
    </row>
    <row r="105" spans="1:17">
      <c r="A105" s="2"/>
      <c r="B105" s="2"/>
      <c r="C105" s="2"/>
      <c r="D105" s="2"/>
      <c r="E105" s="2"/>
      <c r="F105" s="2"/>
      <c r="G105" s="2"/>
      <c r="H105" s="2"/>
      <c r="I105" s="7"/>
      <c r="J105" s="7"/>
      <c r="K105" s="2"/>
      <c r="L105" s="2"/>
      <c r="M105" s="11"/>
      <c r="N105" s="12"/>
      <c r="O105" s="13"/>
      <c r="P105" s="14"/>
      <c r="Q105" s="14"/>
    </row>
    <row r="106" spans="1:17">
      <c r="A106" s="2"/>
      <c r="B106" s="2"/>
      <c r="C106" s="2"/>
      <c r="D106" s="2"/>
      <c r="E106" s="2"/>
      <c r="F106" s="2"/>
      <c r="G106" s="2"/>
      <c r="H106" s="2"/>
      <c r="I106" s="7"/>
      <c r="J106" s="7"/>
      <c r="K106" s="2"/>
      <c r="L106" s="2"/>
      <c r="M106" s="11"/>
      <c r="N106" s="12"/>
      <c r="O106" s="13"/>
      <c r="P106" s="14"/>
      <c r="Q106" s="14"/>
    </row>
    <row r="107" spans="1:17">
      <c r="A107" s="2"/>
      <c r="B107" s="2"/>
      <c r="C107" s="2"/>
      <c r="D107" s="2"/>
      <c r="E107" s="2"/>
      <c r="F107" s="2"/>
      <c r="G107" s="2"/>
      <c r="H107" s="2"/>
      <c r="I107" s="7"/>
      <c r="J107" s="7"/>
      <c r="K107" s="2"/>
      <c r="L107" s="2"/>
      <c r="M107" s="11"/>
      <c r="N107" s="12"/>
      <c r="O107" s="13"/>
      <c r="P107" s="14"/>
      <c r="Q107" s="14"/>
    </row>
    <row r="108" spans="1:17">
      <c r="A108" s="2"/>
      <c r="B108" s="2"/>
      <c r="C108" s="2"/>
      <c r="D108" s="2"/>
      <c r="E108" s="2"/>
      <c r="F108" s="2"/>
      <c r="G108" s="2"/>
      <c r="H108" s="2"/>
      <c r="I108" s="7"/>
      <c r="J108" s="7"/>
      <c r="K108" s="2"/>
      <c r="L108" s="2"/>
      <c r="M108" s="11"/>
      <c r="N108" s="12"/>
      <c r="O108" s="13"/>
      <c r="P108" s="14"/>
      <c r="Q108" s="14"/>
    </row>
    <row r="109" spans="1:17">
      <c r="A109" s="2"/>
      <c r="B109" s="2"/>
      <c r="C109" s="2"/>
      <c r="D109" s="2"/>
      <c r="E109" s="2"/>
      <c r="F109" s="2"/>
      <c r="G109" s="2"/>
      <c r="H109" s="2"/>
      <c r="I109" s="7"/>
      <c r="J109" s="7"/>
      <c r="K109" s="2"/>
      <c r="L109" s="2"/>
      <c r="M109" s="11"/>
      <c r="N109" s="12"/>
      <c r="O109" s="13"/>
      <c r="P109" s="14"/>
      <c r="Q109" s="14"/>
    </row>
    <row r="110" spans="1:17">
      <c r="A110" s="2"/>
      <c r="B110" s="2"/>
      <c r="C110" s="2"/>
      <c r="D110" s="2"/>
      <c r="E110" s="2"/>
      <c r="F110" s="2"/>
      <c r="G110" s="2"/>
      <c r="H110" s="2"/>
      <c r="I110" s="7"/>
      <c r="J110" s="7"/>
      <c r="K110" s="2"/>
      <c r="L110" s="2"/>
      <c r="M110" s="11"/>
      <c r="N110" s="12"/>
      <c r="O110" s="13"/>
      <c r="P110" s="14"/>
      <c r="Q110" s="14"/>
    </row>
    <row r="111" spans="1:17">
      <c r="A111" s="2"/>
      <c r="B111" s="2"/>
      <c r="C111" s="2"/>
      <c r="D111" s="2"/>
      <c r="E111" s="2"/>
      <c r="F111" s="2"/>
      <c r="G111" s="2"/>
      <c r="H111" s="2"/>
      <c r="I111" s="7"/>
      <c r="J111" s="7"/>
      <c r="K111" s="2"/>
      <c r="L111" s="2"/>
      <c r="M111" s="11"/>
      <c r="N111" s="12"/>
      <c r="O111" s="13"/>
      <c r="P111" s="14"/>
      <c r="Q111" s="14"/>
    </row>
    <row r="112" spans="1:17">
      <c r="A112" s="2"/>
      <c r="B112" s="2"/>
      <c r="C112" s="2"/>
      <c r="D112" s="2"/>
      <c r="E112" s="2"/>
      <c r="F112" s="2"/>
      <c r="G112" s="2"/>
      <c r="H112" s="2"/>
      <c r="I112" s="7"/>
      <c r="J112" s="7"/>
      <c r="K112" s="2"/>
      <c r="L112" s="2"/>
      <c r="M112" s="11"/>
      <c r="N112" s="12"/>
      <c r="O112" s="13"/>
      <c r="P112" s="14"/>
      <c r="Q112" s="14"/>
    </row>
    <row r="113" spans="1:17">
      <c r="A113" s="2"/>
      <c r="B113" s="2"/>
      <c r="C113" s="2"/>
      <c r="D113" s="2"/>
      <c r="E113" s="2"/>
      <c r="F113" s="2"/>
      <c r="G113" s="2"/>
      <c r="H113" s="2"/>
      <c r="I113" s="7"/>
      <c r="J113" s="7"/>
      <c r="K113" s="2"/>
      <c r="L113" s="2"/>
      <c r="M113" s="11"/>
      <c r="N113" s="12"/>
      <c r="O113" s="13"/>
      <c r="P113" s="14"/>
      <c r="Q113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6547-0AEE-2C48-9055-67B151732810}">
  <sheetPr>
    <tabColor rgb="FF00B050"/>
  </sheetPr>
  <dimension ref="A1:AD1140"/>
  <sheetViews>
    <sheetView tabSelected="1" zoomScaleNormal="100" workbookViewId="0">
      <pane xSplit="9" ySplit="2" topLeftCell="X1128" activePane="bottomRight" state="frozen"/>
      <selection pane="bottomRight" activeCell="C1138" sqref="C1138"/>
      <selection pane="bottomLeft" activeCell="A3" sqref="A3"/>
      <selection pane="topRight" activeCell="G1" sqref="G1"/>
    </sheetView>
  </sheetViews>
  <sheetFormatPr defaultColWidth="8.85546875" defaultRowHeight="15"/>
  <cols>
    <col min="2" max="2" width="13.7109375" style="7" customWidth="1"/>
    <col min="3" max="3" width="17.28515625" style="7" bestFit="1" customWidth="1"/>
    <col min="4" max="4" width="17.28515625" style="7" customWidth="1"/>
    <col min="5" max="10" width="15.7109375" style="7" customWidth="1"/>
    <col min="11" max="11" width="29" style="15" customWidth="1"/>
    <col min="12" max="12" width="15.7109375" style="28" customWidth="1"/>
    <col min="13" max="13" width="18.140625" style="15" customWidth="1"/>
    <col min="14" max="14" width="15.7109375" style="15" customWidth="1"/>
    <col min="15" max="15" width="24.7109375" style="15" bestFit="1" customWidth="1"/>
    <col min="16" max="16" width="22.28515625" style="15" customWidth="1"/>
    <col min="17" max="19" width="15.7109375" style="35" customWidth="1"/>
    <col min="20" max="20" width="8.85546875" style="35" customWidth="1"/>
    <col min="21" max="21" width="28.28515625" style="30" customWidth="1"/>
    <col min="22" max="22" width="8.42578125" style="40" bestFit="1" customWidth="1"/>
    <col min="23" max="27" width="15.7109375" style="35" customWidth="1"/>
    <col min="28" max="28" width="15.7109375" style="53" customWidth="1"/>
    <col min="29" max="30" width="15.28515625" bestFit="1" customWidth="1"/>
  </cols>
  <sheetData>
    <row r="1" spans="1:30" s="20" customFormat="1" ht="48" customHeight="1">
      <c r="B1" s="21" t="s">
        <v>32</v>
      </c>
      <c r="C1" s="21" t="s">
        <v>33</v>
      </c>
      <c r="D1" s="21" t="s">
        <v>34</v>
      </c>
      <c r="E1" s="22" t="s">
        <v>1</v>
      </c>
      <c r="F1" s="22" t="s">
        <v>2</v>
      </c>
      <c r="G1" s="22" t="s">
        <v>35</v>
      </c>
      <c r="H1" s="22" t="s">
        <v>36</v>
      </c>
      <c r="I1" s="22" t="s">
        <v>37</v>
      </c>
      <c r="J1" s="23" t="s">
        <v>38</v>
      </c>
      <c r="K1" s="23" t="s">
        <v>39</v>
      </c>
      <c r="L1" s="26" t="s">
        <v>4</v>
      </c>
      <c r="M1" s="23" t="s">
        <v>5</v>
      </c>
      <c r="N1" s="23" t="s">
        <v>6</v>
      </c>
      <c r="O1" s="23" t="s">
        <v>40</v>
      </c>
      <c r="P1" s="23" t="s">
        <v>7</v>
      </c>
      <c r="Q1" s="33" t="s">
        <v>8</v>
      </c>
      <c r="R1" s="33" t="s">
        <v>9</v>
      </c>
      <c r="S1" s="33" t="s">
        <v>10</v>
      </c>
      <c r="T1" s="33" t="s">
        <v>11</v>
      </c>
      <c r="U1" s="29" t="s">
        <v>12</v>
      </c>
      <c r="V1" s="39" t="s">
        <v>41</v>
      </c>
      <c r="W1" s="33" t="s">
        <v>42</v>
      </c>
      <c r="X1" s="33" t="s">
        <v>43</v>
      </c>
      <c r="Y1" s="33" t="s">
        <v>44</v>
      </c>
      <c r="Z1" s="33" t="s">
        <v>45</v>
      </c>
      <c r="AA1" s="37" t="s">
        <v>46</v>
      </c>
      <c r="AB1" s="51" t="s">
        <v>47</v>
      </c>
    </row>
    <row r="2" spans="1:30">
      <c r="B2" s="24"/>
      <c r="C2" s="24"/>
      <c r="D2" s="109"/>
      <c r="E2" s="25"/>
      <c r="F2" s="25"/>
      <c r="G2" s="25"/>
      <c r="H2" s="25"/>
      <c r="I2" s="25"/>
      <c r="J2" s="25"/>
      <c r="K2" s="25"/>
      <c r="L2" s="27"/>
      <c r="M2" s="25"/>
      <c r="N2" s="25"/>
      <c r="O2" s="25"/>
      <c r="P2" s="25"/>
      <c r="Q2" s="36"/>
      <c r="R2" s="36"/>
      <c r="S2" s="34"/>
      <c r="T2" s="34"/>
      <c r="U2" s="41"/>
      <c r="V2" s="42"/>
      <c r="W2" s="43"/>
      <c r="X2" s="36"/>
      <c r="Y2" s="36"/>
      <c r="Z2" s="36"/>
      <c r="AA2" s="38"/>
      <c r="AB2" s="52"/>
    </row>
    <row r="3" spans="1:30" s="55" customFormat="1" ht="15" customHeight="1">
      <c r="A3" s="57"/>
      <c r="B3" s="58" t="s">
        <v>48</v>
      </c>
      <c r="C3" s="58" t="s">
        <v>49</v>
      </c>
      <c r="D3" s="58"/>
      <c r="E3" s="58" t="s">
        <v>20</v>
      </c>
      <c r="F3" s="58" t="s">
        <v>21</v>
      </c>
      <c r="G3" s="58" t="s">
        <v>50</v>
      </c>
      <c r="H3" s="58"/>
      <c r="I3" s="58" t="s">
        <v>51</v>
      </c>
      <c r="J3" s="58"/>
      <c r="K3" s="58" t="s">
        <v>52</v>
      </c>
      <c r="L3" s="59">
        <v>2016</v>
      </c>
      <c r="M3" s="58" t="s">
        <v>53</v>
      </c>
      <c r="N3" s="58" t="s">
        <v>24</v>
      </c>
      <c r="O3" s="58" t="s">
        <v>54</v>
      </c>
      <c r="P3" s="58" t="s">
        <v>25</v>
      </c>
      <c r="Q3" s="60">
        <v>32424.307174908725</v>
      </c>
      <c r="R3" s="60">
        <v>30847</v>
      </c>
      <c r="S3" s="61">
        <v>24540</v>
      </c>
      <c r="T3" s="61">
        <v>108</v>
      </c>
      <c r="U3" s="62" t="s">
        <v>55</v>
      </c>
      <c r="V3" s="63" t="s">
        <v>56</v>
      </c>
      <c r="W3" s="60">
        <v>9760947</v>
      </c>
      <c r="X3" s="60">
        <f>W3/Q3</f>
        <v>301.03795116872772</v>
      </c>
      <c r="Y3" s="60">
        <f>W3/R3</f>
        <v>316.43099815217039</v>
      </c>
      <c r="Z3" s="60">
        <f t="shared" ref="Z3" si="0">W3/S3</f>
        <v>397.75660146699266</v>
      </c>
      <c r="AA3" s="60">
        <f>W3/T3</f>
        <v>90379.138888888891</v>
      </c>
      <c r="AB3" s="64" t="s">
        <v>57</v>
      </c>
      <c r="AC3" s="92">
        <f>SUM(W3:W15)</f>
        <v>130950000</v>
      </c>
      <c r="AD3" s="93">
        <f>W3/AC3</f>
        <v>7.4539495990836202E-2</v>
      </c>
    </row>
    <row r="4" spans="1:30" s="55" customFormat="1" ht="15.95">
      <c r="A4" s="57"/>
      <c r="B4" s="58" t="s">
        <v>48</v>
      </c>
      <c r="C4" s="58" t="s">
        <v>49</v>
      </c>
      <c r="D4" s="58"/>
      <c r="E4" s="58" t="s">
        <v>20</v>
      </c>
      <c r="F4" s="58" t="s">
        <v>21</v>
      </c>
      <c r="G4" s="58" t="s">
        <v>50</v>
      </c>
      <c r="H4" s="58"/>
      <c r="I4" s="58" t="s">
        <v>51</v>
      </c>
      <c r="J4" s="58"/>
      <c r="K4" s="58" t="s">
        <v>52</v>
      </c>
      <c r="L4" s="59">
        <v>2016</v>
      </c>
      <c r="M4" s="58" t="s">
        <v>53</v>
      </c>
      <c r="N4" s="58" t="s">
        <v>24</v>
      </c>
      <c r="O4" s="58" t="s">
        <v>54</v>
      </c>
      <c r="P4" s="58" t="s">
        <v>25</v>
      </c>
      <c r="Q4" s="60">
        <v>32424.307174908725</v>
      </c>
      <c r="R4" s="60">
        <v>30847</v>
      </c>
      <c r="S4" s="61">
        <v>24540</v>
      </c>
      <c r="T4" s="61">
        <v>108</v>
      </c>
      <c r="U4" s="62" t="s">
        <v>58</v>
      </c>
      <c r="V4" s="63" t="s">
        <v>56</v>
      </c>
      <c r="W4" s="60">
        <v>18188477</v>
      </c>
      <c r="X4" s="60">
        <f t="shared" ref="X4:X63" si="1">W4/Q4</f>
        <v>560.95190876044376</v>
      </c>
      <c r="Y4" s="60">
        <f t="shared" ref="Y4:Y63" si="2">W4/R4</f>
        <v>589.63519953317984</v>
      </c>
      <c r="Z4" s="60">
        <f t="shared" ref="Z4:Z63" si="3">W4/S4</f>
        <v>741.17673186634067</v>
      </c>
      <c r="AA4" s="60">
        <f t="shared" ref="AA4:AA63" si="4">W4/T4</f>
        <v>168411.82407407407</v>
      </c>
      <c r="AB4" s="64" t="s">
        <v>57</v>
      </c>
      <c r="AD4" s="93">
        <f>W4/AC3</f>
        <v>0.13889634975181367</v>
      </c>
    </row>
    <row r="5" spans="1:30" s="55" customFormat="1" ht="15.95">
      <c r="A5" s="57"/>
      <c r="B5" s="58" t="s">
        <v>48</v>
      </c>
      <c r="C5" s="58" t="s">
        <v>49</v>
      </c>
      <c r="D5" s="58"/>
      <c r="E5" s="58" t="s">
        <v>20</v>
      </c>
      <c r="F5" s="58" t="s">
        <v>21</v>
      </c>
      <c r="G5" s="58" t="s">
        <v>50</v>
      </c>
      <c r="H5" s="58"/>
      <c r="I5" s="58" t="s">
        <v>51</v>
      </c>
      <c r="J5" s="58"/>
      <c r="K5" s="58" t="s">
        <v>52</v>
      </c>
      <c r="L5" s="59">
        <v>2016</v>
      </c>
      <c r="M5" s="58" t="s">
        <v>53</v>
      </c>
      <c r="N5" s="58" t="s">
        <v>24</v>
      </c>
      <c r="O5" s="58" t="s">
        <v>54</v>
      </c>
      <c r="P5" s="58" t="s">
        <v>25</v>
      </c>
      <c r="Q5" s="60">
        <v>32424.307174908725</v>
      </c>
      <c r="R5" s="60">
        <v>30847</v>
      </c>
      <c r="S5" s="61">
        <v>24540</v>
      </c>
      <c r="T5" s="61">
        <v>108</v>
      </c>
      <c r="U5" s="62" t="s">
        <v>59</v>
      </c>
      <c r="V5" s="63" t="s">
        <v>56</v>
      </c>
      <c r="W5" s="60">
        <v>21367865</v>
      </c>
      <c r="X5" s="60">
        <f t="shared" si="1"/>
        <v>659.00760453365501</v>
      </c>
      <c r="Y5" s="60">
        <f t="shared" si="2"/>
        <v>692.70480111518134</v>
      </c>
      <c r="Z5" s="60">
        <f t="shared" si="3"/>
        <v>870.7361450692747</v>
      </c>
      <c r="AA5" s="60">
        <f t="shared" si="4"/>
        <v>197850.60185185185</v>
      </c>
      <c r="AB5" s="64" t="s">
        <v>57</v>
      </c>
      <c r="AD5" s="93">
        <f>W5/AC3</f>
        <v>0.1631757541046201</v>
      </c>
    </row>
    <row r="6" spans="1:30" s="55" customFormat="1" ht="15.95">
      <c r="A6" s="57"/>
      <c r="B6" s="58" t="s">
        <v>48</v>
      </c>
      <c r="C6" s="58" t="s">
        <v>49</v>
      </c>
      <c r="D6" s="58"/>
      <c r="E6" s="58" t="s">
        <v>20</v>
      </c>
      <c r="F6" s="58" t="s">
        <v>21</v>
      </c>
      <c r="G6" s="58" t="s">
        <v>50</v>
      </c>
      <c r="H6" s="58"/>
      <c r="I6" s="58" t="s">
        <v>51</v>
      </c>
      <c r="J6" s="58"/>
      <c r="K6" s="58" t="s">
        <v>52</v>
      </c>
      <c r="L6" s="59">
        <v>2016</v>
      </c>
      <c r="M6" s="58" t="s">
        <v>53</v>
      </c>
      <c r="N6" s="58" t="s">
        <v>24</v>
      </c>
      <c r="O6" s="58" t="s">
        <v>54</v>
      </c>
      <c r="P6" s="58" t="s">
        <v>25</v>
      </c>
      <c r="Q6" s="60">
        <v>32424.307174908725</v>
      </c>
      <c r="R6" s="60">
        <v>30847</v>
      </c>
      <c r="S6" s="61">
        <v>24540</v>
      </c>
      <c r="T6" s="61">
        <v>108</v>
      </c>
      <c r="U6" s="62" t="s">
        <v>60</v>
      </c>
      <c r="V6" s="63" t="s">
        <v>56</v>
      </c>
      <c r="W6" s="60">
        <v>5368377</v>
      </c>
      <c r="X6" s="60">
        <f t="shared" si="1"/>
        <v>165.56643665633271</v>
      </c>
      <c r="Y6" s="60">
        <f t="shared" si="2"/>
        <v>174.03238564528155</v>
      </c>
      <c r="Z6" s="60">
        <f t="shared" si="3"/>
        <v>218.76026894865527</v>
      </c>
      <c r="AA6" s="60">
        <f t="shared" si="4"/>
        <v>49707.194444444445</v>
      </c>
      <c r="AB6" s="64" t="s">
        <v>57</v>
      </c>
      <c r="AD6" s="93">
        <f>W6/AC3</f>
        <v>4.0995624284077894E-2</v>
      </c>
    </row>
    <row r="7" spans="1:30" s="55" customFormat="1" ht="15.95">
      <c r="A7" s="57"/>
      <c r="B7" s="58" t="s">
        <v>48</v>
      </c>
      <c r="C7" s="58" t="s">
        <v>49</v>
      </c>
      <c r="D7" s="58"/>
      <c r="E7" s="58" t="s">
        <v>20</v>
      </c>
      <c r="F7" s="58" t="s">
        <v>21</v>
      </c>
      <c r="G7" s="58" t="s">
        <v>50</v>
      </c>
      <c r="H7" s="58"/>
      <c r="I7" s="58" t="s">
        <v>51</v>
      </c>
      <c r="J7" s="58"/>
      <c r="K7" s="58" t="s">
        <v>52</v>
      </c>
      <c r="L7" s="59">
        <v>2016</v>
      </c>
      <c r="M7" s="58" t="s">
        <v>53</v>
      </c>
      <c r="N7" s="58" t="s">
        <v>24</v>
      </c>
      <c r="O7" s="58" t="s">
        <v>54</v>
      </c>
      <c r="P7" s="58" t="s">
        <v>25</v>
      </c>
      <c r="Q7" s="60">
        <v>32424.307174908725</v>
      </c>
      <c r="R7" s="60">
        <v>30847</v>
      </c>
      <c r="S7" s="61">
        <v>24540</v>
      </c>
      <c r="T7" s="61">
        <v>108</v>
      </c>
      <c r="U7" s="62" t="s">
        <v>61</v>
      </c>
      <c r="V7" s="63" t="s">
        <v>56</v>
      </c>
      <c r="W7" s="60">
        <v>11409384</v>
      </c>
      <c r="X7" s="60">
        <f t="shared" si="1"/>
        <v>351.87749543740614</v>
      </c>
      <c r="Y7" s="60">
        <f t="shared" si="2"/>
        <v>369.87013323824033</v>
      </c>
      <c r="Z7" s="60">
        <f t="shared" si="3"/>
        <v>464.93007334963323</v>
      </c>
      <c r="AA7" s="60">
        <f t="shared" si="4"/>
        <v>105642.44444444444</v>
      </c>
      <c r="AB7" s="64" t="s">
        <v>57</v>
      </c>
      <c r="AD7" s="93">
        <f>W7/AC3</f>
        <v>8.7127789232531505E-2</v>
      </c>
    </row>
    <row r="8" spans="1:30" s="55" customFormat="1" ht="15.95">
      <c r="A8" s="57"/>
      <c r="B8" s="58" t="s">
        <v>48</v>
      </c>
      <c r="C8" s="58" t="s">
        <v>49</v>
      </c>
      <c r="D8" s="58"/>
      <c r="E8" s="58" t="s">
        <v>20</v>
      </c>
      <c r="F8" s="58" t="s">
        <v>21</v>
      </c>
      <c r="G8" s="58" t="s">
        <v>50</v>
      </c>
      <c r="H8" s="58"/>
      <c r="I8" s="58" t="s">
        <v>51</v>
      </c>
      <c r="J8" s="58"/>
      <c r="K8" s="58" t="s">
        <v>52</v>
      </c>
      <c r="L8" s="59">
        <v>2016</v>
      </c>
      <c r="M8" s="58" t="s">
        <v>53</v>
      </c>
      <c r="N8" s="58" t="s">
        <v>24</v>
      </c>
      <c r="O8" s="58" t="s">
        <v>54</v>
      </c>
      <c r="P8" s="58" t="s">
        <v>25</v>
      </c>
      <c r="Q8" s="60">
        <v>32424.307174908725</v>
      </c>
      <c r="R8" s="60">
        <v>30847</v>
      </c>
      <c r="S8" s="61">
        <v>24540</v>
      </c>
      <c r="T8" s="61">
        <v>108</v>
      </c>
      <c r="U8" s="62" t="s">
        <v>62</v>
      </c>
      <c r="V8" s="63" t="s">
        <v>56</v>
      </c>
      <c r="W8" s="60">
        <v>6470548</v>
      </c>
      <c r="X8" s="60">
        <f t="shared" si="1"/>
        <v>199.55855849426379</v>
      </c>
      <c r="Y8" s="60">
        <f t="shared" si="2"/>
        <v>209.76263494018866</v>
      </c>
      <c r="Z8" s="60">
        <f t="shared" si="3"/>
        <v>263.67351263243683</v>
      </c>
      <c r="AA8" s="60">
        <f t="shared" si="4"/>
        <v>59912.481481481482</v>
      </c>
      <c r="AB8" s="64" t="s">
        <v>57</v>
      </c>
      <c r="AD8" s="93">
        <f>W8/AC3</f>
        <v>4.9412355861015653E-2</v>
      </c>
    </row>
    <row r="9" spans="1:30" s="55" customFormat="1" ht="15.95">
      <c r="A9" s="57"/>
      <c r="B9" s="58" t="s">
        <v>48</v>
      </c>
      <c r="C9" s="58" t="s">
        <v>49</v>
      </c>
      <c r="D9" s="58"/>
      <c r="E9" s="58" t="s">
        <v>20</v>
      </c>
      <c r="F9" s="58" t="s">
        <v>21</v>
      </c>
      <c r="G9" s="58" t="s">
        <v>50</v>
      </c>
      <c r="H9" s="58"/>
      <c r="I9" s="58" t="s">
        <v>51</v>
      </c>
      <c r="J9" s="58"/>
      <c r="K9" s="58" t="s">
        <v>52</v>
      </c>
      <c r="L9" s="59">
        <v>2016</v>
      </c>
      <c r="M9" s="58" t="s">
        <v>53</v>
      </c>
      <c r="N9" s="58" t="s">
        <v>24</v>
      </c>
      <c r="O9" s="58" t="s">
        <v>54</v>
      </c>
      <c r="P9" s="58" t="s">
        <v>25</v>
      </c>
      <c r="Q9" s="60">
        <v>32424.307174908725</v>
      </c>
      <c r="R9" s="60">
        <v>30847</v>
      </c>
      <c r="S9" s="61">
        <v>24540</v>
      </c>
      <c r="T9" s="61">
        <v>108</v>
      </c>
      <c r="U9" s="62" t="s">
        <v>63</v>
      </c>
      <c r="V9" s="63" t="s">
        <v>56</v>
      </c>
      <c r="W9" s="60">
        <v>2261311</v>
      </c>
      <c r="X9" s="60">
        <f t="shared" si="1"/>
        <v>69.741228017661285</v>
      </c>
      <c r="Y9" s="60">
        <f t="shared" si="2"/>
        <v>73.307323240509618</v>
      </c>
      <c r="Z9" s="60">
        <f t="shared" si="3"/>
        <v>92.147962510187455</v>
      </c>
      <c r="AA9" s="60">
        <f t="shared" si="4"/>
        <v>20938.064814814814</v>
      </c>
      <c r="AB9" s="64" t="s">
        <v>57</v>
      </c>
      <c r="AD9" s="93">
        <f>W9/AC3</f>
        <v>1.7268507063764794E-2</v>
      </c>
    </row>
    <row r="10" spans="1:30" s="55" customFormat="1" ht="15.95">
      <c r="A10" s="57"/>
      <c r="B10" s="58" t="s">
        <v>48</v>
      </c>
      <c r="C10" s="58" t="s">
        <v>49</v>
      </c>
      <c r="D10" s="58"/>
      <c r="E10" s="58" t="s">
        <v>20</v>
      </c>
      <c r="F10" s="58" t="s">
        <v>21</v>
      </c>
      <c r="G10" s="58" t="s">
        <v>50</v>
      </c>
      <c r="H10" s="58"/>
      <c r="I10" s="58" t="s">
        <v>51</v>
      </c>
      <c r="J10" s="58"/>
      <c r="K10" s="58" t="s">
        <v>52</v>
      </c>
      <c r="L10" s="59">
        <v>2016</v>
      </c>
      <c r="M10" s="58" t="s">
        <v>53</v>
      </c>
      <c r="N10" s="58" t="s">
        <v>24</v>
      </c>
      <c r="O10" s="58" t="s">
        <v>54</v>
      </c>
      <c r="P10" s="58" t="s">
        <v>25</v>
      </c>
      <c r="Q10" s="60">
        <v>32424.307174908725</v>
      </c>
      <c r="R10" s="60">
        <v>30847</v>
      </c>
      <c r="S10" s="61">
        <v>24540</v>
      </c>
      <c r="T10" s="61">
        <v>108</v>
      </c>
      <c r="U10" s="62" t="s">
        <v>64</v>
      </c>
      <c r="V10" s="63" t="s">
        <v>56</v>
      </c>
      <c r="W10" s="60">
        <v>0</v>
      </c>
      <c r="X10" s="60">
        <f t="shared" si="1"/>
        <v>0</v>
      </c>
      <c r="Y10" s="60">
        <f t="shared" si="2"/>
        <v>0</v>
      </c>
      <c r="Z10" s="60">
        <f t="shared" si="3"/>
        <v>0</v>
      </c>
      <c r="AA10" s="60">
        <f t="shared" si="4"/>
        <v>0</v>
      </c>
      <c r="AB10" s="64" t="s">
        <v>57</v>
      </c>
      <c r="AD10" s="93">
        <f>W10/AC3</f>
        <v>0</v>
      </c>
    </row>
    <row r="11" spans="1:30" s="55" customFormat="1" ht="15.95">
      <c r="A11" s="57"/>
      <c r="B11" s="58" t="s">
        <v>48</v>
      </c>
      <c r="C11" s="58" t="s">
        <v>49</v>
      </c>
      <c r="D11" s="58"/>
      <c r="E11" s="58" t="s">
        <v>20</v>
      </c>
      <c r="F11" s="58" t="s">
        <v>21</v>
      </c>
      <c r="G11" s="58" t="s">
        <v>50</v>
      </c>
      <c r="H11" s="58"/>
      <c r="I11" s="58" t="s">
        <v>51</v>
      </c>
      <c r="J11" s="58"/>
      <c r="K11" s="58" t="s">
        <v>52</v>
      </c>
      <c r="L11" s="59">
        <v>2016</v>
      </c>
      <c r="M11" s="58" t="s">
        <v>53</v>
      </c>
      <c r="N11" s="58" t="s">
        <v>24</v>
      </c>
      <c r="O11" s="58" t="s">
        <v>54</v>
      </c>
      <c r="P11" s="58" t="s">
        <v>25</v>
      </c>
      <c r="Q11" s="60">
        <v>32424.307174908725</v>
      </c>
      <c r="R11" s="60">
        <v>30847</v>
      </c>
      <c r="S11" s="61">
        <v>24540</v>
      </c>
      <c r="T11" s="61">
        <v>108</v>
      </c>
      <c r="U11" s="62" t="s">
        <v>65</v>
      </c>
      <c r="V11" s="63" t="s">
        <v>56</v>
      </c>
      <c r="W11" s="60">
        <v>14870759</v>
      </c>
      <c r="X11" s="60">
        <f t="shared" si="1"/>
        <v>458.62996917040101</v>
      </c>
      <c r="Y11" s="60">
        <f t="shared" si="2"/>
        <v>482.08120724867894</v>
      </c>
      <c r="Z11" s="60">
        <f t="shared" si="3"/>
        <v>605.98039934800329</v>
      </c>
      <c r="AA11" s="60">
        <f t="shared" si="4"/>
        <v>137692.21296296295</v>
      </c>
      <c r="AB11" s="64" t="s">
        <v>57</v>
      </c>
      <c r="AD11" s="93">
        <f>W11/AC3</f>
        <v>0.1135605880106911</v>
      </c>
    </row>
    <row r="12" spans="1:30" s="55" customFormat="1" ht="15.95">
      <c r="A12" s="57"/>
      <c r="B12" s="58" t="s">
        <v>48</v>
      </c>
      <c r="C12" s="58" t="s">
        <v>49</v>
      </c>
      <c r="D12" s="58"/>
      <c r="E12" s="58" t="s">
        <v>20</v>
      </c>
      <c r="F12" s="58" t="s">
        <v>21</v>
      </c>
      <c r="G12" s="58" t="s">
        <v>50</v>
      </c>
      <c r="H12" s="58"/>
      <c r="I12" s="58" t="s">
        <v>51</v>
      </c>
      <c r="J12" s="58"/>
      <c r="K12" s="58" t="s">
        <v>52</v>
      </c>
      <c r="L12" s="59">
        <v>2016</v>
      </c>
      <c r="M12" s="58" t="s">
        <v>53</v>
      </c>
      <c r="N12" s="58" t="s">
        <v>24</v>
      </c>
      <c r="O12" s="58" t="s">
        <v>54</v>
      </c>
      <c r="P12" s="58" t="s">
        <v>25</v>
      </c>
      <c r="Q12" s="60">
        <v>32424.307174908725</v>
      </c>
      <c r="R12" s="60">
        <v>30847</v>
      </c>
      <c r="S12" s="61">
        <v>24540</v>
      </c>
      <c r="T12" s="61">
        <v>108</v>
      </c>
      <c r="U12" s="62" t="s">
        <v>66</v>
      </c>
      <c r="V12" s="63" t="s">
        <v>56</v>
      </c>
      <c r="W12" s="60">
        <v>9887655</v>
      </c>
      <c r="X12" s="60">
        <f t="shared" si="1"/>
        <v>304.9457601873288</v>
      </c>
      <c r="Y12" s="60">
        <f t="shared" si="2"/>
        <v>320.53862612247542</v>
      </c>
      <c r="Z12" s="60">
        <f t="shared" si="3"/>
        <v>402.91992665036673</v>
      </c>
      <c r="AA12" s="60">
        <f t="shared" si="4"/>
        <v>91552.361111111109</v>
      </c>
      <c r="AB12" s="64" t="s">
        <v>57</v>
      </c>
      <c r="AD12" s="93">
        <f>W12/AC3</f>
        <v>7.5507101947308128E-2</v>
      </c>
    </row>
    <row r="13" spans="1:30" s="55" customFormat="1" ht="15.95">
      <c r="A13" s="57"/>
      <c r="B13" s="58" t="s">
        <v>48</v>
      </c>
      <c r="C13" s="58" t="s">
        <v>49</v>
      </c>
      <c r="D13" s="58"/>
      <c r="E13" s="58" t="s">
        <v>20</v>
      </c>
      <c r="F13" s="58" t="s">
        <v>21</v>
      </c>
      <c r="G13" s="58" t="s">
        <v>50</v>
      </c>
      <c r="H13" s="58"/>
      <c r="I13" s="58" t="s">
        <v>51</v>
      </c>
      <c r="J13" s="58"/>
      <c r="K13" s="58" t="s">
        <v>52</v>
      </c>
      <c r="L13" s="59">
        <v>2016</v>
      </c>
      <c r="M13" s="58" t="s">
        <v>53</v>
      </c>
      <c r="N13" s="58" t="s">
        <v>24</v>
      </c>
      <c r="O13" s="58" t="s">
        <v>54</v>
      </c>
      <c r="P13" s="58" t="s">
        <v>25</v>
      </c>
      <c r="Q13" s="60">
        <v>32424.307174908725</v>
      </c>
      <c r="R13" s="60">
        <v>30847</v>
      </c>
      <c r="S13" s="61">
        <v>24540</v>
      </c>
      <c r="T13" s="61">
        <v>108</v>
      </c>
      <c r="U13" s="62" t="s">
        <v>67</v>
      </c>
      <c r="V13" s="63" t="s">
        <v>56</v>
      </c>
      <c r="W13" s="60">
        <v>0</v>
      </c>
      <c r="X13" s="60">
        <f t="shared" si="1"/>
        <v>0</v>
      </c>
      <c r="Y13" s="60">
        <f t="shared" si="2"/>
        <v>0</v>
      </c>
      <c r="Z13" s="60">
        <f t="shared" si="3"/>
        <v>0</v>
      </c>
      <c r="AA13" s="60">
        <f t="shared" si="4"/>
        <v>0</v>
      </c>
      <c r="AB13" s="64" t="s">
        <v>57</v>
      </c>
      <c r="AD13" s="93">
        <f>W13/AC3</f>
        <v>0</v>
      </c>
    </row>
    <row r="14" spans="1:30" s="55" customFormat="1" ht="15.95">
      <c r="A14" s="57"/>
      <c r="B14" s="58" t="s">
        <v>48</v>
      </c>
      <c r="C14" s="58" t="s">
        <v>49</v>
      </c>
      <c r="D14" s="58"/>
      <c r="E14" s="58" t="s">
        <v>20</v>
      </c>
      <c r="F14" s="58" t="s">
        <v>21</v>
      </c>
      <c r="G14" s="58" t="s">
        <v>50</v>
      </c>
      <c r="H14" s="58"/>
      <c r="I14" s="58" t="s">
        <v>51</v>
      </c>
      <c r="J14" s="58"/>
      <c r="K14" s="58" t="s">
        <v>52</v>
      </c>
      <c r="L14" s="59">
        <v>2016</v>
      </c>
      <c r="M14" s="58" t="s">
        <v>53</v>
      </c>
      <c r="N14" s="58" t="s">
        <v>24</v>
      </c>
      <c r="O14" s="58" t="s">
        <v>54</v>
      </c>
      <c r="P14" s="58" t="s">
        <v>25</v>
      </c>
      <c r="Q14" s="60">
        <v>32424.307174908725</v>
      </c>
      <c r="R14" s="60">
        <v>30847</v>
      </c>
      <c r="S14" s="61">
        <v>24540</v>
      </c>
      <c r="T14" s="61">
        <v>108</v>
      </c>
      <c r="U14" s="62" t="s">
        <v>68</v>
      </c>
      <c r="V14" s="63" t="s">
        <v>56</v>
      </c>
      <c r="W14" s="60">
        <v>14420838</v>
      </c>
      <c r="X14" s="60">
        <f t="shared" si="1"/>
        <v>444.75392865632125</v>
      </c>
      <c r="Y14" s="60">
        <f t="shared" si="2"/>
        <v>467.49563977048012</v>
      </c>
      <c r="Z14" s="60">
        <f t="shared" si="3"/>
        <v>587.64621026894861</v>
      </c>
      <c r="AA14" s="60">
        <f t="shared" si="4"/>
        <v>133526.27777777778</v>
      </c>
      <c r="AB14" s="64" t="s">
        <v>57</v>
      </c>
      <c r="AD14" s="93">
        <f>W14/AC3</f>
        <v>0.11012476517754868</v>
      </c>
    </row>
    <row r="15" spans="1:30" s="55" customFormat="1" ht="15.95">
      <c r="A15" s="57"/>
      <c r="B15" s="58" t="s">
        <v>48</v>
      </c>
      <c r="C15" s="58" t="s">
        <v>49</v>
      </c>
      <c r="D15" s="58"/>
      <c r="E15" s="58" t="s">
        <v>20</v>
      </c>
      <c r="F15" s="58" t="s">
        <v>21</v>
      </c>
      <c r="G15" s="58" t="s">
        <v>50</v>
      </c>
      <c r="H15" s="58"/>
      <c r="I15" s="58" t="s">
        <v>51</v>
      </c>
      <c r="J15" s="58"/>
      <c r="K15" s="58" t="s">
        <v>52</v>
      </c>
      <c r="L15" s="59">
        <v>2016</v>
      </c>
      <c r="M15" s="58" t="s">
        <v>53</v>
      </c>
      <c r="N15" s="58" t="s">
        <v>24</v>
      </c>
      <c r="O15" s="58" t="s">
        <v>54</v>
      </c>
      <c r="P15" s="58" t="s">
        <v>25</v>
      </c>
      <c r="Q15" s="60">
        <v>32424.307174908725</v>
      </c>
      <c r="R15" s="60">
        <v>30847</v>
      </c>
      <c r="S15" s="61">
        <v>24540</v>
      </c>
      <c r="T15" s="61">
        <v>108</v>
      </c>
      <c r="U15" s="62" t="s">
        <v>69</v>
      </c>
      <c r="V15" s="63" t="s">
        <v>56</v>
      </c>
      <c r="W15" s="60">
        <v>16943839</v>
      </c>
      <c r="X15" s="60">
        <f t="shared" si="1"/>
        <v>522.56595364084899</v>
      </c>
      <c r="Y15" s="60">
        <f t="shared" si="2"/>
        <v>549.28644600771554</v>
      </c>
      <c r="Z15" s="60">
        <f t="shared" si="3"/>
        <v>690.45798696006523</v>
      </c>
      <c r="AA15" s="60">
        <f t="shared" si="4"/>
        <v>156887.39814814815</v>
      </c>
      <c r="AB15" s="64" t="s">
        <v>57</v>
      </c>
      <c r="AD15" s="93">
        <f>W15/AC3</f>
        <v>0.12939166857579229</v>
      </c>
    </row>
    <row r="16" spans="1:30" s="32" customFormat="1" ht="15" customHeight="1">
      <c r="A16" s="65"/>
      <c r="B16" s="66" t="s">
        <v>48</v>
      </c>
      <c r="C16" s="66" t="s">
        <v>49</v>
      </c>
      <c r="D16" s="66"/>
      <c r="E16" s="66" t="s">
        <v>20</v>
      </c>
      <c r="F16" s="66" t="s">
        <v>21</v>
      </c>
      <c r="G16" s="66" t="s">
        <v>50</v>
      </c>
      <c r="H16" s="66"/>
      <c r="I16" s="66" t="s">
        <v>70</v>
      </c>
      <c r="J16" s="66"/>
      <c r="K16" s="66" t="s">
        <v>71</v>
      </c>
      <c r="L16" s="67">
        <v>2018</v>
      </c>
      <c r="M16" s="66" t="s">
        <v>72</v>
      </c>
      <c r="N16" s="66" t="s">
        <v>24</v>
      </c>
      <c r="O16" s="66" t="s">
        <v>54</v>
      </c>
      <c r="P16" s="66" t="s">
        <v>25</v>
      </c>
      <c r="Q16" s="68">
        <v>107978</v>
      </c>
      <c r="R16" s="68">
        <v>86196</v>
      </c>
      <c r="S16" s="69">
        <v>81881</v>
      </c>
      <c r="T16" s="69">
        <v>339</v>
      </c>
      <c r="U16" s="70" t="s">
        <v>55</v>
      </c>
      <c r="V16" s="71" t="s">
        <v>56</v>
      </c>
      <c r="W16" s="72">
        <v>52851049</v>
      </c>
      <c r="X16" s="68">
        <f t="shared" si="1"/>
        <v>489.4612698883106</v>
      </c>
      <c r="Y16" s="68">
        <f t="shared" si="2"/>
        <v>613.14967051835356</v>
      </c>
      <c r="Z16" s="68">
        <f t="shared" si="3"/>
        <v>645.4616944101806</v>
      </c>
      <c r="AA16" s="68">
        <f t="shared" si="4"/>
        <v>155902.79941002949</v>
      </c>
      <c r="AB16" s="73" t="s">
        <v>73</v>
      </c>
      <c r="AC16" s="92">
        <f t="shared" ref="AC16" si="5">SUM(W16:W28)</f>
        <v>392000000</v>
      </c>
      <c r="AD16" s="93">
        <f t="shared" ref="AD16" si="6">W16/AC16</f>
        <v>0.13482410459183675</v>
      </c>
    </row>
    <row r="17" spans="1:30" s="32" customFormat="1" ht="15" customHeight="1">
      <c r="A17" s="65"/>
      <c r="B17" s="66" t="s">
        <v>48</v>
      </c>
      <c r="C17" s="66" t="s">
        <v>49</v>
      </c>
      <c r="D17" s="66"/>
      <c r="E17" s="66" t="s">
        <v>20</v>
      </c>
      <c r="F17" s="66" t="s">
        <v>21</v>
      </c>
      <c r="G17" s="66" t="s">
        <v>50</v>
      </c>
      <c r="H17" s="66"/>
      <c r="I17" s="66" t="s">
        <v>70</v>
      </c>
      <c r="J17" s="66"/>
      <c r="K17" s="66" t="s">
        <v>71</v>
      </c>
      <c r="L17" s="67">
        <v>2018</v>
      </c>
      <c r="M17" s="66" t="s">
        <v>72</v>
      </c>
      <c r="N17" s="66" t="s">
        <v>24</v>
      </c>
      <c r="O17" s="66" t="s">
        <v>54</v>
      </c>
      <c r="P17" s="66" t="s">
        <v>25</v>
      </c>
      <c r="Q17" s="68">
        <v>107978</v>
      </c>
      <c r="R17" s="68">
        <v>86196</v>
      </c>
      <c r="S17" s="69">
        <v>81881</v>
      </c>
      <c r="T17" s="69">
        <v>339</v>
      </c>
      <c r="U17" s="70" t="s">
        <v>58</v>
      </c>
      <c r="V17" s="71" t="s">
        <v>56</v>
      </c>
      <c r="W17" s="72">
        <v>98979809</v>
      </c>
      <c r="X17" s="68">
        <f t="shared" si="1"/>
        <v>916.6664413121191</v>
      </c>
      <c r="Y17" s="68">
        <f t="shared" si="2"/>
        <v>1148.3109309016659</v>
      </c>
      <c r="Z17" s="68">
        <f t="shared" si="3"/>
        <v>1208.8251120528571</v>
      </c>
      <c r="AA17" s="68">
        <f t="shared" si="4"/>
        <v>291975.83775811212</v>
      </c>
      <c r="AB17" s="73" t="s">
        <v>73</v>
      </c>
      <c r="AC17" s="55"/>
      <c r="AD17" s="93">
        <f t="shared" ref="AD17" si="7">W17/AC16</f>
        <v>0.25249951275510202</v>
      </c>
    </row>
    <row r="18" spans="1:30" s="32" customFormat="1" ht="15" customHeight="1">
      <c r="A18" s="65"/>
      <c r="B18" s="66" t="s">
        <v>48</v>
      </c>
      <c r="C18" s="66" t="s">
        <v>49</v>
      </c>
      <c r="D18" s="66"/>
      <c r="E18" s="66" t="s">
        <v>20</v>
      </c>
      <c r="F18" s="66" t="s">
        <v>21</v>
      </c>
      <c r="G18" s="66" t="s">
        <v>50</v>
      </c>
      <c r="H18" s="66"/>
      <c r="I18" s="66" t="s">
        <v>70</v>
      </c>
      <c r="J18" s="66"/>
      <c r="K18" s="66" t="s">
        <v>71</v>
      </c>
      <c r="L18" s="67">
        <v>2018</v>
      </c>
      <c r="M18" s="66" t="s">
        <v>72</v>
      </c>
      <c r="N18" s="66" t="s">
        <v>24</v>
      </c>
      <c r="O18" s="66" t="s">
        <v>54</v>
      </c>
      <c r="P18" s="66" t="s">
        <v>25</v>
      </c>
      <c r="Q18" s="68">
        <v>107978</v>
      </c>
      <c r="R18" s="68">
        <v>86196</v>
      </c>
      <c r="S18" s="69">
        <v>81881</v>
      </c>
      <c r="T18" s="69">
        <v>339</v>
      </c>
      <c r="U18" s="70" t="s">
        <v>59</v>
      </c>
      <c r="V18" s="71" t="s">
        <v>56</v>
      </c>
      <c r="W18" s="72">
        <v>49457359</v>
      </c>
      <c r="X18" s="68">
        <f t="shared" si="1"/>
        <v>458.03181203578509</v>
      </c>
      <c r="Y18" s="68">
        <f t="shared" si="2"/>
        <v>573.77788992528656</v>
      </c>
      <c r="Z18" s="68">
        <f t="shared" si="3"/>
        <v>604.01508286415651</v>
      </c>
      <c r="AA18" s="68">
        <f t="shared" si="4"/>
        <v>145891.91445427728</v>
      </c>
      <c r="AB18" s="73" t="s">
        <v>73</v>
      </c>
      <c r="AC18" s="55"/>
      <c r="AD18" s="93">
        <f t="shared" ref="AD18" si="8">W18/AC16</f>
        <v>0.12616673214285715</v>
      </c>
    </row>
    <row r="19" spans="1:30" s="32" customFormat="1" ht="15.95">
      <c r="A19" s="65"/>
      <c r="B19" s="66" t="s">
        <v>48</v>
      </c>
      <c r="C19" s="66" t="s">
        <v>49</v>
      </c>
      <c r="D19" s="66"/>
      <c r="E19" s="66" t="s">
        <v>20</v>
      </c>
      <c r="F19" s="66" t="s">
        <v>21</v>
      </c>
      <c r="G19" s="66" t="s">
        <v>50</v>
      </c>
      <c r="H19" s="66"/>
      <c r="I19" s="66" t="s">
        <v>70</v>
      </c>
      <c r="J19" s="66"/>
      <c r="K19" s="66" t="s">
        <v>71</v>
      </c>
      <c r="L19" s="67">
        <v>2018</v>
      </c>
      <c r="M19" s="66" t="s">
        <v>72</v>
      </c>
      <c r="N19" s="66" t="s">
        <v>24</v>
      </c>
      <c r="O19" s="66" t="s">
        <v>54</v>
      </c>
      <c r="P19" s="66" t="s">
        <v>25</v>
      </c>
      <c r="Q19" s="68">
        <v>107978</v>
      </c>
      <c r="R19" s="68">
        <v>86196</v>
      </c>
      <c r="S19" s="69">
        <v>81881</v>
      </c>
      <c r="T19" s="69">
        <v>339</v>
      </c>
      <c r="U19" s="70" t="s">
        <v>60</v>
      </c>
      <c r="V19" s="71" t="s">
        <v>56</v>
      </c>
      <c r="W19" s="72">
        <v>11002315</v>
      </c>
      <c r="X19" s="68">
        <f t="shared" si="1"/>
        <v>101.89404323102855</v>
      </c>
      <c r="Y19" s="68">
        <f t="shared" si="2"/>
        <v>127.64298807369252</v>
      </c>
      <c r="Z19" s="68">
        <f t="shared" si="3"/>
        <v>134.36957291679389</v>
      </c>
      <c r="AA19" s="68">
        <f t="shared" si="4"/>
        <v>32455.206489675515</v>
      </c>
      <c r="AB19" s="73" t="s">
        <v>73</v>
      </c>
      <c r="AC19" s="55"/>
      <c r="AD19" s="93">
        <f t="shared" ref="AD19" si="9">W19/AC16</f>
        <v>2.8067130102040816E-2</v>
      </c>
    </row>
    <row r="20" spans="1:30" s="32" customFormat="1" ht="15.95">
      <c r="A20" s="65"/>
      <c r="B20" s="66" t="s">
        <v>48</v>
      </c>
      <c r="C20" s="66" t="s">
        <v>49</v>
      </c>
      <c r="D20" s="66"/>
      <c r="E20" s="66" t="s">
        <v>20</v>
      </c>
      <c r="F20" s="66" t="s">
        <v>21</v>
      </c>
      <c r="G20" s="66" t="s">
        <v>50</v>
      </c>
      <c r="H20" s="66"/>
      <c r="I20" s="66" t="s">
        <v>70</v>
      </c>
      <c r="J20" s="66"/>
      <c r="K20" s="66" t="s">
        <v>71</v>
      </c>
      <c r="L20" s="67">
        <v>2018</v>
      </c>
      <c r="M20" s="66" t="s">
        <v>72</v>
      </c>
      <c r="N20" s="66" t="s">
        <v>24</v>
      </c>
      <c r="O20" s="66" t="s">
        <v>54</v>
      </c>
      <c r="P20" s="66" t="s">
        <v>25</v>
      </c>
      <c r="Q20" s="68">
        <v>107978</v>
      </c>
      <c r="R20" s="68">
        <v>86196</v>
      </c>
      <c r="S20" s="69">
        <v>81881</v>
      </c>
      <c r="T20" s="69">
        <v>339</v>
      </c>
      <c r="U20" s="70" t="s">
        <v>61</v>
      </c>
      <c r="V20" s="71" t="s">
        <v>56</v>
      </c>
      <c r="W20" s="72">
        <v>33820941</v>
      </c>
      <c r="X20" s="68">
        <f t="shared" si="1"/>
        <v>313.22066532071347</v>
      </c>
      <c r="Y20" s="68">
        <f t="shared" si="2"/>
        <v>392.37251148545175</v>
      </c>
      <c r="Z20" s="68">
        <f t="shared" si="3"/>
        <v>413.04992611228488</v>
      </c>
      <c r="AA20" s="68">
        <f t="shared" si="4"/>
        <v>99766.787610619474</v>
      </c>
      <c r="AB20" s="73" t="s">
        <v>73</v>
      </c>
      <c r="AC20" s="55"/>
      <c r="AD20" s="93">
        <f t="shared" ref="AD20" si="10">W20/AC16</f>
        <v>8.6277910714285713E-2</v>
      </c>
    </row>
    <row r="21" spans="1:30" s="32" customFormat="1" ht="15.95">
      <c r="A21" s="65"/>
      <c r="B21" s="66" t="s">
        <v>48</v>
      </c>
      <c r="C21" s="66" t="s">
        <v>49</v>
      </c>
      <c r="D21" s="66"/>
      <c r="E21" s="66" t="s">
        <v>20</v>
      </c>
      <c r="F21" s="66" t="s">
        <v>21</v>
      </c>
      <c r="G21" s="66" t="s">
        <v>50</v>
      </c>
      <c r="H21" s="66"/>
      <c r="I21" s="66" t="s">
        <v>70</v>
      </c>
      <c r="J21" s="66"/>
      <c r="K21" s="66" t="s">
        <v>71</v>
      </c>
      <c r="L21" s="67">
        <v>2018</v>
      </c>
      <c r="M21" s="66" t="s">
        <v>72</v>
      </c>
      <c r="N21" s="66" t="s">
        <v>24</v>
      </c>
      <c r="O21" s="66" t="s">
        <v>54</v>
      </c>
      <c r="P21" s="66" t="s">
        <v>25</v>
      </c>
      <c r="Q21" s="68">
        <v>107978</v>
      </c>
      <c r="R21" s="68">
        <v>86196</v>
      </c>
      <c r="S21" s="69">
        <v>81881</v>
      </c>
      <c r="T21" s="69">
        <v>339</v>
      </c>
      <c r="U21" s="70" t="s">
        <v>62</v>
      </c>
      <c r="V21" s="71" t="s">
        <v>56</v>
      </c>
      <c r="W21" s="72">
        <v>13113832</v>
      </c>
      <c r="X21" s="68">
        <f t="shared" si="1"/>
        <v>121.44911000388969</v>
      </c>
      <c r="Y21" s="68">
        <f t="shared" si="2"/>
        <v>152.13968165576128</v>
      </c>
      <c r="Z21" s="68">
        <f t="shared" si="3"/>
        <v>160.15720374690099</v>
      </c>
      <c r="AA21" s="68">
        <f t="shared" si="4"/>
        <v>38683.870206489679</v>
      </c>
      <c r="AB21" s="73" t="s">
        <v>73</v>
      </c>
      <c r="AC21" s="55"/>
      <c r="AD21" s="93">
        <f t="shared" ref="AD21" si="11">W21/AC16</f>
        <v>3.3453653061224491E-2</v>
      </c>
    </row>
    <row r="22" spans="1:30" s="32" customFormat="1" ht="15.95">
      <c r="A22" s="65"/>
      <c r="B22" s="66" t="s">
        <v>48</v>
      </c>
      <c r="C22" s="66" t="s">
        <v>49</v>
      </c>
      <c r="D22" s="66"/>
      <c r="E22" s="66" t="s">
        <v>20</v>
      </c>
      <c r="F22" s="66" t="s">
        <v>21</v>
      </c>
      <c r="G22" s="66" t="s">
        <v>50</v>
      </c>
      <c r="H22" s="66"/>
      <c r="I22" s="66" t="s">
        <v>70</v>
      </c>
      <c r="J22" s="66"/>
      <c r="K22" s="66" t="s">
        <v>71</v>
      </c>
      <c r="L22" s="67">
        <v>2018</v>
      </c>
      <c r="M22" s="66" t="s">
        <v>72</v>
      </c>
      <c r="N22" s="66" t="s">
        <v>24</v>
      </c>
      <c r="O22" s="66" t="s">
        <v>54</v>
      </c>
      <c r="P22" s="66" t="s">
        <v>25</v>
      </c>
      <c r="Q22" s="68">
        <v>107978</v>
      </c>
      <c r="R22" s="68">
        <v>86196</v>
      </c>
      <c r="S22" s="69">
        <v>81881</v>
      </c>
      <c r="T22" s="69">
        <v>339</v>
      </c>
      <c r="U22" s="74" t="s">
        <v>63</v>
      </c>
      <c r="V22" s="75" t="s">
        <v>56</v>
      </c>
      <c r="W22" s="68">
        <v>4536571</v>
      </c>
      <c r="X22" s="68">
        <f t="shared" si="1"/>
        <v>42.013845412954488</v>
      </c>
      <c r="Y22" s="68">
        <f t="shared" si="2"/>
        <v>52.630876142744441</v>
      </c>
      <c r="Z22" s="68">
        <f t="shared" si="3"/>
        <v>55.404440590613206</v>
      </c>
      <c r="AA22" s="68">
        <f t="shared" si="4"/>
        <v>13382.215339233038</v>
      </c>
      <c r="AB22" s="73" t="s">
        <v>73</v>
      </c>
      <c r="AC22" s="55"/>
      <c r="AD22" s="93">
        <f t="shared" ref="AD22" si="12">W22/AC16</f>
        <v>1.1572885204081633E-2</v>
      </c>
    </row>
    <row r="23" spans="1:30" s="32" customFormat="1" ht="15.95">
      <c r="A23" s="65"/>
      <c r="B23" s="66" t="s">
        <v>48</v>
      </c>
      <c r="C23" s="66" t="s">
        <v>49</v>
      </c>
      <c r="D23" s="66"/>
      <c r="E23" s="66" t="s">
        <v>20</v>
      </c>
      <c r="F23" s="66" t="s">
        <v>21</v>
      </c>
      <c r="G23" s="66" t="s">
        <v>50</v>
      </c>
      <c r="H23" s="66"/>
      <c r="I23" s="66" t="s">
        <v>70</v>
      </c>
      <c r="J23" s="66"/>
      <c r="K23" s="66" t="s">
        <v>71</v>
      </c>
      <c r="L23" s="67">
        <v>2018</v>
      </c>
      <c r="M23" s="66" t="s">
        <v>72</v>
      </c>
      <c r="N23" s="66" t="s">
        <v>24</v>
      </c>
      <c r="O23" s="66" t="s">
        <v>54</v>
      </c>
      <c r="P23" s="66" t="s">
        <v>25</v>
      </c>
      <c r="Q23" s="68">
        <v>107978</v>
      </c>
      <c r="R23" s="68">
        <v>86196</v>
      </c>
      <c r="S23" s="69">
        <v>81881</v>
      </c>
      <c r="T23" s="69">
        <v>339</v>
      </c>
      <c r="U23" s="74" t="s">
        <v>64</v>
      </c>
      <c r="V23" s="75" t="s">
        <v>56</v>
      </c>
      <c r="W23" s="68">
        <v>0</v>
      </c>
      <c r="X23" s="68">
        <f t="shared" si="1"/>
        <v>0</v>
      </c>
      <c r="Y23" s="68">
        <f t="shared" si="2"/>
        <v>0</v>
      </c>
      <c r="Z23" s="68">
        <f t="shared" si="3"/>
        <v>0</v>
      </c>
      <c r="AA23" s="68">
        <f t="shared" si="4"/>
        <v>0</v>
      </c>
      <c r="AB23" s="73" t="s">
        <v>73</v>
      </c>
      <c r="AC23" s="55"/>
      <c r="AD23" s="93">
        <f t="shared" ref="AD23" si="13">W23/AC16</f>
        <v>0</v>
      </c>
    </row>
    <row r="24" spans="1:30" s="32" customFormat="1" ht="15.95">
      <c r="A24" s="65"/>
      <c r="B24" s="66" t="s">
        <v>48</v>
      </c>
      <c r="C24" s="66" t="s">
        <v>49</v>
      </c>
      <c r="D24" s="66"/>
      <c r="E24" s="66" t="s">
        <v>20</v>
      </c>
      <c r="F24" s="66" t="s">
        <v>21</v>
      </c>
      <c r="G24" s="66" t="s">
        <v>50</v>
      </c>
      <c r="H24" s="66"/>
      <c r="I24" s="66" t="s">
        <v>70</v>
      </c>
      <c r="J24" s="66"/>
      <c r="K24" s="66" t="s">
        <v>71</v>
      </c>
      <c r="L24" s="67">
        <v>2018</v>
      </c>
      <c r="M24" s="66" t="s">
        <v>72</v>
      </c>
      <c r="N24" s="66" t="s">
        <v>24</v>
      </c>
      <c r="O24" s="66" t="s">
        <v>54</v>
      </c>
      <c r="P24" s="66" t="s">
        <v>25</v>
      </c>
      <c r="Q24" s="68">
        <v>107978</v>
      </c>
      <c r="R24" s="68">
        <v>86196</v>
      </c>
      <c r="S24" s="69">
        <v>81881</v>
      </c>
      <c r="T24" s="69">
        <v>339</v>
      </c>
      <c r="U24" s="74" t="s">
        <v>65</v>
      </c>
      <c r="V24" s="75" t="s">
        <v>56</v>
      </c>
      <c r="W24" s="68">
        <v>39378792</v>
      </c>
      <c r="X24" s="68">
        <f t="shared" si="1"/>
        <v>364.69273370501401</v>
      </c>
      <c r="Y24" s="68">
        <f t="shared" si="2"/>
        <v>456.85173325908397</v>
      </c>
      <c r="Z24" s="68">
        <f t="shared" si="3"/>
        <v>480.92710152538439</v>
      </c>
      <c r="AA24" s="68">
        <f t="shared" si="4"/>
        <v>116161.62831858407</v>
      </c>
      <c r="AB24" s="73" t="s">
        <v>73</v>
      </c>
      <c r="AC24" s="55"/>
      <c r="AD24" s="93">
        <f t="shared" ref="AD24" si="14">W24/AC16</f>
        <v>0.10045610204081633</v>
      </c>
    </row>
    <row r="25" spans="1:30" s="32" customFormat="1" ht="15.95">
      <c r="A25" s="65"/>
      <c r="B25" s="66" t="s">
        <v>48</v>
      </c>
      <c r="C25" s="66" t="s">
        <v>49</v>
      </c>
      <c r="D25" s="66"/>
      <c r="E25" s="66" t="s">
        <v>20</v>
      </c>
      <c r="F25" s="66" t="s">
        <v>21</v>
      </c>
      <c r="G25" s="66" t="s">
        <v>50</v>
      </c>
      <c r="H25" s="66"/>
      <c r="I25" s="66" t="s">
        <v>70</v>
      </c>
      <c r="J25" s="66"/>
      <c r="K25" s="66" t="s">
        <v>71</v>
      </c>
      <c r="L25" s="67">
        <v>2018</v>
      </c>
      <c r="M25" s="66" t="s">
        <v>72</v>
      </c>
      <c r="N25" s="66" t="s">
        <v>24</v>
      </c>
      <c r="O25" s="66" t="s">
        <v>54</v>
      </c>
      <c r="P25" s="66" t="s">
        <v>25</v>
      </c>
      <c r="Q25" s="68">
        <v>107978</v>
      </c>
      <c r="R25" s="68">
        <v>86196</v>
      </c>
      <c r="S25" s="69">
        <v>81881</v>
      </c>
      <c r="T25" s="69">
        <v>339</v>
      </c>
      <c r="U25" s="74" t="s">
        <v>66</v>
      </c>
      <c r="V25" s="75" t="s">
        <v>56</v>
      </c>
      <c r="W25" s="68">
        <v>24214867</v>
      </c>
      <c r="X25" s="68">
        <f t="shared" si="1"/>
        <v>224.25741354720407</v>
      </c>
      <c r="Y25" s="68">
        <f t="shared" si="2"/>
        <v>280.92796649496495</v>
      </c>
      <c r="Z25" s="68">
        <f t="shared" si="3"/>
        <v>295.73242876857881</v>
      </c>
      <c r="AA25" s="68">
        <f t="shared" si="4"/>
        <v>71430.286135693212</v>
      </c>
      <c r="AB25" s="73" t="s">
        <v>73</v>
      </c>
      <c r="AC25" s="55"/>
      <c r="AD25" s="93">
        <f t="shared" ref="AD25" si="15">W25/AC16</f>
        <v>6.1772619897959187E-2</v>
      </c>
    </row>
    <row r="26" spans="1:30" s="32" customFormat="1" ht="15.95">
      <c r="A26" s="65"/>
      <c r="B26" s="66" t="s">
        <v>48</v>
      </c>
      <c r="C26" s="66" t="s">
        <v>49</v>
      </c>
      <c r="D26" s="66"/>
      <c r="E26" s="66" t="s">
        <v>20</v>
      </c>
      <c r="F26" s="66" t="s">
        <v>21</v>
      </c>
      <c r="G26" s="66" t="s">
        <v>50</v>
      </c>
      <c r="H26" s="66"/>
      <c r="I26" s="66" t="s">
        <v>70</v>
      </c>
      <c r="J26" s="66"/>
      <c r="K26" s="66" t="s">
        <v>71</v>
      </c>
      <c r="L26" s="67">
        <v>2018</v>
      </c>
      <c r="M26" s="66" t="s">
        <v>72</v>
      </c>
      <c r="N26" s="66" t="s">
        <v>24</v>
      </c>
      <c r="O26" s="66" t="s">
        <v>54</v>
      </c>
      <c r="P26" s="66" t="s">
        <v>25</v>
      </c>
      <c r="Q26" s="68">
        <v>107978</v>
      </c>
      <c r="R26" s="68">
        <v>86196</v>
      </c>
      <c r="S26" s="69">
        <v>81881</v>
      </c>
      <c r="T26" s="69">
        <v>339</v>
      </c>
      <c r="U26" s="74" t="s">
        <v>67</v>
      </c>
      <c r="V26" s="75" t="s">
        <v>56</v>
      </c>
      <c r="W26" s="68">
        <v>0</v>
      </c>
      <c r="X26" s="68">
        <f t="shared" si="1"/>
        <v>0</v>
      </c>
      <c r="Y26" s="68">
        <f t="shared" si="2"/>
        <v>0</v>
      </c>
      <c r="Z26" s="68">
        <f t="shared" si="3"/>
        <v>0</v>
      </c>
      <c r="AA26" s="68">
        <f t="shared" si="4"/>
        <v>0</v>
      </c>
      <c r="AB26" s="73" t="s">
        <v>73</v>
      </c>
      <c r="AC26" s="55"/>
      <c r="AD26" s="93">
        <f t="shared" ref="AD26" si="16">W26/AC16</f>
        <v>0</v>
      </c>
    </row>
    <row r="27" spans="1:30" s="32" customFormat="1" ht="15.95">
      <c r="A27" s="65"/>
      <c r="B27" s="66" t="s">
        <v>48</v>
      </c>
      <c r="C27" s="66" t="s">
        <v>49</v>
      </c>
      <c r="D27" s="66"/>
      <c r="E27" s="66" t="s">
        <v>20</v>
      </c>
      <c r="F27" s="66" t="s">
        <v>21</v>
      </c>
      <c r="G27" s="66" t="s">
        <v>50</v>
      </c>
      <c r="H27" s="66"/>
      <c r="I27" s="66" t="s">
        <v>70</v>
      </c>
      <c r="J27" s="66"/>
      <c r="K27" s="66" t="s">
        <v>71</v>
      </c>
      <c r="L27" s="67">
        <v>2018</v>
      </c>
      <c r="M27" s="66" t="s">
        <v>72</v>
      </c>
      <c r="N27" s="66" t="s">
        <v>24</v>
      </c>
      <c r="O27" s="66" t="s">
        <v>54</v>
      </c>
      <c r="P27" s="66" t="s">
        <v>25</v>
      </c>
      <c r="Q27" s="68">
        <v>107978</v>
      </c>
      <c r="R27" s="68">
        <v>86196</v>
      </c>
      <c r="S27" s="69">
        <v>81881</v>
      </c>
      <c r="T27" s="69">
        <v>339</v>
      </c>
      <c r="U27" s="74" t="s">
        <v>68</v>
      </c>
      <c r="V27" s="75" t="s">
        <v>56</v>
      </c>
      <c r="W27" s="68">
        <v>29894168</v>
      </c>
      <c r="X27" s="68">
        <f t="shared" si="1"/>
        <v>276.85424808757341</v>
      </c>
      <c r="Y27" s="68">
        <f t="shared" si="2"/>
        <v>346.81618636595664</v>
      </c>
      <c r="Z27" s="68">
        <f t="shared" si="3"/>
        <v>365.09285426411498</v>
      </c>
      <c r="AA27" s="68">
        <f t="shared" si="4"/>
        <v>88183.386430678467</v>
      </c>
      <c r="AB27" s="73" t="s">
        <v>73</v>
      </c>
      <c r="AC27" s="55"/>
      <c r="AD27" s="93">
        <f t="shared" ref="AD27" si="17">W27/AC16</f>
        <v>7.6260632653061225E-2</v>
      </c>
    </row>
    <row r="28" spans="1:30" s="32" customFormat="1" ht="15.95">
      <c r="A28" s="65"/>
      <c r="B28" s="66" t="s">
        <v>48</v>
      </c>
      <c r="C28" s="66" t="s">
        <v>49</v>
      </c>
      <c r="D28" s="66"/>
      <c r="E28" s="66" t="s">
        <v>20</v>
      </c>
      <c r="F28" s="66" t="s">
        <v>21</v>
      </c>
      <c r="G28" s="66" t="s">
        <v>50</v>
      </c>
      <c r="H28" s="66"/>
      <c r="I28" s="66" t="s">
        <v>70</v>
      </c>
      <c r="J28" s="66"/>
      <c r="K28" s="66" t="s">
        <v>71</v>
      </c>
      <c r="L28" s="67">
        <v>2018</v>
      </c>
      <c r="M28" s="66" t="s">
        <v>72</v>
      </c>
      <c r="N28" s="66" t="s">
        <v>24</v>
      </c>
      <c r="O28" s="66" t="s">
        <v>54</v>
      </c>
      <c r="P28" s="66" t="s">
        <v>25</v>
      </c>
      <c r="Q28" s="68">
        <v>107978</v>
      </c>
      <c r="R28" s="68">
        <v>86196</v>
      </c>
      <c r="S28" s="69">
        <v>81881</v>
      </c>
      <c r="T28" s="69">
        <v>339</v>
      </c>
      <c r="U28" s="74" t="s">
        <v>69</v>
      </c>
      <c r="V28" s="75" t="s">
        <v>56</v>
      </c>
      <c r="W28" s="68">
        <v>34750297</v>
      </c>
      <c r="X28" s="68">
        <f t="shared" si="1"/>
        <v>321.8275667265554</v>
      </c>
      <c r="Y28" s="68">
        <f t="shared" si="2"/>
        <v>403.15440391665504</v>
      </c>
      <c r="Z28" s="68">
        <f t="shared" si="3"/>
        <v>424.40000732770727</v>
      </c>
      <c r="AA28" s="68">
        <f t="shared" si="4"/>
        <v>102508.25073746312</v>
      </c>
      <c r="AB28" s="73" t="s">
        <v>73</v>
      </c>
      <c r="AC28" s="55"/>
      <c r="AD28" s="93">
        <f t="shared" ref="AD28" si="18">W28/AC16</f>
        <v>8.8648716836734698E-2</v>
      </c>
    </row>
    <row r="29" spans="1:30" s="55" customFormat="1" ht="15" customHeight="1">
      <c r="A29" s="57"/>
      <c r="B29" s="58" t="s">
        <v>48</v>
      </c>
      <c r="C29" s="58" t="s">
        <v>49</v>
      </c>
      <c r="D29" s="58"/>
      <c r="E29" s="58" t="s">
        <v>20</v>
      </c>
      <c r="F29" s="58" t="s">
        <v>21</v>
      </c>
      <c r="G29" s="58" t="s">
        <v>50</v>
      </c>
      <c r="H29" s="58"/>
      <c r="I29" s="58" t="s">
        <v>74</v>
      </c>
      <c r="J29" s="58"/>
      <c r="K29" s="58" t="s">
        <v>75</v>
      </c>
      <c r="L29" s="59">
        <v>2018</v>
      </c>
      <c r="M29" s="58" t="s">
        <v>53</v>
      </c>
      <c r="N29" s="58" t="s">
        <v>24</v>
      </c>
      <c r="O29" s="58" t="s">
        <v>54</v>
      </c>
      <c r="P29" s="58" t="s">
        <v>25</v>
      </c>
      <c r="Q29" s="60">
        <v>42973</v>
      </c>
      <c r="R29" s="60">
        <v>41225</v>
      </c>
      <c r="S29" s="61">
        <v>34232</v>
      </c>
      <c r="T29" s="61">
        <v>150</v>
      </c>
      <c r="U29" s="62" t="s">
        <v>55</v>
      </c>
      <c r="V29" s="63" t="s">
        <v>56</v>
      </c>
      <c r="W29" s="60">
        <v>9197511</v>
      </c>
      <c r="X29" s="60">
        <f t="shared" si="1"/>
        <v>214.02999557861912</v>
      </c>
      <c r="Y29" s="60">
        <f t="shared" si="2"/>
        <v>223.1051788963008</v>
      </c>
      <c r="Z29" s="60">
        <f t="shared" si="3"/>
        <v>268.68167211965414</v>
      </c>
      <c r="AA29" s="60">
        <f t="shared" si="4"/>
        <v>61316.74</v>
      </c>
      <c r="AB29" s="64" t="s">
        <v>73</v>
      </c>
      <c r="AC29" s="92">
        <f t="shared" ref="AC29" si="19">SUM(W29:W41)</f>
        <v>157509543</v>
      </c>
      <c r="AD29" s="93">
        <f t="shared" ref="AD29" si="20">W29/AC29</f>
        <v>5.839335715677875E-2</v>
      </c>
    </row>
    <row r="30" spans="1:30" s="55" customFormat="1" ht="15.95">
      <c r="A30" s="57"/>
      <c r="B30" s="58" t="s">
        <v>48</v>
      </c>
      <c r="C30" s="58" t="s">
        <v>49</v>
      </c>
      <c r="D30" s="58"/>
      <c r="E30" s="58" t="s">
        <v>20</v>
      </c>
      <c r="F30" s="58" t="s">
        <v>21</v>
      </c>
      <c r="G30" s="58" t="s">
        <v>50</v>
      </c>
      <c r="H30" s="58"/>
      <c r="I30" s="58" t="s">
        <v>74</v>
      </c>
      <c r="J30" s="58"/>
      <c r="K30" s="58" t="s">
        <v>75</v>
      </c>
      <c r="L30" s="59">
        <v>2018</v>
      </c>
      <c r="M30" s="58" t="s">
        <v>53</v>
      </c>
      <c r="N30" s="58" t="s">
        <v>24</v>
      </c>
      <c r="O30" s="58" t="s">
        <v>54</v>
      </c>
      <c r="P30" s="58" t="s">
        <v>25</v>
      </c>
      <c r="Q30" s="60">
        <v>42973</v>
      </c>
      <c r="R30" s="60">
        <v>41225</v>
      </c>
      <c r="S30" s="61">
        <v>34232</v>
      </c>
      <c r="T30" s="61">
        <v>150</v>
      </c>
      <c r="U30" s="62" t="s">
        <v>58</v>
      </c>
      <c r="V30" s="63" t="s">
        <v>56</v>
      </c>
      <c r="W30" s="60">
        <v>18381854</v>
      </c>
      <c r="X30" s="60">
        <f t="shared" si="1"/>
        <v>427.75356619272566</v>
      </c>
      <c r="Y30" s="60">
        <f t="shared" si="2"/>
        <v>445.8909399636143</v>
      </c>
      <c r="Z30" s="60">
        <f t="shared" si="3"/>
        <v>536.97867492404771</v>
      </c>
      <c r="AA30" s="60">
        <f t="shared" si="4"/>
        <v>122545.69333333333</v>
      </c>
      <c r="AB30" s="64" t="s">
        <v>73</v>
      </c>
      <c r="AD30" s="93">
        <f t="shared" ref="AD30" si="21">W30/AC29</f>
        <v>0.11670311302979273</v>
      </c>
    </row>
    <row r="31" spans="1:30" s="55" customFormat="1" ht="15.95">
      <c r="A31" s="57"/>
      <c r="B31" s="58" t="s">
        <v>48</v>
      </c>
      <c r="C31" s="58" t="s">
        <v>49</v>
      </c>
      <c r="D31" s="58"/>
      <c r="E31" s="58" t="s">
        <v>20</v>
      </c>
      <c r="F31" s="58" t="s">
        <v>21</v>
      </c>
      <c r="G31" s="58" t="s">
        <v>50</v>
      </c>
      <c r="H31" s="58"/>
      <c r="I31" s="58" t="s">
        <v>74</v>
      </c>
      <c r="J31" s="58"/>
      <c r="K31" s="58" t="s">
        <v>75</v>
      </c>
      <c r="L31" s="59">
        <v>2018</v>
      </c>
      <c r="M31" s="58" t="s">
        <v>53</v>
      </c>
      <c r="N31" s="58" t="s">
        <v>24</v>
      </c>
      <c r="O31" s="58" t="s">
        <v>54</v>
      </c>
      <c r="P31" s="58" t="s">
        <v>25</v>
      </c>
      <c r="Q31" s="60">
        <v>42973</v>
      </c>
      <c r="R31" s="60">
        <v>41225</v>
      </c>
      <c r="S31" s="61">
        <v>34232</v>
      </c>
      <c r="T31" s="61">
        <v>150</v>
      </c>
      <c r="U31" s="62" t="s">
        <v>59</v>
      </c>
      <c r="V31" s="63" t="s">
        <v>56</v>
      </c>
      <c r="W31" s="60">
        <v>23767948</v>
      </c>
      <c r="X31" s="60">
        <f t="shared" si="1"/>
        <v>553.09026598096477</v>
      </c>
      <c r="Y31" s="60">
        <f t="shared" si="2"/>
        <v>576.54209824135842</v>
      </c>
      <c r="Z31" s="60">
        <f t="shared" si="3"/>
        <v>694.31958401495672</v>
      </c>
      <c r="AA31" s="60">
        <f t="shared" si="4"/>
        <v>158452.98666666666</v>
      </c>
      <c r="AB31" s="64" t="s">
        <v>73</v>
      </c>
      <c r="AD31" s="93">
        <f t="shared" ref="AD31" si="22">W31/AC29</f>
        <v>0.1508984633394562</v>
      </c>
    </row>
    <row r="32" spans="1:30" s="55" customFormat="1" ht="15.95">
      <c r="A32" s="57"/>
      <c r="B32" s="58" t="s">
        <v>48</v>
      </c>
      <c r="C32" s="58" t="s">
        <v>49</v>
      </c>
      <c r="D32" s="58"/>
      <c r="E32" s="58" t="s">
        <v>20</v>
      </c>
      <c r="F32" s="58" t="s">
        <v>21</v>
      </c>
      <c r="G32" s="58" t="s">
        <v>50</v>
      </c>
      <c r="H32" s="58"/>
      <c r="I32" s="58" t="s">
        <v>74</v>
      </c>
      <c r="J32" s="58"/>
      <c r="K32" s="58" t="s">
        <v>75</v>
      </c>
      <c r="L32" s="59">
        <v>2018</v>
      </c>
      <c r="M32" s="58" t="s">
        <v>53</v>
      </c>
      <c r="N32" s="58" t="s">
        <v>24</v>
      </c>
      <c r="O32" s="58" t="s">
        <v>54</v>
      </c>
      <c r="P32" s="58" t="s">
        <v>25</v>
      </c>
      <c r="Q32" s="60">
        <v>42973</v>
      </c>
      <c r="R32" s="60">
        <v>41225</v>
      </c>
      <c r="S32" s="61">
        <v>34232</v>
      </c>
      <c r="T32" s="61">
        <v>150</v>
      </c>
      <c r="U32" s="62" t="s">
        <v>60</v>
      </c>
      <c r="V32" s="63" t="s">
        <v>56</v>
      </c>
      <c r="W32" s="60">
        <v>7688363</v>
      </c>
      <c r="X32" s="60">
        <f t="shared" si="1"/>
        <v>178.91147930095642</v>
      </c>
      <c r="Y32" s="60">
        <f t="shared" si="2"/>
        <v>186.49758641600971</v>
      </c>
      <c r="Z32" s="60">
        <f t="shared" si="3"/>
        <v>224.59578756718861</v>
      </c>
      <c r="AA32" s="60">
        <f t="shared" si="4"/>
        <v>51255.753333333334</v>
      </c>
      <c r="AB32" s="64" t="s">
        <v>73</v>
      </c>
      <c r="AD32" s="93">
        <f t="shared" ref="AD32" si="23">W32/AC29</f>
        <v>4.8812045629514654E-2</v>
      </c>
    </row>
    <row r="33" spans="1:30" s="55" customFormat="1" ht="15.95">
      <c r="A33" s="57"/>
      <c r="B33" s="58" t="s">
        <v>48</v>
      </c>
      <c r="C33" s="58" t="s">
        <v>49</v>
      </c>
      <c r="D33" s="58"/>
      <c r="E33" s="58" t="s">
        <v>20</v>
      </c>
      <c r="F33" s="58" t="s">
        <v>21</v>
      </c>
      <c r="G33" s="58" t="s">
        <v>50</v>
      </c>
      <c r="H33" s="58"/>
      <c r="I33" s="58" t="s">
        <v>74</v>
      </c>
      <c r="J33" s="58"/>
      <c r="K33" s="58" t="s">
        <v>75</v>
      </c>
      <c r="L33" s="59">
        <v>2018</v>
      </c>
      <c r="M33" s="58" t="s">
        <v>53</v>
      </c>
      <c r="N33" s="58" t="s">
        <v>24</v>
      </c>
      <c r="O33" s="58" t="s">
        <v>54</v>
      </c>
      <c r="P33" s="58" t="s">
        <v>25</v>
      </c>
      <c r="Q33" s="60">
        <v>42973</v>
      </c>
      <c r="R33" s="60">
        <v>41225</v>
      </c>
      <c r="S33" s="61">
        <v>34232</v>
      </c>
      <c r="T33" s="61">
        <v>150</v>
      </c>
      <c r="U33" s="62" t="s">
        <v>61</v>
      </c>
      <c r="V33" s="63" t="s">
        <v>56</v>
      </c>
      <c r="W33" s="60">
        <v>27354609</v>
      </c>
      <c r="X33" s="60">
        <f t="shared" si="1"/>
        <v>636.55339399157606</v>
      </c>
      <c r="Y33" s="60">
        <f t="shared" si="2"/>
        <v>663.54418435415403</v>
      </c>
      <c r="Z33" s="60">
        <f t="shared" si="3"/>
        <v>799.09467749474175</v>
      </c>
      <c r="AA33" s="60">
        <f t="shared" si="4"/>
        <v>182364.06</v>
      </c>
      <c r="AB33" s="64" t="s">
        <v>73</v>
      </c>
      <c r="AD33" s="93">
        <f t="shared" ref="AD33" si="24">W33/AC29</f>
        <v>0.17366953442306668</v>
      </c>
    </row>
    <row r="34" spans="1:30" s="55" customFormat="1" ht="15.95">
      <c r="A34" s="57"/>
      <c r="B34" s="58" t="s">
        <v>48</v>
      </c>
      <c r="C34" s="58" t="s">
        <v>49</v>
      </c>
      <c r="D34" s="58"/>
      <c r="E34" s="58" t="s">
        <v>20</v>
      </c>
      <c r="F34" s="58" t="s">
        <v>21</v>
      </c>
      <c r="G34" s="58" t="s">
        <v>50</v>
      </c>
      <c r="H34" s="58"/>
      <c r="I34" s="58" t="s">
        <v>74</v>
      </c>
      <c r="J34" s="58"/>
      <c r="K34" s="58" t="s">
        <v>75</v>
      </c>
      <c r="L34" s="59">
        <v>2018</v>
      </c>
      <c r="M34" s="58" t="s">
        <v>53</v>
      </c>
      <c r="N34" s="58" t="s">
        <v>24</v>
      </c>
      <c r="O34" s="58" t="s">
        <v>54</v>
      </c>
      <c r="P34" s="58" t="s">
        <v>25</v>
      </c>
      <c r="Q34" s="60">
        <v>42973</v>
      </c>
      <c r="R34" s="60">
        <v>41225</v>
      </c>
      <c r="S34" s="61">
        <v>34232</v>
      </c>
      <c r="T34" s="61">
        <v>150</v>
      </c>
      <c r="U34" s="62" t="s">
        <v>62</v>
      </c>
      <c r="V34" s="63" t="s">
        <v>56</v>
      </c>
      <c r="W34" s="60">
        <v>12114027</v>
      </c>
      <c r="X34" s="60">
        <f t="shared" si="1"/>
        <v>281.89856421473951</v>
      </c>
      <c r="Y34" s="60">
        <f t="shared" si="2"/>
        <v>293.851473620376</v>
      </c>
      <c r="Z34" s="60">
        <f t="shared" si="3"/>
        <v>353.88019981304041</v>
      </c>
      <c r="AA34" s="60">
        <f t="shared" si="4"/>
        <v>80760.179999999993</v>
      </c>
      <c r="AB34" s="64" t="s">
        <v>73</v>
      </c>
      <c r="AD34" s="93">
        <f t="shared" ref="AD34" si="25">W34/AC29</f>
        <v>7.6909797141624617E-2</v>
      </c>
    </row>
    <row r="35" spans="1:30" s="55" customFormat="1" ht="15.95">
      <c r="A35" s="57"/>
      <c r="B35" s="58" t="s">
        <v>48</v>
      </c>
      <c r="C35" s="58" t="s">
        <v>49</v>
      </c>
      <c r="D35" s="58"/>
      <c r="E35" s="58" t="s">
        <v>20</v>
      </c>
      <c r="F35" s="58" t="s">
        <v>21</v>
      </c>
      <c r="G35" s="58" t="s">
        <v>50</v>
      </c>
      <c r="H35" s="58"/>
      <c r="I35" s="58" t="s">
        <v>74</v>
      </c>
      <c r="J35" s="58"/>
      <c r="K35" s="58" t="s">
        <v>75</v>
      </c>
      <c r="L35" s="59">
        <v>2018</v>
      </c>
      <c r="M35" s="58" t="s">
        <v>53</v>
      </c>
      <c r="N35" s="58" t="s">
        <v>24</v>
      </c>
      <c r="O35" s="58" t="s">
        <v>54</v>
      </c>
      <c r="P35" s="58" t="s">
        <v>25</v>
      </c>
      <c r="Q35" s="60">
        <v>42973</v>
      </c>
      <c r="R35" s="60">
        <v>41225</v>
      </c>
      <c r="S35" s="61">
        <v>34232</v>
      </c>
      <c r="T35" s="61">
        <v>150</v>
      </c>
      <c r="U35" s="62" t="s">
        <v>63</v>
      </c>
      <c r="V35" s="63" t="s">
        <v>56</v>
      </c>
      <c r="W35" s="60">
        <v>2041954</v>
      </c>
      <c r="X35" s="60">
        <f t="shared" si="1"/>
        <v>47.517138668466245</v>
      </c>
      <c r="Y35" s="60">
        <f t="shared" si="2"/>
        <v>49.531934505761065</v>
      </c>
      <c r="Z35" s="60">
        <f t="shared" si="3"/>
        <v>59.650444028978733</v>
      </c>
      <c r="AA35" s="60">
        <f t="shared" si="4"/>
        <v>13613.026666666667</v>
      </c>
      <c r="AB35" s="64" t="s">
        <v>73</v>
      </c>
      <c r="AD35" s="93">
        <f t="shared" ref="AD35" si="26">W35/AC29</f>
        <v>1.2964001806544509E-2</v>
      </c>
    </row>
    <row r="36" spans="1:30" s="55" customFormat="1" ht="15.95">
      <c r="A36" s="57"/>
      <c r="B36" s="58" t="s">
        <v>48</v>
      </c>
      <c r="C36" s="58" t="s">
        <v>49</v>
      </c>
      <c r="D36" s="58"/>
      <c r="E36" s="58" t="s">
        <v>20</v>
      </c>
      <c r="F36" s="58" t="s">
        <v>21</v>
      </c>
      <c r="G36" s="58" t="s">
        <v>50</v>
      </c>
      <c r="H36" s="58"/>
      <c r="I36" s="58" t="s">
        <v>74</v>
      </c>
      <c r="J36" s="58"/>
      <c r="K36" s="58" t="s">
        <v>75</v>
      </c>
      <c r="L36" s="59">
        <v>2018</v>
      </c>
      <c r="M36" s="58" t="s">
        <v>53</v>
      </c>
      <c r="N36" s="58" t="s">
        <v>24</v>
      </c>
      <c r="O36" s="58" t="s">
        <v>54</v>
      </c>
      <c r="P36" s="58" t="s">
        <v>25</v>
      </c>
      <c r="Q36" s="60">
        <v>42973</v>
      </c>
      <c r="R36" s="60">
        <v>41225</v>
      </c>
      <c r="S36" s="61">
        <v>34232</v>
      </c>
      <c r="T36" s="61">
        <v>150</v>
      </c>
      <c r="U36" s="62" t="s">
        <v>64</v>
      </c>
      <c r="V36" s="63" t="s">
        <v>56</v>
      </c>
      <c r="W36" s="60">
        <v>0</v>
      </c>
      <c r="X36" s="60">
        <f t="shared" si="1"/>
        <v>0</v>
      </c>
      <c r="Y36" s="60">
        <f t="shared" si="2"/>
        <v>0</v>
      </c>
      <c r="Z36" s="60">
        <f t="shared" si="3"/>
        <v>0</v>
      </c>
      <c r="AA36" s="60">
        <f t="shared" si="4"/>
        <v>0</v>
      </c>
      <c r="AB36" s="64" t="s">
        <v>73</v>
      </c>
      <c r="AD36" s="93">
        <f t="shared" ref="AD36" si="27">W36/AC29</f>
        <v>0</v>
      </c>
    </row>
    <row r="37" spans="1:30" s="55" customFormat="1" ht="15.95">
      <c r="A37" s="57"/>
      <c r="B37" s="58" t="s">
        <v>48</v>
      </c>
      <c r="C37" s="58" t="s">
        <v>49</v>
      </c>
      <c r="D37" s="58"/>
      <c r="E37" s="58" t="s">
        <v>20</v>
      </c>
      <c r="F37" s="58" t="s">
        <v>21</v>
      </c>
      <c r="G37" s="58" t="s">
        <v>50</v>
      </c>
      <c r="H37" s="58"/>
      <c r="I37" s="58" t="s">
        <v>74</v>
      </c>
      <c r="J37" s="58"/>
      <c r="K37" s="58" t="s">
        <v>75</v>
      </c>
      <c r="L37" s="59">
        <v>2018</v>
      </c>
      <c r="M37" s="58" t="s">
        <v>53</v>
      </c>
      <c r="N37" s="58" t="s">
        <v>24</v>
      </c>
      <c r="O37" s="58" t="s">
        <v>54</v>
      </c>
      <c r="P37" s="58" t="s">
        <v>25</v>
      </c>
      <c r="Q37" s="60">
        <v>42973</v>
      </c>
      <c r="R37" s="60">
        <v>41225</v>
      </c>
      <c r="S37" s="61">
        <v>34232</v>
      </c>
      <c r="T37" s="61">
        <v>150</v>
      </c>
      <c r="U37" s="62" t="s">
        <v>65</v>
      </c>
      <c r="V37" s="63" t="s">
        <v>56</v>
      </c>
      <c r="W37" s="60">
        <v>16503507</v>
      </c>
      <c r="X37" s="60">
        <f t="shared" si="1"/>
        <v>384.04363204803013</v>
      </c>
      <c r="Y37" s="60">
        <f t="shared" si="2"/>
        <v>400.32764099454215</v>
      </c>
      <c r="Z37" s="60">
        <f t="shared" si="3"/>
        <v>482.10758939004438</v>
      </c>
      <c r="AA37" s="60">
        <f t="shared" si="4"/>
        <v>110023.38</v>
      </c>
      <c r="AB37" s="64" t="s">
        <v>73</v>
      </c>
      <c r="AD37" s="93">
        <f t="shared" ref="AD37" si="28">W37/AC29</f>
        <v>0.1047778228903883</v>
      </c>
    </row>
    <row r="38" spans="1:30" s="55" customFormat="1" ht="15.95">
      <c r="A38" s="57"/>
      <c r="B38" s="58" t="s">
        <v>48</v>
      </c>
      <c r="C38" s="58" t="s">
        <v>49</v>
      </c>
      <c r="D38" s="58"/>
      <c r="E38" s="58" t="s">
        <v>20</v>
      </c>
      <c r="F38" s="58" t="s">
        <v>21</v>
      </c>
      <c r="G38" s="58" t="s">
        <v>50</v>
      </c>
      <c r="H38" s="58"/>
      <c r="I38" s="58" t="s">
        <v>74</v>
      </c>
      <c r="J38" s="58"/>
      <c r="K38" s="58" t="s">
        <v>75</v>
      </c>
      <c r="L38" s="59">
        <v>2018</v>
      </c>
      <c r="M38" s="58" t="s">
        <v>53</v>
      </c>
      <c r="N38" s="58" t="s">
        <v>24</v>
      </c>
      <c r="O38" s="58" t="s">
        <v>54</v>
      </c>
      <c r="P38" s="58" t="s">
        <v>25</v>
      </c>
      <c r="Q38" s="60">
        <v>42973</v>
      </c>
      <c r="R38" s="60">
        <v>41225</v>
      </c>
      <c r="S38" s="61">
        <v>34232</v>
      </c>
      <c r="T38" s="61">
        <v>150</v>
      </c>
      <c r="U38" s="62" t="s">
        <v>66</v>
      </c>
      <c r="V38" s="63" t="s">
        <v>56</v>
      </c>
      <c r="W38" s="60">
        <v>12737336</v>
      </c>
      <c r="X38" s="60">
        <f t="shared" si="1"/>
        <v>296.4032299350755</v>
      </c>
      <c r="Y38" s="60">
        <f t="shared" si="2"/>
        <v>308.97115827774411</v>
      </c>
      <c r="Z38" s="60">
        <f t="shared" si="3"/>
        <v>372.08857209628417</v>
      </c>
      <c r="AA38" s="60">
        <f t="shared" si="4"/>
        <v>84915.573333333334</v>
      </c>
      <c r="AB38" s="64" t="s">
        <v>73</v>
      </c>
      <c r="AD38" s="93">
        <f t="shared" ref="AD38" si="29">W38/AC29</f>
        <v>8.0867074828602614E-2</v>
      </c>
    </row>
    <row r="39" spans="1:30" s="55" customFormat="1" ht="15.95">
      <c r="A39" s="57"/>
      <c r="B39" s="58" t="s">
        <v>48</v>
      </c>
      <c r="C39" s="58" t="s">
        <v>49</v>
      </c>
      <c r="D39" s="58"/>
      <c r="E39" s="58" t="s">
        <v>20</v>
      </c>
      <c r="F39" s="58" t="s">
        <v>21</v>
      </c>
      <c r="G39" s="58" t="s">
        <v>50</v>
      </c>
      <c r="H39" s="58"/>
      <c r="I39" s="58" t="s">
        <v>74</v>
      </c>
      <c r="J39" s="58"/>
      <c r="K39" s="58" t="s">
        <v>75</v>
      </c>
      <c r="L39" s="59">
        <v>2018</v>
      </c>
      <c r="M39" s="58" t="s">
        <v>53</v>
      </c>
      <c r="N39" s="58" t="s">
        <v>24</v>
      </c>
      <c r="O39" s="58" t="s">
        <v>54</v>
      </c>
      <c r="P39" s="58" t="s">
        <v>25</v>
      </c>
      <c r="Q39" s="60">
        <v>42973</v>
      </c>
      <c r="R39" s="60">
        <v>41225</v>
      </c>
      <c r="S39" s="61">
        <v>34232</v>
      </c>
      <c r="T39" s="61">
        <v>150</v>
      </c>
      <c r="U39" s="62" t="s">
        <v>67</v>
      </c>
      <c r="V39" s="63" t="s">
        <v>56</v>
      </c>
      <c r="W39" s="60">
        <v>0</v>
      </c>
      <c r="X39" s="60">
        <f t="shared" si="1"/>
        <v>0</v>
      </c>
      <c r="Y39" s="60">
        <f t="shared" si="2"/>
        <v>0</v>
      </c>
      <c r="Z39" s="60">
        <f t="shared" si="3"/>
        <v>0</v>
      </c>
      <c r="AA39" s="60">
        <f t="shared" si="4"/>
        <v>0</v>
      </c>
      <c r="AB39" s="64" t="s">
        <v>73</v>
      </c>
      <c r="AD39" s="93">
        <f t="shared" ref="AD39" si="30">W39/AC29</f>
        <v>0</v>
      </c>
    </row>
    <row r="40" spans="1:30" s="55" customFormat="1" ht="15.95">
      <c r="A40" s="57"/>
      <c r="B40" s="58" t="s">
        <v>48</v>
      </c>
      <c r="C40" s="58" t="s">
        <v>49</v>
      </c>
      <c r="D40" s="58"/>
      <c r="E40" s="58" t="s">
        <v>20</v>
      </c>
      <c r="F40" s="58" t="s">
        <v>21</v>
      </c>
      <c r="G40" s="58" t="s">
        <v>50</v>
      </c>
      <c r="H40" s="58"/>
      <c r="I40" s="58" t="s">
        <v>74</v>
      </c>
      <c r="J40" s="58"/>
      <c r="K40" s="58" t="s">
        <v>75</v>
      </c>
      <c r="L40" s="59">
        <v>2018</v>
      </c>
      <c r="M40" s="58" t="s">
        <v>53</v>
      </c>
      <c r="N40" s="58" t="s">
        <v>24</v>
      </c>
      <c r="O40" s="58" t="s">
        <v>54</v>
      </c>
      <c r="P40" s="58" t="s">
        <v>25</v>
      </c>
      <c r="Q40" s="60">
        <v>42973</v>
      </c>
      <c r="R40" s="60">
        <v>41225</v>
      </c>
      <c r="S40" s="61">
        <v>34232</v>
      </c>
      <c r="T40" s="61">
        <v>150</v>
      </c>
      <c r="U40" s="62" t="s">
        <v>68</v>
      </c>
      <c r="V40" s="63" t="s">
        <v>56</v>
      </c>
      <c r="W40" s="60">
        <v>11879865</v>
      </c>
      <c r="X40" s="60">
        <f t="shared" si="1"/>
        <v>276.44951481162593</v>
      </c>
      <c r="Y40" s="60">
        <f t="shared" si="2"/>
        <v>288.17137659187387</v>
      </c>
      <c r="Z40" s="60">
        <f t="shared" si="3"/>
        <v>347.03975812105631</v>
      </c>
      <c r="AA40" s="60">
        <f t="shared" si="4"/>
        <v>79199.100000000006</v>
      </c>
      <c r="AB40" s="64" t="s">
        <v>73</v>
      </c>
      <c r="AD40" s="93">
        <f t="shared" ref="AD40" si="31">W40/AC29</f>
        <v>7.5423144361481634E-2</v>
      </c>
    </row>
    <row r="41" spans="1:30" s="55" customFormat="1" ht="15.95">
      <c r="A41" s="57"/>
      <c r="B41" s="58" t="s">
        <v>48</v>
      </c>
      <c r="C41" s="58" t="s">
        <v>49</v>
      </c>
      <c r="D41" s="58"/>
      <c r="E41" s="58" t="s">
        <v>20</v>
      </c>
      <c r="F41" s="58" t="s">
        <v>21</v>
      </c>
      <c r="G41" s="58" t="s">
        <v>50</v>
      </c>
      <c r="H41" s="58"/>
      <c r="I41" s="58" t="s">
        <v>74</v>
      </c>
      <c r="J41" s="58"/>
      <c r="K41" s="58" t="s">
        <v>75</v>
      </c>
      <c r="L41" s="59">
        <v>2018</v>
      </c>
      <c r="M41" s="58" t="s">
        <v>53</v>
      </c>
      <c r="N41" s="58" t="s">
        <v>24</v>
      </c>
      <c r="O41" s="58" t="s">
        <v>54</v>
      </c>
      <c r="P41" s="58" t="s">
        <v>25</v>
      </c>
      <c r="Q41" s="60">
        <v>42973</v>
      </c>
      <c r="R41" s="60">
        <v>41225</v>
      </c>
      <c r="S41" s="61">
        <v>34232</v>
      </c>
      <c r="T41" s="61">
        <v>150</v>
      </c>
      <c r="U41" s="62" t="s">
        <v>69</v>
      </c>
      <c r="V41" s="63" t="s">
        <v>56</v>
      </c>
      <c r="W41" s="60">
        <v>15842569</v>
      </c>
      <c r="X41" s="60">
        <f t="shared" si="1"/>
        <v>368.66332348218651</v>
      </c>
      <c r="Y41" s="60">
        <f t="shared" si="2"/>
        <v>384.29518496058216</v>
      </c>
      <c r="Z41" s="60">
        <f t="shared" si="3"/>
        <v>462.79998247254031</v>
      </c>
      <c r="AA41" s="60">
        <f t="shared" si="4"/>
        <v>105617.12666666666</v>
      </c>
      <c r="AB41" s="64" t="s">
        <v>73</v>
      </c>
      <c r="AD41" s="93">
        <f t="shared" ref="AD41" si="32">W41/AC29</f>
        <v>0.10058164539274932</v>
      </c>
    </row>
    <row r="42" spans="1:30" s="32" customFormat="1" ht="15" customHeight="1">
      <c r="A42" s="65"/>
      <c r="B42" s="66" t="s">
        <v>48</v>
      </c>
      <c r="C42" s="66" t="s">
        <v>49</v>
      </c>
      <c r="D42" s="66"/>
      <c r="E42" s="66" t="s">
        <v>20</v>
      </c>
      <c r="F42" s="66" t="s">
        <v>21</v>
      </c>
      <c r="G42" s="66" t="s">
        <v>50</v>
      </c>
      <c r="H42" s="66"/>
      <c r="I42" s="66" t="s">
        <v>76</v>
      </c>
      <c r="J42" s="66"/>
      <c r="K42" s="66" t="s">
        <v>77</v>
      </c>
      <c r="L42" s="67">
        <v>2019</v>
      </c>
      <c r="M42" s="66" t="s">
        <v>72</v>
      </c>
      <c r="N42" s="66" t="s">
        <v>24</v>
      </c>
      <c r="O42" s="66" t="s">
        <v>54</v>
      </c>
      <c r="P42" s="66" t="s">
        <v>25</v>
      </c>
      <c r="Q42" s="68">
        <v>113250.30890290694</v>
      </c>
      <c r="R42" s="68">
        <v>104555</v>
      </c>
      <c r="S42" s="68">
        <v>69776</v>
      </c>
      <c r="T42" s="68">
        <v>158</v>
      </c>
      <c r="U42" s="74" t="s">
        <v>55</v>
      </c>
      <c r="V42" s="75" t="s">
        <v>56</v>
      </c>
      <c r="W42" s="68">
        <v>27123684</v>
      </c>
      <c r="X42" s="68">
        <f t="shared" si="1"/>
        <v>239.5020752062936</v>
      </c>
      <c r="Y42" s="68">
        <f t="shared" si="2"/>
        <v>259.42024771651285</v>
      </c>
      <c r="Z42" s="68">
        <f t="shared" si="3"/>
        <v>388.72512038523274</v>
      </c>
      <c r="AA42" s="68">
        <f t="shared" si="4"/>
        <v>171668.88607594935</v>
      </c>
      <c r="AB42" s="73" t="s">
        <v>73</v>
      </c>
      <c r="AC42" s="92">
        <f t="shared" ref="AC42" si="33">SUM(W42:W54)</f>
        <v>451204906</v>
      </c>
      <c r="AD42" s="93">
        <f t="shared" ref="AD42" si="34">W42/AC42</f>
        <v>6.0113894240325483E-2</v>
      </c>
    </row>
    <row r="43" spans="1:30" s="32" customFormat="1" ht="15.95">
      <c r="A43" s="65"/>
      <c r="B43" s="66" t="s">
        <v>48</v>
      </c>
      <c r="C43" s="66" t="s">
        <v>49</v>
      </c>
      <c r="D43" s="66"/>
      <c r="E43" s="66" t="s">
        <v>20</v>
      </c>
      <c r="F43" s="66" t="s">
        <v>21</v>
      </c>
      <c r="G43" s="66" t="s">
        <v>50</v>
      </c>
      <c r="H43" s="66"/>
      <c r="I43" s="66" t="s">
        <v>76</v>
      </c>
      <c r="J43" s="66"/>
      <c r="K43" s="66" t="s">
        <v>77</v>
      </c>
      <c r="L43" s="67">
        <v>2019</v>
      </c>
      <c r="M43" s="66" t="s">
        <v>72</v>
      </c>
      <c r="N43" s="66" t="s">
        <v>24</v>
      </c>
      <c r="O43" s="66" t="s">
        <v>54</v>
      </c>
      <c r="P43" s="66" t="s">
        <v>25</v>
      </c>
      <c r="Q43" s="68">
        <v>113250.30890290694</v>
      </c>
      <c r="R43" s="68">
        <v>104555</v>
      </c>
      <c r="S43" s="69">
        <v>69776</v>
      </c>
      <c r="T43" s="69">
        <v>158</v>
      </c>
      <c r="U43" s="74" t="s">
        <v>58</v>
      </c>
      <c r="V43" s="75" t="s">
        <v>56</v>
      </c>
      <c r="W43" s="68">
        <v>57743431</v>
      </c>
      <c r="X43" s="68">
        <f t="shared" si="1"/>
        <v>509.87437967613198</v>
      </c>
      <c r="Y43" s="68">
        <f t="shared" si="2"/>
        <v>552.27804504806079</v>
      </c>
      <c r="Z43" s="68">
        <f t="shared" si="3"/>
        <v>827.55433100206369</v>
      </c>
      <c r="AA43" s="68">
        <f t="shared" si="4"/>
        <v>365464.75316455698</v>
      </c>
      <c r="AB43" s="73" t="s">
        <v>73</v>
      </c>
      <c r="AC43" s="55"/>
      <c r="AD43" s="93">
        <f t="shared" ref="AD43" si="35">W43/AC42</f>
        <v>0.12797607080983289</v>
      </c>
    </row>
    <row r="44" spans="1:30" s="32" customFormat="1" ht="15.95">
      <c r="A44" s="65"/>
      <c r="B44" s="66" t="s">
        <v>48</v>
      </c>
      <c r="C44" s="66" t="s">
        <v>49</v>
      </c>
      <c r="D44" s="66"/>
      <c r="E44" s="66" t="s">
        <v>20</v>
      </c>
      <c r="F44" s="66" t="s">
        <v>21</v>
      </c>
      <c r="G44" s="66" t="s">
        <v>50</v>
      </c>
      <c r="H44" s="66"/>
      <c r="I44" s="66" t="s">
        <v>76</v>
      </c>
      <c r="J44" s="66"/>
      <c r="K44" s="66" t="s">
        <v>77</v>
      </c>
      <c r="L44" s="67">
        <v>2019</v>
      </c>
      <c r="M44" s="66" t="s">
        <v>72</v>
      </c>
      <c r="N44" s="66" t="s">
        <v>24</v>
      </c>
      <c r="O44" s="66" t="s">
        <v>54</v>
      </c>
      <c r="P44" s="66" t="s">
        <v>25</v>
      </c>
      <c r="Q44" s="68">
        <v>113250.30890290694</v>
      </c>
      <c r="R44" s="68">
        <v>104555</v>
      </c>
      <c r="S44" s="69">
        <v>69776</v>
      </c>
      <c r="T44" s="69">
        <v>158</v>
      </c>
      <c r="U44" s="74" t="s">
        <v>59</v>
      </c>
      <c r="V44" s="75" t="s">
        <v>56</v>
      </c>
      <c r="W44" s="68">
        <v>83892459</v>
      </c>
      <c r="X44" s="68">
        <f t="shared" si="1"/>
        <v>740.77024436130807</v>
      </c>
      <c r="Y44" s="68">
        <f t="shared" si="2"/>
        <v>802.37634737697863</v>
      </c>
      <c r="Z44" s="68">
        <f t="shared" si="3"/>
        <v>1202.3110955056179</v>
      </c>
      <c r="AA44" s="68">
        <f t="shared" si="4"/>
        <v>530964.93037974683</v>
      </c>
      <c r="AB44" s="73" t="s">
        <v>73</v>
      </c>
      <c r="AC44" s="55"/>
      <c r="AD44" s="93">
        <f t="shared" ref="AD44" si="36">W44/AC42</f>
        <v>0.18592984669364387</v>
      </c>
    </row>
    <row r="45" spans="1:30" s="32" customFormat="1" ht="15.95">
      <c r="A45" s="65"/>
      <c r="B45" s="66" t="s">
        <v>48</v>
      </c>
      <c r="C45" s="66" t="s">
        <v>49</v>
      </c>
      <c r="D45" s="66"/>
      <c r="E45" s="66" t="s">
        <v>20</v>
      </c>
      <c r="F45" s="66" t="s">
        <v>21</v>
      </c>
      <c r="G45" s="66" t="s">
        <v>50</v>
      </c>
      <c r="H45" s="66"/>
      <c r="I45" s="66" t="s">
        <v>76</v>
      </c>
      <c r="J45" s="66"/>
      <c r="K45" s="66" t="s">
        <v>77</v>
      </c>
      <c r="L45" s="67">
        <v>2019</v>
      </c>
      <c r="M45" s="66" t="s">
        <v>72</v>
      </c>
      <c r="N45" s="66" t="s">
        <v>24</v>
      </c>
      <c r="O45" s="66" t="s">
        <v>54</v>
      </c>
      <c r="P45" s="66" t="s">
        <v>25</v>
      </c>
      <c r="Q45" s="68">
        <v>113250.30890290694</v>
      </c>
      <c r="R45" s="68">
        <v>104555</v>
      </c>
      <c r="S45" s="69">
        <v>69776</v>
      </c>
      <c r="T45" s="69">
        <v>158</v>
      </c>
      <c r="U45" s="74" t="s">
        <v>60</v>
      </c>
      <c r="V45" s="75" t="s">
        <v>56</v>
      </c>
      <c r="W45" s="68">
        <v>14934994</v>
      </c>
      <c r="X45" s="68">
        <f t="shared" si="1"/>
        <v>131.87596700335928</v>
      </c>
      <c r="Y45" s="68">
        <f t="shared" si="2"/>
        <v>142.84342212232795</v>
      </c>
      <c r="Z45" s="68">
        <f t="shared" si="3"/>
        <v>214.04199151570739</v>
      </c>
      <c r="AA45" s="68">
        <f t="shared" si="4"/>
        <v>94525.278481012661</v>
      </c>
      <c r="AB45" s="73" t="s">
        <v>73</v>
      </c>
      <c r="AC45" s="55"/>
      <c r="AD45" s="93">
        <f t="shared" ref="AD45" si="37">W45/AC42</f>
        <v>3.3100247363001857E-2</v>
      </c>
    </row>
    <row r="46" spans="1:30" s="32" customFormat="1" ht="15.95">
      <c r="A46" s="65"/>
      <c r="B46" s="66" t="s">
        <v>48</v>
      </c>
      <c r="C46" s="66" t="s">
        <v>49</v>
      </c>
      <c r="D46" s="66"/>
      <c r="E46" s="66" t="s">
        <v>20</v>
      </c>
      <c r="F46" s="66" t="s">
        <v>21</v>
      </c>
      <c r="G46" s="66" t="s">
        <v>50</v>
      </c>
      <c r="H46" s="66"/>
      <c r="I46" s="66" t="s">
        <v>76</v>
      </c>
      <c r="J46" s="66"/>
      <c r="K46" s="66" t="s">
        <v>77</v>
      </c>
      <c r="L46" s="67">
        <v>2019</v>
      </c>
      <c r="M46" s="66" t="s">
        <v>72</v>
      </c>
      <c r="N46" s="66" t="s">
        <v>24</v>
      </c>
      <c r="O46" s="66" t="s">
        <v>54</v>
      </c>
      <c r="P46" s="66" t="s">
        <v>25</v>
      </c>
      <c r="Q46" s="68">
        <v>113250.30890290694</v>
      </c>
      <c r="R46" s="68">
        <v>104555</v>
      </c>
      <c r="S46" s="69">
        <v>69776</v>
      </c>
      <c r="T46" s="69">
        <v>158</v>
      </c>
      <c r="U46" s="74" t="s">
        <v>61</v>
      </c>
      <c r="V46" s="75" t="s">
        <v>56</v>
      </c>
      <c r="W46" s="68">
        <v>80179291</v>
      </c>
      <c r="X46" s="68">
        <f t="shared" si="1"/>
        <v>707.98297838410519</v>
      </c>
      <c r="Y46" s="68">
        <f t="shared" si="2"/>
        <v>766.86233083066327</v>
      </c>
      <c r="Z46" s="68">
        <f t="shared" si="3"/>
        <v>1149.0955486127034</v>
      </c>
      <c r="AA46" s="68">
        <f t="shared" si="4"/>
        <v>507463.86708860757</v>
      </c>
      <c r="AB46" s="73" t="s">
        <v>73</v>
      </c>
      <c r="AC46" s="55"/>
      <c r="AD46" s="93">
        <f t="shared" ref="AD46" si="38">W46/AC42</f>
        <v>0.17770039716722405</v>
      </c>
    </row>
    <row r="47" spans="1:30" s="32" customFormat="1" ht="15.95">
      <c r="A47" s="65"/>
      <c r="B47" s="66" t="s">
        <v>48</v>
      </c>
      <c r="C47" s="66" t="s">
        <v>49</v>
      </c>
      <c r="D47" s="66"/>
      <c r="E47" s="66" t="s">
        <v>20</v>
      </c>
      <c r="F47" s="66" t="s">
        <v>21</v>
      </c>
      <c r="G47" s="66" t="s">
        <v>50</v>
      </c>
      <c r="H47" s="66"/>
      <c r="I47" s="66" t="s">
        <v>76</v>
      </c>
      <c r="J47" s="66"/>
      <c r="K47" s="66" t="s">
        <v>77</v>
      </c>
      <c r="L47" s="67">
        <v>2019</v>
      </c>
      <c r="M47" s="66" t="s">
        <v>72</v>
      </c>
      <c r="N47" s="66" t="s">
        <v>24</v>
      </c>
      <c r="O47" s="66" t="s">
        <v>54</v>
      </c>
      <c r="P47" s="66" t="s">
        <v>25</v>
      </c>
      <c r="Q47" s="68">
        <v>113250.30890290694</v>
      </c>
      <c r="R47" s="68">
        <v>104555</v>
      </c>
      <c r="S47" s="69">
        <v>69776</v>
      </c>
      <c r="T47" s="69">
        <v>158</v>
      </c>
      <c r="U47" s="74" t="s">
        <v>62</v>
      </c>
      <c r="V47" s="75" t="s">
        <v>56</v>
      </c>
      <c r="W47" s="68">
        <v>20817957</v>
      </c>
      <c r="X47" s="68">
        <f t="shared" si="1"/>
        <v>183.82251846966608</v>
      </c>
      <c r="Y47" s="68">
        <f t="shared" si="2"/>
        <v>199.11010472956818</v>
      </c>
      <c r="Z47" s="68">
        <f t="shared" si="3"/>
        <v>298.35411889474892</v>
      </c>
      <c r="AA47" s="68">
        <f t="shared" si="4"/>
        <v>131759.22151898735</v>
      </c>
      <c r="AB47" s="73" t="s">
        <v>73</v>
      </c>
      <c r="AC47" s="55"/>
      <c r="AD47" s="93">
        <f t="shared" ref="AD47" si="39">W47/AC42</f>
        <v>4.6138587420412491E-2</v>
      </c>
    </row>
    <row r="48" spans="1:30" s="32" customFormat="1" ht="15.95">
      <c r="A48" s="65"/>
      <c r="B48" s="66" t="s">
        <v>48</v>
      </c>
      <c r="C48" s="66" t="s">
        <v>49</v>
      </c>
      <c r="D48" s="66"/>
      <c r="E48" s="66" t="s">
        <v>20</v>
      </c>
      <c r="F48" s="66" t="s">
        <v>21</v>
      </c>
      <c r="G48" s="66" t="s">
        <v>50</v>
      </c>
      <c r="H48" s="66"/>
      <c r="I48" s="66" t="s">
        <v>76</v>
      </c>
      <c r="J48" s="66"/>
      <c r="K48" s="66" t="s">
        <v>77</v>
      </c>
      <c r="L48" s="67">
        <v>2019</v>
      </c>
      <c r="M48" s="66" t="s">
        <v>72</v>
      </c>
      <c r="N48" s="66" t="s">
        <v>24</v>
      </c>
      <c r="O48" s="66" t="s">
        <v>54</v>
      </c>
      <c r="P48" s="66" t="s">
        <v>25</v>
      </c>
      <c r="Q48" s="68">
        <v>113250.30890290694</v>
      </c>
      <c r="R48" s="68">
        <v>104555</v>
      </c>
      <c r="S48" s="69">
        <v>69776</v>
      </c>
      <c r="T48" s="69">
        <v>158</v>
      </c>
      <c r="U48" s="74" t="s">
        <v>63</v>
      </c>
      <c r="V48" s="75" t="s">
        <v>56</v>
      </c>
      <c r="W48" s="68">
        <v>3262311</v>
      </c>
      <c r="X48" s="68">
        <f t="shared" si="1"/>
        <v>28.806199573344053</v>
      </c>
      <c r="Y48" s="68">
        <f t="shared" si="2"/>
        <v>31.201865047104395</v>
      </c>
      <c r="Z48" s="68">
        <f t="shared" si="3"/>
        <v>46.754055835817475</v>
      </c>
      <c r="AA48" s="68">
        <f t="shared" si="4"/>
        <v>20647.537974683546</v>
      </c>
      <c r="AB48" s="73" t="s">
        <v>73</v>
      </c>
      <c r="AC48" s="55"/>
      <c r="AD48" s="93">
        <f t="shared" ref="AD48" si="40">W48/AC42</f>
        <v>7.230220586298324E-3</v>
      </c>
    </row>
    <row r="49" spans="1:30" s="32" customFormat="1" ht="15.95">
      <c r="A49" s="65"/>
      <c r="B49" s="66" t="s">
        <v>48</v>
      </c>
      <c r="C49" s="66" t="s">
        <v>49</v>
      </c>
      <c r="D49" s="66"/>
      <c r="E49" s="66" t="s">
        <v>20</v>
      </c>
      <c r="F49" s="66" t="s">
        <v>21</v>
      </c>
      <c r="G49" s="66" t="s">
        <v>50</v>
      </c>
      <c r="H49" s="66"/>
      <c r="I49" s="66" t="s">
        <v>76</v>
      </c>
      <c r="J49" s="66"/>
      <c r="K49" s="66" t="s">
        <v>77</v>
      </c>
      <c r="L49" s="67">
        <v>2019</v>
      </c>
      <c r="M49" s="66" t="s">
        <v>72</v>
      </c>
      <c r="N49" s="66" t="s">
        <v>24</v>
      </c>
      <c r="O49" s="66" t="s">
        <v>54</v>
      </c>
      <c r="P49" s="66" t="s">
        <v>25</v>
      </c>
      <c r="Q49" s="68">
        <v>113250.30890290694</v>
      </c>
      <c r="R49" s="68">
        <v>104555</v>
      </c>
      <c r="S49" s="69">
        <v>69776</v>
      </c>
      <c r="T49" s="69">
        <v>158</v>
      </c>
      <c r="U49" s="74" t="s">
        <v>64</v>
      </c>
      <c r="V49" s="75" t="s">
        <v>56</v>
      </c>
      <c r="W49" s="68">
        <v>0</v>
      </c>
      <c r="X49" s="68">
        <f t="shared" si="1"/>
        <v>0</v>
      </c>
      <c r="Y49" s="68">
        <f t="shared" si="2"/>
        <v>0</v>
      </c>
      <c r="Z49" s="68">
        <f t="shared" si="3"/>
        <v>0</v>
      </c>
      <c r="AA49" s="68">
        <f t="shared" si="4"/>
        <v>0</v>
      </c>
      <c r="AB49" s="73" t="s">
        <v>73</v>
      </c>
      <c r="AC49" s="55"/>
      <c r="AD49" s="93">
        <f t="shared" ref="AD49" si="41">W49/AC42</f>
        <v>0</v>
      </c>
    </row>
    <row r="50" spans="1:30" s="32" customFormat="1" ht="15.95">
      <c r="A50" s="65"/>
      <c r="B50" s="66" t="s">
        <v>48</v>
      </c>
      <c r="C50" s="66" t="s">
        <v>49</v>
      </c>
      <c r="D50" s="66"/>
      <c r="E50" s="66" t="s">
        <v>20</v>
      </c>
      <c r="F50" s="66" t="s">
        <v>21</v>
      </c>
      <c r="G50" s="66" t="s">
        <v>50</v>
      </c>
      <c r="H50" s="66"/>
      <c r="I50" s="66" t="s">
        <v>76</v>
      </c>
      <c r="J50" s="66"/>
      <c r="K50" s="66" t="s">
        <v>77</v>
      </c>
      <c r="L50" s="67">
        <v>2019</v>
      </c>
      <c r="M50" s="66" t="s">
        <v>72</v>
      </c>
      <c r="N50" s="66" t="s">
        <v>24</v>
      </c>
      <c r="O50" s="66" t="s">
        <v>54</v>
      </c>
      <c r="P50" s="66" t="s">
        <v>25</v>
      </c>
      <c r="Q50" s="68">
        <v>113250.30890290694</v>
      </c>
      <c r="R50" s="68">
        <v>104555</v>
      </c>
      <c r="S50" s="69">
        <v>69776</v>
      </c>
      <c r="T50" s="69">
        <v>158</v>
      </c>
      <c r="U50" s="74" t="s">
        <v>65</v>
      </c>
      <c r="V50" s="75" t="s">
        <v>56</v>
      </c>
      <c r="W50" s="68">
        <v>28963004</v>
      </c>
      <c r="X50" s="68">
        <f t="shared" si="1"/>
        <v>255.74326710959258</v>
      </c>
      <c r="Y50" s="68">
        <f t="shared" si="2"/>
        <v>277.01213715269478</v>
      </c>
      <c r="Z50" s="68">
        <f t="shared" si="3"/>
        <v>415.08547351524879</v>
      </c>
      <c r="AA50" s="68">
        <f t="shared" si="4"/>
        <v>183310.15189873418</v>
      </c>
      <c r="AB50" s="73" t="s">
        <v>73</v>
      </c>
      <c r="AC50" s="55"/>
      <c r="AD50" s="93">
        <f t="shared" ref="AD50" si="42">W50/AC42</f>
        <v>6.4190357008219234E-2</v>
      </c>
    </row>
    <row r="51" spans="1:30" s="32" customFormat="1" ht="15.95">
      <c r="A51" s="65"/>
      <c r="B51" s="66" t="s">
        <v>48</v>
      </c>
      <c r="C51" s="66" t="s">
        <v>49</v>
      </c>
      <c r="D51" s="66"/>
      <c r="E51" s="66" t="s">
        <v>20</v>
      </c>
      <c r="F51" s="66" t="s">
        <v>21</v>
      </c>
      <c r="G51" s="66" t="s">
        <v>50</v>
      </c>
      <c r="H51" s="66"/>
      <c r="I51" s="66" t="s">
        <v>76</v>
      </c>
      <c r="J51" s="66"/>
      <c r="K51" s="66" t="s">
        <v>77</v>
      </c>
      <c r="L51" s="67">
        <v>2019</v>
      </c>
      <c r="M51" s="66" t="s">
        <v>72</v>
      </c>
      <c r="N51" s="66" t="s">
        <v>24</v>
      </c>
      <c r="O51" s="66" t="s">
        <v>54</v>
      </c>
      <c r="P51" s="66" t="s">
        <v>25</v>
      </c>
      <c r="Q51" s="68">
        <v>113250.30890290694</v>
      </c>
      <c r="R51" s="68">
        <v>104555</v>
      </c>
      <c r="S51" s="69">
        <v>69776</v>
      </c>
      <c r="T51" s="69">
        <v>158</v>
      </c>
      <c r="U51" s="74" t="s">
        <v>66</v>
      </c>
      <c r="V51" s="75" t="s">
        <v>56</v>
      </c>
      <c r="W51" s="68">
        <v>14909529</v>
      </c>
      <c r="X51" s="68">
        <f t="shared" si="1"/>
        <v>131.65111110453932</v>
      </c>
      <c r="Y51" s="68">
        <f t="shared" si="2"/>
        <v>142.59986609918224</v>
      </c>
      <c r="Z51" s="68">
        <f t="shared" si="3"/>
        <v>213.67703795001145</v>
      </c>
      <c r="AA51" s="68">
        <f t="shared" si="4"/>
        <v>94364.107594936708</v>
      </c>
      <c r="AB51" s="73" t="s">
        <v>73</v>
      </c>
      <c r="AC51" s="55"/>
      <c r="AD51" s="93">
        <f t="shared" ref="AD51" si="43">W51/AC42</f>
        <v>3.3043809590137745E-2</v>
      </c>
    </row>
    <row r="52" spans="1:30" s="32" customFormat="1" ht="15.95">
      <c r="A52" s="65"/>
      <c r="B52" s="66" t="s">
        <v>48</v>
      </c>
      <c r="C52" s="66" t="s">
        <v>49</v>
      </c>
      <c r="D52" s="66"/>
      <c r="E52" s="66" t="s">
        <v>20</v>
      </c>
      <c r="F52" s="66" t="s">
        <v>21</v>
      </c>
      <c r="G52" s="66" t="s">
        <v>50</v>
      </c>
      <c r="H52" s="66"/>
      <c r="I52" s="66" t="s">
        <v>76</v>
      </c>
      <c r="J52" s="66"/>
      <c r="K52" s="66" t="s">
        <v>77</v>
      </c>
      <c r="L52" s="67">
        <v>2019</v>
      </c>
      <c r="M52" s="66" t="s">
        <v>72</v>
      </c>
      <c r="N52" s="66" t="s">
        <v>24</v>
      </c>
      <c r="O52" s="66" t="s">
        <v>54</v>
      </c>
      <c r="P52" s="66" t="s">
        <v>25</v>
      </c>
      <c r="Q52" s="68">
        <v>113250.30890290694</v>
      </c>
      <c r="R52" s="68">
        <v>104555</v>
      </c>
      <c r="S52" s="69">
        <v>69776</v>
      </c>
      <c r="T52" s="69">
        <v>158</v>
      </c>
      <c r="U52" s="74" t="s">
        <v>67</v>
      </c>
      <c r="V52" s="75" t="s">
        <v>56</v>
      </c>
      <c r="W52" s="68">
        <v>0</v>
      </c>
      <c r="X52" s="68">
        <f t="shared" si="1"/>
        <v>0</v>
      </c>
      <c r="Y52" s="68">
        <f t="shared" si="2"/>
        <v>0</v>
      </c>
      <c r="Z52" s="68">
        <f t="shared" si="3"/>
        <v>0</v>
      </c>
      <c r="AA52" s="68">
        <f t="shared" si="4"/>
        <v>0</v>
      </c>
      <c r="AB52" s="73" t="s">
        <v>73</v>
      </c>
      <c r="AC52" s="55"/>
      <c r="AD52" s="93">
        <f t="shared" ref="AD52" si="44">W52/AC42</f>
        <v>0</v>
      </c>
    </row>
    <row r="53" spans="1:30" s="32" customFormat="1" ht="15.95">
      <c r="A53" s="65"/>
      <c r="B53" s="66" t="s">
        <v>48</v>
      </c>
      <c r="C53" s="66" t="s">
        <v>49</v>
      </c>
      <c r="D53" s="66"/>
      <c r="E53" s="66" t="s">
        <v>20</v>
      </c>
      <c r="F53" s="66" t="s">
        <v>21</v>
      </c>
      <c r="G53" s="66" t="s">
        <v>50</v>
      </c>
      <c r="H53" s="66"/>
      <c r="I53" s="66" t="s">
        <v>76</v>
      </c>
      <c r="J53" s="66"/>
      <c r="K53" s="66" t="s">
        <v>77</v>
      </c>
      <c r="L53" s="67">
        <v>2019</v>
      </c>
      <c r="M53" s="66" t="s">
        <v>72</v>
      </c>
      <c r="N53" s="66" t="s">
        <v>24</v>
      </c>
      <c r="O53" s="66" t="s">
        <v>54</v>
      </c>
      <c r="P53" s="66" t="s">
        <v>25</v>
      </c>
      <c r="Q53" s="68">
        <v>113250.30890290694</v>
      </c>
      <c r="R53" s="68">
        <v>104555</v>
      </c>
      <c r="S53" s="69">
        <v>69776</v>
      </c>
      <c r="T53" s="69">
        <v>158</v>
      </c>
      <c r="U53" s="74" t="s">
        <v>68</v>
      </c>
      <c r="V53" s="75" t="s">
        <v>56</v>
      </c>
      <c r="W53" s="68">
        <v>8177680</v>
      </c>
      <c r="X53" s="68">
        <f t="shared" si="1"/>
        <v>72.208897964340068</v>
      </c>
      <c r="Y53" s="68">
        <f t="shared" si="2"/>
        <v>78.214145664961023</v>
      </c>
      <c r="Z53" s="68">
        <f t="shared" si="3"/>
        <v>117.19903691813805</v>
      </c>
      <c r="AA53" s="68">
        <f t="shared" si="4"/>
        <v>51757.468354430377</v>
      </c>
      <c r="AB53" s="73" t="s">
        <v>73</v>
      </c>
      <c r="AC53" s="55"/>
      <c r="AD53" s="93">
        <f t="shared" ref="AD53" si="45">W53/AC42</f>
        <v>1.8124093712757635E-2</v>
      </c>
    </row>
    <row r="54" spans="1:30" s="32" customFormat="1" ht="15.95">
      <c r="A54" s="65"/>
      <c r="B54" s="66" t="s">
        <v>48</v>
      </c>
      <c r="C54" s="66" t="s">
        <v>49</v>
      </c>
      <c r="D54" s="66"/>
      <c r="E54" s="66" t="s">
        <v>20</v>
      </c>
      <c r="F54" s="66" t="s">
        <v>21</v>
      </c>
      <c r="G54" s="66" t="s">
        <v>50</v>
      </c>
      <c r="H54" s="66"/>
      <c r="I54" s="66" t="s">
        <v>76</v>
      </c>
      <c r="J54" s="66"/>
      <c r="K54" s="66" t="s">
        <v>77</v>
      </c>
      <c r="L54" s="67">
        <v>2019</v>
      </c>
      <c r="M54" s="66" t="s">
        <v>72</v>
      </c>
      <c r="N54" s="66" t="s">
        <v>24</v>
      </c>
      <c r="O54" s="66" t="s">
        <v>54</v>
      </c>
      <c r="P54" s="66" t="s">
        <v>25</v>
      </c>
      <c r="Q54" s="68">
        <v>113250.30890290694</v>
      </c>
      <c r="R54" s="68">
        <v>104555</v>
      </c>
      <c r="S54" s="69">
        <v>69776</v>
      </c>
      <c r="T54" s="69">
        <v>158</v>
      </c>
      <c r="U54" s="74" t="s">
        <v>69</v>
      </c>
      <c r="V54" s="75" t="s">
        <v>56</v>
      </c>
      <c r="W54" s="68">
        <v>111200566</v>
      </c>
      <c r="X54" s="68">
        <f t="shared" si="1"/>
        <v>981.90077428694485</v>
      </c>
      <c r="Y54" s="68">
        <f t="shared" si="2"/>
        <v>1063.5604801300751</v>
      </c>
      <c r="Z54" s="68">
        <f t="shared" si="3"/>
        <v>1593.6792880073378</v>
      </c>
      <c r="AA54" s="68">
        <f t="shared" si="4"/>
        <v>703801.05063291139</v>
      </c>
      <c r="AB54" s="73" t="s">
        <v>73</v>
      </c>
      <c r="AC54" s="55"/>
      <c r="AD54" s="93">
        <f t="shared" ref="AD54" si="46">W54/AC42</f>
        <v>0.24645247540814638</v>
      </c>
    </row>
    <row r="55" spans="1:30" s="55" customFormat="1" ht="15" customHeight="1">
      <c r="A55" s="57"/>
      <c r="B55" s="58" t="s">
        <v>48</v>
      </c>
      <c r="C55" s="58" t="s">
        <v>49</v>
      </c>
      <c r="D55" s="58"/>
      <c r="E55" s="58" t="s">
        <v>20</v>
      </c>
      <c r="F55" s="58" t="s">
        <v>21</v>
      </c>
      <c r="G55" s="58" t="s">
        <v>50</v>
      </c>
      <c r="H55" s="58"/>
      <c r="I55" s="58" t="s">
        <v>78</v>
      </c>
      <c r="J55" s="58"/>
      <c r="K55" s="58" t="s">
        <v>79</v>
      </c>
      <c r="L55" s="59">
        <v>2022</v>
      </c>
      <c r="M55" s="58" t="s">
        <v>80</v>
      </c>
      <c r="N55" s="58" t="s">
        <v>24</v>
      </c>
      <c r="O55" s="58" t="s">
        <v>54</v>
      </c>
      <c r="P55" s="58" t="s">
        <v>25</v>
      </c>
      <c r="Q55" s="60">
        <v>60504</v>
      </c>
      <c r="R55" s="60">
        <v>58317</v>
      </c>
      <c r="S55" s="61">
        <v>49568</v>
      </c>
      <c r="T55" s="61">
        <v>150</v>
      </c>
      <c r="U55" s="62" t="s">
        <v>55</v>
      </c>
      <c r="V55" s="63" t="s">
        <v>56</v>
      </c>
      <c r="W55" s="60">
        <v>13291964</v>
      </c>
      <c r="X55" s="60">
        <f t="shared" si="1"/>
        <v>219.6873595134206</v>
      </c>
      <c r="Y55" s="60">
        <f t="shared" si="2"/>
        <v>227.92605929660306</v>
      </c>
      <c r="Z55" s="60">
        <f t="shared" si="3"/>
        <v>268.15614912846996</v>
      </c>
      <c r="AA55" s="60">
        <f t="shared" si="4"/>
        <v>88613.093333333338</v>
      </c>
      <c r="AB55" s="64" t="s">
        <v>73</v>
      </c>
      <c r="AC55" s="92">
        <f t="shared" ref="AC55" si="47">SUM(W55:W67)</f>
        <v>209959928</v>
      </c>
      <c r="AD55" s="93">
        <f t="shared" ref="AD55" si="48">W55/AC55</f>
        <v>6.3307146876141057E-2</v>
      </c>
    </row>
    <row r="56" spans="1:30" s="55" customFormat="1" ht="15.95">
      <c r="A56" s="57"/>
      <c r="B56" s="58" t="s">
        <v>48</v>
      </c>
      <c r="C56" s="58" t="s">
        <v>49</v>
      </c>
      <c r="D56" s="58"/>
      <c r="E56" s="58" t="s">
        <v>20</v>
      </c>
      <c r="F56" s="58" t="s">
        <v>21</v>
      </c>
      <c r="G56" s="58" t="s">
        <v>50</v>
      </c>
      <c r="H56" s="58"/>
      <c r="I56" s="58" t="s">
        <v>78</v>
      </c>
      <c r="J56" s="58"/>
      <c r="K56" s="58" t="s">
        <v>79</v>
      </c>
      <c r="L56" s="59">
        <v>2022</v>
      </c>
      <c r="M56" s="58" t="s">
        <v>80</v>
      </c>
      <c r="N56" s="58" t="s">
        <v>24</v>
      </c>
      <c r="O56" s="58" t="s">
        <v>54</v>
      </c>
      <c r="P56" s="58" t="s">
        <v>25</v>
      </c>
      <c r="Q56" s="60">
        <v>60504</v>
      </c>
      <c r="R56" s="60">
        <v>58317</v>
      </c>
      <c r="S56" s="61">
        <v>49568</v>
      </c>
      <c r="T56" s="61">
        <v>150</v>
      </c>
      <c r="U56" s="62" t="s">
        <v>58</v>
      </c>
      <c r="V56" s="63" t="s">
        <v>56</v>
      </c>
      <c r="W56" s="60">
        <v>25143116</v>
      </c>
      <c r="X56" s="60">
        <f t="shared" si="1"/>
        <v>415.56121909295251</v>
      </c>
      <c r="Y56" s="60">
        <f t="shared" si="2"/>
        <v>431.14556647289811</v>
      </c>
      <c r="Z56" s="60">
        <f t="shared" si="3"/>
        <v>507.24491607488704</v>
      </c>
      <c r="AA56" s="60">
        <f t="shared" si="4"/>
        <v>167620.77333333335</v>
      </c>
      <c r="AB56" s="64" t="s">
        <v>73</v>
      </c>
      <c r="AD56" s="93">
        <f t="shared" ref="AD56" si="49">W56/AC55</f>
        <v>0.1197519747672994</v>
      </c>
    </row>
    <row r="57" spans="1:30" s="55" customFormat="1" ht="15.95">
      <c r="A57" s="57"/>
      <c r="B57" s="58" t="s">
        <v>48</v>
      </c>
      <c r="C57" s="58" t="s">
        <v>49</v>
      </c>
      <c r="D57" s="58"/>
      <c r="E57" s="58" t="s">
        <v>20</v>
      </c>
      <c r="F57" s="58" t="s">
        <v>21</v>
      </c>
      <c r="G57" s="58" t="s">
        <v>50</v>
      </c>
      <c r="H57" s="58"/>
      <c r="I57" s="58" t="s">
        <v>78</v>
      </c>
      <c r="J57" s="58"/>
      <c r="K57" s="58" t="s">
        <v>79</v>
      </c>
      <c r="L57" s="59">
        <v>2022</v>
      </c>
      <c r="M57" s="58" t="s">
        <v>80</v>
      </c>
      <c r="N57" s="58" t="s">
        <v>24</v>
      </c>
      <c r="O57" s="58" t="s">
        <v>54</v>
      </c>
      <c r="P57" s="58" t="s">
        <v>25</v>
      </c>
      <c r="Q57" s="60">
        <v>60504</v>
      </c>
      <c r="R57" s="60">
        <v>58317</v>
      </c>
      <c r="S57" s="61">
        <v>49568</v>
      </c>
      <c r="T57" s="61">
        <v>150</v>
      </c>
      <c r="U57" s="62" t="s">
        <v>59</v>
      </c>
      <c r="V57" s="63" t="s">
        <v>56</v>
      </c>
      <c r="W57" s="60">
        <v>26043300</v>
      </c>
      <c r="X57" s="60">
        <f t="shared" si="1"/>
        <v>430.43930979769931</v>
      </c>
      <c r="Y57" s="60">
        <f t="shared" si="2"/>
        <v>446.58161428056997</v>
      </c>
      <c r="Z57" s="60">
        <f t="shared" si="3"/>
        <v>525.40550355067785</v>
      </c>
      <c r="AA57" s="60">
        <f t="shared" si="4"/>
        <v>173622</v>
      </c>
      <c r="AB57" s="64" t="s">
        <v>73</v>
      </c>
      <c r="AD57" s="93">
        <f t="shared" ref="AD57" si="50">W57/AC55</f>
        <v>0.12403938336271482</v>
      </c>
    </row>
    <row r="58" spans="1:30" s="55" customFormat="1" ht="15.95">
      <c r="A58" s="57"/>
      <c r="B58" s="58" t="s">
        <v>48</v>
      </c>
      <c r="C58" s="58" t="s">
        <v>49</v>
      </c>
      <c r="D58" s="58"/>
      <c r="E58" s="58" t="s">
        <v>20</v>
      </c>
      <c r="F58" s="58" t="s">
        <v>21</v>
      </c>
      <c r="G58" s="58" t="s">
        <v>50</v>
      </c>
      <c r="H58" s="58"/>
      <c r="I58" s="58" t="s">
        <v>78</v>
      </c>
      <c r="J58" s="58"/>
      <c r="K58" s="58" t="s">
        <v>79</v>
      </c>
      <c r="L58" s="59">
        <v>2022</v>
      </c>
      <c r="M58" s="58" t="s">
        <v>80</v>
      </c>
      <c r="N58" s="58" t="s">
        <v>24</v>
      </c>
      <c r="O58" s="58" t="s">
        <v>54</v>
      </c>
      <c r="P58" s="58" t="s">
        <v>25</v>
      </c>
      <c r="Q58" s="60">
        <v>60504</v>
      </c>
      <c r="R58" s="60">
        <v>58317</v>
      </c>
      <c r="S58" s="61">
        <v>49568</v>
      </c>
      <c r="T58" s="61">
        <v>150</v>
      </c>
      <c r="U58" s="62" t="s">
        <v>60</v>
      </c>
      <c r="V58" s="63" t="s">
        <v>56</v>
      </c>
      <c r="W58" s="60">
        <v>10589199</v>
      </c>
      <c r="X58" s="60">
        <f t="shared" si="1"/>
        <v>175.01651130503768</v>
      </c>
      <c r="Y58" s="60">
        <f t="shared" si="2"/>
        <v>181.57996810535522</v>
      </c>
      <c r="Z58" s="60">
        <f t="shared" si="3"/>
        <v>213.6297409619109</v>
      </c>
      <c r="AA58" s="60">
        <f t="shared" si="4"/>
        <v>70594.66</v>
      </c>
      <c r="AB58" s="64" t="s">
        <v>73</v>
      </c>
      <c r="AD58" s="93">
        <f t="shared" ref="AD58" si="51">W58/AC55</f>
        <v>5.0434380983403651E-2</v>
      </c>
    </row>
    <row r="59" spans="1:30" s="55" customFormat="1" ht="15.95">
      <c r="A59" s="57"/>
      <c r="B59" s="58" t="s">
        <v>48</v>
      </c>
      <c r="C59" s="58" t="s">
        <v>49</v>
      </c>
      <c r="D59" s="58"/>
      <c r="E59" s="58" t="s">
        <v>20</v>
      </c>
      <c r="F59" s="58" t="s">
        <v>21</v>
      </c>
      <c r="G59" s="58" t="s">
        <v>50</v>
      </c>
      <c r="H59" s="58"/>
      <c r="I59" s="58" t="s">
        <v>78</v>
      </c>
      <c r="J59" s="58"/>
      <c r="K59" s="58" t="s">
        <v>79</v>
      </c>
      <c r="L59" s="59">
        <v>2022</v>
      </c>
      <c r="M59" s="58" t="s">
        <v>80</v>
      </c>
      <c r="N59" s="58" t="s">
        <v>24</v>
      </c>
      <c r="O59" s="58" t="s">
        <v>54</v>
      </c>
      <c r="P59" s="58" t="s">
        <v>25</v>
      </c>
      <c r="Q59" s="60">
        <v>60504</v>
      </c>
      <c r="R59" s="60">
        <v>58317</v>
      </c>
      <c r="S59" s="61">
        <v>49568</v>
      </c>
      <c r="T59" s="61">
        <v>150</v>
      </c>
      <c r="U59" s="62" t="s">
        <v>61</v>
      </c>
      <c r="V59" s="63" t="s">
        <v>56</v>
      </c>
      <c r="W59" s="60">
        <v>22304299</v>
      </c>
      <c r="X59" s="60">
        <f t="shared" si="1"/>
        <v>368.641726166865</v>
      </c>
      <c r="Y59" s="60">
        <f t="shared" si="2"/>
        <v>382.46650204914516</v>
      </c>
      <c r="Z59" s="60">
        <f t="shared" si="3"/>
        <v>449.97375322788895</v>
      </c>
      <c r="AA59" s="60">
        <f t="shared" si="4"/>
        <v>148695.32666666666</v>
      </c>
      <c r="AB59" s="64" t="s">
        <v>73</v>
      </c>
      <c r="AD59" s="93">
        <f t="shared" ref="AD59" si="52">W59/AC55</f>
        <v>0.10623121855900046</v>
      </c>
    </row>
    <row r="60" spans="1:30" s="55" customFormat="1" ht="15.95">
      <c r="A60" s="57"/>
      <c r="B60" s="58" t="s">
        <v>48</v>
      </c>
      <c r="C60" s="58" t="s">
        <v>49</v>
      </c>
      <c r="D60" s="58"/>
      <c r="E60" s="58" t="s">
        <v>20</v>
      </c>
      <c r="F60" s="58" t="s">
        <v>21</v>
      </c>
      <c r="G60" s="58" t="s">
        <v>50</v>
      </c>
      <c r="H60" s="58"/>
      <c r="I60" s="58" t="s">
        <v>78</v>
      </c>
      <c r="J60" s="58"/>
      <c r="K60" s="58" t="s">
        <v>79</v>
      </c>
      <c r="L60" s="59">
        <v>2022</v>
      </c>
      <c r="M60" s="58" t="s">
        <v>80</v>
      </c>
      <c r="N60" s="58" t="s">
        <v>24</v>
      </c>
      <c r="O60" s="58" t="s">
        <v>54</v>
      </c>
      <c r="P60" s="58" t="s">
        <v>25</v>
      </c>
      <c r="Q60" s="60">
        <v>60504</v>
      </c>
      <c r="R60" s="60">
        <v>58317</v>
      </c>
      <c r="S60" s="61">
        <v>49568</v>
      </c>
      <c r="T60" s="61">
        <v>150</v>
      </c>
      <c r="U60" s="62" t="s">
        <v>62</v>
      </c>
      <c r="V60" s="63" t="s">
        <v>56</v>
      </c>
      <c r="W60" s="60">
        <v>24542022</v>
      </c>
      <c r="X60" s="60">
        <f t="shared" si="1"/>
        <v>405.62643792145974</v>
      </c>
      <c r="Y60" s="60">
        <f t="shared" si="2"/>
        <v>420.83821184217294</v>
      </c>
      <c r="Z60" s="60">
        <f t="shared" si="3"/>
        <v>495.11826178179473</v>
      </c>
      <c r="AA60" s="60">
        <f t="shared" si="4"/>
        <v>163613.48000000001</v>
      </c>
      <c r="AB60" s="64" t="s">
        <v>73</v>
      </c>
      <c r="AD60" s="93">
        <f t="shared" ref="AD60" si="53">W60/AC55</f>
        <v>0.11688907609074814</v>
      </c>
    </row>
    <row r="61" spans="1:30" s="55" customFormat="1" ht="15.95">
      <c r="A61" s="57"/>
      <c r="B61" s="58" t="s">
        <v>48</v>
      </c>
      <c r="C61" s="58" t="s">
        <v>49</v>
      </c>
      <c r="D61" s="58"/>
      <c r="E61" s="58" t="s">
        <v>20</v>
      </c>
      <c r="F61" s="58" t="s">
        <v>21</v>
      </c>
      <c r="G61" s="58" t="s">
        <v>50</v>
      </c>
      <c r="H61" s="58"/>
      <c r="I61" s="58" t="s">
        <v>78</v>
      </c>
      <c r="J61" s="58"/>
      <c r="K61" s="58" t="s">
        <v>79</v>
      </c>
      <c r="L61" s="59">
        <v>2022</v>
      </c>
      <c r="M61" s="58" t="s">
        <v>80</v>
      </c>
      <c r="N61" s="58" t="s">
        <v>24</v>
      </c>
      <c r="O61" s="58" t="s">
        <v>54</v>
      </c>
      <c r="P61" s="58" t="s">
        <v>25</v>
      </c>
      <c r="Q61" s="60">
        <v>60504</v>
      </c>
      <c r="R61" s="60">
        <v>58317</v>
      </c>
      <c r="S61" s="61">
        <v>49568</v>
      </c>
      <c r="T61" s="61">
        <v>150</v>
      </c>
      <c r="U61" s="62" t="s">
        <v>63</v>
      </c>
      <c r="V61" s="63" t="s">
        <v>56</v>
      </c>
      <c r="W61" s="60">
        <v>6803420</v>
      </c>
      <c r="X61" s="60">
        <f t="shared" si="1"/>
        <v>112.44578870818458</v>
      </c>
      <c r="Y61" s="60">
        <f t="shared" si="2"/>
        <v>116.66272270521461</v>
      </c>
      <c r="Z61" s="60">
        <f t="shared" si="3"/>
        <v>137.25427695287283</v>
      </c>
      <c r="AA61" s="60">
        <f t="shared" si="4"/>
        <v>45356.133333333331</v>
      </c>
      <c r="AB61" s="64" t="s">
        <v>73</v>
      </c>
      <c r="AD61" s="93">
        <f t="shared" ref="AD61" si="54">W61/AC55</f>
        <v>3.2403421285227343E-2</v>
      </c>
    </row>
    <row r="62" spans="1:30" s="55" customFormat="1" ht="15.95">
      <c r="A62" s="57"/>
      <c r="B62" s="58" t="s">
        <v>48</v>
      </c>
      <c r="C62" s="58" t="s">
        <v>49</v>
      </c>
      <c r="D62" s="58"/>
      <c r="E62" s="58" t="s">
        <v>20</v>
      </c>
      <c r="F62" s="58" t="s">
        <v>21</v>
      </c>
      <c r="G62" s="58" t="s">
        <v>50</v>
      </c>
      <c r="H62" s="58"/>
      <c r="I62" s="58" t="s">
        <v>78</v>
      </c>
      <c r="J62" s="58"/>
      <c r="K62" s="58" t="s">
        <v>79</v>
      </c>
      <c r="L62" s="59">
        <v>2022</v>
      </c>
      <c r="M62" s="58" t="s">
        <v>80</v>
      </c>
      <c r="N62" s="58" t="s">
        <v>24</v>
      </c>
      <c r="O62" s="58" t="s">
        <v>54</v>
      </c>
      <c r="P62" s="58" t="s">
        <v>25</v>
      </c>
      <c r="Q62" s="60">
        <v>60504</v>
      </c>
      <c r="R62" s="60">
        <v>58317</v>
      </c>
      <c r="S62" s="61">
        <v>49568</v>
      </c>
      <c r="T62" s="61">
        <v>150</v>
      </c>
      <c r="U62" s="62" t="s">
        <v>64</v>
      </c>
      <c r="V62" s="63" t="s">
        <v>56</v>
      </c>
      <c r="W62" s="60">
        <v>0</v>
      </c>
      <c r="X62" s="60">
        <f t="shared" si="1"/>
        <v>0</v>
      </c>
      <c r="Y62" s="60">
        <f t="shared" si="2"/>
        <v>0</v>
      </c>
      <c r="Z62" s="60">
        <f t="shared" si="3"/>
        <v>0</v>
      </c>
      <c r="AA62" s="60">
        <f t="shared" si="4"/>
        <v>0</v>
      </c>
      <c r="AB62" s="64" t="s">
        <v>73</v>
      </c>
      <c r="AD62" s="93">
        <f t="shared" ref="AD62" si="55">W62/AC55</f>
        <v>0</v>
      </c>
    </row>
    <row r="63" spans="1:30" s="55" customFormat="1" ht="15.95">
      <c r="A63" s="57"/>
      <c r="B63" s="58" t="s">
        <v>48</v>
      </c>
      <c r="C63" s="58" t="s">
        <v>49</v>
      </c>
      <c r="D63" s="58"/>
      <c r="E63" s="58" t="s">
        <v>20</v>
      </c>
      <c r="F63" s="58" t="s">
        <v>21</v>
      </c>
      <c r="G63" s="58" t="s">
        <v>50</v>
      </c>
      <c r="H63" s="58"/>
      <c r="I63" s="58" t="s">
        <v>78</v>
      </c>
      <c r="J63" s="58"/>
      <c r="K63" s="58" t="s">
        <v>79</v>
      </c>
      <c r="L63" s="59">
        <v>2022</v>
      </c>
      <c r="M63" s="58" t="s">
        <v>80</v>
      </c>
      <c r="N63" s="58" t="s">
        <v>24</v>
      </c>
      <c r="O63" s="58" t="s">
        <v>54</v>
      </c>
      <c r="P63" s="58" t="s">
        <v>25</v>
      </c>
      <c r="Q63" s="60">
        <v>60504</v>
      </c>
      <c r="R63" s="60">
        <v>58317</v>
      </c>
      <c r="S63" s="61">
        <v>49568</v>
      </c>
      <c r="T63" s="61">
        <v>150</v>
      </c>
      <c r="U63" s="62" t="s">
        <v>65</v>
      </c>
      <c r="V63" s="63" t="s">
        <v>56</v>
      </c>
      <c r="W63" s="60">
        <v>32120642</v>
      </c>
      <c r="X63" s="60">
        <f t="shared" si="1"/>
        <v>530.88460267089783</v>
      </c>
      <c r="Y63" s="60">
        <f t="shared" si="2"/>
        <v>550.79379940669105</v>
      </c>
      <c r="Z63" s="60">
        <f t="shared" si="3"/>
        <v>648.01166074887021</v>
      </c>
      <c r="AA63" s="60">
        <f t="shared" si="4"/>
        <v>214137.61333333334</v>
      </c>
      <c r="AB63" s="64" t="s">
        <v>73</v>
      </c>
      <c r="AD63" s="93">
        <f t="shared" ref="AD63" si="56">W63/AC55</f>
        <v>0.152984630476726</v>
      </c>
    </row>
    <row r="64" spans="1:30" s="55" customFormat="1" ht="15.95">
      <c r="A64" s="57"/>
      <c r="B64" s="58" t="s">
        <v>48</v>
      </c>
      <c r="C64" s="58" t="s">
        <v>49</v>
      </c>
      <c r="D64" s="58"/>
      <c r="E64" s="58" t="s">
        <v>20</v>
      </c>
      <c r="F64" s="58" t="s">
        <v>21</v>
      </c>
      <c r="G64" s="58" t="s">
        <v>50</v>
      </c>
      <c r="H64" s="58"/>
      <c r="I64" s="58" t="s">
        <v>78</v>
      </c>
      <c r="J64" s="58"/>
      <c r="K64" s="58" t="s">
        <v>79</v>
      </c>
      <c r="L64" s="59">
        <v>2022</v>
      </c>
      <c r="M64" s="58" t="s">
        <v>80</v>
      </c>
      <c r="N64" s="58" t="s">
        <v>24</v>
      </c>
      <c r="O64" s="58" t="s">
        <v>54</v>
      </c>
      <c r="P64" s="58" t="s">
        <v>25</v>
      </c>
      <c r="Q64" s="60">
        <v>60504</v>
      </c>
      <c r="R64" s="60">
        <v>58317</v>
      </c>
      <c r="S64" s="61">
        <v>49568</v>
      </c>
      <c r="T64" s="61">
        <v>150</v>
      </c>
      <c r="U64" s="62" t="s">
        <v>66</v>
      </c>
      <c r="V64" s="63" t="s">
        <v>56</v>
      </c>
      <c r="W64" s="60">
        <v>9312451</v>
      </c>
      <c r="X64" s="60">
        <f t="shared" ref="X64:X127" si="57">W64/Q64</f>
        <v>153.91463374322359</v>
      </c>
      <c r="Y64" s="60">
        <f t="shared" ref="Y64:Y127" si="58">W64/R64</f>
        <v>159.68672942709674</v>
      </c>
      <c r="Z64" s="60">
        <f t="shared" ref="Z64:Z127" si="59">W64/S64</f>
        <v>187.87223612007747</v>
      </c>
      <c r="AA64" s="60">
        <f t="shared" ref="AA64:AA127" si="60">W64/T64</f>
        <v>62083.006666666668</v>
      </c>
      <c r="AB64" s="64" t="s">
        <v>73</v>
      </c>
      <c r="AD64" s="93">
        <f t="shared" ref="AD64" si="61">W64/AC55</f>
        <v>4.435346824847454E-2</v>
      </c>
    </row>
    <row r="65" spans="1:30" s="55" customFormat="1" ht="15.95">
      <c r="A65" s="57"/>
      <c r="B65" s="58" t="s">
        <v>48</v>
      </c>
      <c r="C65" s="58" t="s">
        <v>49</v>
      </c>
      <c r="D65" s="58"/>
      <c r="E65" s="58" t="s">
        <v>20</v>
      </c>
      <c r="F65" s="58" t="s">
        <v>21</v>
      </c>
      <c r="G65" s="58" t="s">
        <v>50</v>
      </c>
      <c r="H65" s="58"/>
      <c r="I65" s="58" t="s">
        <v>78</v>
      </c>
      <c r="J65" s="58"/>
      <c r="K65" s="58" t="s">
        <v>79</v>
      </c>
      <c r="L65" s="59">
        <v>2022</v>
      </c>
      <c r="M65" s="58" t="s">
        <v>80</v>
      </c>
      <c r="N65" s="58" t="s">
        <v>24</v>
      </c>
      <c r="O65" s="58" t="s">
        <v>54</v>
      </c>
      <c r="P65" s="58" t="s">
        <v>25</v>
      </c>
      <c r="Q65" s="60">
        <v>60504</v>
      </c>
      <c r="R65" s="60">
        <v>58317</v>
      </c>
      <c r="S65" s="61">
        <v>49568</v>
      </c>
      <c r="T65" s="61">
        <v>150</v>
      </c>
      <c r="U65" s="62" t="s">
        <v>67</v>
      </c>
      <c r="V65" s="63" t="s">
        <v>56</v>
      </c>
      <c r="W65" s="60">
        <v>0</v>
      </c>
      <c r="X65" s="60">
        <f t="shared" si="57"/>
        <v>0</v>
      </c>
      <c r="Y65" s="60">
        <f t="shared" si="58"/>
        <v>0</v>
      </c>
      <c r="Z65" s="60">
        <f t="shared" si="59"/>
        <v>0</v>
      </c>
      <c r="AA65" s="60">
        <f t="shared" si="60"/>
        <v>0</v>
      </c>
      <c r="AB65" s="64" t="s">
        <v>73</v>
      </c>
      <c r="AD65" s="93">
        <f t="shared" ref="AD65" si="62">W65/AC55</f>
        <v>0</v>
      </c>
    </row>
    <row r="66" spans="1:30" s="55" customFormat="1" ht="15.95">
      <c r="A66" s="57"/>
      <c r="B66" s="58" t="s">
        <v>48</v>
      </c>
      <c r="C66" s="58" t="s">
        <v>49</v>
      </c>
      <c r="D66" s="58"/>
      <c r="E66" s="58" t="s">
        <v>20</v>
      </c>
      <c r="F66" s="58" t="s">
        <v>21</v>
      </c>
      <c r="G66" s="58" t="s">
        <v>50</v>
      </c>
      <c r="H66" s="58"/>
      <c r="I66" s="58" t="s">
        <v>78</v>
      </c>
      <c r="J66" s="58"/>
      <c r="K66" s="58" t="s">
        <v>79</v>
      </c>
      <c r="L66" s="59">
        <v>2022</v>
      </c>
      <c r="M66" s="58" t="s">
        <v>80</v>
      </c>
      <c r="N66" s="58" t="s">
        <v>24</v>
      </c>
      <c r="O66" s="58" t="s">
        <v>54</v>
      </c>
      <c r="P66" s="58" t="s">
        <v>25</v>
      </c>
      <c r="Q66" s="60">
        <v>60504</v>
      </c>
      <c r="R66" s="60">
        <v>58317</v>
      </c>
      <c r="S66" s="61">
        <v>49568</v>
      </c>
      <c r="T66" s="61">
        <v>150</v>
      </c>
      <c r="U66" s="62" t="s">
        <v>68</v>
      </c>
      <c r="V66" s="63" t="s">
        <v>56</v>
      </c>
      <c r="W66" s="60">
        <v>20080103</v>
      </c>
      <c r="X66" s="60">
        <f t="shared" si="57"/>
        <v>331.88058640751024</v>
      </c>
      <c r="Y66" s="60">
        <f t="shared" si="58"/>
        <v>344.32674863247422</v>
      </c>
      <c r="Z66" s="60">
        <f t="shared" si="59"/>
        <v>405.10214251129759</v>
      </c>
      <c r="AA66" s="60">
        <f t="shared" si="60"/>
        <v>133867.35333333333</v>
      </c>
      <c r="AB66" s="64" t="s">
        <v>73</v>
      </c>
      <c r="AD66" s="93">
        <f t="shared" ref="AD66" si="63">W66/AC55</f>
        <v>9.563778760678561E-2</v>
      </c>
    </row>
    <row r="67" spans="1:30" s="55" customFormat="1" ht="15.95">
      <c r="A67" s="57"/>
      <c r="B67" s="58" t="s">
        <v>48</v>
      </c>
      <c r="C67" s="58" t="s">
        <v>49</v>
      </c>
      <c r="D67" s="58"/>
      <c r="E67" s="58" t="s">
        <v>20</v>
      </c>
      <c r="F67" s="58" t="s">
        <v>21</v>
      </c>
      <c r="G67" s="58" t="s">
        <v>50</v>
      </c>
      <c r="H67" s="58"/>
      <c r="I67" s="58" t="s">
        <v>78</v>
      </c>
      <c r="J67" s="58"/>
      <c r="K67" s="58" t="s">
        <v>79</v>
      </c>
      <c r="L67" s="59">
        <v>2022</v>
      </c>
      <c r="M67" s="58" t="s">
        <v>80</v>
      </c>
      <c r="N67" s="58" t="s">
        <v>24</v>
      </c>
      <c r="O67" s="58" t="s">
        <v>54</v>
      </c>
      <c r="P67" s="58" t="s">
        <v>25</v>
      </c>
      <c r="Q67" s="60">
        <v>60504</v>
      </c>
      <c r="R67" s="60">
        <v>58317</v>
      </c>
      <c r="S67" s="61">
        <v>49568</v>
      </c>
      <c r="T67" s="61">
        <v>150</v>
      </c>
      <c r="U67" s="62" t="s">
        <v>69</v>
      </c>
      <c r="V67" s="63" t="s">
        <v>56</v>
      </c>
      <c r="W67" s="60">
        <v>19729412</v>
      </c>
      <c r="X67" s="60">
        <f t="shared" si="57"/>
        <v>326.08442417030278</v>
      </c>
      <c r="Y67" s="60">
        <f t="shared" si="58"/>
        <v>338.3132191299278</v>
      </c>
      <c r="Z67" s="60">
        <f t="shared" si="59"/>
        <v>398.02719496449322</v>
      </c>
      <c r="AA67" s="60">
        <f t="shared" si="60"/>
        <v>131529.41333333333</v>
      </c>
      <c r="AB67" s="64" t="s">
        <v>73</v>
      </c>
      <c r="AD67" s="93">
        <f t="shared" ref="AD67" si="64">W67/AC55</f>
        <v>9.3967511743478976E-2</v>
      </c>
    </row>
    <row r="68" spans="1:30" s="32" customFormat="1" ht="15" customHeight="1">
      <c r="A68" s="65"/>
      <c r="B68" s="66" t="s">
        <v>48</v>
      </c>
      <c r="C68" s="66" t="s">
        <v>49</v>
      </c>
      <c r="D68" s="66"/>
      <c r="E68" s="66" t="s">
        <v>20</v>
      </c>
      <c r="F68" s="66" t="s">
        <v>21</v>
      </c>
      <c r="G68" s="66" t="s">
        <v>50</v>
      </c>
      <c r="H68" s="66"/>
      <c r="I68" s="66" t="s">
        <v>81</v>
      </c>
      <c r="J68" s="66"/>
      <c r="K68" s="66" t="s">
        <v>82</v>
      </c>
      <c r="L68" s="67">
        <v>2022</v>
      </c>
      <c r="M68" s="76" t="s">
        <v>80</v>
      </c>
      <c r="N68" s="66" t="s">
        <v>24</v>
      </c>
      <c r="O68" s="66" t="s">
        <v>54</v>
      </c>
      <c r="P68" s="66" t="s">
        <v>25</v>
      </c>
      <c r="Q68" s="68">
        <v>100608</v>
      </c>
      <c r="R68" s="68">
        <v>96471</v>
      </c>
      <c r="S68" s="68">
        <v>79924</v>
      </c>
      <c r="T68" s="68">
        <v>268</v>
      </c>
      <c r="U68" s="74" t="s">
        <v>55</v>
      </c>
      <c r="V68" s="75" t="s">
        <v>56</v>
      </c>
      <c r="W68" s="68">
        <v>15610025</v>
      </c>
      <c r="X68" s="68">
        <f t="shared" si="57"/>
        <v>155.15689607188295</v>
      </c>
      <c r="Y68" s="68">
        <f t="shared" si="58"/>
        <v>161.81054410133615</v>
      </c>
      <c r="Z68" s="68">
        <f t="shared" si="59"/>
        <v>195.31085781492419</v>
      </c>
      <c r="AA68" s="68">
        <f t="shared" si="60"/>
        <v>58246.361940298506</v>
      </c>
      <c r="AB68" s="73" t="s">
        <v>73</v>
      </c>
      <c r="AC68" s="92">
        <f t="shared" ref="AC68" si="65">SUM(W68:W80)</f>
        <v>350400248</v>
      </c>
      <c r="AD68" s="93">
        <f t="shared" ref="AD68" si="66">W68/AC68</f>
        <v>4.454912657481909E-2</v>
      </c>
    </row>
    <row r="69" spans="1:30" s="32" customFormat="1" ht="15.95">
      <c r="A69" s="65"/>
      <c r="B69" s="66" t="s">
        <v>48</v>
      </c>
      <c r="C69" s="66" t="s">
        <v>49</v>
      </c>
      <c r="D69" s="66"/>
      <c r="E69" s="66" t="s">
        <v>20</v>
      </c>
      <c r="F69" s="66" t="s">
        <v>21</v>
      </c>
      <c r="G69" s="66" t="s">
        <v>50</v>
      </c>
      <c r="H69" s="66"/>
      <c r="I69" s="66" t="s">
        <v>81</v>
      </c>
      <c r="J69" s="66"/>
      <c r="K69" s="66" t="s">
        <v>82</v>
      </c>
      <c r="L69" s="67">
        <v>2022</v>
      </c>
      <c r="M69" s="66" t="s">
        <v>80</v>
      </c>
      <c r="N69" s="66" t="s">
        <v>24</v>
      </c>
      <c r="O69" s="66" t="s">
        <v>54</v>
      </c>
      <c r="P69" s="66" t="s">
        <v>25</v>
      </c>
      <c r="Q69" s="68">
        <v>100608</v>
      </c>
      <c r="R69" s="68">
        <v>96471</v>
      </c>
      <c r="S69" s="69">
        <v>79924</v>
      </c>
      <c r="T69" s="69">
        <v>268</v>
      </c>
      <c r="U69" s="74" t="s">
        <v>58</v>
      </c>
      <c r="V69" s="75" t="s">
        <v>56</v>
      </c>
      <c r="W69" s="68">
        <v>44017572</v>
      </c>
      <c r="X69" s="68">
        <f t="shared" si="57"/>
        <v>437.515625</v>
      </c>
      <c r="Y69" s="68">
        <f t="shared" si="58"/>
        <v>456.27776222906368</v>
      </c>
      <c r="Z69" s="68">
        <f t="shared" si="59"/>
        <v>550.74285571292728</v>
      </c>
      <c r="AA69" s="68">
        <f t="shared" si="60"/>
        <v>164244.67164179104</v>
      </c>
      <c r="AB69" s="73" t="s">
        <v>73</v>
      </c>
      <c r="AC69" s="55"/>
      <c r="AD69" s="93">
        <f t="shared" ref="AD69" si="67">W69/AC68</f>
        <v>0.12562083574781033</v>
      </c>
    </row>
    <row r="70" spans="1:30" s="32" customFormat="1" ht="15.95">
      <c r="A70" s="65"/>
      <c r="B70" s="66" t="s">
        <v>48</v>
      </c>
      <c r="C70" s="66" t="s">
        <v>49</v>
      </c>
      <c r="D70" s="66"/>
      <c r="E70" s="66" t="s">
        <v>20</v>
      </c>
      <c r="F70" s="66" t="s">
        <v>21</v>
      </c>
      <c r="G70" s="66" t="s">
        <v>50</v>
      </c>
      <c r="H70" s="66"/>
      <c r="I70" s="66" t="s">
        <v>81</v>
      </c>
      <c r="J70" s="66"/>
      <c r="K70" s="66" t="s">
        <v>82</v>
      </c>
      <c r="L70" s="67">
        <v>2022</v>
      </c>
      <c r="M70" s="66" t="s">
        <v>80</v>
      </c>
      <c r="N70" s="66" t="s">
        <v>24</v>
      </c>
      <c r="O70" s="66" t="s">
        <v>54</v>
      </c>
      <c r="P70" s="66" t="s">
        <v>25</v>
      </c>
      <c r="Q70" s="68">
        <v>100608</v>
      </c>
      <c r="R70" s="68">
        <v>96471</v>
      </c>
      <c r="S70" s="69">
        <v>79924</v>
      </c>
      <c r="T70" s="69">
        <v>268</v>
      </c>
      <c r="U70" s="74" t="s">
        <v>59</v>
      </c>
      <c r="V70" s="75" t="s">
        <v>56</v>
      </c>
      <c r="W70" s="68">
        <v>45756206</v>
      </c>
      <c r="X70" s="68">
        <f t="shared" si="57"/>
        <v>454.79689487913487</v>
      </c>
      <c r="Y70" s="68">
        <f t="shared" si="58"/>
        <v>474.30011091416071</v>
      </c>
      <c r="Z70" s="68">
        <f t="shared" si="59"/>
        <v>572.49644662429307</v>
      </c>
      <c r="AA70" s="68">
        <f t="shared" si="60"/>
        <v>170732.11194029852</v>
      </c>
      <c r="AB70" s="73" t="s">
        <v>73</v>
      </c>
      <c r="AC70" s="55"/>
      <c r="AD70" s="93">
        <f t="shared" ref="AD70" si="68">W70/AC68</f>
        <v>0.13058268725882866</v>
      </c>
    </row>
    <row r="71" spans="1:30" s="32" customFormat="1" ht="15.95">
      <c r="A71" s="65"/>
      <c r="B71" s="66" t="s">
        <v>48</v>
      </c>
      <c r="C71" s="66" t="s">
        <v>49</v>
      </c>
      <c r="D71" s="66"/>
      <c r="E71" s="66" t="s">
        <v>20</v>
      </c>
      <c r="F71" s="66" t="s">
        <v>21</v>
      </c>
      <c r="G71" s="66" t="s">
        <v>50</v>
      </c>
      <c r="H71" s="66"/>
      <c r="I71" s="66" t="s">
        <v>81</v>
      </c>
      <c r="J71" s="66"/>
      <c r="K71" s="66" t="s">
        <v>82</v>
      </c>
      <c r="L71" s="67">
        <v>2022</v>
      </c>
      <c r="M71" s="66" t="s">
        <v>80</v>
      </c>
      <c r="N71" s="66" t="s">
        <v>24</v>
      </c>
      <c r="O71" s="66" t="s">
        <v>54</v>
      </c>
      <c r="P71" s="66" t="s">
        <v>25</v>
      </c>
      <c r="Q71" s="68">
        <v>100608</v>
      </c>
      <c r="R71" s="68">
        <v>96471</v>
      </c>
      <c r="S71" s="69">
        <v>79924</v>
      </c>
      <c r="T71" s="69">
        <v>268</v>
      </c>
      <c r="U71" s="74" t="s">
        <v>60</v>
      </c>
      <c r="V71" s="75" t="s">
        <v>56</v>
      </c>
      <c r="W71" s="68">
        <v>17704329</v>
      </c>
      <c r="X71" s="68">
        <f t="shared" si="57"/>
        <v>175.97337189885496</v>
      </c>
      <c r="Y71" s="68">
        <f t="shared" si="58"/>
        <v>183.51970022079175</v>
      </c>
      <c r="Z71" s="68">
        <f t="shared" si="59"/>
        <v>221.51455132375756</v>
      </c>
      <c r="AA71" s="68">
        <f t="shared" si="60"/>
        <v>66060.929104477618</v>
      </c>
      <c r="AB71" s="73" t="s">
        <v>73</v>
      </c>
      <c r="AC71" s="55"/>
      <c r="AD71" s="93">
        <f t="shared" ref="AD71" si="69">W71/AC68</f>
        <v>5.0526017321768563E-2</v>
      </c>
    </row>
    <row r="72" spans="1:30" s="32" customFormat="1" ht="15.95">
      <c r="A72" s="65"/>
      <c r="B72" s="66" t="s">
        <v>48</v>
      </c>
      <c r="C72" s="66" t="s">
        <v>49</v>
      </c>
      <c r="D72" s="66"/>
      <c r="E72" s="66" t="s">
        <v>20</v>
      </c>
      <c r="F72" s="66" t="s">
        <v>21</v>
      </c>
      <c r="G72" s="66" t="s">
        <v>50</v>
      </c>
      <c r="H72" s="66"/>
      <c r="I72" s="66" t="s">
        <v>81</v>
      </c>
      <c r="J72" s="66"/>
      <c r="K72" s="66" t="s">
        <v>82</v>
      </c>
      <c r="L72" s="67">
        <v>2022</v>
      </c>
      <c r="M72" s="66" t="s">
        <v>80</v>
      </c>
      <c r="N72" s="66" t="s">
        <v>24</v>
      </c>
      <c r="O72" s="66" t="s">
        <v>54</v>
      </c>
      <c r="P72" s="66" t="s">
        <v>25</v>
      </c>
      <c r="Q72" s="68">
        <v>100608</v>
      </c>
      <c r="R72" s="68">
        <v>96471</v>
      </c>
      <c r="S72" s="69">
        <v>79924</v>
      </c>
      <c r="T72" s="69">
        <v>268</v>
      </c>
      <c r="U72" s="74" t="s">
        <v>61</v>
      </c>
      <c r="V72" s="75" t="s">
        <v>56</v>
      </c>
      <c r="W72" s="68">
        <v>36051298</v>
      </c>
      <c r="X72" s="68">
        <f t="shared" si="57"/>
        <v>358.33430741094145</v>
      </c>
      <c r="Y72" s="68">
        <f t="shared" si="58"/>
        <v>373.70088420354301</v>
      </c>
      <c r="Z72" s="68">
        <f t="shared" si="59"/>
        <v>451.06974125419146</v>
      </c>
      <c r="AA72" s="68">
        <f t="shared" si="60"/>
        <v>134519.76865671642</v>
      </c>
      <c r="AB72" s="73" t="s">
        <v>73</v>
      </c>
      <c r="AC72" s="55"/>
      <c r="AD72" s="93">
        <f t="shared" ref="AD72" si="70">W72/AC68</f>
        <v>0.10288605161032877</v>
      </c>
    </row>
    <row r="73" spans="1:30" s="32" customFormat="1" ht="15.95">
      <c r="A73" s="65"/>
      <c r="B73" s="66" t="s">
        <v>48</v>
      </c>
      <c r="C73" s="66" t="s">
        <v>49</v>
      </c>
      <c r="D73" s="66"/>
      <c r="E73" s="66" t="s">
        <v>20</v>
      </c>
      <c r="F73" s="66" t="s">
        <v>21</v>
      </c>
      <c r="G73" s="66" t="s">
        <v>50</v>
      </c>
      <c r="H73" s="66"/>
      <c r="I73" s="66" t="s">
        <v>81</v>
      </c>
      <c r="J73" s="66"/>
      <c r="K73" s="66" t="s">
        <v>82</v>
      </c>
      <c r="L73" s="67">
        <v>2022</v>
      </c>
      <c r="M73" s="66" t="s">
        <v>80</v>
      </c>
      <c r="N73" s="66" t="s">
        <v>24</v>
      </c>
      <c r="O73" s="66" t="s">
        <v>54</v>
      </c>
      <c r="P73" s="66" t="s">
        <v>25</v>
      </c>
      <c r="Q73" s="68">
        <v>100608</v>
      </c>
      <c r="R73" s="68">
        <v>96471</v>
      </c>
      <c r="S73" s="69">
        <v>79924</v>
      </c>
      <c r="T73" s="69">
        <v>268</v>
      </c>
      <c r="U73" s="74" t="s">
        <v>62</v>
      </c>
      <c r="V73" s="75" t="s">
        <v>56</v>
      </c>
      <c r="W73" s="68">
        <v>40884323</v>
      </c>
      <c r="X73" s="68">
        <f t="shared" si="57"/>
        <v>406.37248528944019</v>
      </c>
      <c r="Y73" s="68">
        <f t="shared" si="58"/>
        <v>423.79910024774284</v>
      </c>
      <c r="Z73" s="68">
        <f t="shared" si="59"/>
        <v>511.54000050047546</v>
      </c>
      <c r="AA73" s="68">
        <f t="shared" si="60"/>
        <v>152553.44402985074</v>
      </c>
      <c r="AB73" s="73" t="s">
        <v>73</v>
      </c>
      <c r="AC73" s="55"/>
      <c r="AD73" s="93">
        <f t="shared" ref="AD73" si="71">W73/AC68</f>
        <v>0.11667892141446201</v>
      </c>
    </row>
    <row r="74" spans="1:30" s="32" customFormat="1" ht="15.95">
      <c r="A74" s="65"/>
      <c r="B74" s="66" t="s">
        <v>48</v>
      </c>
      <c r="C74" s="66" t="s">
        <v>49</v>
      </c>
      <c r="D74" s="66"/>
      <c r="E74" s="66" t="s">
        <v>20</v>
      </c>
      <c r="F74" s="66" t="s">
        <v>21</v>
      </c>
      <c r="G74" s="66" t="s">
        <v>50</v>
      </c>
      <c r="H74" s="66"/>
      <c r="I74" s="66" t="s">
        <v>81</v>
      </c>
      <c r="J74" s="66"/>
      <c r="K74" s="66" t="s">
        <v>82</v>
      </c>
      <c r="L74" s="67">
        <v>2022</v>
      </c>
      <c r="M74" s="66" t="s">
        <v>80</v>
      </c>
      <c r="N74" s="66" t="s">
        <v>24</v>
      </c>
      <c r="O74" s="66" t="s">
        <v>54</v>
      </c>
      <c r="P74" s="66" t="s">
        <v>25</v>
      </c>
      <c r="Q74" s="68">
        <v>100608</v>
      </c>
      <c r="R74" s="68">
        <v>96471</v>
      </c>
      <c r="S74" s="69">
        <v>79924</v>
      </c>
      <c r="T74" s="69">
        <v>268</v>
      </c>
      <c r="U74" s="74" t="s">
        <v>63</v>
      </c>
      <c r="V74" s="75" t="s">
        <v>56</v>
      </c>
      <c r="W74" s="68">
        <v>9380377</v>
      </c>
      <c r="X74" s="68">
        <f t="shared" si="57"/>
        <v>93.236889710559794</v>
      </c>
      <c r="Y74" s="68">
        <f t="shared" si="58"/>
        <v>97.235200215608842</v>
      </c>
      <c r="Z74" s="68">
        <f t="shared" si="59"/>
        <v>117.36621039987989</v>
      </c>
      <c r="AA74" s="68">
        <f t="shared" si="60"/>
        <v>35001.406716417907</v>
      </c>
      <c r="AB74" s="73" t="s">
        <v>73</v>
      </c>
      <c r="AC74" s="55"/>
      <c r="AD74" s="93">
        <f t="shared" ref="AD74" si="72">W74/AC68</f>
        <v>2.6770463358804474E-2</v>
      </c>
    </row>
    <row r="75" spans="1:30" s="32" customFormat="1" ht="15.95">
      <c r="A75" s="65"/>
      <c r="B75" s="66" t="s">
        <v>48</v>
      </c>
      <c r="C75" s="66" t="s">
        <v>49</v>
      </c>
      <c r="D75" s="66"/>
      <c r="E75" s="66" t="s">
        <v>20</v>
      </c>
      <c r="F75" s="66" t="s">
        <v>21</v>
      </c>
      <c r="G75" s="66" t="s">
        <v>50</v>
      </c>
      <c r="H75" s="66"/>
      <c r="I75" s="66" t="s">
        <v>81</v>
      </c>
      <c r="J75" s="66"/>
      <c r="K75" s="66" t="s">
        <v>82</v>
      </c>
      <c r="L75" s="67">
        <v>2022</v>
      </c>
      <c r="M75" s="66" t="s">
        <v>80</v>
      </c>
      <c r="N75" s="66" t="s">
        <v>24</v>
      </c>
      <c r="O75" s="66" t="s">
        <v>54</v>
      </c>
      <c r="P75" s="66" t="s">
        <v>25</v>
      </c>
      <c r="Q75" s="68">
        <v>100608</v>
      </c>
      <c r="R75" s="68">
        <v>96471</v>
      </c>
      <c r="S75" s="69">
        <v>79924</v>
      </c>
      <c r="T75" s="69">
        <v>268</v>
      </c>
      <c r="U75" s="74" t="s">
        <v>64</v>
      </c>
      <c r="V75" s="75" t="s">
        <v>56</v>
      </c>
      <c r="W75" s="68">
        <v>0</v>
      </c>
      <c r="X75" s="68">
        <f t="shared" si="57"/>
        <v>0</v>
      </c>
      <c r="Y75" s="68">
        <f t="shared" si="58"/>
        <v>0</v>
      </c>
      <c r="Z75" s="68">
        <f t="shared" si="59"/>
        <v>0</v>
      </c>
      <c r="AA75" s="68">
        <f t="shared" si="60"/>
        <v>0</v>
      </c>
      <c r="AB75" s="73" t="s">
        <v>73</v>
      </c>
      <c r="AC75" s="55"/>
      <c r="AD75" s="93">
        <f t="shared" ref="AD75" si="73">W75/AC68</f>
        <v>0</v>
      </c>
    </row>
    <row r="76" spans="1:30" s="32" customFormat="1" ht="15.95">
      <c r="A76" s="65"/>
      <c r="B76" s="66" t="s">
        <v>48</v>
      </c>
      <c r="C76" s="66" t="s">
        <v>49</v>
      </c>
      <c r="D76" s="66"/>
      <c r="E76" s="66" t="s">
        <v>20</v>
      </c>
      <c r="F76" s="66" t="s">
        <v>21</v>
      </c>
      <c r="G76" s="66" t="s">
        <v>50</v>
      </c>
      <c r="H76" s="66"/>
      <c r="I76" s="66" t="s">
        <v>81</v>
      </c>
      <c r="J76" s="66"/>
      <c r="K76" s="66" t="s">
        <v>82</v>
      </c>
      <c r="L76" s="67">
        <v>2022</v>
      </c>
      <c r="M76" s="66" t="s">
        <v>80</v>
      </c>
      <c r="N76" s="66" t="s">
        <v>24</v>
      </c>
      <c r="O76" s="66" t="s">
        <v>54</v>
      </c>
      <c r="P76" s="66" t="s">
        <v>25</v>
      </c>
      <c r="Q76" s="68">
        <v>100608</v>
      </c>
      <c r="R76" s="68">
        <v>96471</v>
      </c>
      <c r="S76" s="69">
        <v>79924</v>
      </c>
      <c r="T76" s="69">
        <v>268</v>
      </c>
      <c r="U76" s="74" t="s">
        <v>65</v>
      </c>
      <c r="V76" s="75" t="s">
        <v>56</v>
      </c>
      <c r="W76" s="68">
        <v>53898419</v>
      </c>
      <c r="X76" s="68">
        <f t="shared" si="57"/>
        <v>535.7269700222646</v>
      </c>
      <c r="Y76" s="68">
        <f t="shared" si="58"/>
        <v>558.70073908221127</v>
      </c>
      <c r="Z76" s="68">
        <f t="shared" si="59"/>
        <v>674.37088984535308</v>
      </c>
      <c r="AA76" s="68">
        <f t="shared" si="60"/>
        <v>201113.50373134328</v>
      </c>
      <c r="AB76" s="73" t="s">
        <v>73</v>
      </c>
      <c r="AC76" s="55"/>
      <c r="AD76" s="93">
        <f t="shared" ref="AD76" si="74">W76/AC68</f>
        <v>0.15381958005920132</v>
      </c>
    </row>
    <row r="77" spans="1:30" s="32" customFormat="1" ht="15.95">
      <c r="A77" s="65"/>
      <c r="B77" s="66" t="s">
        <v>48</v>
      </c>
      <c r="C77" s="66" t="s">
        <v>49</v>
      </c>
      <c r="D77" s="66"/>
      <c r="E77" s="66" t="s">
        <v>20</v>
      </c>
      <c r="F77" s="66" t="s">
        <v>21</v>
      </c>
      <c r="G77" s="66" t="s">
        <v>50</v>
      </c>
      <c r="H77" s="66"/>
      <c r="I77" s="66" t="s">
        <v>81</v>
      </c>
      <c r="J77" s="66"/>
      <c r="K77" s="66" t="s">
        <v>82</v>
      </c>
      <c r="L77" s="67">
        <v>2022</v>
      </c>
      <c r="M77" s="66" t="s">
        <v>80</v>
      </c>
      <c r="N77" s="66" t="s">
        <v>24</v>
      </c>
      <c r="O77" s="66" t="s">
        <v>54</v>
      </c>
      <c r="P77" s="66" t="s">
        <v>25</v>
      </c>
      <c r="Q77" s="68">
        <v>100608</v>
      </c>
      <c r="R77" s="68">
        <v>96471</v>
      </c>
      <c r="S77" s="69">
        <v>79924</v>
      </c>
      <c r="T77" s="69">
        <v>268</v>
      </c>
      <c r="U77" s="74" t="s">
        <v>66</v>
      </c>
      <c r="V77" s="75" t="s">
        <v>56</v>
      </c>
      <c r="W77" s="68">
        <v>15934233</v>
      </c>
      <c r="X77" s="68">
        <f t="shared" si="57"/>
        <v>158.37938334923663</v>
      </c>
      <c r="Y77" s="68">
        <f t="shared" si="58"/>
        <v>165.17122243990423</v>
      </c>
      <c r="Z77" s="68">
        <f t="shared" si="59"/>
        <v>199.36731144587358</v>
      </c>
      <c r="AA77" s="68">
        <f t="shared" si="60"/>
        <v>59456.093283582093</v>
      </c>
      <c r="AB77" s="73" t="s">
        <v>73</v>
      </c>
      <c r="AC77" s="55"/>
      <c r="AD77" s="93">
        <f t="shared" ref="AD77" si="75">W77/AC68</f>
        <v>4.547437706151395E-2</v>
      </c>
    </row>
    <row r="78" spans="1:30" s="32" customFormat="1" ht="15.95">
      <c r="A78" s="65"/>
      <c r="B78" s="66" t="s">
        <v>48</v>
      </c>
      <c r="C78" s="66" t="s">
        <v>49</v>
      </c>
      <c r="D78" s="66"/>
      <c r="E78" s="66" t="s">
        <v>20</v>
      </c>
      <c r="F78" s="66" t="s">
        <v>21</v>
      </c>
      <c r="G78" s="66" t="s">
        <v>50</v>
      </c>
      <c r="H78" s="66"/>
      <c r="I78" s="66" t="s">
        <v>81</v>
      </c>
      <c r="J78" s="66"/>
      <c r="K78" s="66" t="s">
        <v>82</v>
      </c>
      <c r="L78" s="67">
        <v>2022</v>
      </c>
      <c r="M78" s="66" t="s">
        <v>80</v>
      </c>
      <c r="N78" s="66" t="s">
        <v>24</v>
      </c>
      <c r="O78" s="66" t="s">
        <v>54</v>
      </c>
      <c r="P78" s="66" t="s">
        <v>25</v>
      </c>
      <c r="Q78" s="68">
        <v>100608</v>
      </c>
      <c r="R78" s="68">
        <v>96471</v>
      </c>
      <c r="S78" s="69">
        <v>79924</v>
      </c>
      <c r="T78" s="69">
        <v>268</v>
      </c>
      <c r="U78" s="74" t="s">
        <v>67</v>
      </c>
      <c r="V78" s="75" t="s">
        <v>56</v>
      </c>
      <c r="W78" s="68">
        <v>0</v>
      </c>
      <c r="X78" s="68">
        <f t="shared" si="57"/>
        <v>0</v>
      </c>
      <c r="Y78" s="68">
        <f t="shared" si="58"/>
        <v>0</v>
      </c>
      <c r="Z78" s="68">
        <f t="shared" si="59"/>
        <v>0</v>
      </c>
      <c r="AA78" s="68">
        <f t="shared" si="60"/>
        <v>0</v>
      </c>
      <c r="AB78" s="73" t="s">
        <v>73</v>
      </c>
      <c r="AC78" s="55"/>
      <c r="AD78" s="93">
        <f t="shared" ref="AD78" si="76">W78/AC68</f>
        <v>0</v>
      </c>
    </row>
    <row r="79" spans="1:30" s="32" customFormat="1" ht="15.95">
      <c r="A79" s="65"/>
      <c r="B79" s="66" t="s">
        <v>48</v>
      </c>
      <c r="C79" s="66" t="s">
        <v>49</v>
      </c>
      <c r="D79" s="66"/>
      <c r="E79" s="66" t="s">
        <v>20</v>
      </c>
      <c r="F79" s="66" t="s">
        <v>21</v>
      </c>
      <c r="G79" s="66" t="s">
        <v>50</v>
      </c>
      <c r="H79" s="66"/>
      <c r="I79" s="66" t="s">
        <v>81</v>
      </c>
      <c r="J79" s="66"/>
      <c r="K79" s="66" t="s">
        <v>82</v>
      </c>
      <c r="L79" s="67">
        <v>2022</v>
      </c>
      <c r="M79" s="66" t="s">
        <v>80</v>
      </c>
      <c r="N79" s="66" t="s">
        <v>24</v>
      </c>
      <c r="O79" s="66" t="s">
        <v>54</v>
      </c>
      <c r="P79" s="66" t="s">
        <v>25</v>
      </c>
      <c r="Q79" s="68">
        <v>100608</v>
      </c>
      <c r="R79" s="68">
        <v>96471</v>
      </c>
      <c r="S79" s="69">
        <v>79924</v>
      </c>
      <c r="T79" s="69">
        <v>268</v>
      </c>
      <c r="U79" s="74" t="s">
        <v>68</v>
      </c>
      <c r="V79" s="75" t="s">
        <v>56</v>
      </c>
      <c r="W79" s="68">
        <v>38470350</v>
      </c>
      <c r="X79" s="68">
        <f t="shared" si="57"/>
        <v>382.37863788167937</v>
      </c>
      <c r="Y79" s="68">
        <f t="shared" si="58"/>
        <v>398.77631619865036</v>
      </c>
      <c r="Z79" s="68">
        <f t="shared" si="59"/>
        <v>481.33664481257193</v>
      </c>
      <c r="AA79" s="68">
        <f t="shared" si="60"/>
        <v>143546.08208955225</v>
      </c>
      <c r="AB79" s="73" t="s">
        <v>73</v>
      </c>
      <c r="AC79" s="55"/>
      <c r="AD79" s="93">
        <f t="shared" ref="AD79" si="77">W79/AC68</f>
        <v>0.10978973393877278</v>
      </c>
    </row>
    <row r="80" spans="1:30" s="32" customFormat="1" ht="15.95">
      <c r="A80" s="65"/>
      <c r="B80" s="66" t="s">
        <v>48</v>
      </c>
      <c r="C80" s="66" t="s">
        <v>49</v>
      </c>
      <c r="D80" s="66"/>
      <c r="E80" s="66" t="s">
        <v>20</v>
      </c>
      <c r="F80" s="66" t="s">
        <v>21</v>
      </c>
      <c r="G80" s="66" t="s">
        <v>50</v>
      </c>
      <c r="H80" s="66"/>
      <c r="I80" s="66" t="s">
        <v>81</v>
      </c>
      <c r="J80" s="66"/>
      <c r="K80" s="66" t="s">
        <v>82</v>
      </c>
      <c r="L80" s="67">
        <v>2022</v>
      </c>
      <c r="M80" s="66" t="s">
        <v>80</v>
      </c>
      <c r="N80" s="66" t="s">
        <v>24</v>
      </c>
      <c r="O80" s="66" t="s">
        <v>54</v>
      </c>
      <c r="P80" s="66" t="s">
        <v>25</v>
      </c>
      <c r="Q80" s="68">
        <v>100608</v>
      </c>
      <c r="R80" s="68">
        <v>96471</v>
      </c>
      <c r="S80" s="69">
        <v>79924</v>
      </c>
      <c r="T80" s="69">
        <v>268</v>
      </c>
      <c r="U80" s="74" t="s">
        <v>69</v>
      </c>
      <c r="V80" s="75" t="s">
        <v>56</v>
      </c>
      <c r="W80" s="68">
        <v>32693116</v>
      </c>
      <c r="X80" s="68">
        <f t="shared" si="57"/>
        <v>324.95543097964378</v>
      </c>
      <c r="Y80" s="68">
        <f t="shared" si="58"/>
        <v>338.89060961325163</v>
      </c>
      <c r="Z80" s="68">
        <f t="shared" si="59"/>
        <v>409.05254992242629</v>
      </c>
      <c r="AA80" s="68">
        <f t="shared" si="60"/>
        <v>121989.23880597015</v>
      </c>
      <c r="AB80" s="73" t="s">
        <v>73</v>
      </c>
      <c r="AC80" s="55"/>
      <c r="AD80" s="93">
        <f t="shared" ref="AD80" si="78">W80/AC68</f>
        <v>9.330220565369006E-2</v>
      </c>
    </row>
    <row r="81" spans="1:30" s="55" customFormat="1" ht="15" customHeight="1">
      <c r="A81" s="57"/>
      <c r="B81" s="58" t="s">
        <v>48</v>
      </c>
      <c r="C81" s="58" t="s">
        <v>49</v>
      </c>
      <c r="D81" s="58"/>
      <c r="E81" s="58" t="s">
        <v>20</v>
      </c>
      <c r="F81" s="58" t="s">
        <v>21</v>
      </c>
      <c r="G81" s="58" t="s">
        <v>50</v>
      </c>
      <c r="H81" s="58"/>
      <c r="I81" s="58" t="s">
        <v>78</v>
      </c>
      <c r="J81" s="58"/>
      <c r="K81" s="58" t="s">
        <v>83</v>
      </c>
      <c r="L81" s="59">
        <v>2022</v>
      </c>
      <c r="M81" s="58" t="s">
        <v>72</v>
      </c>
      <c r="N81" s="58" t="s">
        <v>24</v>
      </c>
      <c r="O81" s="58" t="s">
        <v>54</v>
      </c>
      <c r="P81" s="58" t="s">
        <v>25</v>
      </c>
      <c r="Q81" s="60">
        <v>95382.820353217699</v>
      </c>
      <c r="R81" s="60">
        <v>90755</v>
      </c>
      <c r="S81" s="60">
        <v>72244.360315499027</v>
      </c>
      <c r="T81" s="60">
        <v>128</v>
      </c>
      <c r="U81" s="62" t="s">
        <v>55</v>
      </c>
      <c r="V81" s="63" t="s">
        <v>56</v>
      </c>
      <c r="W81" s="60">
        <v>24253340</v>
      </c>
      <c r="X81" s="60">
        <f t="shared" si="57"/>
        <v>254.27367224187793</v>
      </c>
      <c r="Y81" s="60">
        <f t="shared" si="58"/>
        <v>267.23971131067157</v>
      </c>
      <c r="Z81" s="60">
        <f t="shared" si="59"/>
        <v>335.71257180606221</v>
      </c>
      <c r="AA81" s="60">
        <f t="shared" si="60"/>
        <v>189479.21875</v>
      </c>
      <c r="AB81" s="64" t="s">
        <v>73</v>
      </c>
      <c r="AC81" s="92">
        <f t="shared" ref="AC81" si="79">SUM(W81:W93)</f>
        <v>416000001</v>
      </c>
      <c r="AD81" s="93">
        <f t="shared" ref="AD81" si="80">W81/AC81</f>
        <v>5.8301297936775728E-2</v>
      </c>
    </row>
    <row r="82" spans="1:30" s="55" customFormat="1" ht="15.95">
      <c r="A82" s="57"/>
      <c r="B82" s="58" t="s">
        <v>48</v>
      </c>
      <c r="C82" s="58" t="s">
        <v>49</v>
      </c>
      <c r="D82" s="58"/>
      <c r="E82" s="58" t="s">
        <v>20</v>
      </c>
      <c r="F82" s="58" t="s">
        <v>21</v>
      </c>
      <c r="G82" s="58" t="s">
        <v>50</v>
      </c>
      <c r="H82" s="58"/>
      <c r="I82" s="58" t="s">
        <v>78</v>
      </c>
      <c r="J82" s="58"/>
      <c r="K82" s="58" t="s">
        <v>83</v>
      </c>
      <c r="L82" s="59">
        <v>2022</v>
      </c>
      <c r="M82" s="58" t="s">
        <v>72</v>
      </c>
      <c r="N82" s="58" t="s">
        <v>24</v>
      </c>
      <c r="O82" s="58" t="s">
        <v>54</v>
      </c>
      <c r="P82" s="58" t="s">
        <v>25</v>
      </c>
      <c r="Q82" s="60">
        <v>95382.820353217699</v>
      </c>
      <c r="R82" s="60">
        <v>90755</v>
      </c>
      <c r="S82" s="61">
        <v>72244.360315499027</v>
      </c>
      <c r="T82" s="61">
        <v>128</v>
      </c>
      <c r="U82" s="62" t="s">
        <v>58</v>
      </c>
      <c r="V82" s="63" t="s">
        <v>56</v>
      </c>
      <c r="W82" s="60">
        <v>62826268</v>
      </c>
      <c r="X82" s="60">
        <f t="shared" si="57"/>
        <v>658.67488261873962</v>
      </c>
      <c r="Y82" s="60">
        <f t="shared" si="58"/>
        <v>692.26233265384826</v>
      </c>
      <c r="Z82" s="60">
        <f t="shared" si="59"/>
        <v>869.63560512724882</v>
      </c>
      <c r="AA82" s="60">
        <f t="shared" si="60"/>
        <v>490830.21875</v>
      </c>
      <c r="AB82" s="64" t="s">
        <v>73</v>
      </c>
      <c r="AD82" s="93">
        <f t="shared" ref="AD82" si="81">W82/AC81</f>
        <v>0.15102468232926758</v>
      </c>
    </row>
    <row r="83" spans="1:30" s="55" customFormat="1" ht="15.95">
      <c r="A83" s="57"/>
      <c r="B83" s="58" t="s">
        <v>48</v>
      </c>
      <c r="C83" s="58" t="s">
        <v>49</v>
      </c>
      <c r="D83" s="58"/>
      <c r="E83" s="58" t="s">
        <v>20</v>
      </c>
      <c r="F83" s="58" t="s">
        <v>21</v>
      </c>
      <c r="G83" s="58" t="s">
        <v>50</v>
      </c>
      <c r="H83" s="58"/>
      <c r="I83" s="58" t="s">
        <v>78</v>
      </c>
      <c r="J83" s="58"/>
      <c r="K83" s="58" t="s">
        <v>83</v>
      </c>
      <c r="L83" s="59">
        <v>2022</v>
      </c>
      <c r="M83" s="58" t="s">
        <v>72</v>
      </c>
      <c r="N83" s="58" t="s">
        <v>24</v>
      </c>
      <c r="O83" s="58" t="s">
        <v>54</v>
      </c>
      <c r="P83" s="58" t="s">
        <v>25</v>
      </c>
      <c r="Q83" s="60">
        <v>95382.820353217699</v>
      </c>
      <c r="R83" s="60">
        <v>90755</v>
      </c>
      <c r="S83" s="61">
        <v>72244.360315499027</v>
      </c>
      <c r="T83" s="61">
        <v>128</v>
      </c>
      <c r="U83" s="62" t="s">
        <v>59</v>
      </c>
      <c r="V83" s="63" t="s">
        <v>56</v>
      </c>
      <c r="W83" s="60">
        <v>96079904</v>
      </c>
      <c r="X83" s="60">
        <f t="shared" si="57"/>
        <v>1007.3082725400748</v>
      </c>
      <c r="Y83" s="60">
        <f t="shared" si="58"/>
        <v>1058.6733954052117</v>
      </c>
      <c r="Z83" s="60">
        <f t="shared" si="59"/>
        <v>1329.9294724239865</v>
      </c>
      <c r="AA83" s="60">
        <f t="shared" si="60"/>
        <v>750624.25</v>
      </c>
      <c r="AB83" s="64" t="s">
        <v>73</v>
      </c>
      <c r="AD83" s="93">
        <f t="shared" ref="AD83" si="82">W83/AC81</f>
        <v>0.23096130713711224</v>
      </c>
    </row>
    <row r="84" spans="1:30" s="55" customFormat="1" ht="15.95">
      <c r="A84" s="57"/>
      <c r="B84" s="58" t="s">
        <v>48</v>
      </c>
      <c r="C84" s="58" t="s">
        <v>49</v>
      </c>
      <c r="D84" s="58"/>
      <c r="E84" s="58" t="s">
        <v>20</v>
      </c>
      <c r="F84" s="58" t="s">
        <v>21</v>
      </c>
      <c r="G84" s="58" t="s">
        <v>50</v>
      </c>
      <c r="H84" s="58"/>
      <c r="I84" s="58" t="s">
        <v>78</v>
      </c>
      <c r="J84" s="58"/>
      <c r="K84" s="58" t="s">
        <v>83</v>
      </c>
      <c r="L84" s="59">
        <v>2022</v>
      </c>
      <c r="M84" s="58" t="s">
        <v>72</v>
      </c>
      <c r="N84" s="58" t="s">
        <v>24</v>
      </c>
      <c r="O84" s="58" t="s">
        <v>54</v>
      </c>
      <c r="P84" s="58" t="s">
        <v>25</v>
      </c>
      <c r="Q84" s="60">
        <v>95382.820353217699</v>
      </c>
      <c r="R84" s="60">
        <v>90755</v>
      </c>
      <c r="S84" s="61">
        <v>72244.360315499027</v>
      </c>
      <c r="T84" s="61">
        <v>128</v>
      </c>
      <c r="U84" s="62" t="s">
        <v>60</v>
      </c>
      <c r="V84" s="63" t="s">
        <v>56</v>
      </c>
      <c r="W84" s="60">
        <v>20236967</v>
      </c>
      <c r="X84" s="60">
        <f t="shared" si="57"/>
        <v>212.16574352760071</v>
      </c>
      <c r="Y84" s="60">
        <f t="shared" si="58"/>
        <v>222.9845958900336</v>
      </c>
      <c r="Z84" s="60">
        <f t="shared" si="59"/>
        <v>280.11829451631866</v>
      </c>
      <c r="AA84" s="60">
        <f t="shared" si="60"/>
        <v>158101.3046875</v>
      </c>
      <c r="AB84" s="64" t="s">
        <v>73</v>
      </c>
      <c r="AD84" s="93">
        <f t="shared" ref="AD84" si="83">W84/AC81</f>
        <v>4.8646555171522707E-2</v>
      </c>
    </row>
    <row r="85" spans="1:30" s="55" customFormat="1" ht="15.95">
      <c r="A85" s="57"/>
      <c r="B85" s="58" t="s">
        <v>48</v>
      </c>
      <c r="C85" s="58" t="s">
        <v>49</v>
      </c>
      <c r="D85" s="58"/>
      <c r="E85" s="58" t="s">
        <v>20</v>
      </c>
      <c r="F85" s="58" t="s">
        <v>21</v>
      </c>
      <c r="G85" s="58" t="s">
        <v>50</v>
      </c>
      <c r="H85" s="58"/>
      <c r="I85" s="58" t="s">
        <v>78</v>
      </c>
      <c r="J85" s="58"/>
      <c r="K85" s="58" t="s">
        <v>83</v>
      </c>
      <c r="L85" s="59">
        <v>2022</v>
      </c>
      <c r="M85" s="58" t="s">
        <v>72</v>
      </c>
      <c r="N85" s="58" t="s">
        <v>24</v>
      </c>
      <c r="O85" s="58" t="s">
        <v>54</v>
      </c>
      <c r="P85" s="58" t="s">
        <v>25</v>
      </c>
      <c r="Q85" s="60">
        <v>95382.820353217699</v>
      </c>
      <c r="R85" s="60">
        <v>90755</v>
      </c>
      <c r="S85" s="61">
        <v>72244.360315499027</v>
      </c>
      <c r="T85" s="61">
        <v>128</v>
      </c>
      <c r="U85" s="62" t="s">
        <v>61</v>
      </c>
      <c r="V85" s="63" t="s">
        <v>56</v>
      </c>
      <c r="W85" s="60">
        <v>72773517</v>
      </c>
      <c r="X85" s="60">
        <f t="shared" si="57"/>
        <v>762.96252019502185</v>
      </c>
      <c r="Y85" s="60">
        <f t="shared" si="58"/>
        <v>801.86785301085342</v>
      </c>
      <c r="Z85" s="60">
        <f t="shared" si="59"/>
        <v>1007.3245396898815</v>
      </c>
      <c r="AA85" s="60">
        <f t="shared" si="60"/>
        <v>568543.1015625</v>
      </c>
      <c r="AB85" s="64" t="s">
        <v>73</v>
      </c>
      <c r="AD85" s="93">
        <f t="shared" ref="AD85" si="84">W85/AC81</f>
        <v>0.17493633852178764</v>
      </c>
    </row>
    <row r="86" spans="1:30" s="55" customFormat="1" ht="15.95">
      <c r="A86" s="57"/>
      <c r="B86" s="58" t="s">
        <v>48</v>
      </c>
      <c r="C86" s="58" t="s">
        <v>49</v>
      </c>
      <c r="D86" s="58"/>
      <c r="E86" s="58" t="s">
        <v>20</v>
      </c>
      <c r="F86" s="58" t="s">
        <v>21</v>
      </c>
      <c r="G86" s="58" t="s">
        <v>50</v>
      </c>
      <c r="H86" s="58"/>
      <c r="I86" s="58" t="s">
        <v>78</v>
      </c>
      <c r="J86" s="58"/>
      <c r="K86" s="58" t="s">
        <v>83</v>
      </c>
      <c r="L86" s="59">
        <v>2022</v>
      </c>
      <c r="M86" s="58" t="s">
        <v>72</v>
      </c>
      <c r="N86" s="58" t="s">
        <v>24</v>
      </c>
      <c r="O86" s="58" t="s">
        <v>54</v>
      </c>
      <c r="P86" s="58" t="s">
        <v>25</v>
      </c>
      <c r="Q86" s="60">
        <v>95382.820353217699</v>
      </c>
      <c r="R86" s="60">
        <v>90755</v>
      </c>
      <c r="S86" s="61">
        <v>72244.360315499027</v>
      </c>
      <c r="T86" s="61">
        <v>128</v>
      </c>
      <c r="U86" s="62" t="s">
        <v>62</v>
      </c>
      <c r="V86" s="63" t="s">
        <v>56</v>
      </c>
      <c r="W86" s="60">
        <v>31294244</v>
      </c>
      <c r="X86" s="60">
        <f t="shared" si="57"/>
        <v>328.09099043320856</v>
      </c>
      <c r="Y86" s="60">
        <f t="shared" si="58"/>
        <v>344.82115585918132</v>
      </c>
      <c r="Z86" s="60">
        <f t="shared" si="59"/>
        <v>433.17213777427901</v>
      </c>
      <c r="AA86" s="60">
        <f t="shared" si="60"/>
        <v>244486.28125</v>
      </c>
      <c r="AB86" s="64" t="s">
        <v>73</v>
      </c>
      <c r="AD86" s="93">
        <f t="shared" ref="AD86" si="85">W86/AC81</f>
        <v>7.5226547896090026E-2</v>
      </c>
    </row>
    <row r="87" spans="1:30" s="55" customFormat="1" ht="15.95">
      <c r="A87" s="57"/>
      <c r="B87" s="58" t="s">
        <v>48</v>
      </c>
      <c r="C87" s="58" t="s">
        <v>49</v>
      </c>
      <c r="D87" s="58"/>
      <c r="E87" s="58" t="s">
        <v>20</v>
      </c>
      <c r="F87" s="58" t="s">
        <v>21</v>
      </c>
      <c r="G87" s="58" t="s">
        <v>50</v>
      </c>
      <c r="H87" s="58"/>
      <c r="I87" s="58" t="s">
        <v>78</v>
      </c>
      <c r="J87" s="58"/>
      <c r="K87" s="58" t="s">
        <v>83</v>
      </c>
      <c r="L87" s="59">
        <v>2022</v>
      </c>
      <c r="M87" s="58" t="s">
        <v>72</v>
      </c>
      <c r="N87" s="58" t="s">
        <v>24</v>
      </c>
      <c r="O87" s="58" t="s">
        <v>54</v>
      </c>
      <c r="P87" s="58" t="s">
        <v>25</v>
      </c>
      <c r="Q87" s="60">
        <v>95382.820353217699</v>
      </c>
      <c r="R87" s="60">
        <v>90755</v>
      </c>
      <c r="S87" s="61">
        <v>72244.360315499027</v>
      </c>
      <c r="T87" s="61">
        <v>128</v>
      </c>
      <c r="U87" s="62" t="s">
        <v>63</v>
      </c>
      <c r="V87" s="63" t="s">
        <v>56</v>
      </c>
      <c r="W87" s="60">
        <v>5634677</v>
      </c>
      <c r="X87" s="60">
        <f t="shared" si="57"/>
        <v>59.074338325642898</v>
      </c>
      <c r="Y87" s="60">
        <f t="shared" si="58"/>
        <v>62.086683929260097</v>
      </c>
      <c r="Z87" s="60">
        <f t="shared" si="59"/>
        <v>77.994697100130011</v>
      </c>
      <c r="AA87" s="60">
        <f t="shared" si="60"/>
        <v>44020.9140625</v>
      </c>
      <c r="AB87" s="64" t="s">
        <v>73</v>
      </c>
      <c r="AD87" s="93">
        <f t="shared" ref="AD87" si="86">W87/AC81</f>
        <v>1.3544896602055536E-2</v>
      </c>
    </row>
    <row r="88" spans="1:30" s="55" customFormat="1" ht="15.95">
      <c r="A88" s="57"/>
      <c r="B88" s="58" t="s">
        <v>48</v>
      </c>
      <c r="C88" s="58" t="s">
        <v>49</v>
      </c>
      <c r="D88" s="58"/>
      <c r="E88" s="58" t="s">
        <v>20</v>
      </c>
      <c r="F88" s="58" t="s">
        <v>21</v>
      </c>
      <c r="G88" s="58" t="s">
        <v>50</v>
      </c>
      <c r="H88" s="58"/>
      <c r="I88" s="58" t="s">
        <v>78</v>
      </c>
      <c r="J88" s="58"/>
      <c r="K88" s="58" t="s">
        <v>83</v>
      </c>
      <c r="L88" s="59">
        <v>2022</v>
      </c>
      <c r="M88" s="58" t="s">
        <v>72</v>
      </c>
      <c r="N88" s="58" t="s">
        <v>24</v>
      </c>
      <c r="O88" s="58" t="s">
        <v>54</v>
      </c>
      <c r="P88" s="58" t="s">
        <v>25</v>
      </c>
      <c r="Q88" s="60">
        <v>95382.820353217699</v>
      </c>
      <c r="R88" s="60">
        <v>90755</v>
      </c>
      <c r="S88" s="61">
        <v>72244.360315499027</v>
      </c>
      <c r="T88" s="61">
        <v>128</v>
      </c>
      <c r="U88" s="62" t="s">
        <v>64</v>
      </c>
      <c r="V88" s="63" t="s">
        <v>56</v>
      </c>
      <c r="W88" s="60">
        <v>0</v>
      </c>
      <c r="X88" s="60">
        <f t="shared" si="57"/>
        <v>0</v>
      </c>
      <c r="Y88" s="60">
        <f t="shared" si="58"/>
        <v>0</v>
      </c>
      <c r="Z88" s="60">
        <f t="shared" si="59"/>
        <v>0</v>
      </c>
      <c r="AA88" s="60">
        <f t="shared" si="60"/>
        <v>0</v>
      </c>
      <c r="AB88" s="64" t="s">
        <v>73</v>
      </c>
      <c r="AD88" s="93">
        <f t="shared" ref="AD88" si="87">W88/AC81</f>
        <v>0</v>
      </c>
    </row>
    <row r="89" spans="1:30" s="55" customFormat="1" ht="15.95">
      <c r="A89" s="57"/>
      <c r="B89" s="58" t="s">
        <v>48</v>
      </c>
      <c r="C89" s="58" t="s">
        <v>49</v>
      </c>
      <c r="D89" s="58"/>
      <c r="E89" s="58" t="s">
        <v>20</v>
      </c>
      <c r="F89" s="58" t="s">
        <v>21</v>
      </c>
      <c r="G89" s="58" t="s">
        <v>50</v>
      </c>
      <c r="H89" s="58"/>
      <c r="I89" s="58" t="s">
        <v>78</v>
      </c>
      <c r="J89" s="58"/>
      <c r="K89" s="58" t="s">
        <v>83</v>
      </c>
      <c r="L89" s="59">
        <v>2022</v>
      </c>
      <c r="M89" s="58" t="s">
        <v>72</v>
      </c>
      <c r="N89" s="58" t="s">
        <v>24</v>
      </c>
      <c r="O89" s="58" t="s">
        <v>54</v>
      </c>
      <c r="P89" s="58" t="s">
        <v>25</v>
      </c>
      <c r="Q89" s="60">
        <v>95382.820353217699</v>
      </c>
      <c r="R89" s="60">
        <v>90755</v>
      </c>
      <c r="S89" s="61">
        <v>72244.360315499027</v>
      </c>
      <c r="T89" s="61">
        <v>128</v>
      </c>
      <c r="U89" s="62" t="s">
        <v>65</v>
      </c>
      <c r="V89" s="63" t="s">
        <v>56</v>
      </c>
      <c r="W89" s="60">
        <v>31164770</v>
      </c>
      <c r="X89" s="60">
        <f t="shared" si="57"/>
        <v>326.73357617851849</v>
      </c>
      <c r="Y89" s="60">
        <f t="shared" si="58"/>
        <v>343.39452371770153</v>
      </c>
      <c r="Z89" s="60">
        <f t="shared" si="59"/>
        <v>431.3799701997504</v>
      </c>
      <c r="AA89" s="60">
        <f t="shared" si="60"/>
        <v>243474.765625</v>
      </c>
      <c r="AB89" s="64" t="s">
        <v>73</v>
      </c>
      <c r="AD89" s="93">
        <f t="shared" ref="AD89" si="88">W89/AC81</f>
        <v>7.491531231991512E-2</v>
      </c>
    </row>
    <row r="90" spans="1:30" s="55" customFormat="1" ht="15.95">
      <c r="A90" s="57"/>
      <c r="B90" s="58" t="s">
        <v>48</v>
      </c>
      <c r="C90" s="58" t="s">
        <v>49</v>
      </c>
      <c r="D90" s="58"/>
      <c r="E90" s="58" t="s">
        <v>20</v>
      </c>
      <c r="F90" s="58" t="s">
        <v>21</v>
      </c>
      <c r="G90" s="58" t="s">
        <v>50</v>
      </c>
      <c r="H90" s="58"/>
      <c r="I90" s="58" t="s">
        <v>78</v>
      </c>
      <c r="J90" s="58"/>
      <c r="K90" s="58" t="s">
        <v>83</v>
      </c>
      <c r="L90" s="59">
        <v>2022</v>
      </c>
      <c r="M90" s="58" t="s">
        <v>72</v>
      </c>
      <c r="N90" s="58" t="s">
        <v>24</v>
      </c>
      <c r="O90" s="58" t="s">
        <v>54</v>
      </c>
      <c r="P90" s="58" t="s">
        <v>25</v>
      </c>
      <c r="Q90" s="60">
        <v>95382.820353217699</v>
      </c>
      <c r="R90" s="60">
        <v>90755</v>
      </c>
      <c r="S90" s="61">
        <v>72244.360315499027</v>
      </c>
      <c r="T90" s="61">
        <v>128</v>
      </c>
      <c r="U90" s="62" t="s">
        <v>66</v>
      </c>
      <c r="V90" s="63" t="s">
        <v>56</v>
      </c>
      <c r="W90" s="60">
        <v>25049783</v>
      </c>
      <c r="X90" s="60">
        <f t="shared" si="57"/>
        <v>262.62363502396641</v>
      </c>
      <c r="Y90" s="60">
        <f t="shared" si="58"/>
        <v>276.01545920334968</v>
      </c>
      <c r="Z90" s="60">
        <f t="shared" si="59"/>
        <v>346.73686486536604</v>
      </c>
      <c r="AA90" s="60">
        <f t="shared" si="60"/>
        <v>195701.4296875</v>
      </c>
      <c r="AB90" s="64" t="s">
        <v>73</v>
      </c>
      <c r="AD90" s="93">
        <f t="shared" ref="AD90" si="89">W90/AC81</f>
        <v>6.021582437448119E-2</v>
      </c>
    </row>
    <row r="91" spans="1:30" s="55" customFormat="1" ht="15.95">
      <c r="A91" s="57"/>
      <c r="B91" s="58" t="s">
        <v>48</v>
      </c>
      <c r="C91" s="58" t="s">
        <v>49</v>
      </c>
      <c r="D91" s="58"/>
      <c r="E91" s="58" t="s">
        <v>20</v>
      </c>
      <c r="F91" s="58" t="s">
        <v>21</v>
      </c>
      <c r="G91" s="58" t="s">
        <v>50</v>
      </c>
      <c r="H91" s="58"/>
      <c r="I91" s="58" t="s">
        <v>78</v>
      </c>
      <c r="J91" s="58"/>
      <c r="K91" s="58" t="s">
        <v>83</v>
      </c>
      <c r="L91" s="59">
        <v>2022</v>
      </c>
      <c r="M91" s="58" t="s">
        <v>72</v>
      </c>
      <c r="N91" s="58" t="s">
        <v>24</v>
      </c>
      <c r="O91" s="58" t="s">
        <v>54</v>
      </c>
      <c r="P91" s="58" t="s">
        <v>25</v>
      </c>
      <c r="Q91" s="60">
        <v>95382.820353217699</v>
      </c>
      <c r="R91" s="60">
        <v>90755</v>
      </c>
      <c r="S91" s="61">
        <v>72244.360315499027</v>
      </c>
      <c r="T91" s="61">
        <v>128</v>
      </c>
      <c r="U91" s="62" t="s">
        <v>67</v>
      </c>
      <c r="V91" s="63" t="s">
        <v>56</v>
      </c>
      <c r="W91" s="60">
        <v>0</v>
      </c>
      <c r="X91" s="60">
        <f t="shared" si="57"/>
        <v>0</v>
      </c>
      <c r="Y91" s="60">
        <f t="shared" si="58"/>
        <v>0</v>
      </c>
      <c r="Z91" s="60">
        <f t="shared" si="59"/>
        <v>0</v>
      </c>
      <c r="AA91" s="60">
        <f t="shared" si="60"/>
        <v>0</v>
      </c>
      <c r="AB91" s="64" t="s">
        <v>73</v>
      </c>
      <c r="AD91" s="93">
        <f t="shared" ref="AD91" si="90">W91/AC81</f>
        <v>0</v>
      </c>
    </row>
    <row r="92" spans="1:30" s="55" customFormat="1" ht="15.95">
      <c r="A92" s="57"/>
      <c r="B92" s="58" t="s">
        <v>48</v>
      </c>
      <c r="C92" s="58" t="s">
        <v>49</v>
      </c>
      <c r="D92" s="58"/>
      <c r="E92" s="58" t="s">
        <v>20</v>
      </c>
      <c r="F92" s="58" t="s">
        <v>21</v>
      </c>
      <c r="G92" s="58" t="s">
        <v>50</v>
      </c>
      <c r="H92" s="58"/>
      <c r="I92" s="58" t="s">
        <v>78</v>
      </c>
      <c r="J92" s="58"/>
      <c r="K92" s="58" t="s">
        <v>83</v>
      </c>
      <c r="L92" s="59">
        <v>2022</v>
      </c>
      <c r="M92" s="58" t="s">
        <v>72</v>
      </c>
      <c r="N92" s="58" t="s">
        <v>24</v>
      </c>
      <c r="O92" s="58" t="s">
        <v>54</v>
      </c>
      <c r="P92" s="58" t="s">
        <v>25</v>
      </c>
      <c r="Q92" s="60">
        <v>95382.820353217699</v>
      </c>
      <c r="R92" s="60">
        <v>90755</v>
      </c>
      <c r="S92" s="61">
        <v>72244.360315499027</v>
      </c>
      <c r="T92" s="61">
        <v>128</v>
      </c>
      <c r="U92" s="62" t="s">
        <v>68</v>
      </c>
      <c r="V92" s="63" t="s">
        <v>56</v>
      </c>
      <c r="W92" s="60">
        <v>16696673</v>
      </c>
      <c r="X92" s="60">
        <f t="shared" si="57"/>
        <v>175.04905954939866</v>
      </c>
      <c r="Y92" s="60">
        <f t="shared" si="58"/>
        <v>183.97524103355187</v>
      </c>
      <c r="Z92" s="60">
        <f t="shared" si="59"/>
        <v>231.1138603357245</v>
      </c>
      <c r="AA92" s="60">
        <f t="shared" si="60"/>
        <v>130442.7578125</v>
      </c>
      <c r="AB92" s="64" t="s">
        <v>73</v>
      </c>
      <c r="AD92" s="93">
        <f t="shared" ref="AD92" si="91">W92/AC81</f>
        <v>4.0136233076595591E-2</v>
      </c>
    </row>
    <row r="93" spans="1:30" s="55" customFormat="1" ht="15.95">
      <c r="A93" s="57"/>
      <c r="B93" s="58" t="s">
        <v>48</v>
      </c>
      <c r="C93" s="58" t="s">
        <v>49</v>
      </c>
      <c r="D93" s="58"/>
      <c r="E93" s="58" t="s">
        <v>20</v>
      </c>
      <c r="F93" s="58" t="s">
        <v>21</v>
      </c>
      <c r="G93" s="58" t="s">
        <v>50</v>
      </c>
      <c r="H93" s="58"/>
      <c r="I93" s="58" t="s">
        <v>78</v>
      </c>
      <c r="J93" s="58"/>
      <c r="K93" s="58" t="s">
        <v>83</v>
      </c>
      <c r="L93" s="59">
        <v>2022</v>
      </c>
      <c r="M93" s="58" t="s">
        <v>72</v>
      </c>
      <c r="N93" s="58" t="s">
        <v>24</v>
      </c>
      <c r="O93" s="58" t="s">
        <v>54</v>
      </c>
      <c r="P93" s="58" t="s">
        <v>25</v>
      </c>
      <c r="Q93" s="60">
        <v>95382.820353217699</v>
      </c>
      <c r="R93" s="60">
        <v>90755</v>
      </c>
      <c r="S93" s="61">
        <v>72244.360315499027</v>
      </c>
      <c r="T93" s="61">
        <v>128</v>
      </c>
      <c r="U93" s="62" t="s">
        <v>69</v>
      </c>
      <c r="V93" s="63" t="s">
        <v>56</v>
      </c>
      <c r="W93" s="60">
        <v>29989858</v>
      </c>
      <c r="X93" s="60">
        <f t="shared" si="57"/>
        <v>314.41571856381267</v>
      </c>
      <c r="Y93" s="60">
        <f t="shared" si="58"/>
        <v>330.44854828935047</v>
      </c>
      <c r="Z93" s="60">
        <f t="shared" si="59"/>
        <v>415.11694295625301</v>
      </c>
      <c r="AA93" s="60">
        <f t="shared" si="60"/>
        <v>234295.765625</v>
      </c>
      <c r="AB93" s="64" t="s">
        <v>73</v>
      </c>
      <c r="AD93" s="93">
        <f t="shared" ref="AD93" si="92">W93/AC81</f>
        <v>7.2091004634396619E-2</v>
      </c>
    </row>
    <row r="94" spans="1:30" s="32" customFormat="1" ht="15" customHeight="1">
      <c r="A94" s="65"/>
      <c r="B94" s="66" t="s">
        <v>48</v>
      </c>
      <c r="C94" s="66" t="s">
        <v>49</v>
      </c>
      <c r="D94" s="66"/>
      <c r="E94" s="66" t="s">
        <v>20</v>
      </c>
      <c r="F94" s="66" t="s">
        <v>21</v>
      </c>
      <c r="G94" s="66" t="s">
        <v>50</v>
      </c>
      <c r="H94" s="66"/>
      <c r="I94" s="66" t="s">
        <v>84</v>
      </c>
      <c r="J94" s="66"/>
      <c r="K94" s="66" t="s">
        <v>85</v>
      </c>
      <c r="L94" s="67">
        <v>2022</v>
      </c>
      <c r="M94" s="66" t="s">
        <v>72</v>
      </c>
      <c r="N94" s="66" t="s">
        <v>24</v>
      </c>
      <c r="O94" s="66" t="s">
        <v>54</v>
      </c>
      <c r="P94" s="66" t="s">
        <v>25</v>
      </c>
      <c r="Q94" s="68">
        <v>44954.431014780886</v>
      </c>
      <c r="R94" s="68">
        <v>42855</v>
      </c>
      <c r="S94" s="68">
        <v>34458.328301080466</v>
      </c>
      <c r="T94" s="68">
        <v>75</v>
      </c>
      <c r="U94" s="74" t="s">
        <v>55</v>
      </c>
      <c r="V94" s="75" t="s">
        <v>56</v>
      </c>
      <c r="W94" s="68">
        <v>7745274</v>
      </c>
      <c r="X94" s="68">
        <f t="shared" si="57"/>
        <v>172.29167014600577</v>
      </c>
      <c r="Y94" s="68">
        <f t="shared" si="58"/>
        <v>180.73209660483025</v>
      </c>
      <c r="Z94" s="68">
        <f t="shared" si="59"/>
        <v>224.77219243851539</v>
      </c>
      <c r="AA94" s="68">
        <f t="shared" si="60"/>
        <v>103270.32</v>
      </c>
      <c r="AB94" s="73" t="s">
        <v>73</v>
      </c>
      <c r="AC94" s="92">
        <f t="shared" ref="AC94" si="93">SUM(W94:W106)</f>
        <v>236359000</v>
      </c>
      <c r="AD94" s="93">
        <f t="shared" ref="AD94" si="94">W94/AC94</f>
        <v>3.2769109701767225E-2</v>
      </c>
    </row>
    <row r="95" spans="1:30" s="32" customFormat="1" ht="15.95">
      <c r="A95" s="65"/>
      <c r="B95" s="66" t="s">
        <v>48</v>
      </c>
      <c r="C95" s="66" t="s">
        <v>49</v>
      </c>
      <c r="D95" s="66"/>
      <c r="E95" s="66" t="s">
        <v>20</v>
      </c>
      <c r="F95" s="66" t="s">
        <v>21</v>
      </c>
      <c r="G95" s="66" t="s">
        <v>50</v>
      </c>
      <c r="H95" s="66"/>
      <c r="I95" s="66" t="s">
        <v>84</v>
      </c>
      <c r="J95" s="66"/>
      <c r="K95" s="66" t="s">
        <v>85</v>
      </c>
      <c r="L95" s="67">
        <v>2022</v>
      </c>
      <c r="M95" s="66" t="s">
        <v>72</v>
      </c>
      <c r="N95" s="66" t="s">
        <v>24</v>
      </c>
      <c r="O95" s="66" t="s">
        <v>54</v>
      </c>
      <c r="P95" s="66" t="s">
        <v>25</v>
      </c>
      <c r="Q95" s="68">
        <v>44954.431014780886</v>
      </c>
      <c r="R95" s="68">
        <v>42855</v>
      </c>
      <c r="S95" s="69">
        <v>34458.328301080466</v>
      </c>
      <c r="T95" s="69">
        <v>75</v>
      </c>
      <c r="U95" s="74" t="s">
        <v>58</v>
      </c>
      <c r="V95" s="75" t="s">
        <v>56</v>
      </c>
      <c r="W95" s="68">
        <v>21338316</v>
      </c>
      <c r="X95" s="68">
        <f t="shared" si="57"/>
        <v>474.66546719241143</v>
      </c>
      <c r="Y95" s="68">
        <f t="shared" si="58"/>
        <v>497.91893594679732</v>
      </c>
      <c r="Z95" s="68">
        <f t="shared" si="59"/>
        <v>619.24988970898278</v>
      </c>
      <c r="AA95" s="68">
        <f t="shared" si="60"/>
        <v>284510.88</v>
      </c>
      <c r="AB95" s="73" t="s">
        <v>73</v>
      </c>
      <c r="AC95" s="55"/>
      <c r="AD95" s="93">
        <f t="shared" ref="AD95" si="95">W95/AC94</f>
        <v>9.0279261631670465E-2</v>
      </c>
    </row>
    <row r="96" spans="1:30" s="32" customFormat="1" ht="15.95">
      <c r="A96" s="65"/>
      <c r="B96" s="66" t="s">
        <v>48</v>
      </c>
      <c r="C96" s="66" t="s">
        <v>49</v>
      </c>
      <c r="D96" s="66"/>
      <c r="E96" s="66" t="s">
        <v>20</v>
      </c>
      <c r="F96" s="66" t="s">
        <v>21</v>
      </c>
      <c r="G96" s="66" t="s">
        <v>50</v>
      </c>
      <c r="H96" s="66"/>
      <c r="I96" s="66" t="s">
        <v>84</v>
      </c>
      <c r="J96" s="66"/>
      <c r="K96" s="66" t="s">
        <v>85</v>
      </c>
      <c r="L96" s="67">
        <v>2022</v>
      </c>
      <c r="M96" s="66" t="s">
        <v>72</v>
      </c>
      <c r="N96" s="66" t="s">
        <v>24</v>
      </c>
      <c r="O96" s="66" t="s">
        <v>54</v>
      </c>
      <c r="P96" s="66" t="s">
        <v>25</v>
      </c>
      <c r="Q96" s="68">
        <v>44954.431014780886</v>
      </c>
      <c r="R96" s="68">
        <v>42855</v>
      </c>
      <c r="S96" s="69">
        <v>34458.328301080466</v>
      </c>
      <c r="T96" s="69">
        <v>75</v>
      </c>
      <c r="U96" s="74" t="s">
        <v>59</v>
      </c>
      <c r="V96" s="75" t="s">
        <v>56</v>
      </c>
      <c r="W96" s="68">
        <v>62601265</v>
      </c>
      <c r="X96" s="68">
        <f t="shared" si="57"/>
        <v>1392.5493791572378</v>
      </c>
      <c r="Y96" s="68">
        <f t="shared" si="58"/>
        <v>1460.7692217944229</v>
      </c>
      <c r="Z96" s="68">
        <f t="shared" si="59"/>
        <v>1816.7237961464627</v>
      </c>
      <c r="AA96" s="68">
        <f t="shared" si="60"/>
        <v>834683.53333333333</v>
      </c>
      <c r="AB96" s="73" t="s">
        <v>73</v>
      </c>
      <c r="AC96" s="55"/>
      <c r="AD96" s="93">
        <f t="shared" ref="AD96" si="96">W96/AC94</f>
        <v>0.26485670103528952</v>
      </c>
    </row>
    <row r="97" spans="1:30" s="32" customFormat="1" ht="15.95">
      <c r="A97" s="65"/>
      <c r="B97" s="66" t="s">
        <v>48</v>
      </c>
      <c r="C97" s="66" t="s">
        <v>49</v>
      </c>
      <c r="D97" s="66"/>
      <c r="E97" s="66" t="s">
        <v>20</v>
      </c>
      <c r="F97" s="66" t="s">
        <v>21</v>
      </c>
      <c r="G97" s="66" t="s">
        <v>50</v>
      </c>
      <c r="H97" s="66"/>
      <c r="I97" s="66" t="s">
        <v>84</v>
      </c>
      <c r="J97" s="66"/>
      <c r="K97" s="66" t="s">
        <v>85</v>
      </c>
      <c r="L97" s="67">
        <v>2022</v>
      </c>
      <c r="M97" s="66" t="s">
        <v>72</v>
      </c>
      <c r="N97" s="66" t="s">
        <v>24</v>
      </c>
      <c r="O97" s="66" t="s">
        <v>54</v>
      </c>
      <c r="P97" s="66" t="s">
        <v>25</v>
      </c>
      <c r="Q97" s="68">
        <v>44954.431014780886</v>
      </c>
      <c r="R97" s="68">
        <v>42855</v>
      </c>
      <c r="S97" s="69">
        <v>34458.328301080466</v>
      </c>
      <c r="T97" s="69">
        <v>75</v>
      </c>
      <c r="U97" s="74" t="s">
        <v>60</v>
      </c>
      <c r="V97" s="75" t="s">
        <v>56</v>
      </c>
      <c r="W97" s="68">
        <v>10294153</v>
      </c>
      <c r="X97" s="68">
        <f t="shared" si="57"/>
        <v>228.9908417841016</v>
      </c>
      <c r="Y97" s="68">
        <f t="shared" si="58"/>
        <v>240.20891377902228</v>
      </c>
      <c r="Z97" s="68">
        <f t="shared" si="59"/>
        <v>298.74208957714353</v>
      </c>
      <c r="AA97" s="68">
        <f t="shared" si="60"/>
        <v>137255.37333333332</v>
      </c>
      <c r="AB97" s="73" t="s">
        <v>73</v>
      </c>
      <c r="AC97" s="55"/>
      <c r="AD97" s="93">
        <f t="shared" ref="AD97" si="97">W97/AC94</f>
        <v>4.3553040078863084E-2</v>
      </c>
    </row>
    <row r="98" spans="1:30" s="32" customFormat="1" ht="15.95">
      <c r="A98" s="65"/>
      <c r="B98" s="66" t="s">
        <v>48</v>
      </c>
      <c r="C98" s="66" t="s">
        <v>49</v>
      </c>
      <c r="D98" s="66"/>
      <c r="E98" s="66" t="s">
        <v>20</v>
      </c>
      <c r="F98" s="66" t="s">
        <v>21</v>
      </c>
      <c r="G98" s="66" t="s">
        <v>50</v>
      </c>
      <c r="H98" s="66"/>
      <c r="I98" s="66" t="s">
        <v>84</v>
      </c>
      <c r="J98" s="66"/>
      <c r="K98" s="66" t="s">
        <v>85</v>
      </c>
      <c r="L98" s="67">
        <v>2022</v>
      </c>
      <c r="M98" s="66" t="s">
        <v>72</v>
      </c>
      <c r="N98" s="66" t="s">
        <v>24</v>
      </c>
      <c r="O98" s="66" t="s">
        <v>54</v>
      </c>
      <c r="P98" s="66" t="s">
        <v>25</v>
      </c>
      <c r="Q98" s="68">
        <v>44954.431014780886</v>
      </c>
      <c r="R98" s="68">
        <v>42855</v>
      </c>
      <c r="S98" s="69">
        <v>34458.328301080466</v>
      </c>
      <c r="T98" s="69">
        <v>75</v>
      </c>
      <c r="U98" s="74" t="s">
        <v>61</v>
      </c>
      <c r="V98" s="75" t="s">
        <v>56</v>
      </c>
      <c r="W98" s="68">
        <v>40140332</v>
      </c>
      <c r="X98" s="68">
        <f t="shared" si="57"/>
        <v>892.91157943478311</v>
      </c>
      <c r="Y98" s="68">
        <f t="shared" si="58"/>
        <v>936.65457939563646</v>
      </c>
      <c r="Z98" s="68">
        <f t="shared" si="59"/>
        <v>1164.8949319094324</v>
      </c>
      <c r="AA98" s="68">
        <f t="shared" si="60"/>
        <v>535204.42666666664</v>
      </c>
      <c r="AB98" s="73" t="s">
        <v>73</v>
      </c>
      <c r="AC98" s="55"/>
      <c r="AD98" s="93">
        <f t="shared" ref="AD98" si="98">W98/AC94</f>
        <v>0.16982781277632752</v>
      </c>
    </row>
    <row r="99" spans="1:30" s="32" customFormat="1" ht="15.95">
      <c r="A99" s="65"/>
      <c r="B99" s="66" t="s">
        <v>48</v>
      </c>
      <c r="C99" s="66" t="s">
        <v>49</v>
      </c>
      <c r="D99" s="66"/>
      <c r="E99" s="66" t="s">
        <v>20</v>
      </c>
      <c r="F99" s="66" t="s">
        <v>21</v>
      </c>
      <c r="G99" s="66" t="s">
        <v>50</v>
      </c>
      <c r="H99" s="66"/>
      <c r="I99" s="66" t="s">
        <v>84</v>
      </c>
      <c r="J99" s="66"/>
      <c r="K99" s="66" t="s">
        <v>85</v>
      </c>
      <c r="L99" s="67">
        <v>2022</v>
      </c>
      <c r="M99" s="66" t="s">
        <v>72</v>
      </c>
      <c r="N99" s="66" t="s">
        <v>24</v>
      </c>
      <c r="O99" s="66" t="s">
        <v>54</v>
      </c>
      <c r="P99" s="66" t="s">
        <v>25</v>
      </c>
      <c r="Q99" s="68">
        <v>44954.431014780886</v>
      </c>
      <c r="R99" s="68">
        <v>42855</v>
      </c>
      <c r="S99" s="69">
        <v>34458.328301080466</v>
      </c>
      <c r="T99" s="69">
        <v>75</v>
      </c>
      <c r="U99" s="74" t="s">
        <v>62</v>
      </c>
      <c r="V99" s="75" t="s">
        <v>56</v>
      </c>
      <c r="W99" s="68">
        <v>9153557</v>
      </c>
      <c r="X99" s="68">
        <f t="shared" si="57"/>
        <v>203.61857092552984</v>
      </c>
      <c r="Y99" s="68">
        <f t="shared" si="58"/>
        <v>213.5936763504842</v>
      </c>
      <c r="Z99" s="68">
        <f t="shared" si="59"/>
        <v>265.64135439248759</v>
      </c>
      <c r="AA99" s="68">
        <f t="shared" si="60"/>
        <v>122047.42666666667</v>
      </c>
      <c r="AB99" s="73" t="s">
        <v>73</v>
      </c>
      <c r="AC99" s="55"/>
      <c r="AD99" s="93">
        <f t="shared" ref="AD99" si="99">W99/AC94</f>
        <v>3.8727346959498053E-2</v>
      </c>
    </row>
    <row r="100" spans="1:30" s="32" customFormat="1" ht="15.95">
      <c r="A100" s="65"/>
      <c r="B100" s="66" t="s">
        <v>48</v>
      </c>
      <c r="C100" s="66" t="s">
        <v>49</v>
      </c>
      <c r="D100" s="66"/>
      <c r="E100" s="66" t="s">
        <v>20</v>
      </c>
      <c r="F100" s="66" t="s">
        <v>21</v>
      </c>
      <c r="G100" s="66" t="s">
        <v>50</v>
      </c>
      <c r="H100" s="66"/>
      <c r="I100" s="66" t="s">
        <v>84</v>
      </c>
      <c r="J100" s="66"/>
      <c r="K100" s="66" t="s">
        <v>85</v>
      </c>
      <c r="L100" s="67">
        <v>2022</v>
      </c>
      <c r="M100" s="66" t="s">
        <v>72</v>
      </c>
      <c r="N100" s="66" t="s">
        <v>24</v>
      </c>
      <c r="O100" s="66" t="s">
        <v>54</v>
      </c>
      <c r="P100" s="66" t="s">
        <v>25</v>
      </c>
      <c r="Q100" s="68">
        <v>44954.431014780886</v>
      </c>
      <c r="R100" s="68">
        <v>42855</v>
      </c>
      <c r="S100" s="69">
        <v>34458.328301080466</v>
      </c>
      <c r="T100" s="69">
        <v>75</v>
      </c>
      <c r="U100" s="74" t="s">
        <v>63</v>
      </c>
      <c r="V100" s="75" t="s">
        <v>56</v>
      </c>
      <c r="W100" s="68">
        <v>13105027</v>
      </c>
      <c r="X100" s="68">
        <f t="shared" si="57"/>
        <v>291.5180262361925</v>
      </c>
      <c r="Y100" s="68">
        <f t="shared" si="58"/>
        <v>305.79925329599814</v>
      </c>
      <c r="Z100" s="68">
        <f t="shared" si="59"/>
        <v>380.31522845491844</v>
      </c>
      <c r="AA100" s="68">
        <f t="shared" si="60"/>
        <v>174733.69333333333</v>
      </c>
      <c r="AB100" s="73" t="s">
        <v>73</v>
      </c>
      <c r="AC100" s="55"/>
      <c r="AD100" s="93">
        <f t="shared" ref="AD100" si="100">W100/AC94</f>
        <v>5.5445432583485291E-2</v>
      </c>
    </row>
    <row r="101" spans="1:30" s="32" customFormat="1" ht="15.95">
      <c r="A101" s="65"/>
      <c r="B101" s="66" t="s">
        <v>48</v>
      </c>
      <c r="C101" s="66" t="s">
        <v>49</v>
      </c>
      <c r="D101" s="66"/>
      <c r="E101" s="66" t="s">
        <v>20</v>
      </c>
      <c r="F101" s="66" t="s">
        <v>21</v>
      </c>
      <c r="G101" s="66" t="s">
        <v>50</v>
      </c>
      <c r="H101" s="66"/>
      <c r="I101" s="66" t="s">
        <v>84</v>
      </c>
      <c r="J101" s="66"/>
      <c r="K101" s="66" t="s">
        <v>85</v>
      </c>
      <c r="L101" s="67">
        <v>2022</v>
      </c>
      <c r="M101" s="66" t="s">
        <v>72</v>
      </c>
      <c r="N101" s="66" t="s">
        <v>24</v>
      </c>
      <c r="O101" s="66" t="s">
        <v>54</v>
      </c>
      <c r="P101" s="66" t="s">
        <v>25</v>
      </c>
      <c r="Q101" s="68">
        <v>44954.431014780886</v>
      </c>
      <c r="R101" s="68">
        <v>42855</v>
      </c>
      <c r="S101" s="69">
        <v>34458.328301080466</v>
      </c>
      <c r="T101" s="69">
        <v>75</v>
      </c>
      <c r="U101" s="74" t="s">
        <v>64</v>
      </c>
      <c r="V101" s="75" t="s">
        <v>56</v>
      </c>
      <c r="W101" s="68">
        <v>0</v>
      </c>
      <c r="X101" s="68">
        <f t="shared" si="57"/>
        <v>0</v>
      </c>
      <c r="Y101" s="68">
        <f t="shared" si="58"/>
        <v>0</v>
      </c>
      <c r="Z101" s="68">
        <f t="shared" si="59"/>
        <v>0</v>
      </c>
      <c r="AA101" s="68">
        <f t="shared" si="60"/>
        <v>0</v>
      </c>
      <c r="AB101" s="73" t="s">
        <v>73</v>
      </c>
      <c r="AC101" s="55"/>
      <c r="AD101" s="93">
        <f t="shared" ref="AD101" si="101">W101/AC94</f>
        <v>0</v>
      </c>
    </row>
    <row r="102" spans="1:30" s="32" customFormat="1" ht="15.95">
      <c r="A102" s="65"/>
      <c r="B102" s="66" t="s">
        <v>48</v>
      </c>
      <c r="C102" s="66" t="s">
        <v>49</v>
      </c>
      <c r="D102" s="66"/>
      <c r="E102" s="66" t="s">
        <v>20</v>
      </c>
      <c r="F102" s="66" t="s">
        <v>21</v>
      </c>
      <c r="G102" s="66" t="s">
        <v>50</v>
      </c>
      <c r="H102" s="66"/>
      <c r="I102" s="66" t="s">
        <v>84</v>
      </c>
      <c r="J102" s="66"/>
      <c r="K102" s="66" t="s">
        <v>85</v>
      </c>
      <c r="L102" s="67">
        <v>2022</v>
      </c>
      <c r="M102" s="66" t="s">
        <v>72</v>
      </c>
      <c r="N102" s="66" t="s">
        <v>24</v>
      </c>
      <c r="O102" s="66" t="s">
        <v>54</v>
      </c>
      <c r="P102" s="66" t="s">
        <v>25</v>
      </c>
      <c r="Q102" s="68">
        <v>44954.431014780886</v>
      </c>
      <c r="R102" s="68">
        <v>42855</v>
      </c>
      <c r="S102" s="69">
        <v>34458.328301080466</v>
      </c>
      <c r="T102" s="69">
        <v>75</v>
      </c>
      <c r="U102" s="74" t="s">
        <v>65</v>
      </c>
      <c r="V102" s="75" t="s">
        <v>56</v>
      </c>
      <c r="W102" s="68">
        <v>18071960</v>
      </c>
      <c r="X102" s="68">
        <f t="shared" si="57"/>
        <v>402.00620032445727</v>
      </c>
      <c r="Y102" s="68">
        <f t="shared" si="58"/>
        <v>421.70015167425038</v>
      </c>
      <c r="Z102" s="68">
        <f t="shared" si="59"/>
        <v>524.4584079092815</v>
      </c>
      <c r="AA102" s="68">
        <f t="shared" si="60"/>
        <v>240959.46666666667</v>
      </c>
      <c r="AB102" s="73" t="s">
        <v>73</v>
      </c>
      <c r="AC102" s="55"/>
      <c r="AD102" s="93">
        <f t="shared" ref="AD102" si="102">W102/AC94</f>
        <v>7.645979209592188E-2</v>
      </c>
    </row>
    <row r="103" spans="1:30" s="32" customFormat="1" ht="15.95">
      <c r="A103" s="65"/>
      <c r="B103" s="66" t="s">
        <v>48</v>
      </c>
      <c r="C103" s="66" t="s">
        <v>49</v>
      </c>
      <c r="D103" s="66"/>
      <c r="E103" s="66" t="s">
        <v>20</v>
      </c>
      <c r="F103" s="66" t="s">
        <v>21</v>
      </c>
      <c r="G103" s="66" t="s">
        <v>50</v>
      </c>
      <c r="H103" s="66"/>
      <c r="I103" s="66" t="s">
        <v>84</v>
      </c>
      <c r="J103" s="66"/>
      <c r="K103" s="66" t="s">
        <v>85</v>
      </c>
      <c r="L103" s="67">
        <v>2022</v>
      </c>
      <c r="M103" s="66" t="s">
        <v>72</v>
      </c>
      <c r="N103" s="66" t="s">
        <v>24</v>
      </c>
      <c r="O103" s="66" t="s">
        <v>54</v>
      </c>
      <c r="P103" s="66" t="s">
        <v>25</v>
      </c>
      <c r="Q103" s="68">
        <v>44954.431014780886</v>
      </c>
      <c r="R103" s="68">
        <v>42855</v>
      </c>
      <c r="S103" s="69">
        <v>34458.328301080466</v>
      </c>
      <c r="T103" s="69">
        <v>75</v>
      </c>
      <c r="U103" s="74" t="s">
        <v>66</v>
      </c>
      <c r="V103" s="75" t="s">
        <v>56</v>
      </c>
      <c r="W103" s="68">
        <v>12782774</v>
      </c>
      <c r="X103" s="68">
        <f t="shared" si="57"/>
        <v>284.34958938301457</v>
      </c>
      <c r="Y103" s="68">
        <f t="shared" si="58"/>
        <v>298.27964064869911</v>
      </c>
      <c r="Z103" s="68">
        <f t="shared" si="59"/>
        <v>370.96326578324425</v>
      </c>
      <c r="AA103" s="68">
        <f t="shared" si="60"/>
        <v>170436.98666666666</v>
      </c>
      <c r="AB103" s="73" t="s">
        <v>73</v>
      </c>
      <c r="AC103" s="55"/>
      <c r="AD103" s="93">
        <f t="shared" ref="AD103" si="103">W103/AC94</f>
        <v>5.4082027762852272E-2</v>
      </c>
    </row>
    <row r="104" spans="1:30" s="32" customFormat="1" ht="15.95">
      <c r="A104" s="65"/>
      <c r="B104" s="66" t="s">
        <v>48</v>
      </c>
      <c r="C104" s="66" t="s">
        <v>49</v>
      </c>
      <c r="D104" s="66"/>
      <c r="E104" s="66" t="s">
        <v>20</v>
      </c>
      <c r="F104" s="66" t="s">
        <v>21</v>
      </c>
      <c r="G104" s="66" t="s">
        <v>50</v>
      </c>
      <c r="H104" s="66"/>
      <c r="I104" s="66" t="s">
        <v>84</v>
      </c>
      <c r="J104" s="66"/>
      <c r="K104" s="66" t="s">
        <v>85</v>
      </c>
      <c r="L104" s="67">
        <v>2022</v>
      </c>
      <c r="M104" s="66" t="s">
        <v>72</v>
      </c>
      <c r="N104" s="66" t="s">
        <v>24</v>
      </c>
      <c r="O104" s="66" t="s">
        <v>54</v>
      </c>
      <c r="P104" s="66" t="s">
        <v>25</v>
      </c>
      <c r="Q104" s="68">
        <v>44954.431014780886</v>
      </c>
      <c r="R104" s="68">
        <v>42855</v>
      </c>
      <c r="S104" s="69">
        <v>34458.328301080466</v>
      </c>
      <c r="T104" s="69">
        <v>75</v>
      </c>
      <c r="U104" s="74" t="s">
        <v>67</v>
      </c>
      <c r="V104" s="75" t="s">
        <v>56</v>
      </c>
      <c r="W104" s="68">
        <v>0</v>
      </c>
      <c r="X104" s="68">
        <f t="shared" si="57"/>
        <v>0</v>
      </c>
      <c r="Y104" s="68">
        <f t="shared" si="58"/>
        <v>0</v>
      </c>
      <c r="Z104" s="68">
        <f t="shared" si="59"/>
        <v>0</v>
      </c>
      <c r="AA104" s="68">
        <f t="shared" si="60"/>
        <v>0</v>
      </c>
      <c r="AB104" s="73" t="s">
        <v>73</v>
      </c>
      <c r="AC104" s="55"/>
      <c r="AD104" s="93">
        <f t="shared" ref="AD104" si="104">W104/AC94</f>
        <v>0</v>
      </c>
    </row>
    <row r="105" spans="1:30" s="32" customFormat="1" ht="15.95">
      <c r="A105" s="65"/>
      <c r="B105" s="66" t="s">
        <v>48</v>
      </c>
      <c r="C105" s="66" t="s">
        <v>49</v>
      </c>
      <c r="D105" s="66"/>
      <c r="E105" s="66" t="s">
        <v>20</v>
      </c>
      <c r="F105" s="66" t="s">
        <v>21</v>
      </c>
      <c r="G105" s="66" t="s">
        <v>50</v>
      </c>
      <c r="H105" s="66"/>
      <c r="I105" s="66" t="s">
        <v>84</v>
      </c>
      <c r="J105" s="66"/>
      <c r="K105" s="66" t="s">
        <v>85</v>
      </c>
      <c r="L105" s="67">
        <v>2022</v>
      </c>
      <c r="M105" s="66" t="s">
        <v>72</v>
      </c>
      <c r="N105" s="66" t="s">
        <v>24</v>
      </c>
      <c r="O105" s="66" t="s">
        <v>54</v>
      </c>
      <c r="P105" s="66" t="s">
        <v>25</v>
      </c>
      <c r="Q105" s="68">
        <v>44954.431014780886</v>
      </c>
      <c r="R105" s="68">
        <v>42855</v>
      </c>
      <c r="S105" s="69">
        <v>34458.328301080466</v>
      </c>
      <c r="T105" s="69">
        <v>75</v>
      </c>
      <c r="U105" s="74" t="s">
        <v>68</v>
      </c>
      <c r="V105" s="75" t="s">
        <v>56</v>
      </c>
      <c r="W105" s="68">
        <v>24103389</v>
      </c>
      <c r="X105" s="68">
        <f t="shared" si="57"/>
        <v>536.17381993056199</v>
      </c>
      <c r="Y105" s="68">
        <f t="shared" si="58"/>
        <v>562.44053202660132</v>
      </c>
      <c r="Z105" s="68">
        <f t="shared" si="59"/>
        <v>699.49385789687949</v>
      </c>
      <c r="AA105" s="68">
        <f t="shared" si="60"/>
        <v>321378.52</v>
      </c>
      <c r="AB105" s="73" t="s">
        <v>73</v>
      </c>
      <c r="AC105" s="55"/>
      <c r="AD105" s="93">
        <f t="shared" ref="AD105" si="105">W105/AC94</f>
        <v>0.10197787687373867</v>
      </c>
    </row>
    <row r="106" spans="1:30" s="32" customFormat="1" ht="15.95">
      <c r="A106" s="65"/>
      <c r="B106" s="66" t="s">
        <v>48</v>
      </c>
      <c r="C106" s="66" t="s">
        <v>49</v>
      </c>
      <c r="D106" s="66"/>
      <c r="E106" s="66" t="s">
        <v>20</v>
      </c>
      <c r="F106" s="66" t="s">
        <v>21</v>
      </c>
      <c r="G106" s="66" t="s">
        <v>50</v>
      </c>
      <c r="H106" s="66"/>
      <c r="I106" s="66" t="s">
        <v>84</v>
      </c>
      <c r="J106" s="66"/>
      <c r="K106" s="66" t="s">
        <v>85</v>
      </c>
      <c r="L106" s="67">
        <v>2022</v>
      </c>
      <c r="M106" s="66" t="s">
        <v>72</v>
      </c>
      <c r="N106" s="66" t="s">
        <v>24</v>
      </c>
      <c r="O106" s="66" t="s">
        <v>54</v>
      </c>
      <c r="P106" s="66" t="s">
        <v>25</v>
      </c>
      <c r="Q106" s="68">
        <v>44954.431014780886</v>
      </c>
      <c r="R106" s="68">
        <v>42855</v>
      </c>
      <c r="S106" s="69">
        <v>34458.328301080466</v>
      </c>
      <c r="T106" s="69">
        <v>75</v>
      </c>
      <c r="U106" s="74" t="s">
        <v>69</v>
      </c>
      <c r="V106" s="75" t="s">
        <v>56</v>
      </c>
      <c r="W106" s="68">
        <v>17022953</v>
      </c>
      <c r="X106" s="68">
        <f t="shared" si="57"/>
        <v>378.67130371203905</v>
      </c>
      <c r="Y106" s="68">
        <f t="shared" si="58"/>
        <v>397.22209777155524</v>
      </c>
      <c r="Z106" s="68">
        <f t="shared" si="59"/>
        <v>494.01563683709617</v>
      </c>
      <c r="AA106" s="68">
        <f t="shared" si="60"/>
        <v>226972.70666666667</v>
      </c>
      <c r="AB106" s="73" t="s">
        <v>73</v>
      </c>
      <c r="AC106" s="55"/>
      <c r="AD106" s="93">
        <f t="shared" ref="AD106" si="106">W106/AC94</f>
        <v>7.2021598500585968E-2</v>
      </c>
    </row>
    <row r="107" spans="1:30" s="55" customFormat="1" ht="15" customHeight="1">
      <c r="A107" s="57"/>
      <c r="B107" s="58" t="s">
        <v>48</v>
      </c>
      <c r="C107" s="58" t="s">
        <v>49</v>
      </c>
      <c r="D107" s="58"/>
      <c r="E107" s="58" t="s">
        <v>20</v>
      </c>
      <c r="F107" s="58" t="s">
        <v>21</v>
      </c>
      <c r="G107" s="58" t="s">
        <v>50</v>
      </c>
      <c r="H107" s="58"/>
      <c r="I107" s="58" t="s">
        <v>86</v>
      </c>
      <c r="J107" s="58"/>
      <c r="K107" s="58" t="s">
        <v>87</v>
      </c>
      <c r="L107" s="59">
        <v>2022</v>
      </c>
      <c r="M107" s="58" t="s">
        <v>88</v>
      </c>
      <c r="N107" s="58" t="s">
        <v>24</v>
      </c>
      <c r="O107" s="58" t="s">
        <v>54</v>
      </c>
      <c r="P107" s="58" t="s">
        <v>25</v>
      </c>
      <c r="Q107" s="60">
        <v>50269.467386356249</v>
      </c>
      <c r="R107" s="60">
        <v>29853</v>
      </c>
      <c r="S107" s="61">
        <v>32158.232610856659</v>
      </c>
      <c r="T107" s="61">
        <v>40</v>
      </c>
      <c r="U107" s="62" t="s">
        <v>55</v>
      </c>
      <c r="V107" s="63" t="s">
        <v>56</v>
      </c>
      <c r="W107" s="60">
        <v>8815884</v>
      </c>
      <c r="X107" s="60">
        <f t="shared" si="57"/>
        <v>175.3725364194477</v>
      </c>
      <c r="Y107" s="60">
        <f t="shared" si="58"/>
        <v>295.30981810873277</v>
      </c>
      <c r="Z107" s="60">
        <f t="shared" si="59"/>
        <v>274.14081198678025</v>
      </c>
      <c r="AA107" s="60">
        <f t="shared" si="60"/>
        <v>220397.1</v>
      </c>
      <c r="AB107" s="64" t="s">
        <v>73</v>
      </c>
      <c r="AC107" s="92">
        <f t="shared" ref="AC107" si="107">SUM(W107:W119)</f>
        <v>275585149</v>
      </c>
      <c r="AD107" s="93">
        <f t="shared" ref="AD107" si="108">W107/AC107</f>
        <v>3.1989691868337944E-2</v>
      </c>
    </row>
    <row r="108" spans="1:30" s="55" customFormat="1" ht="15.95">
      <c r="A108" s="57"/>
      <c r="B108" s="58" t="s">
        <v>48</v>
      </c>
      <c r="C108" s="58" t="s">
        <v>49</v>
      </c>
      <c r="D108" s="58"/>
      <c r="E108" s="58" t="s">
        <v>20</v>
      </c>
      <c r="F108" s="58" t="s">
        <v>21</v>
      </c>
      <c r="G108" s="58" t="s">
        <v>50</v>
      </c>
      <c r="H108" s="58"/>
      <c r="I108" s="58" t="s">
        <v>86</v>
      </c>
      <c r="J108" s="58"/>
      <c r="K108" s="58" t="s">
        <v>87</v>
      </c>
      <c r="L108" s="59">
        <v>2022</v>
      </c>
      <c r="M108" s="58" t="s">
        <v>88</v>
      </c>
      <c r="N108" s="58" t="s">
        <v>24</v>
      </c>
      <c r="O108" s="58" t="s">
        <v>54</v>
      </c>
      <c r="P108" s="58" t="s">
        <v>25</v>
      </c>
      <c r="Q108" s="60">
        <v>50269.467386356249</v>
      </c>
      <c r="R108" s="60">
        <v>29853</v>
      </c>
      <c r="S108" s="61">
        <v>32158.232610856659</v>
      </c>
      <c r="T108" s="61">
        <v>40</v>
      </c>
      <c r="U108" s="62" t="s">
        <v>58</v>
      </c>
      <c r="V108" s="63" t="s">
        <v>56</v>
      </c>
      <c r="W108" s="60">
        <v>39205280</v>
      </c>
      <c r="X108" s="60">
        <f t="shared" si="57"/>
        <v>779.90243458678049</v>
      </c>
      <c r="Y108" s="60">
        <f t="shared" si="58"/>
        <v>1313.2777275315714</v>
      </c>
      <c r="Z108" s="60">
        <f t="shared" si="59"/>
        <v>1219.1366507736575</v>
      </c>
      <c r="AA108" s="60">
        <f t="shared" si="60"/>
        <v>980132</v>
      </c>
      <c r="AB108" s="64" t="s">
        <v>73</v>
      </c>
      <c r="AD108" s="93">
        <f t="shared" ref="AD108" si="109">W108/AC107</f>
        <v>0.14226194750429022</v>
      </c>
    </row>
    <row r="109" spans="1:30" s="55" customFormat="1" ht="15.95">
      <c r="A109" s="57"/>
      <c r="B109" s="58" t="s">
        <v>48</v>
      </c>
      <c r="C109" s="58" t="s">
        <v>49</v>
      </c>
      <c r="D109" s="58"/>
      <c r="E109" s="58" t="s">
        <v>20</v>
      </c>
      <c r="F109" s="58" t="s">
        <v>21</v>
      </c>
      <c r="G109" s="58" t="s">
        <v>50</v>
      </c>
      <c r="H109" s="58"/>
      <c r="I109" s="58" t="s">
        <v>86</v>
      </c>
      <c r="J109" s="58"/>
      <c r="K109" s="58" t="s">
        <v>87</v>
      </c>
      <c r="L109" s="59">
        <v>2022</v>
      </c>
      <c r="M109" s="58" t="s">
        <v>88</v>
      </c>
      <c r="N109" s="58" t="s">
        <v>24</v>
      </c>
      <c r="O109" s="58" t="s">
        <v>54</v>
      </c>
      <c r="P109" s="58" t="s">
        <v>25</v>
      </c>
      <c r="Q109" s="60">
        <v>50269.467386356249</v>
      </c>
      <c r="R109" s="60">
        <v>29853</v>
      </c>
      <c r="S109" s="61">
        <v>32158.232610856659</v>
      </c>
      <c r="T109" s="61">
        <v>40</v>
      </c>
      <c r="U109" s="62" t="s">
        <v>59</v>
      </c>
      <c r="V109" s="63" t="s">
        <v>56</v>
      </c>
      <c r="W109" s="60">
        <v>74563725</v>
      </c>
      <c r="X109" s="60">
        <f t="shared" si="57"/>
        <v>1483.2805851497346</v>
      </c>
      <c r="Y109" s="60">
        <f t="shared" si="58"/>
        <v>2497.6962114360367</v>
      </c>
      <c r="Z109" s="60">
        <f t="shared" si="59"/>
        <v>2318.6512114110151</v>
      </c>
      <c r="AA109" s="60">
        <f t="shared" si="60"/>
        <v>1864093.125</v>
      </c>
      <c r="AB109" s="64" t="s">
        <v>73</v>
      </c>
      <c r="AD109" s="93">
        <f t="shared" ref="AD109" si="110">W109/AC107</f>
        <v>0.27056510581417431</v>
      </c>
    </row>
    <row r="110" spans="1:30" s="55" customFormat="1" ht="15.95">
      <c r="A110" s="57"/>
      <c r="B110" s="58" t="s">
        <v>48</v>
      </c>
      <c r="C110" s="58" t="s">
        <v>49</v>
      </c>
      <c r="D110" s="58"/>
      <c r="E110" s="58" t="s">
        <v>20</v>
      </c>
      <c r="F110" s="58" t="s">
        <v>21</v>
      </c>
      <c r="G110" s="58" t="s">
        <v>50</v>
      </c>
      <c r="H110" s="58"/>
      <c r="I110" s="58" t="s">
        <v>86</v>
      </c>
      <c r="J110" s="58"/>
      <c r="K110" s="58" t="s">
        <v>87</v>
      </c>
      <c r="L110" s="59">
        <v>2022</v>
      </c>
      <c r="M110" s="58" t="s">
        <v>88</v>
      </c>
      <c r="N110" s="58" t="s">
        <v>24</v>
      </c>
      <c r="O110" s="58" t="s">
        <v>54</v>
      </c>
      <c r="P110" s="58" t="s">
        <v>25</v>
      </c>
      <c r="Q110" s="60">
        <v>50269.467386356249</v>
      </c>
      <c r="R110" s="60">
        <v>29853</v>
      </c>
      <c r="S110" s="61">
        <v>32158.232610856659</v>
      </c>
      <c r="T110" s="61">
        <v>40</v>
      </c>
      <c r="U110" s="62" t="s">
        <v>60</v>
      </c>
      <c r="V110" s="63" t="s">
        <v>56</v>
      </c>
      <c r="W110" s="60">
        <v>12131591</v>
      </c>
      <c r="X110" s="60">
        <f t="shared" si="57"/>
        <v>241.33120223375715</v>
      </c>
      <c r="Y110" s="60">
        <f t="shared" si="58"/>
        <v>406.37761698991727</v>
      </c>
      <c r="Z110" s="60">
        <f t="shared" si="59"/>
        <v>377.24682033378787</v>
      </c>
      <c r="AA110" s="60">
        <f t="shared" si="60"/>
        <v>303289.77500000002</v>
      </c>
      <c r="AB110" s="64" t="s">
        <v>73</v>
      </c>
      <c r="AD110" s="93">
        <f t="shared" ref="AD110" si="111">W110/AC107</f>
        <v>4.4021207398225945E-2</v>
      </c>
    </row>
    <row r="111" spans="1:30" s="55" customFormat="1" ht="15.95">
      <c r="A111" s="57"/>
      <c r="B111" s="58" t="s">
        <v>48</v>
      </c>
      <c r="C111" s="58" t="s">
        <v>49</v>
      </c>
      <c r="D111" s="58"/>
      <c r="E111" s="58" t="s">
        <v>20</v>
      </c>
      <c r="F111" s="58" t="s">
        <v>21</v>
      </c>
      <c r="G111" s="58" t="s">
        <v>50</v>
      </c>
      <c r="H111" s="58"/>
      <c r="I111" s="58" t="s">
        <v>86</v>
      </c>
      <c r="J111" s="58"/>
      <c r="K111" s="58" t="s">
        <v>87</v>
      </c>
      <c r="L111" s="59">
        <v>2022</v>
      </c>
      <c r="M111" s="58" t="s">
        <v>88</v>
      </c>
      <c r="N111" s="58" t="s">
        <v>24</v>
      </c>
      <c r="O111" s="58" t="s">
        <v>54</v>
      </c>
      <c r="P111" s="58" t="s">
        <v>25</v>
      </c>
      <c r="Q111" s="60">
        <v>50269.467386356249</v>
      </c>
      <c r="R111" s="60">
        <v>29853</v>
      </c>
      <c r="S111" s="61">
        <v>32158.232610856659</v>
      </c>
      <c r="T111" s="61">
        <v>40</v>
      </c>
      <c r="U111" s="62" t="s">
        <v>61</v>
      </c>
      <c r="V111" s="63" t="s">
        <v>56</v>
      </c>
      <c r="W111" s="60">
        <v>45630069</v>
      </c>
      <c r="X111" s="60">
        <f t="shared" si="57"/>
        <v>907.70941830954348</v>
      </c>
      <c r="Y111" s="60">
        <f t="shared" si="58"/>
        <v>1528.4919103607679</v>
      </c>
      <c r="Z111" s="60">
        <f t="shared" si="59"/>
        <v>1418.9234076438402</v>
      </c>
      <c r="AA111" s="60">
        <f t="shared" si="60"/>
        <v>1140751.7250000001</v>
      </c>
      <c r="AB111" s="64" t="s">
        <v>73</v>
      </c>
      <c r="AD111" s="93">
        <f t="shared" ref="AD111" si="112">W111/AC107</f>
        <v>0.1655752102955301</v>
      </c>
    </row>
    <row r="112" spans="1:30" s="55" customFormat="1" ht="15.95">
      <c r="A112" s="57"/>
      <c r="B112" s="58" t="s">
        <v>48</v>
      </c>
      <c r="C112" s="58" t="s">
        <v>49</v>
      </c>
      <c r="D112" s="58"/>
      <c r="E112" s="58" t="s">
        <v>20</v>
      </c>
      <c r="F112" s="58" t="s">
        <v>21</v>
      </c>
      <c r="G112" s="58" t="s">
        <v>50</v>
      </c>
      <c r="H112" s="58"/>
      <c r="I112" s="58" t="s">
        <v>86</v>
      </c>
      <c r="J112" s="58"/>
      <c r="K112" s="58" t="s">
        <v>87</v>
      </c>
      <c r="L112" s="59">
        <v>2022</v>
      </c>
      <c r="M112" s="58" t="s">
        <v>88</v>
      </c>
      <c r="N112" s="58" t="s">
        <v>24</v>
      </c>
      <c r="O112" s="58" t="s">
        <v>54</v>
      </c>
      <c r="P112" s="58" t="s">
        <v>25</v>
      </c>
      <c r="Q112" s="60">
        <v>50269.467386356249</v>
      </c>
      <c r="R112" s="60">
        <v>29853</v>
      </c>
      <c r="S112" s="61">
        <v>32158.232610856659</v>
      </c>
      <c r="T112" s="61">
        <v>40</v>
      </c>
      <c r="U112" s="62" t="s">
        <v>62</v>
      </c>
      <c r="V112" s="63" t="s">
        <v>56</v>
      </c>
      <c r="W112" s="60">
        <v>14605560</v>
      </c>
      <c r="X112" s="60">
        <f t="shared" si="57"/>
        <v>290.54535007793078</v>
      </c>
      <c r="Y112" s="60">
        <f t="shared" si="58"/>
        <v>489.24932167621347</v>
      </c>
      <c r="Z112" s="60">
        <f t="shared" si="59"/>
        <v>454.17794493684784</v>
      </c>
      <c r="AA112" s="60">
        <f t="shared" si="60"/>
        <v>365139</v>
      </c>
      <c r="AB112" s="64" t="s">
        <v>73</v>
      </c>
      <c r="AD112" s="93">
        <f t="shared" ref="AD112" si="113">W112/AC107</f>
        <v>5.2998356598671435E-2</v>
      </c>
    </row>
    <row r="113" spans="1:30" s="55" customFormat="1" ht="15.95">
      <c r="A113" s="57"/>
      <c r="B113" s="58" t="s">
        <v>48</v>
      </c>
      <c r="C113" s="58" t="s">
        <v>49</v>
      </c>
      <c r="D113" s="58"/>
      <c r="E113" s="58" t="s">
        <v>20</v>
      </c>
      <c r="F113" s="58" t="s">
        <v>21</v>
      </c>
      <c r="G113" s="58" t="s">
        <v>50</v>
      </c>
      <c r="H113" s="58"/>
      <c r="I113" s="58" t="s">
        <v>86</v>
      </c>
      <c r="J113" s="58"/>
      <c r="K113" s="58" t="s">
        <v>87</v>
      </c>
      <c r="L113" s="59">
        <v>2022</v>
      </c>
      <c r="M113" s="58" t="s">
        <v>88</v>
      </c>
      <c r="N113" s="58" t="s">
        <v>24</v>
      </c>
      <c r="O113" s="58" t="s">
        <v>54</v>
      </c>
      <c r="P113" s="58" t="s">
        <v>25</v>
      </c>
      <c r="Q113" s="60">
        <v>50269.467386356249</v>
      </c>
      <c r="R113" s="60">
        <v>29853</v>
      </c>
      <c r="S113" s="61">
        <v>32158.232610856659</v>
      </c>
      <c r="T113" s="61">
        <v>40</v>
      </c>
      <c r="U113" s="62" t="s">
        <v>63</v>
      </c>
      <c r="V113" s="63" t="s">
        <v>56</v>
      </c>
      <c r="W113" s="60">
        <v>4804457</v>
      </c>
      <c r="X113" s="60">
        <f t="shared" si="57"/>
        <v>95.574058166846399</v>
      </c>
      <c r="Y113" s="60">
        <f t="shared" si="58"/>
        <v>160.93715874451479</v>
      </c>
      <c r="Z113" s="60">
        <f t="shared" si="59"/>
        <v>149.40053012670882</v>
      </c>
      <c r="AA113" s="60">
        <f t="shared" si="60"/>
        <v>120111.425</v>
      </c>
      <c r="AB113" s="64" t="s">
        <v>73</v>
      </c>
      <c r="AD113" s="93">
        <f t="shared" ref="AD113" si="114">W113/AC107</f>
        <v>1.7433657138033951E-2</v>
      </c>
    </row>
    <row r="114" spans="1:30" s="55" customFormat="1" ht="15.95">
      <c r="A114" s="57"/>
      <c r="B114" s="58" t="s">
        <v>48</v>
      </c>
      <c r="C114" s="58" t="s">
        <v>49</v>
      </c>
      <c r="D114" s="58"/>
      <c r="E114" s="58" t="s">
        <v>20</v>
      </c>
      <c r="F114" s="58" t="s">
        <v>21</v>
      </c>
      <c r="G114" s="58" t="s">
        <v>50</v>
      </c>
      <c r="H114" s="58"/>
      <c r="I114" s="58" t="s">
        <v>86</v>
      </c>
      <c r="J114" s="58"/>
      <c r="K114" s="58" t="s">
        <v>87</v>
      </c>
      <c r="L114" s="59">
        <v>2022</v>
      </c>
      <c r="M114" s="58" t="s">
        <v>88</v>
      </c>
      <c r="N114" s="58" t="s">
        <v>24</v>
      </c>
      <c r="O114" s="58" t="s">
        <v>54</v>
      </c>
      <c r="P114" s="58" t="s">
        <v>25</v>
      </c>
      <c r="Q114" s="60">
        <v>50269.467386356249</v>
      </c>
      <c r="R114" s="60">
        <v>29853</v>
      </c>
      <c r="S114" s="61">
        <v>32158.232610856659</v>
      </c>
      <c r="T114" s="61">
        <v>40</v>
      </c>
      <c r="U114" s="62" t="s">
        <v>64</v>
      </c>
      <c r="V114" s="63" t="s">
        <v>56</v>
      </c>
      <c r="W114" s="60">
        <v>0</v>
      </c>
      <c r="X114" s="60">
        <f t="shared" si="57"/>
        <v>0</v>
      </c>
      <c r="Y114" s="60">
        <f t="shared" si="58"/>
        <v>0</v>
      </c>
      <c r="Z114" s="60">
        <f t="shared" si="59"/>
        <v>0</v>
      </c>
      <c r="AA114" s="60">
        <f t="shared" si="60"/>
        <v>0</v>
      </c>
      <c r="AB114" s="64" t="s">
        <v>73</v>
      </c>
      <c r="AD114" s="93">
        <f t="shared" ref="AD114" si="115">W114/AC107</f>
        <v>0</v>
      </c>
    </row>
    <row r="115" spans="1:30" s="55" customFormat="1" ht="15.95">
      <c r="A115" s="57"/>
      <c r="B115" s="58" t="s">
        <v>48</v>
      </c>
      <c r="C115" s="58" t="s">
        <v>49</v>
      </c>
      <c r="D115" s="58"/>
      <c r="E115" s="58" t="s">
        <v>20</v>
      </c>
      <c r="F115" s="58" t="s">
        <v>21</v>
      </c>
      <c r="G115" s="58" t="s">
        <v>50</v>
      </c>
      <c r="H115" s="58"/>
      <c r="I115" s="58" t="s">
        <v>86</v>
      </c>
      <c r="J115" s="58"/>
      <c r="K115" s="58" t="s">
        <v>87</v>
      </c>
      <c r="L115" s="59">
        <v>2022</v>
      </c>
      <c r="M115" s="58" t="s">
        <v>88</v>
      </c>
      <c r="N115" s="58" t="s">
        <v>24</v>
      </c>
      <c r="O115" s="58" t="s">
        <v>54</v>
      </c>
      <c r="P115" s="58" t="s">
        <v>25</v>
      </c>
      <c r="Q115" s="60">
        <v>50269.467386356249</v>
      </c>
      <c r="R115" s="60">
        <v>29853</v>
      </c>
      <c r="S115" s="61">
        <v>32158.232610856659</v>
      </c>
      <c r="T115" s="61">
        <v>40</v>
      </c>
      <c r="U115" s="62" t="s">
        <v>65</v>
      </c>
      <c r="V115" s="63" t="s">
        <v>56</v>
      </c>
      <c r="W115" s="60">
        <v>15522026</v>
      </c>
      <c r="X115" s="60">
        <f t="shared" si="57"/>
        <v>308.77641652143041</v>
      </c>
      <c r="Y115" s="60">
        <f t="shared" si="58"/>
        <v>519.94861487957655</v>
      </c>
      <c r="Z115" s="60">
        <f t="shared" si="59"/>
        <v>482.67658822642341</v>
      </c>
      <c r="AA115" s="60">
        <f t="shared" si="60"/>
        <v>388050.65</v>
      </c>
      <c r="AB115" s="64" t="s">
        <v>73</v>
      </c>
      <c r="AD115" s="93">
        <f t="shared" ref="AD115" si="116">W115/AC107</f>
        <v>5.6323884129184335E-2</v>
      </c>
    </row>
    <row r="116" spans="1:30" s="55" customFormat="1" ht="15.95">
      <c r="A116" s="57"/>
      <c r="B116" s="58" t="s">
        <v>48</v>
      </c>
      <c r="C116" s="58" t="s">
        <v>49</v>
      </c>
      <c r="D116" s="58"/>
      <c r="E116" s="58" t="s">
        <v>20</v>
      </c>
      <c r="F116" s="58" t="s">
        <v>21</v>
      </c>
      <c r="G116" s="58" t="s">
        <v>50</v>
      </c>
      <c r="H116" s="58"/>
      <c r="I116" s="58" t="s">
        <v>86</v>
      </c>
      <c r="J116" s="58"/>
      <c r="K116" s="58" t="s">
        <v>87</v>
      </c>
      <c r="L116" s="59">
        <v>2022</v>
      </c>
      <c r="M116" s="58" t="s">
        <v>88</v>
      </c>
      <c r="N116" s="58" t="s">
        <v>24</v>
      </c>
      <c r="O116" s="58" t="s">
        <v>54</v>
      </c>
      <c r="P116" s="58" t="s">
        <v>25</v>
      </c>
      <c r="Q116" s="60">
        <v>50269.467386356249</v>
      </c>
      <c r="R116" s="60">
        <v>29853</v>
      </c>
      <c r="S116" s="61">
        <v>32158.232610856659</v>
      </c>
      <c r="T116" s="61">
        <v>40</v>
      </c>
      <c r="U116" s="62" t="s">
        <v>66</v>
      </c>
      <c r="V116" s="63" t="s">
        <v>56</v>
      </c>
      <c r="W116" s="60">
        <v>14832316</v>
      </c>
      <c r="X116" s="60">
        <f t="shared" si="57"/>
        <v>295.05615975604451</v>
      </c>
      <c r="Y116" s="60">
        <f t="shared" si="58"/>
        <v>496.84507419689811</v>
      </c>
      <c r="Z116" s="60">
        <f t="shared" si="59"/>
        <v>461.2292030934745</v>
      </c>
      <c r="AA116" s="60">
        <f t="shared" si="60"/>
        <v>370807.9</v>
      </c>
      <c r="AB116" s="64" t="s">
        <v>73</v>
      </c>
      <c r="AD116" s="93">
        <f t="shared" ref="AD116" si="117">W116/AC107</f>
        <v>5.3821173070541621E-2</v>
      </c>
    </row>
    <row r="117" spans="1:30" s="55" customFormat="1" ht="15.95">
      <c r="A117" s="57"/>
      <c r="B117" s="58" t="s">
        <v>48</v>
      </c>
      <c r="C117" s="58" t="s">
        <v>49</v>
      </c>
      <c r="D117" s="58"/>
      <c r="E117" s="58" t="s">
        <v>20</v>
      </c>
      <c r="F117" s="58" t="s">
        <v>21</v>
      </c>
      <c r="G117" s="58" t="s">
        <v>50</v>
      </c>
      <c r="H117" s="58"/>
      <c r="I117" s="58" t="s">
        <v>86</v>
      </c>
      <c r="J117" s="58"/>
      <c r="K117" s="58" t="s">
        <v>87</v>
      </c>
      <c r="L117" s="59">
        <v>2022</v>
      </c>
      <c r="M117" s="58" t="s">
        <v>88</v>
      </c>
      <c r="N117" s="58" t="s">
        <v>24</v>
      </c>
      <c r="O117" s="58" t="s">
        <v>54</v>
      </c>
      <c r="P117" s="58" t="s">
        <v>25</v>
      </c>
      <c r="Q117" s="60">
        <v>50269.467386356249</v>
      </c>
      <c r="R117" s="60">
        <v>29853</v>
      </c>
      <c r="S117" s="61">
        <v>32158.232610856659</v>
      </c>
      <c r="T117" s="61">
        <v>40</v>
      </c>
      <c r="U117" s="62" t="s">
        <v>67</v>
      </c>
      <c r="V117" s="63" t="s">
        <v>56</v>
      </c>
      <c r="W117" s="60">
        <v>0</v>
      </c>
      <c r="X117" s="60">
        <f t="shared" si="57"/>
        <v>0</v>
      </c>
      <c r="Y117" s="60">
        <f t="shared" si="58"/>
        <v>0</v>
      </c>
      <c r="Z117" s="60">
        <f t="shared" si="59"/>
        <v>0</v>
      </c>
      <c r="AA117" s="60">
        <f t="shared" si="60"/>
        <v>0</v>
      </c>
      <c r="AB117" s="64" t="s">
        <v>73</v>
      </c>
      <c r="AD117" s="93">
        <f t="shared" ref="AD117" si="118">W117/AC107</f>
        <v>0</v>
      </c>
    </row>
    <row r="118" spans="1:30" s="55" customFormat="1" ht="15.95">
      <c r="A118" s="57"/>
      <c r="B118" s="58" t="s">
        <v>48</v>
      </c>
      <c r="C118" s="58" t="s">
        <v>49</v>
      </c>
      <c r="D118" s="58"/>
      <c r="E118" s="58" t="s">
        <v>20</v>
      </c>
      <c r="F118" s="58" t="s">
        <v>21</v>
      </c>
      <c r="G118" s="58" t="s">
        <v>50</v>
      </c>
      <c r="H118" s="58"/>
      <c r="I118" s="58" t="s">
        <v>86</v>
      </c>
      <c r="J118" s="58"/>
      <c r="K118" s="58" t="s">
        <v>87</v>
      </c>
      <c r="L118" s="59">
        <v>2022</v>
      </c>
      <c r="M118" s="58" t="s">
        <v>88</v>
      </c>
      <c r="N118" s="58" t="s">
        <v>24</v>
      </c>
      <c r="O118" s="58" t="s">
        <v>54</v>
      </c>
      <c r="P118" s="58" t="s">
        <v>25</v>
      </c>
      <c r="Q118" s="60">
        <v>50269.467386356249</v>
      </c>
      <c r="R118" s="60">
        <v>29853</v>
      </c>
      <c r="S118" s="61">
        <v>32158.232610856659</v>
      </c>
      <c r="T118" s="61">
        <v>40</v>
      </c>
      <c r="U118" s="62" t="s">
        <v>68</v>
      </c>
      <c r="V118" s="63" t="s">
        <v>56</v>
      </c>
      <c r="W118" s="60">
        <v>21080812</v>
      </c>
      <c r="X118" s="60">
        <f t="shared" si="57"/>
        <v>419.35618370449635</v>
      </c>
      <c r="Y118" s="60">
        <f t="shared" si="58"/>
        <v>706.15388738150273</v>
      </c>
      <c r="Z118" s="60">
        <f t="shared" si="59"/>
        <v>655.53391117903323</v>
      </c>
      <c r="AA118" s="60">
        <f t="shared" si="60"/>
        <v>527020.30000000005</v>
      </c>
      <c r="AB118" s="64" t="s">
        <v>73</v>
      </c>
      <c r="AD118" s="93">
        <f t="shared" ref="AD118" si="119">W118/AC107</f>
        <v>7.649473157931308E-2</v>
      </c>
    </row>
    <row r="119" spans="1:30" s="55" customFormat="1" ht="15.95">
      <c r="A119" s="57"/>
      <c r="B119" s="58" t="s">
        <v>48</v>
      </c>
      <c r="C119" s="58" t="s">
        <v>49</v>
      </c>
      <c r="D119" s="58"/>
      <c r="E119" s="58" t="s">
        <v>20</v>
      </c>
      <c r="F119" s="58" t="s">
        <v>21</v>
      </c>
      <c r="G119" s="58" t="s">
        <v>50</v>
      </c>
      <c r="H119" s="58"/>
      <c r="I119" s="58" t="s">
        <v>86</v>
      </c>
      <c r="J119" s="58"/>
      <c r="K119" s="58" t="s">
        <v>87</v>
      </c>
      <c r="L119" s="59">
        <v>2022</v>
      </c>
      <c r="M119" s="58" t="s">
        <v>88</v>
      </c>
      <c r="N119" s="58" t="s">
        <v>24</v>
      </c>
      <c r="O119" s="58" t="s">
        <v>54</v>
      </c>
      <c r="P119" s="58" t="s">
        <v>25</v>
      </c>
      <c r="Q119" s="60">
        <v>50269.467386356249</v>
      </c>
      <c r="R119" s="60">
        <v>29853</v>
      </c>
      <c r="S119" s="61">
        <v>32158.232610856659</v>
      </c>
      <c r="T119" s="61">
        <v>40</v>
      </c>
      <c r="U119" s="62" t="s">
        <v>69</v>
      </c>
      <c r="V119" s="63" t="s">
        <v>56</v>
      </c>
      <c r="W119" s="60">
        <v>24393429</v>
      </c>
      <c r="X119" s="60">
        <f t="shared" si="57"/>
        <v>485.25338079513205</v>
      </c>
      <c r="Y119" s="60">
        <f t="shared" si="58"/>
        <v>817.11817907747968</v>
      </c>
      <c r="Z119" s="60">
        <f t="shared" si="59"/>
        <v>758.5438321558986</v>
      </c>
      <c r="AA119" s="60">
        <f t="shared" si="60"/>
        <v>609835.72499999998</v>
      </c>
      <c r="AB119" s="64" t="s">
        <v>73</v>
      </c>
      <c r="AD119" s="93">
        <f t="shared" ref="AD119" si="120">W119/AC107</f>
        <v>8.8515034603697029E-2</v>
      </c>
    </row>
    <row r="120" spans="1:30" s="32" customFormat="1" ht="15" customHeight="1">
      <c r="A120" s="65"/>
      <c r="B120" s="66" t="s">
        <v>48</v>
      </c>
      <c r="C120" s="66" t="s">
        <v>49</v>
      </c>
      <c r="D120" s="66"/>
      <c r="E120" s="66" t="s">
        <v>20</v>
      </c>
      <c r="F120" s="66" t="s">
        <v>21</v>
      </c>
      <c r="G120" s="66" t="s">
        <v>50</v>
      </c>
      <c r="H120" s="66"/>
      <c r="I120" s="66" t="s">
        <v>89</v>
      </c>
      <c r="J120" s="66"/>
      <c r="K120" s="66" t="s">
        <v>90</v>
      </c>
      <c r="L120" s="67">
        <v>2023</v>
      </c>
      <c r="M120" s="66" t="s">
        <v>91</v>
      </c>
      <c r="N120" s="66" t="s">
        <v>24</v>
      </c>
      <c r="O120" s="66" t="s">
        <v>54</v>
      </c>
      <c r="P120" s="66" t="s">
        <v>25</v>
      </c>
      <c r="Q120" s="68">
        <v>155033</v>
      </c>
      <c r="R120" s="68">
        <v>139235</v>
      </c>
      <c r="S120" s="68">
        <v>76043</v>
      </c>
      <c r="T120" s="69">
        <v>94</v>
      </c>
      <c r="U120" s="74" t="s">
        <v>55</v>
      </c>
      <c r="V120" s="75" t="s">
        <v>56</v>
      </c>
      <c r="W120" s="68">
        <v>74121581</v>
      </c>
      <c r="X120" s="68">
        <f t="shared" si="57"/>
        <v>478.10195893777455</v>
      </c>
      <c r="Y120" s="68">
        <f t="shared" si="58"/>
        <v>532.34877006499801</v>
      </c>
      <c r="Z120" s="68">
        <f t="shared" si="59"/>
        <v>974.73246715674031</v>
      </c>
      <c r="AA120" s="68">
        <f t="shared" si="60"/>
        <v>788527.45744680846</v>
      </c>
      <c r="AB120" s="73" t="s">
        <v>73</v>
      </c>
      <c r="AC120" s="92">
        <f t="shared" ref="AC120" si="121">SUM(W120:W132)</f>
        <v>1061900221</v>
      </c>
      <c r="AD120" s="93">
        <f t="shared" ref="AD120" si="122">W120/AC120</f>
        <v>6.9800890454848108E-2</v>
      </c>
    </row>
    <row r="121" spans="1:30" s="32" customFormat="1" ht="15.95">
      <c r="A121" s="65"/>
      <c r="B121" s="66" t="s">
        <v>48</v>
      </c>
      <c r="C121" s="66" t="s">
        <v>49</v>
      </c>
      <c r="D121" s="66"/>
      <c r="E121" s="66" t="s">
        <v>20</v>
      </c>
      <c r="F121" s="66" t="s">
        <v>21</v>
      </c>
      <c r="G121" s="66" t="s">
        <v>50</v>
      </c>
      <c r="H121" s="66"/>
      <c r="I121" s="66" t="s">
        <v>89</v>
      </c>
      <c r="J121" s="66"/>
      <c r="K121" s="66" t="s">
        <v>90</v>
      </c>
      <c r="L121" s="67">
        <v>2023</v>
      </c>
      <c r="M121" s="66" t="s">
        <v>91</v>
      </c>
      <c r="N121" s="66" t="s">
        <v>24</v>
      </c>
      <c r="O121" s="66" t="s">
        <v>54</v>
      </c>
      <c r="P121" s="66" t="s">
        <v>25</v>
      </c>
      <c r="Q121" s="68">
        <v>155033</v>
      </c>
      <c r="R121" s="68">
        <v>139235</v>
      </c>
      <c r="S121" s="68">
        <v>76043</v>
      </c>
      <c r="T121" s="69">
        <v>94</v>
      </c>
      <c r="U121" s="74" t="s">
        <v>58</v>
      </c>
      <c r="V121" s="75" t="s">
        <v>56</v>
      </c>
      <c r="W121" s="68">
        <v>97785944</v>
      </c>
      <c r="X121" s="68">
        <f t="shared" si="57"/>
        <v>630.74277089393865</v>
      </c>
      <c r="Y121" s="68">
        <f t="shared" si="58"/>
        <v>702.30864365999923</v>
      </c>
      <c r="Z121" s="68">
        <f t="shared" si="59"/>
        <v>1285.9295924674198</v>
      </c>
      <c r="AA121" s="68">
        <f t="shared" si="60"/>
        <v>1040276</v>
      </c>
      <c r="AB121" s="73" t="s">
        <v>73</v>
      </c>
      <c r="AC121" s="55"/>
      <c r="AD121" s="93">
        <f t="shared" ref="AD121" si="123">W121/AC120</f>
        <v>9.2085811892867103E-2</v>
      </c>
    </row>
    <row r="122" spans="1:30" s="32" customFormat="1" ht="15.95">
      <c r="A122" s="65"/>
      <c r="B122" s="66" t="s">
        <v>48</v>
      </c>
      <c r="C122" s="66" t="s">
        <v>49</v>
      </c>
      <c r="D122" s="66"/>
      <c r="E122" s="66" t="s">
        <v>20</v>
      </c>
      <c r="F122" s="66" t="s">
        <v>21</v>
      </c>
      <c r="G122" s="66" t="s">
        <v>50</v>
      </c>
      <c r="H122" s="66"/>
      <c r="I122" s="66" t="s">
        <v>89</v>
      </c>
      <c r="J122" s="66"/>
      <c r="K122" s="66" t="s">
        <v>90</v>
      </c>
      <c r="L122" s="67">
        <v>2023</v>
      </c>
      <c r="M122" s="66" t="s">
        <v>91</v>
      </c>
      <c r="N122" s="66" t="s">
        <v>24</v>
      </c>
      <c r="O122" s="66" t="s">
        <v>54</v>
      </c>
      <c r="P122" s="66" t="s">
        <v>25</v>
      </c>
      <c r="Q122" s="68">
        <v>155033</v>
      </c>
      <c r="R122" s="68">
        <v>139235</v>
      </c>
      <c r="S122" s="68">
        <v>76043</v>
      </c>
      <c r="T122" s="69">
        <v>94</v>
      </c>
      <c r="U122" s="74" t="s">
        <v>59</v>
      </c>
      <c r="V122" s="75" t="s">
        <v>56</v>
      </c>
      <c r="W122" s="68">
        <v>137688108</v>
      </c>
      <c r="X122" s="68">
        <f t="shared" si="57"/>
        <v>888.12129030593485</v>
      </c>
      <c r="Y122" s="68">
        <f t="shared" si="58"/>
        <v>988.89006356160451</v>
      </c>
      <c r="Z122" s="68">
        <f t="shared" si="59"/>
        <v>1810.6611785437187</v>
      </c>
      <c r="AA122" s="68">
        <f t="shared" si="60"/>
        <v>1464767.1063829786</v>
      </c>
      <c r="AB122" s="73" t="s">
        <v>73</v>
      </c>
      <c r="AC122" s="55"/>
      <c r="AD122" s="93">
        <f t="shared" ref="AD122" si="124">W122/AC120</f>
        <v>0.12966200145465456</v>
      </c>
    </row>
    <row r="123" spans="1:30" s="32" customFormat="1" ht="15.95">
      <c r="A123" s="65"/>
      <c r="B123" s="66" t="s">
        <v>48</v>
      </c>
      <c r="C123" s="66" t="s">
        <v>49</v>
      </c>
      <c r="D123" s="66"/>
      <c r="E123" s="66" t="s">
        <v>20</v>
      </c>
      <c r="F123" s="66" t="s">
        <v>21</v>
      </c>
      <c r="G123" s="66" t="s">
        <v>50</v>
      </c>
      <c r="H123" s="66"/>
      <c r="I123" s="66" t="s">
        <v>89</v>
      </c>
      <c r="J123" s="66"/>
      <c r="K123" s="66" t="s">
        <v>90</v>
      </c>
      <c r="L123" s="67">
        <v>2023</v>
      </c>
      <c r="M123" s="66" t="s">
        <v>91</v>
      </c>
      <c r="N123" s="66" t="s">
        <v>24</v>
      </c>
      <c r="O123" s="66" t="s">
        <v>54</v>
      </c>
      <c r="P123" s="66" t="s">
        <v>25</v>
      </c>
      <c r="Q123" s="68">
        <v>155033</v>
      </c>
      <c r="R123" s="68">
        <v>139235</v>
      </c>
      <c r="S123" s="68">
        <v>76043</v>
      </c>
      <c r="T123" s="69">
        <v>94</v>
      </c>
      <c r="U123" s="74" t="s">
        <v>60</v>
      </c>
      <c r="V123" s="75" t="s">
        <v>56</v>
      </c>
      <c r="W123" s="68">
        <v>53181404</v>
      </c>
      <c r="X123" s="68">
        <f t="shared" si="57"/>
        <v>343.03279946850023</v>
      </c>
      <c r="Y123" s="68">
        <f t="shared" si="58"/>
        <v>381.95427873738646</v>
      </c>
      <c r="Z123" s="68">
        <f t="shared" si="59"/>
        <v>699.35962547506017</v>
      </c>
      <c r="AA123" s="68">
        <f t="shared" si="60"/>
        <v>565759.61702127662</v>
      </c>
      <c r="AB123" s="73" t="s">
        <v>73</v>
      </c>
      <c r="AC123" s="55"/>
      <c r="AD123" s="93">
        <f t="shared" ref="AD123" si="125">W123/AC120</f>
        <v>5.0081356937583685E-2</v>
      </c>
    </row>
    <row r="124" spans="1:30" s="32" customFormat="1" ht="15.95">
      <c r="A124" s="65"/>
      <c r="B124" s="66" t="s">
        <v>48</v>
      </c>
      <c r="C124" s="66" t="s">
        <v>49</v>
      </c>
      <c r="D124" s="66"/>
      <c r="E124" s="66" t="s">
        <v>20</v>
      </c>
      <c r="F124" s="66" t="s">
        <v>21</v>
      </c>
      <c r="G124" s="66" t="s">
        <v>50</v>
      </c>
      <c r="H124" s="66"/>
      <c r="I124" s="66" t="s">
        <v>89</v>
      </c>
      <c r="J124" s="66"/>
      <c r="K124" s="66" t="s">
        <v>90</v>
      </c>
      <c r="L124" s="67">
        <v>2023</v>
      </c>
      <c r="M124" s="66" t="s">
        <v>91</v>
      </c>
      <c r="N124" s="66" t="s">
        <v>24</v>
      </c>
      <c r="O124" s="66" t="s">
        <v>54</v>
      </c>
      <c r="P124" s="66" t="s">
        <v>25</v>
      </c>
      <c r="Q124" s="68">
        <v>155033</v>
      </c>
      <c r="R124" s="68">
        <v>139235</v>
      </c>
      <c r="S124" s="68">
        <v>76043</v>
      </c>
      <c r="T124" s="69">
        <v>94</v>
      </c>
      <c r="U124" s="74" t="s">
        <v>61</v>
      </c>
      <c r="V124" s="75" t="s">
        <v>56</v>
      </c>
      <c r="W124" s="68">
        <v>140957615</v>
      </c>
      <c r="X124" s="68">
        <f t="shared" si="57"/>
        <v>909.21039391613397</v>
      </c>
      <c r="Y124" s="68">
        <f t="shared" si="58"/>
        <v>1012.3719969835171</v>
      </c>
      <c r="Z124" s="68">
        <f t="shared" si="59"/>
        <v>1853.6566810883317</v>
      </c>
      <c r="AA124" s="68">
        <f t="shared" si="60"/>
        <v>1499549.0957446808</v>
      </c>
      <c r="AB124" s="73" t="s">
        <v>73</v>
      </c>
      <c r="AC124" s="55"/>
      <c r="AD124" s="93">
        <f t="shared" ref="AD124" si="126">W124/AC120</f>
        <v>0.1327409225579208</v>
      </c>
    </row>
    <row r="125" spans="1:30" s="32" customFormat="1" ht="15.95">
      <c r="A125" s="65"/>
      <c r="B125" s="66" t="s">
        <v>48</v>
      </c>
      <c r="C125" s="66" t="s">
        <v>49</v>
      </c>
      <c r="D125" s="66"/>
      <c r="E125" s="66" t="s">
        <v>20</v>
      </c>
      <c r="F125" s="66" t="s">
        <v>21</v>
      </c>
      <c r="G125" s="66" t="s">
        <v>50</v>
      </c>
      <c r="H125" s="66"/>
      <c r="I125" s="66" t="s">
        <v>89</v>
      </c>
      <c r="J125" s="66"/>
      <c r="K125" s="66" t="s">
        <v>90</v>
      </c>
      <c r="L125" s="67">
        <v>2023</v>
      </c>
      <c r="M125" s="66" t="s">
        <v>91</v>
      </c>
      <c r="N125" s="66" t="s">
        <v>24</v>
      </c>
      <c r="O125" s="66" t="s">
        <v>54</v>
      </c>
      <c r="P125" s="66" t="s">
        <v>25</v>
      </c>
      <c r="Q125" s="68">
        <v>155033</v>
      </c>
      <c r="R125" s="68">
        <v>139235</v>
      </c>
      <c r="S125" s="68">
        <v>76043</v>
      </c>
      <c r="T125" s="69">
        <v>94</v>
      </c>
      <c r="U125" s="74" t="s">
        <v>62</v>
      </c>
      <c r="V125" s="75" t="s">
        <v>56</v>
      </c>
      <c r="W125" s="68">
        <v>85201323</v>
      </c>
      <c r="X125" s="68">
        <f t="shared" si="57"/>
        <v>549.56894983648647</v>
      </c>
      <c r="Y125" s="68">
        <f t="shared" si="58"/>
        <v>611.92460947319285</v>
      </c>
      <c r="Z125" s="68">
        <f t="shared" si="59"/>
        <v>1120.4361085175492</v>
      </c>
      <c r="AA125" s="68">
        <f t="shared" si="60"/>
        <v>906397.05319148931</v>
      </c>
      <c r="AB125" s="73" t="s">
        <v>73</v>
      </c>
      <c r="AC125" s="55"/>
      <c r="AD125" s="93">
        <f t="shared" ref="AD125" si="127">W125/AC120</f>
        <v>8.0234772829941806E-2</v>
      </c>
    </row>
    <row r="126" spans="1:30" s="32" customFormat="1" ht="15.95">
      <c r="A126" s="65"/>
      <c r="B126" s="66" t="s">
        <v>48</v>
      </c>
      <c r="C126" s="66" t="s">
        <v>49</v>
      </c>
      <c r="D126" s="66"/>
      <c r="E126" s="66" t="s">
        <v>20</v>
      </c>
      <c r="F126" s="66" t="s">
        <v>21</v>
      </c>
      <c r="G126" s="66" t="s">
        <v>50</v>
      </c>
      <c r="H126" s="66"/>
      <c r="I126" s="66" t="s">
        <v>89</v>
      </c>
      <c r="J126" s="66"/>
      <c r="K126" s="66" t="s">
        <v>90</v>
      </c>
      <c r="L126" s="67">
        <v>2023</v>
      </c>
      <c r="M126" s="66" t="s">
        <v>91</v>
      </c>
      <c r="N126" s="66" t="s">
        <v>24</v>
      </c>
      <c r="O126" s="66" t="s">
        <v>54</v>
      </c>
      <c r="P126" s="66" t="s">
        <v>25</v>
      </c>
      <c r="Q126" s="68">
        <v>155033</v>
      </c>
      <c r="R126" s="68">
        <v>139235</v>
      </c>
      <c r="S126" s="68">
        <v>76043</v>
      </c>
      <c r="T126" s="69">
        <v>94</v>
      </c>
      <c r="U126" s="74" t="s">
        <v>63</v>
      </c>
      <c r="V126" s="75" t="s">
        <v>56</v>
      </c>
      <c r="W126" s="68">
        <v>20882118</v>
      </c>
      <c r="X126" s="68">
        <f t="shared" si="57"/>
        <v>134.694665006805</v>
      </c>
      <c r="Y126" s="68">
        <f t="shared" si="58"/>
        <v>149.97750565590547</v>
      </c>
      <c r="Z126" s="68">
        <f t="shared" si="59"/>
        <v>274.60933945267811</v>
      </c>
      <c r="AA126" s="68">
        <f t="shared" si="60"/>
        <v>222150.19148936169</v>
      </c>
      <c r="AB126" s="73" t="s">
        <v>73</v>
      </c>
      <c r="AC126" s="55"/>
      <c r="AD126" s="93">
        <f t="shared" ref="AD126" si="128">W126/AC120</f>
        <v>1.9664858888846583E-2</v>
      </c>
    </row>
    <row r="127" spans="1:30" s="32" customFormat="1" ht="15.95">
      <c r="A127" s="65"/>
      <c r="B127" s="66" t="s">
        <v>48</v>
      </c>
      <c r="C127" s="66" t="s">
        <v>49</v>
      </c>
      <c r="D127" s="66"/>
      <c r="E127" s="66" t="s">
        <v>20</v>
      </c>
      <c r="F127" s="66" t="s">
        <v>21</v>
      </c>
      <c r="G127" s="66" t="s">
        <v>50</v>
      </c>
      <c r="H127" s="66"/>
      <c r="I127" s="66" t="s">
        <v>89</v>
      </c>
      <c r="J127" s="66"/>
      <c r="K127" s="66" t="s">
        <v>90</v>
      </c>
      <c r="L127" s="67">
        <v>2023</v>
      </c>
      <c r="M127" s="66" t="s">
        <v>91</v>
      </c>
      <c r="N127" s="66" t="s">
        <v>24</v>
      </c>
      <c r="O127" s="66" t="s">
        <v>54</v>
      </c>
      <c r="P127" s="66" t="s">
        <v>25</v>
      </c>
      <c r="Q127" s="68">
        <v>155033</v>
      </c>
      <c r="R127" s="68">
        <v>139235</v>
      </c>
      <c r="S127" s="68">
        <v>76043</v>
      </c>
      <c r="T127" s="69">
        <v>94</v>
      </c>
      <c r="U127" s="74" t="s">
        <v>64</v>
      </c>
      <c r="V127" s="75" t="s">
        <v>56</v>
      </c>
      <c r="W127" s="68">
        <v>0</v>
      </c>
      <c r="X127" s="68">
        <f t="shared" si="57"/>
        <v>0</v>
      </c>
      <c r="Y127" s="68">
        <f t="shared" si="58"/>
        <v>0</v>
      </c>
      <c r="Z127" s="68">
        <f t="shared" si="59"/>
        <v>0</v>
      </c>
      <c r="AA127" s="68">
        <f t="shared" si="60"/>
        <v>0</v>
      </c>
      <c r="AB127" s="73" t="s">
        <v>73</v>
      </c>
      <c r="AC127" s="55"/>
      <c r="AD127" s="93">
        <f t="shared" ref="AD127" si="129">W127/AC120</f>
        <v>0</v>
      </c>
    </row>
    <row r="128" spans="1:30" s="32" customFormat="1" ht="15.95">
      <c r="A128" s="65"/>
      <c r="B128" s="66" t="s">
        <v>48</v>
      </c>
      <c r="C128" s="66" t="s">
        <v>49</v>
      </c>
      <c r="D128" s="66"/>
      <c r="E128" s="66" t="s">
        <v>20</v>
      </c>
      <c r="F128" s="66" t="s">
        <v>21</v>
      </c>
      <c r="G128" s="66" t="s">
        <v>50</v>
      </c>
      <c r="H128" s="66"/>
      <c r="I128" s="66" t="s">
        <v>89</v>
      </c>
      <c r="J128" s="66"/>
      <c r="K128" s="66" t="s">
        <v>90</v>
      </c>
      <c r="L128" s="67">
        <v>2023</v>
      </c>
      <c r="M128" s="66" t="s">
        <v>91</v>
      </c>
      <c r="N128" s="66" t="s">
        <v>24</v>
      </c>
      <c r="O128" s="66" t="s">
        <v>54</v>
      </c>
      <c r="P128" s="66" t="s">
        <v>25</v>
      </c>
      <c r="Q128" s="68">
        <v>155033</v>
      </c>
      <c r="R128" s="68">
        <v>139235</v>
      </c>
      <c r="S128" s="68">
        <v>76043</v>
      </c>
      <c r="T128" s="69">
        <v>94</v>
      </c>
      <c r="U128" s="74" t="s">
        <v>65</v>
      </c>
      <c r="V128" s="75" t="s">
        <v>56</v>
      </c>
      <c r="W128" s="68">
        <v>86178727</v>
      </c>
      <c r="X128" s="68">
        <f t="shared" ref="X128:X191" si="130">W128/Q128</f>
        <v>555.87343984829033</v>
      </c>
      <c r="Y128" s="68">
        <f t="shared" ref="Y128:Y191" si="131">W128/R128</f>
        <v>618.94442489316623</v>
      </c>
      <c r="Z128" s="68">
        <f t="shared" ref="Z128:Z191" si="132">W128/S128</f>
        <v>1133.289415199295</v>
      </c>
      <c r="AA128" s="68">
        <f t="shared" ref="AA128:AA191" si="133">W128/T128</f>
        <v>916794.96808510635</v>
      </c>
      <c r="AB128" s="73" t="s">
        <v>73</v>
      </c>
      <c r="AC128" s="55"/>
      <c r="AD128" s="93">
        <f t="shared" ref="AD128" si="134">W128/AC120</f>
        <v>8.1155202057350356E-2</v>
      </c>
    </row>
    <row r="129" spans="1:30" s="32" customFormat="1" ht="15.95">
      <c r="A129" s="65"/>
      <c r="B129" s="66" t="s">
        <v>48</v>
      </c>
      <c r="C129" s="66" t="s">
        <v>49</v>
      </c>
      <c r="D129" s="66"/>
      <c r="E129" s="66" t="s">
        <v>20</v>
      </c>
      <c r="F129" s="66" t="s">
        <v>21</v>
      </c>
      <c r="G129" s="66" t="s">
        <v>50</v>
      </c>
      <c r="H129" s="66"/>
      <c r="I129" s="66" t="s">
        <v>89</v>
      </c>
      <c r="J129" s="66"/>
      <c r="K129" s="66" t="s">
        <v>90</v>
      </c>
      <c r="L129" s="67">
        <v>2023</v>
      </c>
      <c r="M129" s="66" t="s">
        <v>91</v>
      </c>
      <c r="N129" s="66" t="s">
        <v>24</v>
      </c>
      <c r="O129" s="66" t="s">
        <v>54</v>
      </c>
      <c r="P129" s="66" t="s">
        <v>25</v>
      </c>
      <c r="Q129" s="68">
        <v>155033</v>
      </c>
      <c r="R129" s="68">
        <v>139235</v>
      </c>
      <c r="S129" s="68">
        <v>76043</v>
      </c>
      <c r="T129" s="69">
        <v>94</v>
      </c>
      <c r="U129" s="74" t="s">
        <v>66</v>
      </c>
      <c r="V129" s="75" t="s">
        <v>56</v>
      </c>
      <c r="W129" s="68">
        <v>62673453</v>
      </c>
      <c r="X129" s="68">
        <f t="shared" si="130"/>
        <v>404.25879006405086</v>
      </c>
      <c r="Y129" s="68">
        <f t="shared" si="131"/>
        <v>450.12714475526985</v>
      </c>
      <c r="Z129" s="68">
        <f t="shared" si="132"/>
        <v>824.18438252041608</v>
      </c>
      <c r="AA129" s="68">
        <f t="shared" si="133"/>
        <v>666738.86170212761</v>
      </c>
      <c r="AB129" s="73" t="s">
        <v>73</v>
      </c>
      <c r="AC129" s="55"/>
      <c r="AD129" s="93">
        <f t="shared" ref="AD129" si="135">W129/AC120</f>
        <v>5.902009601333344E-2</v>
      </c>
    </row>
    <row r="130" spans="1:30" s="32" customFormat="1" ht="15.95">
      <c r="A130" s="65"/>
      <c r="B130" s="66" t="s">
        <v>48</v>
      </c>
      <c r="C130" s="66" t="s">
        <v>49</v>
      </c>
      <c r="D130" s="66"/>
      <c r="E130" s="66" t="s">
        <v>20</v>
      </c>
      <c r="F130" s="66" t="s">
        <v>21</v>
      </c>
      <c r="G130" s="66" t="s">
        <v>50</v>
      </c>
      <c r="H130" s="66"/>
      <c r="I130" s="66" t="s">
        <v>89</v>
      </c>
      <c r="J130" s="66"/>
      <c r="K130" s="66" t="s">
        <v>90</v>
      </c>
      <c r="L130" s="67">
        <v>2023</v>
      </c>
      <c r="M130" s="66" t="s">
        <v>91</v>
      </c>
      <c r="N130" s="66" t="s">
        <v>24</v>
      </c>
      <c r="O130" s="66" t="s">
        <v>54</v>
      </c>
      <c r="P130" s="66" t="s">
        <v>25</v>
      </c>
      <c r="Q130" s="68">
        <v>155033</v>
      </c>
      <c r="R130" s="68">
        <v>139235</v>
      </c>
      <c r="S130" s="68">
        <v>76043</v>
      </c>
      <c r="T130" s="69">
        <v>94</v>
      </c>
      <c r="U130" s="74" t="s">
        <v>67</v>
      </c>
      <c r="V130" s="75" t="s">
        <v>56</v>
      </c>
      <c r="W130" s="68">
        <v>10152000</v>
      </c>
      <c r="X130" s="68">
        <f t="shared" si="130"/>
        <v>65.482832687234335</v>
      </c>
      <c r="Y130" s="68">
        <f t="shared" si="131"/>
        <v>72.912701547743026</v>
      </c>
      <c r="Z130" s="68">
        <f t="shared" si="132"/>
        <v>133.50341254290336</v>
      </c>
      <c r="AA130" s="68">
        <f t="shared" si="133"/>
        <v>108000</v>
      </c>
      <c r="AB130" s="73" t="s">
        <v>73</v>
      </c>
      <c r="AC130" s="55"/>
      <c r="AD130" s="93">
        <f t="shared" ref="AD130" si="136">W130/AC120</f>
        <v>9.5602202534996929E-3</v>
      </c>
    </row>
    <row r="131" spans="1:30" s="32" customFormat="1" ht="15.95">
      <c r="A131" s="65"/>
      <c r="B131" s="66" t="s">
        <v>48</v>
      </c>
      <c r="C131" s="66" t="s">
        <v>49</v>
      </c>
      <c r="D131" s="66"/>
      <c r="E131" s="66" t="s">
        <v>20</v>
      </c>
      <c r="F131" s="66" t="s">
        <v>21</v>
      </c>
      <c r="G131" s="66" t="s">
        <v>50</v>
      </c>
      <c r="H131" s="66"/>
      <c r="I131" s="66" t="s">
        <v>89</v>
      </c>
      <c r="J131" s="66"/>
      <c r="K131" s="66" t="s">
        <v>90</v>
      </c>
      <c r="L131" s="67">
        <v>2023</v>
      </c>
      <c r="M131" s="66" t="s">
        <v>91</v>
      </c>
      <c r="N131" s="66" t="s">
        <v>24</v>
      </c>
      <c r="O131" s="66" t="s">
        <v>54</v>
      </c>
      <c r="P131" s="66" t="s">
        <v>25</v>
      </c>
      <c r="Q131" s="68">
        <v>155033</v>
      </c>
      <c r="R131" s="68">
        <v>139235</v>
      </c>
      <c r="S131" s="68">
        <v>76043</v>
      </c>
      <c r="T131" s="69">
        <v>94</v>
      </c>
      <c r="U131" s="74" t="s">
        <v>68</v>
      </c>
      <c r="V131" s="75" t="s">
        <v>56</v>
      </c>
      <c r="W131" s="68">
        <v>197143472</v>
      </c>
      <c r="X131" s="68">
        <f t="shared" si="130"/>
        <v>1271.6226351808971</v>
      </c>
      <c r="Y131" s="68">
        <f t="shared" si="131"/>
        <v>1415.9045642259489</v>
      </c>
      <c r="Z131" s="68">
        <f t="shared" si="132"/>
        <v>2592.5262285811973</v>
      </c>
      <c r="AA131" s="68">
        <f t="shared" si="133"/>
        <v>2097270.9787234045</v>
      </c>
      <c r="AB131" s="73" t="s">
        <v>73</v>
      </c>
      <c r="AC131" s="55"/>
      <c r="AD131" s="93">
        <f t="shared" ref="AD131" si="137">W131/AC120</f>
        <v>0.18565159710989457</v>
      </c>
    </row>
    <row r="132" spans="1:30" s="32" customFormat="1" ht="15.95">
      <c r="A132" s="65"/>
      <c r="B132" s="66" t="s">
        <v>48</v>
      </c>
      <c r="C132" s="66" t="s">
        <v>49</v>
      </c>
      <c r="D132" s="66"/>
      <c r="E132" s="66" t="s">
        <v>20</v>
      </c>
      <c r="F132" s="66" t="s">
        <v>21</v>
      </c>
      <c r="G132" s="66" t="s">
        <v>50</v>
      </c>
      <c r="H132" s="66"/>
      <c r="I132" s="66" t="s">
        <v>89</v>
      </c>
      <c r="J132" s="66"/>
      <c r="K132" s="66" t="s">
        <v>90</v>
      </c>
      <c r="L132" s="67">
        <v>2023</v>
      </c>
      <c r="M132" s="66" t="s">
        <v>91</v>
      </c>
      <c r="N132" s="66" t="s">
        <v>24</v>
      </c>
      <c r="O132" s="66" t="s">
        <v>54</v>
      </c>
      <c r="P132" s="66" t="s">
        <v>25</v>
      </c>
      <c r="Q132" s="68">
        <v>155033</v>
      </c>
      <c r="R132" s="68">
        <v>139235</v>
      </c>
      <c r="S132" s="68">
        <v>76043</v>
      </c>
      <c r="T132" s="69">
        <v>94</v>
      </c>
      <c r="U132" s="74" t="s">
        <v>69</v>
      </c>
      <c r="V132" s="75" t="s">
        <v>56</v>
      </c>
      <c r="W132" s="68">
        <v>95934476</v>
      </c>
      <c r="X132" s="68">
        <f t="shared" si="130"/>
        <v>618.80035863332319</v>
      </c>
      <c r="Y132" s="68">
        <f t="shared" si="131"/>
        <v>689.01121126153623</v>
      </c>
      <c r="Z132" s="68">
        <f t="shared" si="132"/>
        <v>1261.5819470562708</v>
      </c>
      <c r="AA132" s="68">
        <f t="shared" si="133"/>
        <v>1020579.5319148937</v>
      </c>
      <c r="AB132" s="73" t="s">
        <v>73</v>
      </c>
      <c r="AC132" s="55"/>
      <c r="AD132" s="93">
        <f t="shared" ref="AD132" si="138">W132/AC120</f>
        <v>9.034226954925928E-2</v>
      </c>
    </row>
    <row r="133" spans="1:30" s="55" customFormat="1" ht="15.95">
      <c r="A133" s="57"/>
      <c r="B133" s="58" t="s">
        <v>48</v>
      </c>
      <c r="C133" s="58" t="s">
        <v>19</v>
      </c>
      <c r="D133" s="58"/>
      <c r="E133" s="58" t="s">
        <v>20</v>
      </c>
      <c r="F133" s="58" t="s">
        <v>21</v>
      </c>
      <c r="G133" s="58" t="s">
        <v>50</v>
      </c>
      <c r="H133" s="58"/>
      <c r="I133" s="58" t="s">
        <v>92</v>
      </c>
      <c r="J133" s="58"/>
      <c r="K133" s="58" t="s">
        <v>93</v>
      </c>
      <c r="L133" s="59">
        <v>2017</v>
      </c>
      <c r="M133" s="58" t="s">
        <v>72</v>
      </c>
      <c r="N133" s="58" t="s">
        <v>24</v>
      </c>
      <c r="O133" s="58" t="s">
        <v>54</v>
      </c>
      <c r="P133" s="58" t="s">
        <v>25</v>
      </c>
      <c r="Q133" s="60">
        <v>125513.05753490835</v>
      </c>
      <c r="R133" s="60">
        <v>119545</v>
      </c>
      <c r="S133" s="61">
        <v>95671</v>
      </c>
      <c r="T133" s="61">
        <v>562</v>
      </c>
      <c r="U133" s="62" t="s">
        <v>55</v>
      </c>
      <c r="V133" s="63" t="s">
        <v>56</v>
      </c>
      <c r="W133" s="60">
        <v>54526473</v>
      </c>
      <c r="X133" s="60">
        <f t="shared" si="130"/>
        <v>434.42868870304437</v>
      </c>
      <c r="Y133" s="60">
        <f t="shared" si="131"/>
        <v>456.11671755405916</v>
      </c>
      <c r="Z133" s="60">
        <f t="shared" si="132"/>
        <v>569.93731642817568</v>
      </c>
      <c r="AA133" s="60">
        <f t="shared" si="133"/>
        <v>97022.193950177942</v>
      </c>
      <c r="AB133" s="77" t="s">
        <v>73</v>
      </c>
      <c r="AC133" s="92">
        <f t="shared" ref="AC133" si="139">SUM(W133:W145)</f>
        <v>454000000</v>
      </c>
      <c r="AD133" s="93">
        <f t="shared" ref="AD133" si="140">W133/AC133</f>
        <v>0.12010236343612335</v>
      </c>
    </row>
    <row r="134" spans="1:30" s="55" customFormat="1" ht="15.95">
      <c r="A134" s="57"/>
      <c r="B134" s="58" t="s">
        <v>48</v>
      </c>
      <c r="C134" s="58" t="s">
        <v>19</v>
      </c>
      <c r="D134" s="58"/>
      <c r="E134" s="58" t="s">
        <v>20</v>
      </c>
      <c r="F134" s="58" t="s">
        <v>21</v>
      </c>
      <c r="G134" s="58" t="s">
        <v>50</v>
      </c>
      <c r="H134" s="58"/>
      <c r="I134" s="58" t="s">
        <v>92</v>
      </c>
      <c r="J134" s="58"/>
      <c r="K134" s="58" t="s">
        <v>93</v>
      </c>
      <c r="L134" s="59">
        <v>2017</v>
      </c>
      <c r="M134" s="58" t="s">
        <v>72</v>
      </c>
      <c r="N134" s="58" t="s">
        <v>24</v>
      </c>
      <c r="O134" s="58" t="s">
        <v>54</v>
      </c>
      <c r="P134" s="58" t="s">
        <v>25</v>
      </c>
      <c r="Q134" s="60">
        <v>125513.05753490835</v>
      </c>
      <c r="R134" s="60">
        <v>119545</v>
      </c>
      <c r="S134" s="61">
        <v>95671</v>
      </c>
      <c r="T134" s="61">
        <v>562</v>
      </c>
      <c r="U134" s="62" t="s">
        <v>58</v>
      </c>
      <c r="V134" s="63" t="s">
        <v>56</v>
      </c>
      <c r="W134" s="60">
        <v>152377212</v>
      </c>
      <c r="X134" s="60">
        <f t="shared" si="130"/>
        <v>1214.0347386376118</v>
      </c>
      <c r="Y134" s="60">
        <f t="shared" si="131"/>
        <v>1274.6431218369651</v>
      </c>
      <c r="Z134" s="60">
        <f t="shared" si="132"/>
        <v>1592.7210126370583</v>
      </c>
      <c r="AA134" s="60">
        <f t="shared" si="133"/>
        <v>271133.82918149466</v>
      </c>
      <c r="AB134" s="77" t="s">
        <v>73</v>
      </c>
      <c r="AD134" s="93">
        <f t="shared" ref="AD134" si="141">W134/AC133</f>
        <v>0.33563262555066081</v>
      </c>
    </row>
    <row r="135" spans="1:30" s="55" customFormat="1" ht="15.95">
      <c r="A135" s="57"/>
      <c r="B135" s="58" t="s">
        <v>48</v>
      </c>
      <c r="C135" s="58" t="s">
        <v>19</v>
      </c>
      <c r="D135" s="58"/>
      <c r="E135" s="58" t="s">
        <v>20</v>
      </c>
      <c r="F135" s="58" t="s">
        <v>21</v>
      </c>
      <c r="G135" s="58" t="s">
        <v>50</v>
      </c>
      <c r="H135" s="58"/>
      <c r="I135" s="58" t="s">
        <v>92</v>
      </c>
      <c r="J135" s="58"/>
      <c r="K135" s="58" t="s">
        <v>93</v>
      </c>
      <c r="L135" s="59">
        <v>2017</v>
      </c>
      <c r="M135" s="58" t="s">
        <v>72</v>
      </c>
      <c r="N135" s="58" t="s">
        <v>24</v>
      </c>
      <c r="O135" s="58" t="s">
        <v>54</v>
      </c>
      <c r="P135" s="58" t="s">
        <v>25</v>
      </c>
      <c r="Q135" s="60">
        <v>125513.05753490835</v>
      </c>
      <c r="R135" s="60">
        <v>119545</v>
      </c>
      <c r="S135" s="61">
        <v>95671</v>
      </c>
      <c r="T135" s="61">
        <v>562</v>
      </c>
      <c r="U135" s="62" t="s">
        <v>59</v>
      </c>
      <c r="V135" s="63" t="s">
        <v>56</v>
      </c>
      <c r="W135" s="60">
        <v>28025336</v>
      </c>
      <c r="X135" s="60">
        <f t="shared" si="130"/>
        <v>223.28621858491056</v>
      </c>
      <c r="Y135" s="60">
        <f t="shared" si="131"/>
        <v>234.43335982266092</v>
      </c>
      <c r="Z135" s="60">
        <f t="shared" si="132"/>
        <v>292.93449425635771</v>
      </c>
      <c r="AA135" s="60">
        <f t="shared" si="133"/>
        <v>49867.145907473307</v>
      </c>
      <c r="AB135" s="77" t="s">
        <v>73</v>
      </c>
      <c r="AD135" s="93">
        <f t="shared" ref="AD135" si="142">W135/AC133</f>
        <v>6.1729814977973571E-2</v>
      </c>
    </row>
    <row r="136" spans="1:30" s="55" customFormat="1" ht="15.95">
      <c r="A136" s="57"/>
      <c r="B136" s="58" t="s">
        <v>48</v>
      </c>
      <c r="C136" s="58" t="s">
        <v>19</v>
      </c>
      <c r="D136" s="58"/>
      <c r="E136" s="58" t="s">
        <v>20</v>
      </c>
      <c r="F136" s="58" t="s">
        <v>21</v>
      </c>
      <c r="G136" s="58" t="s">
        <v>50</v>
      </c>
      <c r="H136" s="58"/>
      <c r="I136" s="58" t="s">
        <v>92</v>
      </c>
      <c r="J136" s="58"/>
      <c r="K136" s="58" t="s">
        <v>93</v>
      </c>
      <c r="L136" s="59">
        <v>2017</v>
      </c>
      <c r="M136" s="58" t="s">
        <v>72</v>
      </c>
      <c r="N136" s="58" t="s">
        <v>24</v>
      </c>
      <c r="O136" s="58" t="s">
        <v>54</v>
      </c>
      <c r="P136" s="58" t="s">
        <v>25</v>
      </c>
      <c r="Q136" s="60">
        <v>125513.05753490835</v>
      </c>
      <c r="R136" s="60">
        <v>119545</v>
      </c>
      <c r="S136" s="61">
        <v>95671</v>
      </c>
      <c r="T136" s="61">
        <v>562</v>
      </c>
      <c r="U136" s="62" t="s">
        <v>60</v>
      </c>
      <c r="V136" s="63" t="s">
        <v>56</v>
      </c>
      <c r="W136" s="60">
        <v>16018312</v>
      </c>
      <c r="X136" s="60">
        <f t="shared" si="130"/>
        <v>127.62267380463506</v>
      </c>
      <c r="Y136" s="60">
        <f t="shared" si="131"/>
        <v>133.99399389351291</v>
      </c>
      <c r="Z136" s="60">
        <f t="shared" si="132"/>
        <v>167.43121740130238</v>
      </c>
      <c r="AA136" s="60">
        <f t="shared" si="133"/>
        <v>28502.334519572953</v>
      </c>
      <c r="AB136" s="77" t="s">
        <v>73</v>
      </c>
      <c r="AD136" s="93">
        <f t="shared" ref="AD136" si="143">W136/AC133</f>
        <v>3.5282625550660793E-2</v>
      </c>
    </row>
    <row r="137" spans="1:30" s="55" customFormat="1" ht="15.95">
      <c r="A137" s="57"/>
      <c r="B137" s="58" t="s">
        <v>48</v>
      </c>
      <c r="C137" s="58" t="s">
        <v>19</v>
      </c>
      <c r="D137" s="58"/>
      <c r="E137" s="58" t="s">
        <v>20</v>
      </c>
      <c r="F137" s="58" t="s">
        <v>21</v>
      </c>
      <c r="G137" s="58" t="s">
        <v>50</v>
      </c>
      <c r="H137" s="58"/>
      <c r="I137" s="58" t="s">
        <v>92</v>
      </c>
      <c r="J137" s="58"/>
      <c r="K137" s="58" t="s">
        <v>93</v>
      </c>
      <c r="L137" s="59">
        <v>2017</v>
      </c>
      <c r="M137" s="58" t="s">
        <v>72</v>
      </c>
      <c r="N137" s="58" t="s">
        <v>24</v>
      </c>
      <c r="O137" s="58" t="s">
        <v>54</v>
      </c>
      <c r="P137" s="58" t="s">
        <v>25</v>
      </c>
      <c r="Q137" s="60">
        <v>125513.05753490835</v>
      </c>
      <c r="R137" s="60">
        <v>119545</v>
      </c>
      <c r="S137" s="61">
        <v>95671</v>
      </c>
      <c r="T137" s="61">
        <v>562</v>
      </c>
      <c r="U137" s="62" t="s">
        <v>61</v>
      </c>
      <c r="V137" s="63" t="s">
        <v>56</v>
      </c>
      <c r="W137" s="60">
        <v>24860936</v>
      </c>
      <c r="X137" s="60">
        <f t="shared" si="130"/>
        <v>198.07449908616516</v>
      </c>
      <c r="Y137" s="60">
        <f t="shared" si="131"/>
        <v>207.96299301518258</v>
      </c>
      <c r="Z137" s="60">
        <f t="shared" si="132"/>
        <v>259.85864054938276</v>
      </c>
      <c r="AA137" s="60">
        <f t="shared" si="133"/>
        <v>44236.540925266905</v>
      </c>
      <c r="AB137" s="77" t="s">
        <v>73</v>
      </c>
      <c r="AD137" s="93">
        <f t="shared" ref="AD137" si="144">W137/AC133</f>
        <v>5.4759770925110134E-2</v>
      </c>
    </row>
    <row r="138" spans="1:30" s="55" customFormat="1" ht="15.95">
      <c r="A138" s="57"/>
      <c r="B138" s="58" t="s">
        <v>48</v>
      </c>
      <c r="C138" s="58" t="s">
        <v>19</v>
      </c>
      <c r="D138" s="58"/>
      <c r="E138" s="58" t="s">
        <v>20</v>
      </c>
      <c r="F138" s="58" t="s">
        <v>21</v>
      </c>
      <c r="G138" s="58" t="s">
        <v>50</v>
      </c>
      <c r="H138" s="58"/>
      <c r="I138" s="58" t="s">
        <v>92</v>
      </c>
      <c r="J138" s="58"/>
      <c r="K138" s="58" t="s">
        <v>93</v>
      </c>
      <c r="L138" s="59">
        <v>2017</v>
      </c>
      <c r="M138" s="58" t="s">
        <v>72</v>
      </c>
      <c r="N138" s="58" t="s">
        <v>24</v>
      </c>
      <c r="O138" s="58" t="s">
        <v>54</v>
      </c>
      <c r="P138" s="58" t="s">
        <v>25</v>
      </c>
      <c r="Q138" s="60">
        <v>125513.05753490835</v>
      </c>
      <c r="R138" s="60">
        <v>119545</v>
      </c>
      <c r="S138" s="61">
        <v>95671</v>
      </c>
      <c r="T138" s="61">
        <v>562</v>
      </c>
      <c r="U138" s="62" t="s">
        <v>62</v>
      </c>
      <c r="V138" s="63" t="s">
        <v>56</v>
      </c>
      <c r="W138" s="60">
        <v>23647110</v>
      </c>
      <c r="X138" s="60">
        <f t="shared" si="130"/>
        <v>188.40358496902317</v>
      </c>
      <c r="Y138" s="60">
        <f t="shared" si="131"/>
        <v>197.80927684135682</v>
      </c>
      <c r="Z138" s="60">
        <f t="shared" si="132"/>
        <v>247.17113858954124</v>
      </c>
      <c r="AA138" s="60">
        <f t="shared" si="133"/>
        <v>42076.70818505338</v>
      </c>
      <c r="AB138" s="77" t="s">
        <v>73</v>
      </c>
      <c r="AD138" s="93">
        <f t="shared" ref="AD138" si="145">W138/AC133</f>
        <v>5.208614537444934E-2</v>
      </c>
    </row>
    <row r="139" spans="1:30" s="55" customFormat="1" ht="15.95">
      <c r="A139" s="57"/>
      <c r="B139" s="58" t="s">
        <v>48</v>
      </c>
      <c r="C139" s="58" t="s">
        <v>19</v>
      </c>
      <c r="D139" s="58"/>
      <c r="E139" s="58" t="s">
        <v>20</v>
      </c>
      <c r="F139" s="58" t="s">
        <v>21</v>
      </c>
      <c r="G139" s="58" t="s">
        <v>50</v>
      </c>
      <c r="H139" s="58"/>
      <c r="I139" s="58" t="s">
        <v>92</v>
      </c>
      <c r="J139" s="58"/>
      <c r="K139" s="58" t="s">
        <v>93</v>
      </c>
      <c r="L139" s="59">
        <v>2017</v>
      </c>
      <c r="M139" s="58" t="s">
        <v>72</v>
      </c>
      <c r="N139" s="58" t="s">
        <v>24</v>
      </c>
      <c r="O139" s="58" t="s">
        <v>54</v>
      </c>
      <c r="P139" s="58" t="s">
        <v>25</v>
      </c>
      <c r="Q139" s="60">
        <v>125513.05753490835</v>
      </c>
      <c r="R139" s="60">
        <v>119545</v>
      </c>
      <c r="S139" s="61">
        <v>95671</v>
      </c>
      <c r="T139" s="61">
        <v>562</v>
      </c>
      <c r="U139" s="62" t="s">
        <v>63</v>
      </c>
      <c r="V139" s="63" t="s">
        <v>56</v>
      </c>
      <c r="W139" s="60">
        <v>1812794</v>
      </c>
      <c r="X139" s="60">
        <f t="shared" si="130"/>
        <v>14.443070988815775</v>
      </c>
      <c r="Y139" s="60">
        <f t="shared" si="131"/>
        <v>15.164113931992137</v>
      </c>
      <c r="Z139" s="60">
        <f t="shared" si="132"/>
        <v>18.94820792089557</v>
      </c>
      <c r="AA139" s="60">
        <f t="shared" si="133"/>
        <v>3225.6120996441282</v>
      </c>
      <c r="AB139" s="77" t="s">
        <v>73</v>
      </c>
      <c r="AD139" s="93">
        <f t="shared" ref="AD139" si="146">W139/AC133</f>
        <v>3.9929383259911895E-3</v>
      </c>
    </row>
    <row r="140" spans="1:30" s="55" customFormat="1" ht="15.95">
      <c r="A140" s="57"/>
      <c r="B140" s="58" t="s">
        <v>48</v>
      </c>
      <c r="C140" s="58" t="s">
        <v>19</v>
      </c>
      <c r="D140" s="58"/>
      <c r="E140" s="58" t="s">
        <v>20</v>
      </c>
      <c r="F140" s="58" t="s">
        <v>21</v>
      </c>
      <c r="G140" s="58" t="s">
        <v>50</v>
      </c>
      <c r="H140" s="58"/>
      <c r="I140" s="58" t="s">
        <v>92</v>
      </c>
      <c r="J140" s="58"/>
      <c r="K140" s="58" t="s">
        <v>93</v>
      </c>
      <c r="L140" s="59">
        <v>2017</v>
      </c>
      <c r="M140" s="58" t="s">
        <v>72</v>
      </c>
      <c r="N140" s="58" t="s">
        <v>24</v>
      </c>
      <c r="O140" s="58" t="s">
        <v>54</v>
      </c>
      <c r="P140" s="58" t="s">
        <v>25</v>
      </c>
      <c r="Q140" s="60">
        <v>125513.05753490835</v>
      </c>
      <c r="R140" s="60">
        <v>119545</v>
      </c>
      <c r="S140" s="61">
        <v>95671</v>
      </c>
      <c r="T140" s="61">
        <v>562</v>
      </c>
      <c r="U140" s="62" t="s">
        <v>64</v>
      </c>
      <c r="V140" s="63" t="s">
        <v>56</v>
      </c>
      <c r="W140" s="60">
        <v>0</v>
      </c>
      <c r="X140" s="60">
        <f t="shared" si="130"/>
        <v>0</v>
      </c>
      <c r="Y140" s="60">
        <f t="shared" si="131"/>
        <v>0</v>
      </c>
      <c r="Z140" s="60">
        <f t="shared" si="132"/>
        <v>0</v>
      </c>
      <c r="AA140" s="60">
        <f t="shared" si="133"/>
        <v>0</v>
      </c>
      <c r="AB140" s="77" t="s">
        <v>73</v>
      </c>
      <c r="AD140" s="93">
        <f t="shared" ref="AD140" si="147">W140/AC133</f>
        <v>0</v>
      </c>
    </row>
    <row r="141" spans="1:30" s="55" customFormat="1" ht="15.95">
      <c r="A141" s="57"/>
      <c r="B141" s="58" t="s">
        <v>48</v>
      </c>
      <c r="C141" s="58" t="s">
        <v>19</v>
      </c>
      <c r="D141" s="58"/>
      <c r="E141" s="58" t="s">
        <v>20</v>
      </c>
      <c r="F141" s="58" t="s">
        <v>21</v>
      </c>
      <c r="G141" s="58" t="s">
        <v>50</v>
      </c>
      <c r="H141" s="58"/>
      <c r="I141" s="58" t="s">
        <v>92</v>
      </c>
      <c r="J141" s="58"/>
      <c r="K141" s="58" t="s">
        <v>93</v>
      </c>
      <c r="L141" s="59">
        <v>2017</v>
      </c>
      <c r="M141" s="58" t="s">
        <v>72</v>
      </c>
      <c r="N141" s="58" t="s">
        <v>24</v>
      </c>
      <c r="O141" s="58" t="s">
        <v>54</v>
      </c>
      <c r="P141" s="58" t="s">
        <v>25</v>
      </c>
      <c r="Q141" s="60">
        <v>125513.05753490835</v>
      </c>
      <c r="R141" s="60">
        <v>119545</v>
      </c>
      <c r="S141" s="61">
        <v>95671</v>
      </c>
      <c r="T141" s="61">
        <v>562</v>
      </c>
      <c r="U141" s="62" t="s">
        <v>65</v>
      </c>
      <c r="V141" s="63" t="s">
        <v>56</v>
      </c>
      <c r="W141" s="60">
        <v>66352003</v>
      </c>
      <c r="X141" s="60">
        <f t="shared" si="130"/>
        <v>528.64621660217165</v>
      </c>
      <c r="Y141" s="60">
        <f t="shared" si="131"/>
        <v>555.03787695010249</v>
      </c>
      <c r="Z141" s="60">
        <f t="shared" si="132"/>
        <v>693.54352938717057</v>
      </c>
      <c r="AA141" s="60">
        <f t="shared" si="133"/>
        <v>118064.06227758007</v>
      </c>
      <c r="AB141" s="77" t="s">
        <v>73</v>
      </c>
      <c r="AD141" s="93">
        <f t="shared" ref="AD141" si="148">W141/AC133</f>
        <v>0.14614978634361234</v>
      </c>
    </row>
    <row r="142" spans="1:30" s="55" customFormat="1" ht="15.95">
      <c r="A142" s="57"/>
      <c r="B142" s="58" t="s">
        <v>48</v>
      </c>
      <c r="C142" s="58" t="s">
        <v>19</v>
      </c>
      <c r="D142" s="58"/>
      <c r="E142" s="58" t="s">
        <v>20</v>
      </c>
      <c r="F142" s="58" t="s">
        <v>21</v>
      </c>
      <c r="G142" s="58" t="s">
        <v>50</v>
      </c>
      <c r="H142" s="58"/>
      <c r="I142" s="58" t="s">
        <v>92</v>
      </c>
      <c r="J142" s="58"/>
      <c r="K142" s="58" t="s">
        <v>93</v>
      </c>
      <c r="L142" s="59">
        <v>2017</v>
      </c>
      <c r="M142" s="58" t="s">
        <v>72</v>
      </c>
      <c r="N142" s="58" t="s">
        <v>24</v>
      </c>
      <c r="O142" s="58" t="s">
        <v>54</v>
      </c>
      <c r="P142" s="58" t="s">
        <v>25</v>
      </c>
      <c r="Q142" s="60">
        <v>125513.05753490835</v>
      </c>
      <c r="R142" s="60">
        <v>119545</v>
      </c>
      <c r="S142" s="61">
        <v>95671</v>
      </c>
      <c r="T142" s="61">
        <v>562</v>
      </c>
      <c r="U142" s="62" t="s">
        <v>66</v>
      </c>
      <c r="V142" s="63" t="s">
        <v>56</v>
      </c>
      <c r="W142" s="60">
        <v>21442316</v>
      </c>
      <c r="X142" s="60">
        <f t="shared" si="130"/>
        <v>170.83733295267984</v>
      </c>
      <c r="Y142" s="60">
        <f t="shared" si="131"/>
        <v>179.36606298883265</v>
      </c>
      <c r="Z142" s="60">
        <f t="shared" si="132"/>
        <v>224.1255552884364</v>
      </c>
      <c r="AA142" s="60">
        <f t="shared" si="133"/>
        <v>38153.587188612102</v>
      </c>
      <c r="AB142" s="77" t="s">
        <v>73</v>
      </c>
      <c r="AD142" s="93">
        <f t="shared" ref="AD142" si="149">W142/AC133</f>
        <v>4.7229770925110132E-2</v>
      </c>
    </row>
    <row r="143" spans="1:30" s="55" customFormat="1" ht="15.95">
      <c r="A143" s="57"/>
      <c r="B143" s="58" t="s">
        <v>48</v>
      </c>
      <c r="C143" s="58" t="s">
        <v>19</v>
      </c>
      <c r="D143" s="58"/>
      <c r="E143" s="58" t="s">
        <v>20</v>
      </c>
      <c r="F143" s="58" t="s">
        <v>21</v>
      </c>
      <c r="G143" s="58" t="s">
        <v>50</v>
      </c>
      <c r="H143" s="58"/>
      <c r="I143" s="58" t="s">
        <v>92</v>
      </c>
      <c r="J143" s="58"/>
      <c r="K143" s="58" t="s">
        <v>93</v>
      </c>
      <c r="L143" s="59">
        <v>2017</v>
      </c>
      <c r="M143" s="58" t="s">
        <v>72</v>
      </c>
      <c r="N143" s="58" t="s">
        <v>24</v>
      </c>
      <c r="O143" s="58" t="s">
        <v>54</v>
      </c>
      <c r="P143" s="58" t="s">
        <v>25</v>
      </c>
      <c r="Q143" s="60">
        <v>125513.05753490835</v>
      </c>
      <c r="R143" s="60">
        <v>119545</v>
      </c>
      <c r="S143" s="61">
        <v>95671</v>
      </c>
      <c r="T143" s="61">
        <v>562</v>
      </c>
      <c r="U143" s="62" t="s">
        <v>67</v>
      </c>
      <c r="V143" s="63" t="s">
        <v>56</v>
      </c>
      <c r="W143" s="60">
        <v>0</v>
      </c>
      <c r="X143" s="60">
        <f t="shared" si="130"/>
        <v>0</v>
      </c>
      <c r="Y143" s="60">
        <f t="shared" si="131"/>
        <v>0</v>
      </c>
      <c r="Z143" s="60">
        <f t="shared" si="132"/>
        <v>0</v>
      </c>
      <c r="AA143" s="60">
        <f t="shared" si="133"/>
        <v>0</v>
      </c>
      <c r="AB143" s="77" t="s">
        <v>73</v>
      </c>
      <c r="AD143" s="93">
        <f t="shared" ref="AD143" si="150">W143/AC133</f>
        <v>0</v>
      </c>
    </row>
    <row r="144" spans="1:30" s="55" customFormat="1" ht="15.95">
      <c r="A144" s="57"/>
      <c r="B144" s="58" t="s">
        <v>48</v>
      </c>
      <c r="C144" s="58" t="s">
        <v>19</v>
      </c>
      <c r="D144" s="58"/>
      <c r="E144" s="58" t="s">
        <v>20</v>
      </c>
      <c r="F144" s="58" t="s">
        <v>21</v>
      </c>
      <c r="G144" s="58" t="s">
        <v>50</v>
      </c>
      <c r="H144" s="58"/>
      <c r="I144" s="58" t="s">
        <v>92</v>
      </c>
      <c r="J144" s="58"/>
      <c r="K144" s="58" t="s">
        <v>93</v>
      </c>
      <c r="L144" s="59">
        <v>2017</v>
      </c>
      <c r="M144" s="58" t="s">
        <v>72</v>
      </c>
      <c r="N144" s="58" t="s">
        <v>24</v>
      </c>
      <c r="O144" s="58" t="s">
        <v>54</v>
      </c>
      <c r="P144" s="58" t="s">
        <v>25</v>
      </c>
      <c r="Q144" s="60">
        <v>125513.05753490835</v>
      </c>
      <c r="R144" s="60">
        <v>119545</v>
      </c>
      <c r="S144" s="61">
        <v>95671</v>
      </c>
      <c r="T144" s="61">
        <v>562</v>
      </c>
      <c r="U144" s="62" t="s">
        <v>68</v>
      </c>
      <c r="V144" s="63" t="s">
        <v>56</v>
      </c>
      <c r="W144" s="60">
        <v>28955755</v>
      </c>
      <c r="X144" s="60">
        <f t="shared" si="130"/>
        <v>230.69914452483698</v>
      </c>
      <c r="Y144" s="60">
        <f t="shared" si="131"/>
        <v>242.2163620393994</v>
      </c>
      <c r="Z144" s="60">
        <f t="shared" si="132"/>
        <v>302.65968788870191</v>
      </c>
      <c r="AA144" s="60">
        <f t="shared" si="133"/>
        <v>51522.695729537365</v>
      </c>
      <c r="AB144" s="77" t="s">
        <v>73</v>
      </c>
      <c r="AD144" s="93">
        <f t="shared" ref="AD144" si="151">W144/AC133</f>
        <v>6.3779196035242292E-2</v>
      </c>
    </row>
    <row r="145" spans="1:30" s="55" customFormat="1" ht="15.95">
      <c r="A145" s="57"/>
      <c r="B145" s="58" t="s">
        <v>48</v>
      </c>
      <c r="C145" s="58" t="s">
        <v>19</v>
      </c>
      <c r="D145" s="58"/>
      <c r="E145" s="58" t="s">
        <v>20</v>
      </c>
      <c r="F145" s="58" t="s">
        <v>21</v>
      </c>
      <c r="G145" s="58" t="s">
        <v>50</v>
      </c>
      <c r="H145" s="58"/>
      <c r="I145" s="58" t="s">
        <v>92</v>
      </c>
      <c r="J145" s="58"/>
      <c r="K145" s="58" t="s">
        <v>93</v>
      </c>
      <c r="L145" s="59">
        <v>2017</v>
      </c>
      <c r="M145" s="58" t="s">
        <v>72</v>
      </c>
      <c r="N145" s="58" t="s">
        <v>24</v>
      </c>
      <c r="O145" s="58" t="s">
        <v>54</v>
      </c>
      <c r="P145" s="58" t="s">
        <v>25</v>
      </c>
      <c r="Q145" s="60">
        <v>125513.05753490835</v>
      </c>
      <c r="R145" s="60">
        <v>119545</v>
      </c>
      <c r="S145" s="61">
        <v>95671</v>
      </c>
      <c r="T145" s="61">
        <v>562</v>
      </c>
      <c r="U145" s="62" t="s">
        <v>69</v>
      </c>
      <c r="V145" s="63" t="s">
        <v>56</v>
      </c>
      <c r="W145" s="60">
        <v>35981753</v>
      </c>
      <c r="X145" s="60">
        <f t="shared" si="130"/>
        <v>286.67736812954752</v>
      </c>
      <c r="Y145" s="60">
        <f t="shared" si="131"/>
        <v>300.98919235434357</v>
      </c>
      <c r="Z145" s="60">
        <f t="shared" si="132"/>
        <v>376.09884918104757</v>
      </c>
      <c r="AA145" s="60">
        <f t="shared" si="133"/>
        <v>64024.471530249109</v>
      </c>
      <c r="AB145" s="77" t="s">
        <v>73</v>
      </c>
      <c r="AD145" s="93">
        <f t="shared" ref="AD145" si="152">W145/AC133</f>
        <v>7.9254962555066075E-2</v>
      </c>
    </row>
    <row r="146" spans="1:30" s="32" customFormat="1" ht="15" customHeight="1">
      <c r="A146" s="65"/>
      <c r="B146" s="66" t="s">
        <v>48</v>
      </c>
      <c r="C146" s="66" t="s">
        <v>19</v>
      </c>
      <c r="D146" s="66"/>
      <c r="E146" s="66" t="s">
        <v>20</v>
      </c>
      <c r="F146" s="66" t="s">
        <v>21</v>
      </c>
      <c r="G146" s="66" t="s">
        <v>50</v>
      </c>
      <c r="H146" s="66"/>
      <c r="I146" s="66" t="s">
        <v>94</v>
      </c>
      <c r="J146" s="66"/>
      <c r="K146" s="66" t="s">
        <v>95</v>
      </c>
      <c r="L146" s="67">
        <v>2019</v>
      </c>
      <c r="M146" s="66" t="s">
        <v>96</v>
      </c>
      <c r="N146" s="66" t="s">
        <v>24</v>
      </c>
      <c r="O146" s="66" t="s">
        <v>54</v>
      </c>
      <c r="P146" s="66" t="s">
        <v>25</v>
      </c>
      <c r="Q146" s="68">
        <v>46330</v>
      </c>
      <c r="R146" s="68">
        <v>44573</v>
      </c>
      <c r="S146" s="69">
        <v>37543</v>
      </c>
      <c r="T146" s="69">
        <v>258</v>
      </c>
      <c r="U146" s="74" t="s">
        <v>55</v>
      </c>
      <c r="V146" s="75" t="s">
        <v>56</v>
      </c>
      <c r="W146" s="68">
        <v>9452451</v>
      </c>
      <c r="X146" s="68">
        <f t="shared" si="130"/>
        <v>204.02441182818907</v>
      </c>
      <c r="Y146" s="68">
        <f t="shared" si="131"/>
        <v>212.06674444170238</v>
      </c>
      <c r="Z146" s="68">
        <f t="shared" si="132"/>
        <v>251.77665610100419</v>
      </c>
      <c r="AA146" s="68">
        <f t="shared" si="133"/>
        <v>36637.406976744183</v>
      </c>
      <c r="AB146" s="78" t="s">
        <v>73</v>
      </c>
      <c r="AC146" s="92">
        <f t="shared" ref="AC146" si="153">SUM(W146:W158)</f>
        <v>146898134</v>
      </c>
      <c r="AD146" s="93">
        <f t="shared" ref="AD146" si="154">W146/AC146</f>
        <v>6.43469780221987E-2</v>
      </c>
    </row>
    <row r="147" spans="1:30" s="32" customFormat="1" ht="15.95">
      <c r="A147" s="65"/>
      <c r="B147" s="66" t="s">
        <v>48</v>
      </c>
      <c r="C147" s="66" t="s">
        <v>19</v>
      </c>
      <c r="D147" s="66"/>
      <c r="E147" s="66" t="s">
        <v>20</v>
      </c>
      <c r="F147" s="66" t="s">
        <v>21</v>
      </c>
      <c r="G147" s="66" t="s">
        <v>50</v>
      </c>
      <c r="H147" s="66"/>
      <c r="I147" s="66" t="s">
        <v>94</v>
      </c>
      <c r="J147" s="66"/>
      <c r="K147" s="66" t="s">
        <v>95</v>
      </c>
      <c r="L147" s="67">
        <v>2019</v>
      </c>
      <c r="M147" s="66" t="s">
        <v>96</v>
      </c>
      <c r="N147" s="66" t="s">
        <v>24</v>
      </c>
      <c r="O147" s="66" t="s">
        <v>54</v>
      </c>
      <c r="P147" s="66" t="s">
        <v>25</v>
      </c>
      <c r="Q147" s="68">
        <v>46330</v>
      </c>
      <c r="R147" s="68">
        <v>44573</v>
      </c>
      <c r="S147" s="69">
        <v>37543</v>
      </c>
      <c r="T147" s="69">
        <v>258</v>
      </c>
      <c r="U147" s="74" t="s">
        <v>58</v>
      </c>
      <c r="V147" s="75" t="s">
        <v>56</v>
      </c>
      <c r="W147" s="68">
        <v>20011567</v>
      </c>
      <c r="X147" s="68">
        <f t="shared" si="130"/>
        <v>431.93539823008848</v>
      </c>
      <c r="Y147" s="68">
        <f t="shared" si="131"/>
        <v>448.96163596796265</v>
      </c>
      <c r="Z147" s="68">
        <f t="shared" si="132"/>
        <v>533.03057827025009</v>
      </c>
      <c r="AA147" s="68">
        <f t="shared" si="133"/>
        <v>77564.21317829458</v>
      </c>
      <c r="AB147" s="78" t="s">
        <v>73</v>
      </c>
      <c r="AC147" s="55"/>
      <c r="AD147" s="93">
        <f t="shared" ref="AD147" si="155">W147/AC146</f>
        <v>0.13622750987429152</v>
      </c>
    </row>
    <row r="148" spans="1:30" s="32" customFormat="1" ht="15.95">
      <c r="A148" s="65"/>
      <c r="B148" s="66" t="s">
        <v>48</v>
      </c>
      <c r="C148" s="66" t="s">
        <v>19</v>
      </c>
      <c r="D148" s="66"/>
      <c r="E148" s="66" t="s">
        <v>20</v>
      </c>
      <c r="F148" s="66" t="s">
        <v>21</v>
      </c>
      <c r="G148" s="66" t="s">
        <v>50</v>
      </c>
      <c r="H148" s="66"/>
      <c r="I148" s="66" t="s">
        <v>94</v>
      </c>
      <c r="J148" s="66"/>
      <c r="K148" s="66" t="s">
        <v>95</v>
      </c>
      <c r="L148" s="67">
        <v>2019</v>
      </c>
      <c r="M148" s="66" t="s">
        <v>96</v>
      </c>
      <c r="N148" s="66" t="s">
        <v>24</v>
      </c>
      <c r="O148" s="66" t="s">
        <v>54</v>
      </c>
      <c r="P148" s="66" t="s">
        <v>25</v>
      </c>
      <c r="Q148" s="68">
        <v>46330</v>
      </c>
      <c r="R148" s="68">
        <v>44573</v>
      </c>
      <c r="S148" s="69">
        <v>37543</v>
      </c>
      <c r="T148" s="69">
        <v>258</v>
      </c>
      <c r="U148" s="74" t="s">
        <v>59</v>
      </c>
      <c r="V148" s="75" t="s">
        <v>56</v>
      </c>
      <c r="W148" s="68">
        <v>20380529</v>
      </c>
      <c r="X148" s="68">
        <f t="shared" si="130"/>
        <v>439.89917979710771</v>
      </c>
      <c r="Y148" s="68">
        <f t="shared" si="131"/>
        <v>457.23933771565748</v>
      </c>
      <c r="Z148" s="68">
        <f t="shared" si="132"/>
        <v>542.85829582079214</v>
      </c>
      <c r="AA148" s="68">
        <f t="shared" si="133"/>
        <v>78994.298449612397</v>
      </c>
      <c r="AB148" s="78" t="s">
        <v>73</v>
      </c>
      <c r="AC148" s="55"/>
      <c r="AD148" s="93">
        <f t="shared" ref="AD148" si="156">W148/AC146</f>
        <v>0.13873919596555256</v>
      </c>
    </row>
    <row r="149" spans="1:30" s="32" customFormat="1" ht="15.95">
      <c r="A149" s="65"/>
      <c r="B149" s="66" t="s">
        <v>48</v>
      </c>
      <c r="C149" s="66" t="s">
        <v>19</v>
      </c>
      <c r="D149" s="66"/>
      <c r="E149" s="66" t="s">
        <v>20</v>
      </c>
      <c r="F149" s="66" t="s">
        <v>21</v>
      </c>
      <c r="G149" s="66" t="s">
        <v>50</v>
      </c>
      <c r="H149" s="66"/>
      <c r="I149" s="66" t="s">
        <v>94</v>
      </c>
      <c r="J149" s="66"/>
      <c r="K149" s="66" t="s">
        <v>95</v>
      </c>
      <c r="L149" s="67">
        <v>2019</v>
      </c>
      <c r="M149" s="66" t="s">
        <v>96</v>
      </c>
      <c r="N149" s="66" t="s">
        <v>24</v>
      </c>
      <c r="O149" s="66" t="s">
        <v>54</v>
      </c>
      <c r="P149" s="66" t="s">
        <v>25</v>
      </c>
      <c r="Q149" s="68">
        <v>46330</v>
      </c>
      <c r="R149" s="68">
        <v>44573</v>
      </c>
      <c r="S149" s="69">
        <v>37543</v>
      </c>
      <c r="T149" s="69">
        <v>258</v>
      </c>
      <c r="U149" s="74" t="s">
        <v>60</v>
      </c>
      <c r="V149" s="75" t="s">
        <v>56</v>
      </c>
      <c r="W149" s="68">
        <v>13607910</v>
      </c>
      <c r="X149" s="68">
        <f t="shared" si="130"/>
        <v>293.71703000215842</v>
      </c>
      <c r="Y149" s="68">
        <f t="shared" si="131"/>
        <v>305.29490947434545</v>
      </c>
      <c r="Z149" s="68">
        <f t="shared" si="132"/>
        <v>362.46197693311672</v>
      </c>
      <c r="AA149" s="68">
        <f t="shared" si="133"/>
        <v>52743.837209302328</v>
      </c>
      <c r="AB149" s="78" t="s">
        <v>73</v>
      </c>
      <c r="AC149" s="55"/>
      <c r="AD149" s="93">
        <f t="shared" ref="AD149" si="157">W149/AC146</f>
        <v>9.2635009237081262E-2</v>
      </c>
    </row>
    <row r="150" spans="1:30" s="32" customFormat="1" ht="15.95">
      <c r="A150" s="65"/>
      <c r="B150" s="66" t="s">
        <v>48</v>
      </c>
      <c r="C150" s="66" t="s">
        <v>19</v>
      </c>
      <c r="D150" s="66"/>
      <c r="E150" s="66" t="s">
        <v>20</v>
      </c>
      <c r="F150" s="66" t="s">
        <v>21</v>
      </c>
      <c r="G150" s="66" t="s">
        <v>50</v>
      </c>
      <c r="H150" s="66"/>
      <c r="I150" s="66" t="s">
        <v>94</v>
      </c>
      <c r="J150" s="66"/>
      <c r="K150" s="66" t="s">
        <v>95</v>
      </c>
      <c r="L150" s="67">
        <v>2019</v>
      </c>
      <c r="M150" s="66" t="s">
        <v>96</v>
      </c>
      <c r="N150" s="66" t="s">
        <v>24</v>
      </c>
      <c r="O150" s="66" t="s">
        <v>54</v>
      </c>
      <c r="P150" s="66" t="s">
        <v>25</v>
      </c>
      <c r="Q150" s="68">
        <v>46330</v>
      </c>
      <c r="R150" s="68">
        <v>44573</v>
      </c>
      <c r="S150" s="69">
        <v>37543</v>
      </c>
      <c r="T150" s="69">
        <v>258</v>
      </c>
      <c r="U150" s="74" t="s">
        <v>61</v>
      </c>
      <c r="V150" s="75" t="s">
        <v>56</v>
      </c>
      <c r="W150" s="68">
        <v>17726430</v>
      </c>
      <c r="X150" s="68">
        <f t="shared" si="130"/>
        <v>382.61234621195769</v>
      </c>
      <c r="Y150" s="68">
        <f t="shared" si="131"/>
        <v>397.69434410966278</v>
      </c>
      <c r="Z150" s="68">
        <f t="shared" si="132"/>
        <v>472.16338598407162</v>
      </c>
      <c r="AA150" s="68">
        <f t="shared" si="133"/>
        <v>68707.093023255817</v>
      </c>
      <c r="AB150" s="78" t="s">
        <v>73</v>
      </c>
      <c r="AC150" s="55"/>
      <c r="AD150" s="93">
        <f t="shared" ref="AD150" si="158">W150/AC146</f>
        <v>0.12067158048447368</v>
      </c>
    </row>
    <row r="151" spans="1:30" s="32" customFormat="1" ht="15.95">
      <c r="A151" s="65"/>
      <c r="B151" s="66" t="s">
        <v>48</v>
      </c>
      <c r="C151" s="66" t="s">
        <v>19</v>
      </c>
      <c r="D151" s="66"/>
      <c r="E151" s="66" t="s">
        <v>20</v>
      </c>
      <c r="F151" s="66" t="s">
        <v>21</v>
      </c>
      <c r="G151" s="66" t="s">
        <v>50</v>
      </c>
      <c r="H151" s="66"/>
      <c r="I151" s="66" t="s">
        <v>94</v>
      </c>
      <c r="J151" s="66"/>
      <c r="K151" s="66" t="s">
        <v>95</v>
      </c>
      <c r="L151" s="67">
        <v>2019</v>
      </c>
      <c r="M151" s="66" t="s">
        <v>96</v>
      </c>
      <c r="N151" s="66" t="s">
        <v>24</v>
      </c>
      <c r="O151" s="66" t="s">
        <v>54</v>
      </c>
      <c r="P151" s="66" t="s">
        <v>25</v>
      </c>
      <c r="Q151" s="68">
        <v>46330</v>
      </c>
      <c r="R151" s="68">
        <v>44573</v>
      </c>
      <c r="S151" s="69">
        <v>37543</v>
      </c>
      <c r="T151" s="69">
        <v>258</v>
      </c>
      <c r="U151" s="74" t="s">
        <v>62</v>
      </c>
      <c r="V151" s="75" t="s">
        <v>56</v>
      </c>
      <c r="W151" s="68">
        <v>7794350</v>
      </c>
      <c r="X151" s="68">
        <f t="shared" si="130"/>
        <v>168.23548456723506</v>
      </c>
      <c r="Y151" s="68">
        <f t="shared" si="131"/>
        <v>174.86707199425661</v>
      </c>
      <c r="Z151" s="68">
        <f t="shared" si="132"/>
        <v>207.61127240763923</v>
      </c>
      <c r="AA151" s="68">
        <f t="shared" si="133"/>
        <v>30210.658914728683</v>
      </c>
      <c r="AB151" s="78" t="s">
        <v>73</v>
      </c>
      <c r="AC151" s="55"/>
      <c r="AD151" s="93">
        <f t="shared" ref="AD151" si="159">W151/AC146</f>
        <v>5.3059557584305327E-2</v>
      </c>
    </row>
    <row r="152" spans="1:30" s="32" customFormat="1" ht="15.95">
      <c r="A152" s="65"/>
      <c r="B152" s="66" t="s">
        <v>48</v>
      </c>
      <c r="C152" s="66" t="s">
        <v>19</v>
      </c>
      <c r="D152" s="66"/>
      <c r="E152" s="66" t="s">
        <v>20</v>
      </c>
      <c r="F152" s="66" t="s">
        <v>21</v>
      </c>
      <c r="G152" s="66" t="s">
        <v>50</v>
      </c>
      <c r="H152" s="66"/>
      <c r="I152" s="66" t="s">
        <v>94</v>
      </c>
      <c r="J152" s="66"/>
      <c r="K152" s="66" t="s">
        <v>95</v>
      </c>
      <c r="L152" s="67">
        <v>2019</v>
      </c>
      <c r="M152" s="66" t="s">
        <v>96</v>
      </c>
      <c r="N152" s="66" t="s">
        <v>24</v>
      </c>
      <c r="O152" s="66" t="s">
        <v>54</v>
      </c>
      <c r="P152" s="66" t="s">
        <v>25</v>
      </c>
      <c r="Q152" s="68">
        <v>46330</v>
      </c>
      <c r="R152" s="68">
        <v>44573</v>
      </c>
      <c r="S152" s="69">
        <v>37543</v>
      </c>
      <c r="T152" s="69">
        <v>258</v>
      </c>
      <c r="U152" s="74" t="s">
        <v>63</v>
      </c>
      <c r="V152" s="75" t="s">
        <v>56</v>
      </c>
      <c r="W152" s="68">
        <v>1802328</v>
      </c>
      <c r="X152" s="68">
        <f t="shared" si="130"/>
        <v>38.901964170084177</v>
      </c>
      <c r="Y152" s="68">
        <f t="shared" si="131"/>
        <v>40.435420546070489</v>
      </c>
      <c r="Z152" s="68">
        <f t="shared" si="132"/>
        <v>48.007031936712572</v>
      </c>
      <c r="AA152" s="68">
        <f t="shared" si="133"/>
        <v>6985.7674418604647</v>
      </c>
      <c r="AB152" s="78" t="s">
        <v>73</v>
      </c>
      <c r="AC152" s="55"/>
      <c r="AD152" s="93">
        <f t="shared" ref="AD152" si="160">W152/AC146</f>
        <v>1.2269236857698955E-2</v>
      </c>
    </row>
    <row r="153" spans="1:30" s="32" customFormat="1" ht="15.95">
      <c r="A153" s="65"/>
      <c r="B153" s="66" t="s">
        <v>48</v>
      </c>
      <c r="C153" s="66" t="s">
        <v>19</v>
      </c>
      <c r="D153" s="66"/>
      <c r="E153" s="66" t="s">
        <v>20</v>
      </c>
      <c r="F153" s="66" t="s">
        <v>21</v>
      </c>
      <c r="G153" s="66" t="s">
        <v>50</v>
      </c>
      <c r="H153" s="66"/>
      <c r="I153" s="66" t="s">
        <v>94</v>
      </c>
      <c r="J153" s="66"/>
      <c r="K153" s="66" t="s">
        <v>95</v>
      </c>
      <c r="L153" s="67">
        <v>2019</v>
      </c>
      <c r="M153" s="66" t="s">
        <v>96</v>
      </c>
      <c r="N153" s="66" t="s">
        <v>24</v>
      </c>
      <c r="O153" s="66" t="s">
        <v>54</v>
      </c>
      <c r="P153" s="66" t="s">
        <v>25</v>
      </c>
      <c r="Q153" s="68">
        <v>46330</v>
      </c>
      <c r="R153" s="68">
        <v>44573</v>
      </c>
      <c r="S153" s="69">
        <v>37543</v>
      </c>
      <c r="T153" s="69">
        <v>258</v>
      </c>
      <c r="U153" s="74" t="s">
        <v>64</v>
      </c>
      <c r="V153" s="75" t="s">
        <v>56</v>
      </c>
      <c r="W153" s="68">
        <v>0</v>
      </c>
      <c r="X153" s="68">
        <f t="shared" si="130"/>
        <v>0</v>
      </c>
      <c r="Y153" s="68">
        <f t="shared" si="131"/>
        <v>0</v>
      </c>
      <c r="Z153" s="68">
        <f t="shared" si="132"/>
        <v>0</v>
      </c>
      <c r="AA153" s="68">
        <f t="shared" si="133"/>
        <v>0</v>
      </c>
      <c r="AB153" s="78" t="s">
        <v>73</v>
      </c>
      <c r="AC153" s="55"/>
      <c r="AD153" s="93">
        <f t="shared" ref="AD153" si="161">W153/AC146</f>
        <v>0</v>
      </c>
    </row>
    <row r="154" spans="1:30" s="32" customFormat="1" ht="15.95">
      <c r="A154" s="65"/>
      <c r="B154" s="66" t="s">
        <v>48</v>
      </c>
      <c r="C154" s="66" t="s">
        <v>19</v>
      </c>
      <c r="D154" s="66"/>
      <c r="E154" s="66" t="s">
        <v>20</v>
      </c>
      <c r="F154" s="66" t="s">
        <v>21</v>
      </c>
      <c r="G154" s="66" t="s">
        <v>50</v>
      </c>
      <c r="H154" s="66"/>
      <c r="I154" s="66" t="s">
        <v>94</v>
      </c>
      <c r="J154" s="66"/>
      <c r="K154" s="66" t="s">
        <v>95</v>
      </c>
      <c r="L154" s="67">
        <v>2019</v>
      </c>
      <c r="M154" s="66" t="s">
        <v>96</v>
      </c>
      <c r="N154" s="66" t="s">
        <v>24</v>
      </c>
      <c r="O154" s="66" t="s">
        <v>54</v>
      </c>
      <c r="P154" s="66" t="s">
        <v>25</v>
      </c>
      <c r="Q154" s="68">
        <v>46330</v>
      </c>
      <c r="R154" s="68">
        <v>44573</v>
      </c>
      <c r="S154" s="69">
        <v>37543</v>
      </c>
      <c r="T154" s="69">
        <v>258</v>
      </c>
      <c r="U154" s="74" t="s">
        <v>65</v>
      </c>
      <c r="V154" s="75" t="s">
        <v>56</v>
      </c>
      <c r="W154" s="68">
        <v>16380949</v>
      </c>
      <c r="X154" s="68">
        <f t="shared" si="130"/>
        <v>353.57109864018992</v>
      </c>
      <c r="Y154" s="68">
        <f t="shared" si="131"/>
        <v>367.50833464204788</v>
      </c>
      <c r="Z154" s="68">
        <f t="shared" si="132"/>
        <v>436.32498734784116</v>
      </c>
      <c r="AA154" s="68">
        <f t="shared" si="133"/>
        <v>63492.050387596901</v>
      </c>
      <c r="AB154" s="78" t="s">
        <v>73</v>
      </c>
      <c r="AC154" s="55"/>
      <c r="AD154" s="93">
        <f t="shared" ref="AD154" si="162">W154/AC146</f>
        <v>0.11151230144284882</v>
      </c>
    </row>
    <row r="155" spans="1:30" s="32" customFormat="1" ht="15.95">
      <c r="A155" s="65"/>
      <c r="B155" s="66" t="s">
        <v>48</v>
      </c>
      <c r="C155" s="66" t="s">
        <v>19</v>
      </c>
      <c r="D155" s="66"/>
      <c r="E155" s="66" t="s">
        <v>20</v>
      </c>
      <c r="F155" s="66" t="s">
        <v>21</v>
      </c>
      <c r="G155" s="66" t="s">
        <v>50</v>
      </c>
      <c r="H155" s="66"/>
      <c r="I155" s="66" t="s">
        <v>94</v>
      </c>
      <c r="J155" s="66"/>
      <c r="K155" s="66" t="s">
        <v>95</v>
      </c>
      <c r="L155" s="67">
        <v>2019</v>
      </c>
      <c r="M155" s="66" t="s">
        <v>96</v>
      </c>
      <c r="N155" s="66" t="s">
        <v>24</v>
      </c>
      <c r="O155" s="66" t="s">
        <v>54</v>
      </c>
      <c r="P155" s="66" t="s">
        <v>25</v>
      </c>
      <c r="Q155" s="68">
        <v>46330</v>
      </c>
      <c r="R155" s="68">
        <v>44573</v>
      </c>
      <c r="S155" s="69">
        <v>37543</v>
      </c>
      <c r="T155" s="69">
        <v>258</v>
      </c>
      <c r="U155" s="74" t="s">
        <v>66</v>
      </c>
      <c r="V155" s="75" t="s">
        <v>56</v>
      </c>
      <c r="W155" s="68">
        <v>10886659</v>
      </c>
      <c r="X155" s="68">
        <f t="shared" si="130"/>
        <v>234.98076840060435</v>
      </c>
      <c r="Y155" s="68">
        <f t="shared" si="131"/>
        <v>244.24335359971283</v>
      </c>
      <c r="Z155" s="68">
        <f t="shared" si="132"/>
        <v>289.97839810350797</v>
      </c>
      <c r="AA155" s="68">
        <f t="shared" si="133"/>
        <v>42196.352713178298</v>
      </c>
      <c r="AB155" s="78" t="s">
        <v>73</v>
      </c>
      <c r="AC155" s="55"/>
      <c r="AD155" s="93">
        <f t="shared" ref="AD155" si="163">W155/AC146</f>
        <v>7.4110260651779281E-2</v>
      </c>
    </row>
    <row r="156" spans="1:30" s="32" customFormat="1" ht="15.95">
      <c r="A156" s="65"/>
      <c r="B156" s="66" t="s">
        <v>48</v>
      </c>
      <c r="C156" s="66" t="s">
        <v>19</v>
      </c>
      <c r="D156" s="66"/>
      <c r="E156" s="66" t="s">
        <v>20</v>
      </c>
      <c r="F156" s="66" t="s">
        <v>21</v>
      </c>
      <c r="G156" s="66" t="s">
        <v>50</v>
      </c>
      <c r="H156" s="66"/>
      <c r="I156" s="66" t="s">
        <v>94</v>
      </c>
      <c r="J156" s="66"/>
      <c r="K156" s="66" t="s">
        <v>95</v>
      </c>
      <c r="L156" s="67">
        <v>2019</v>
      </c>
      <c r="M156" s="66" t="s">
        <v>96</v>
      </c>
      <c r="N156" s="66" t="s">
        <v>24</v>
      </c>
      <c r="O156" s="66" t="s">
        <v>54</v>
      </c>
      <c r="P156" s="66" t="s">
        <v>25</v>
      </c>
      <c r="Q156" s="68">
        <v>46330</v>
      </c>
      <c r="R156" s="68">
        <v>44573</v>
      </c>
      <c r="S156" s="69">
        <v>37543</v>
      </c>
      <c r="T156" s="69">
        <v>258</v>
      </c>
      <c r="U156" s="74" t="s">
        <v>67</v>
      </c>
      <c r="V156" s="75" t="s">
        <v>56</v>
      </c>
      <c r="W156" s="68">
        <v>0</v>
      </c>
      <c r="X156" s="68">
        <f t="shared" si="130"/>
        <v>0</v>
      </c>
      <c r="Y156" s="68">
        <f t="shared" si="131"/>
        <v>0</v>
      </c>
      <c r="Z156" s="68">
        <f t="shared" si="132"/>
        <v>0</v>
      </c>
      <c r="AA156" s="68">
        <f t="shared" si="133"/>
        <v>0</v>
      </c>
      <c r="AB156" s="78" t="s">
        <v>73</v>
      </c>
      <c r="AC156" s="55"/>
      <c r="AD156" s="93">
        <f t="shared" ref="AD156" si="164">W156/AC146</f>
        <v>0</v>
      </c>
    </row>
    <row r="157" spans="1:30" s="32" customFormat="1" ht="15.95">
      <c r="A157" s="65"/>
      <c r="B157" s="66" t="s">
        <v>48</v>
      </c>
      <c r="C157" s="66" t="s">
        <v>19</v>
      </c>
      <c r="D157" s="66"/>
      <c r="E157" s="66" t="s">
        <v>20</v>
      </c>
      <c r="F157" s="66" t="s">
        <v>21</v>
      </c>
      <c r="G157" s="66" t="s">
        <v>50</v>
      </c>
      <c r="H157" s="66"/>
      <c r="I157" s="66" t="s">
        <v>94</v>
      </c>
      <c r="J157" s="66"/>
      <c r="K157" s="66" t="s">
        <v>95</v>
      </c>
      <c r="L157" s="67">
        <v>2019</v>
      </c>
      <c r="M157" s="66" t="s">
        <v>96</v>
      </c>
      <c r="N157" s="66" t="s">
        <v>24</v>
      </c>
      <c r="O157" s="66" t="s">
        <v>54</v>
      </c>
      <c r="P157" s="66" t="s">
        <v>25</v>
      </c>
      <c r="Q157" s="68">
        <v>46330</v>
      </c>
      <c r="R157" s="68">
        <v>44573</v>
      </c>
      <c r="S157" s="69">
        <v>37543</v>
      </c>
      <c r="T157" s="69">
        <v>258</v>
      </c>
      <c r="U157" s="74" t="s">
        <v>68</v>
      </c>
      <c r="V157" s="75" t="s">
        <v>56</v>
      </c>
      <c r="W157" s="68">
        <v>14625961</v>
      </c>
      <c r="X157" s="68">
        <f t="shared" si="130"/>
        <v>315.69093459961147</v>
      </c>
      <c r="Y157" s="68">
        <f t="shared" si="131"/>
        <v>328.13499203553721</v>
      </c>
      <c r="Z157" s="68">
        <f t="shared" si="132"/>
        <v>389.57890951708708</v>
      </c>
      <c r="AA157" s="68">
        <f t="shared" si="133"/>
        <v>56689.771317829458</v>
      </c>
      <c r="AB157" s="78" t="s">
        <v>73</v>
      </c>
      <c r="AC157" s="55"/>
      <c r="AD157" s="93">
        <f t="shared" ref="AD157" si="165">W157/AC146</f>
        <v>9.9565328719560184E-2</v>
      </c>
    </row>
    <row r="158" spans="1:30" s="32" customFormat="1" ht="15.95">
      <c r="A158" s="65"/>
      <c r="B158" s="66" t="s">
        <v>48</v>
      </c>
      <c r="C158" s="66" t="s">
        <v>19</v>
      </c>
      <c r="D158" s="66"/>
      <c r="E158" s="66" t="s">
        <v>20</v>
      </c>
      <c r="F158" s="66" t="s">
        <v>21</v>
      </c>
      <c r="G158" s="66" t="s">
        <v>50</v>
      </c>
      <c r="H158" s="66"/>
      <c r="I158" s="66" t="s">
        <v>94</v>
      </c>
      <c r="J158" s="66"/>
      <c r="K158" s="66" t="s">
        <v>95</v>
      </c>
      <c r="L158" s="67">
        <v>2019</v>
      </c>
      <c r="M158" s="66" t="s">
        <v>96</v>
      </c>
      <c r="N158" s="66" t="s">
        <v>24</v>
      </c>
      <c r="O158" s="66" t="s">
        <v>54</v>
      </c>
      <c r="P158" s="66" t="s">
        <v>25</v>
      </c>
      <c r="Q158" s="68">
        <v>46330</v>
      </c>
      <c r="R158" s="68">
        <v>44573</v>
      </c>
      <c r="S158" s="69">
        <v>37543</v>
      </c>
      <c r="T158" s="69">
        <v>258</v>
      </c>
      <c r="U158" s="74" t="s">
        <v>69</v>
      </c>
      <c r="V158" s="75" t="s">
        <v>56</v>
      </c>
      <c r="W158" s="68">
        <v>14229000</v>
      </c>
      <c r="X158" s="68">
        <f t="shared" si="130"/>
        <v>307.12281459097778</v>
      </c>
      <c r="Y158" s="68">
        <f t="shared" si="131"/>
        <v>319.22912974222061</v>
      </c>
      <c r="Z158" s="68">
        <f t="shared" si="132"/>
        <v>379.00540713315399</v>
      </c>
      <c r="AA158" s="68">
        <f t="shared" si="133"/>
        <v>55151.162790697672</v>
      </c>
      <c r="AB158" s="78" t="s">
        <v>73</v>
      </c>
      <c r="AC158" s="55"/>
      <c r="AD158" s="93">
        <f t="shared" ref="AD158" si="166">W158/AC146</f>
        <v>9.6863041160209704E-2</v>
      </c>
    </row>
    <row r="159" spans="1:30" s="55" customFormat="1" ht="15" customHeight="1">
      <c r="A159" s="57"/>
      <c r="B159" s="58" t="s">
        <v>48</v>
      </c>
      <c r="C159" s="58" t="s">
        <v>19</v>
      </c>
      <c r="D159" s="58"/>
      <c r="E159" s="58" t="s">
        <v>20</v>
      </c>
      <c r="F159" s="58" t="s">
        <v>21</v>
      </c>
      <c r="G159" s="58" t="s">
        <v>50</v>
      </c>
      <c r="H159" s="58"/>
      <c r="I159" s="58" t="s">
        <v>97</v>
      </c>
      <c r="J159" s="58"/>
      <c r="K159" s="58" t="s">
        <v>98</v>
      </c>
      <c r="L159" s="59">
        <v>2019</v>
      </c>
      <c r="M159" s="58" t="s">
        <v>96</v>
      </c>
      <c r="N159" s="58" t="s">
        <v>24</v>
      </c>
      <c r="O159" s="58" t="s">
        <v>54</v>
      </c>
      <c r="P159" s="58" t="s">
        <v>25</v>
      </c>
      <c r="Q159" s="60">
        <v>30262</v>
      </c>
      <c r="R159" s="60">
        <v>29111</v>
      </c>
      <c r="S159" s="61">
        <v>24506</v>
      </c>
      <c r="T159" s="61">
        <v>168</v>
      </c>
      <c r="U159" s="62" t="s">
        <v>55</v>
      </c>
      <c r="V159" s="63" t="s">
        <v>56</v>
      </c>
      <c r="W159" s="60">
        <v>6320598</v>
      </c>
      <c r="X159" s="60">
        <f t="shared" si="130"/>
        <v>208.86253387086114</v>
      </c>
      <c r="Y159" s="60">
        <f t="shared" si="131"/>
        <v>217.12060733056234</v>
      </c>
      <c r="Z159" s="60">
        <f t="shared" si="132"/>
        <v>257.92042765037132</v>
      </c>
      <c r="AA159" s="60">
        <f t="shared" si="133"/>
        <v>37622.607142857145</v>
      </c>
      <c r="AB159" s="77" t="s">
        <v>73</v>
      </c>
      <c r="AC159" s="92">
        <f t="shared" ref="AC159" si="167">SUM(W159:W171)</f>
        <v>96199861</v>
      </c>
      <c r="AD159" s="93">
        <f t="shared" ref="AD159" si="168">W159/AC159</f>
        <v>6.5702776847047631E-2</v>
      </c>
    </row>
    <row r="160" spans="1:30" s="55" customFormat="1" ht="15.95">
      <c r="A160" s="57"/>
      <c r="B160" s="58" t="s">
        <v>48</v>
      </c>
      <c r="C160" s="58" t="s">
        <v>19</v>
      </c>
      <c r="D160" s="58"/>
      <c r="E160" s="58" t="s">
        <v>20</v>
      </c>
      <c r="F160" s="58" t="s">
        <v>21</v>
      </c>
      <c r="G160" s="58" t="s">
        <v>50</v>
      </c>
      <c r="H160" s="58"/>
      <c r="I160" s="58" t="s">
        <v>97</v>
      </c>
      <c r="J160" s="58"/>
      <c r="K160" s="58" t="s">
        <v>98</v>
      </c>
      <c r="L160" s="59">
        <v>2019</v>
      </c>
      <c r="M160" s="58" t="s">
        <v>96</v>
      </c>
      <c r="N160" s="58" t="s">
        <v>24</v>
      </c>
      <c r="O160" s="58" t="s">
        <v>54</v>
      </c>
      <c r="P160" s="58" t="s">
        <v>25</v>
      </c>
      <c r="Q160" s="60">
        <v>30262</v>
      </c>
      <c r="R160" s="60">
        <v>29111</v>
      </c>
      <c r="S160" s="61">
        <v>24506</v>
      </c>
      <c r="T160" s="61">
        <v>168</v>
      </c>
      <c r="U160" s="62" t="s">
        <v>58</v>
      </c>
      <c r="V160" s="63" t="s">
        <v>56</v>
      </c>
      <c r="W160" s="60">
        <v>12896857</v>
      </c>
      <c r="X160" s="60">
        <f t="shared" si="130"/>
        <v>426.17331967483972</v>
      </c>
      <c r="Y160" s="60">
        <f t="shared" si="131"/>
        <v>443.02349627288652</v>
      </c>
      <c r="Z160" s="60">
        <f t="shared" si="132"/>
        <v>526.27344323839054</v>
      </c>
      <c r="AA160" s="60">
        <f t="shared" si="133"/>
        <v>76767.005952380947</v>
      </c>
      <c r="AB160" s="77" t="s">
        <v>73</v>
      </c>
      <c r="AD160" s="93">
        <f t="shared" ref="AD160" si="169">W160/AC159</f>
        <v>0.13406315628668111</v>
      </c>
    </row>
    <row r="161" spans="1:30" s="55" customFormat="1" ht="15.95">
      <c r="A161" s="57"/>
      <c r="B161" s="58" t="s">
        <v>48</v>
      </c>
      <c r="C161" s="58" t="s">
        <v>19</v>
      </c>
      <c r="D161" s="58"/>
      <c r="E161" s="58" t="s">
        <v>20</v>
      </c>
      <c r="F161" s="58" t="s">
        <v>21</v>
      </c>
      <c r="G161" s="58" t="s">
        <v>50</v>
      </c>
      <c r="H161" s="58"/>
      <c r="I161" s="58" t="s">
        <v>97</v>
      </c>
      <c r="J161" s="58"/>
      <c r="K161" s="58" t="s">
        <v>98</v>
      </c>
      <c r="L161" s="59">
        <v>2019</v>
      </c>
      <c r="M161" s="58" t="s">
        <v>96</v>
      </c>
      <c r="N161" s="58" t="s">
        <v>24</v>
      </c>
      <c r="O161" s="58" t="s">
        <v>54</v>
      </c>
      <c r="P161" s="58" t="s">
        <v>25</v>
      </c>
      <c r="Q161" s="60">
        <v>30262</v>
      </c>
      <c r="R161" s="60">
        <v>29111</v>
      </c>
      <c r="S161" s="61">
        <v>24506</v>
      </c>
      <c r="T161" s="61">
        <v>168</v>
      </c>
      <c r="U161" s="62" t="s">
        <v>59</v>
      </c>
      <c r="V161" s="63" t="s">
        <v>56</v>
      </c>
      <c r="W161" s="60">
        <v>13422777</v>
      </c>
      <c r="X161" s="60">
        <f t="shared" si="130"/>
        <v>443.55221069327871</v>
      </c>
      <c r="Y161" s="60">
        <f t="shared" si="131"/>
        <v>461.08951942564664</v>
      </c>
      <c r="Z161" s="60">
        <f t="shared" si="132"/>
        <v>547.73430996490652</v>
      </c>
      <c r="AA161" s="60">
        <f t="shared" si="133"/>
        <v>79897.482142857145</v>
      </c>
      <c r="AB161" s="77" t="s">
        <v>73</v>
      </c>
      <c r="AD161" s="93">
        <f t="shared" ref="AD161" si="170">W161/AC159</f>
        <v>0.13953010805285884</v>
      </c>
    </row>
    <row r="162" spans="1:30" s="55" customFormat="1" ht="15.95">
      <c r="A162" s="57"/>
      <c r="B162" s="58" t="s">
        <v>48</v>
      </c>
      <c r="C162" s="58" t="s">
        <v>19</v>
      </c>
      <c r="D162" s="58"/>
      <c r="E162" s="58" t="s">
        <v>20</v>
      </c>
      <c r="F162" s="58" t="s">
        <v>21</v>
      </c>
      <c r="G162" s="58" t="s">
        <v>50</v>
      </c>
      <c r="H162" s="58"/>
      <c r="I162" s="58" t="s">
        <v>97</v>
      </c>
      <c r="J162" s="58"/>
      <c r="K162" s="58" t="s">
        <v>98</v>
      </c>
      <c r="L162" s="59">
        <v>2019</v>
      </c>
      <c r="M162" s="58" t="s">
        <v>96</v>
      </c>
      <c r="N162" s="58" t="s">
        <v>24</v>
      </c>
      <c r="O162" s="58" t="s">
        <v>54</v>
      </c>
      <c r="P162" s="58" t="s">
        <v>25</v>
      </c>
      <c r="Q162" s="60">
        <v>30262</v>
      </c>
      <c r="R162" s="60">
        <v>29111</v>
      </c>
      <c r="S162" s="61">
        <v>24506</v>
      </c>
      <c r="T162" s="61">
        <v>168</v>
      </c>
      <c r="U162" s="62" t="s">
        <v>60</v>
      </c>
      <c r="V162" s="63" t="s">
        <v>56</v>
      </c>
      <c r="W162" s="60">
        <v>8856399</v>
      </c>
      <c r="X162" s="60">
        <f t="shared" si="130"/>
        <v>292.65742515365804</v>
      </c>
      <c r="Y162" s="60">
        <f t="shared" si="131"/>
        <v>304.22860774277763</v>
      </c>
      <c r="Z162" s="60">
        <f t="shared" si="132"/>
        <v>361.39716804047987</v>
      </c>
      <c r="AA162" s="60">
        <f t="shared" si="133"/>
        <v>52716.660714285717</v>
      </c>
      <c r="AB162" s="77" t="s">
        <v>73</v>
      </c>
      <c r="AD162" s="93">
        <f t="shared" ref="AD162" si="171">W162/AC159</f>
        <v>9.2062492689048689E-2</v>
      </c>
    </row>
    <row r="163" spans="1:30" s="55" customFormat="1" ht="15.95">
      <c r="A163" s="57"/>
      <c r="B163" s="58" t="s">
        <v>48</v>
      </c>
      <c r="C163" s="58" t="s">
        <v>19</v>
      </c>
      <c r="D163" s="58"/>
      <c r="E163" s="58" t="s">
        <v>20</v>
      </c>
      <c r="F163" s="58" t="s">
        <v>21</v>
      </c>
      <c r="G163" s="58" t="s">
        <v>50</v>
      </c>
      <c r="H163" s="58"/>
      <c r="I163" s="58" t="s">
        <v>97</v>
      </c>
      <c r="J163" s="58"/>
      <c r="K163" s="58" t="s">
        <v>98</v>
      </c>
      <c r="L163" s="59">
        <v>2019</v>
      </c>
      <c r="M163" s="58" t="s">
        <v>96</v>
      </c>
      <c r="N163" s="58" t="s">
        <v>24</v>
      </c>
      <c r="O163" s="58" t="s">
        <v>54</v>
      </c>
      <c r="P163" s="58" t="s">
        <v>25</v>
      </c>
      <c r="Q163" s="60">
        <v>30262</v>
      </c>
      <c r="R163" s="60">
        <v>29111</v>
      </c>
      <c r="S163" s="61">
        <v>24506</v>
      </c>
      <c r="T163" s="61">
        <v>168</v>
      </c>
      <c r="U163" s="62" t="s">
        <v>61</v>
      </c>
      <c r="V163" s="63" t="s">
        <v>56</v>
      </c>
      <c r="W163" s="60">
        <v>11556691</v>
      </c>
      <c r="X163" s="60">
        <f t="shared" si="130"/>
        <v>381.8878791884211</v>
      </c>
      <c r="Y163" s="60">
        <f t="shared" si="131"/>
        <v>396.98708392016761</v>
      </c>
      <c r="Z163" s="60">
        <f t="shared" si="132"/>
        <v>471.58618297559781</v>
      </c>
      <c r="AA163" s="60">
        <f t="shared" si="133"/>
        <v>68789.827380952382</v>
      </c>
      <c r="AB163" s="77" t="s">
        <v>73</v>
      </c>
      <c r="AD163" s="93">
        <f t="shared" ref="AD163" si="172">W163/AC159</f>
        <v>0.12013209665656377</v>
      </c>
    </row>
    <row r="164" spans="1:30" s="55" customFormat="1" ht="15.95">
      <c r="A164" s="57"/>
      <c r="B164" s="58" t="s">
        <v>48</v>
      </c>
      <c r="C164" s="58" t="s">
        <v>19</v>
      </c>
      <c r="D164" s="58"/>
      <c r="E164" s="58" t="s">
        <v>20</v>
      </c>
      <c r="F164" s="58" t="s">
        <v>21</v>
      </c>
      <c r="G164" s="58" t="s">
        <v>50</v>
      </c>
      <c r="H164" s="58"/>
      <c r="I164" s="58" t="s">
        <v>97</v>
      </c>
      <c r="J164" s="58"/>
      <c r="K164" s="58" t="s">
        <v>98</v>
      </c>
      <c r="L164" s="59">
        <v>2019</v>
      </c>
      <c r="M164" s="58" t="s">
        <v>96</v>
      </c>
      <c r="N164" s="58" t="s">
        <v>24</v>
      </c>
      <c r="O164" s="58" t="s">
        <v>54</v>
      </c>
      <c r="P164" s="58" t="s">
        <v>25</v>
      </c>
      <c r="Q164" s="60">
        <v>30262</v>
      </c>
      <c r="R164" s="60">
        <v>29111</v>
      </c>
      <c r="S164" s="61">
        <v>24506</v>
      </c>
      <c r="T164" s="61">
        <v>168</v>
      </c>
      <c r="U164" s="62" t="s">
        <v>62</v>
      </c>
      <c r="V164" s="63" t="s">
        <v>56</v>
      </c>
      <c r="W164" s="60">
        <v>5083390</v>
      </c>
      <c r="X164" s="60">
        <f t="shared" si="130"/>
        <v>167.97931399114401</v>
      </c>
      <c r="Y164" s="60">
        <f t="shared" si="131"/>
        <v>174.62093366768576</v>
      </c>
      <c r="Z164" s="60">
        <f t="shared" si="132"/>
        <v>207.43450583530563</v>
      </c>
      <c r="AA164" s="60">
        <f t="shared" si="133"/>
        <v>30258.273809523809</v>
      </c>
      <c r="AB164" s="77" t="s">
        <v>73</v>
      </c>
      <c r="AD164" s="93">
        <f t="shared" ref="AD164" si="173">W164/AC159</f>
        <v>5.2841968243592372E-2</v>
      </c>
    </row>
    <row r="165" spans="1:30" s="55" customFormat="1" ht="15.95">
      <c r="A165" s="57"/>
      <c r="B165" s="58" t="s">
        <v>48</v>
      </c>
      <c r="C165" s="58" t="s">
        <v>19</v>
      </c>
      <c r="D165" s="58"/>
      <c r="E165" s="58" t="s">
        <v>20</v>
      </c>
      <c r="F165" s="58" t="s">
        <v>21</v>
      </c>
      <c r="G165" s="58" t="s">
        <v>50</v>
      </c>
      <c r="H165" s="58"/>
      <c r="I165" s="58" t="s">
        <v>97</v>
      </c>
      <c r="J165" s="58"/>
      <c r="K165" s="58" t="s">
        <v>98</v>
      </c>
      <c r="L165" s="59">
        <v>2019</v>
      </c>
      <c r="M165" s="58" t="s">
        <v>96</v>
      </c>
      <c r="N165" s="58" t="s">
        <v>24</v>
      </c>
      <c r="O165" s="58" t="s">
        <v>54</v>
      </c>
      <c r="P165" s="58" t="s">
        <v>25</v>
      </c>
      <c r="Q165" s="60">
        <v>30262</v>
      </c>
      <c r="R165" s="60">
        <v>29111</v>
      </c>
      <c r="S165" s="61">
        <v>24506</v>
      </c>
      <c r="T165" s="61">
        <v>168</v>
      </c>
      <c r="U165" s="62" t="s">
        <v>63</v>
      </c>
      <c r="V165" s="63" t="s">
        <v>56</v>
      </c>
      <c r="W165" s="60">
        <v>1173928</v>
      </c>
      <c r="X165" s="60">
        <f t="shared" si="130"/>
        <v>38.792148569162649</v>
      </c>
      <c r="Y165" s="60">
        <f t="shared" si="131"/>
        <v>40.325924908110338</v>
      </c>
      <c r="Z165" s="60">
        <f t="shared" si="132"/>
        <v>47.90369705378275</v>
      </c>
      <c r="AA165" s="60">
        <f t="shared" si="133"/>
        <v>6987.666666666667</v>
      </c>
      <c r="AB165" s="77" t="s">
        <v>73</v>
      </c>
      <c r="AD165" s="93">
        <f t="shared" ref="AD165" si="174">W165/AC159</f>
        <v>1.2203011395203574E-2</v>
      </c>
    </row>
    <row r="166" spans="1:30" s="55" customFormat="1" ht="15.95">
      <c r="A166" s="57"/>
      <c r="B166" s="58" t="s">
        <v>48</v>
      </c>
      <c r="C166" s="58" t="s">
        <v>19</v>
      </c>
      <c r="D166" s="58"/>
      <c r="E166" s="58" t="s">
        <v>20</v>
      </c>
      <c r="F166" s="58" t="s">
        <v>21</v>
      </c>
      <c r="G166" s="58" t="s">
        <v>50</v>
      </c>
      <c r="H166" s="58"/>
      <c r="I166" s="58" t="s">
        <v>97</v>
      </c>
      <c r="J166" s="58"/>
      <c r="K166" s="58" t="s">
        <v>98</v>
      </c>
      <c r="L166" s="59">
        <v>2019</v>
      </c>
      <c r="M166" s="58" t="s">
        <v>96</v>
      </c>
      <c r="N166" s="58" t="s">
        <v>24</v>
      </c>
      <c r="O166" s="58" t="s">
        <v>54</v>
      </c>
      <c r="P166" s="58" t="s">
        <v>25</v>
      </c>
      <c r="Q166" s="60">
        <v>30262</v>
      </c>
      <c r="R166" s="60">
        <v>29111</v>
      </c>
      <c r="S166" s="61">
        <v>24506</v>
      </c>
      <c r="T166" s="61">
        <v>168</v>
      </c>
      <c r="U166" s="62" t="s">
        <v>64</v>
      </c>
      <c r="V166" s="63" t="s">
        <v>56</v>
      </c>
      <c r="W166" s="60">
        <v>0</v>
      </c>
      <c r="X166" s="60">
        <f t="shared" si="130"/>
        <v>0</v>
      </c>
      <c r="Y166" s="60">
        <f t="shared" si="131"/>
        <v>0</v>
      </c>
      <c r="Z166" s="60">
        <f t="shared" si="132"/>
        <v>0</v>
      </c>
      <c r="AA166" s="60">
        <f t="shared" si="133"/>
        <v>0</v>
      </c>
      <c r="AB166" s="77" t="s">
        <v>73</v>
      </c>
      <c r="AD166" s="93">
        <f t="shared" ref="AD166" si="175">W166/AC159</f>
        <v>0</v>
      </c>
    </row>
    <row r="167" spans="1:30" s="55" customFormat="1" ht="15.95">
      <c r="A167" s="57"/>
      <c r="B167" s="58" t="s">
        <v>48</v>
      </c>
      <c r="C167" s="58" t="s">
        <v>19</v>
      </c>
      <c r="D167" s="58"/>
      <c r="E167" s="58" t="s">
        <v>20</v>
      </c>
      <c r="F167" s="58" t="s">
        <v>21</v>
      </c>
      <c r="G167" s="58" t="s">
        <v>50</v>
      </c>
      <c r="H167" s="58"/>
      <c r="I167" s="58" t="s">
        <v>97</v>
      </c>
      <c r="J167" s="58"/>
      <c r="K167" s="58" t="s">
        <v>98</v>
      </c>
      <c r="L167" s="59">
        <v>2019</v>
      </c>
      <c r="M167" s="58" t="s">
        <v>96</v>
      </c>
      <c r="N167" s="58" t="s">
        <v>24</v>
      </c>
      <c r="O167" s="58" t="s">
        <v>54</v>
      </c>
      <c r="P167" s="58" t="s">
        <v>25</v>
      </c>
      <c r="Q167" s="60">
        <v>30262</v>
      </c>
      <c r="R167" s="60">
        <v>29111</v>
      </c>
      <c r="S167" s="61">
        <v>24506</v>
      </c>
      <c r="T167" s="61">
        <v>168</v>
      </c>
      <c r="U167" s="62" t="s">
        <v>65</v>
      </c>
      <c r="V167" s="63" t="s">
        <v>56</v>
      </c>
      <c r="W167" s="60">
        <v>10658049</v>
      </c>
      <c r="X167" s="60">
        <f t="shared" si="130"/>
        <v>352.19248562553696</v>
      </c>
      <c r="Y167" s="60">
        <f t="shared" si="131"/>
        <v>366.11758441826112</v>
      </c>
      <c r="Z167" s="60">
        <f t="shared" si="132"/>
        <v>434.91589814739245</v>
      </c>
      <c r="AA167" s="60">
        <f t="shared" si="133"/>
        <v>63440.767857142855</v>
      </c>
      <c r="AB167" s="77" t="s">
        <v>73</v>
      </c>
      <c r="AD167" s="93">
        <f t="shared" ref="AD167" si="176">W167/AC159</f>
        <v>0.11079069022771248</v>
      </c>
    </row>
    <row r="168" spans="1:30" s="55" customFormat="1" ht="15.95">
      <c r="A168" s="57"/>
      <c r="B168" s="58" t="s">
        <v>48</v>
      </c>
      <c r="C168" s="58" t="s">
        <v>19</v>
      </c>
      <c r="D168" s="58"/>
      <c r="E168" s="58" t="s">
        <v>20</v>
      </c>
      <c r="F168" s="58" t="s">
        <v>21</v>
      </c>
      <c r="G168" s="58" t="s">
        <v>50</v>
      </c>
      <c r="H168" s="58"/>
      <c r="I168" s="58" t="s">
        <v>97</v>
      </c>
      <c r="J168" s="58"/>
      <c r="K168" s="58" t="s">
        <v>98</v>
      </c>
      <c r="L168" s="59">
        <v>2019</v>
      </c>
      <c r="M168" s="58" t="s">
        <v>96</v>
      </c>
      <c r="N168" s="58" t="s">
        <v>24</v>
      </c>
      <c r="O168" s="58" t="s">
        <v>54</v>
      </c>
      <c r="P168" s="58" t="s">
        <v>25</v>
      </c>
      <c r="Q168" s="60">
        <v>30262</v>
      </c>
      <c r="R168" s="60">
        <v>29111</v>
      </c>
      <c r="S168" s="61">
        <v>24506</v>
      </c>
      <c r="T168" s="61">
        <v>168</v>
      </c>
      <c r="U168" s="62" t="s">
        <v>66</v>
      </c>
      <c r="V168" s="63" t="s">
        <v>56</v>
      </c>
      <c r="W168" s="60">
        <v>7281095</v>
      </c>
      <c r="X168" s="60">
        <f t="shared" si="130"/>
        <v>240.6019099861212</v>
      </c>
      <c r="Y168" s="60">
        <f t="shared" si="131"/>
        <v>250.11490501872146</v>
      </c>
      <c r="Z168" s="60">
        <f t="shared" si="132"/>
        <v>297.114788215131</v>
      </c>
      <c r="AA168" s="60">
        <f t="shared" si="133"/>
        <v>43339.851190476191</v>
      </c>
      <c r="AB168" s="77" t="s">
        <v>73</v>
      </c>
      <c r="AD168" s="93">
        <f t="shared" ref="AD168" si="177">W168/AC159</f>
        <v>7.5687167572934436E-2</v>
      </c>
    </row>
    <row r="169" spans="1:30" s="55" customFormat="1" ht="15.95">
      <c r="A169" s="57"/>
      <c r="B169" s="58" t="s">
        <v>48</v>
      </c>
      <c r="C169" s="58" t="s">
        <v>19</v>
      </c>
      <c r="D169" s="58"/>
      <c r="E169" s="58" t="s">
        <v>20</v>
      </c>
      <c r="F169" s="58" t="s">
        <v>21</v>
      </c>
      <c r="G169" s="58" t="s">
        <v>50</v>
      </c>
      <c r="H169" s="58"/>
      <c r="I169" s="58" t="s">
        <v>97</v>
      </c>
      <c r="J169" s="58"/>
      <c r="K169" s="58" t="s">
        <v>98</v>
      </c>
      <c r="L169" s="59">
        <v>2019</v>
      </c>
      <c r="M169" s="58" t="s">
        <v>96</v>
      </c>
      <c r="N169" s="58" t="s">
        <v>24</v>
      </c>
      <c r="O169" s="58" t="s">
        <v>54</v>
      </c>
      <c r="P169" s="58" t="s">
        <v>25</v>
      </c>
      <c r="Q169" s="60">
        <v>30262</v>
      </c>
      <c r="R169" s="60">
        <v>29111</v>
      </c>
      <c r="S169" s="61">
        <v>24506</v>
      </c>
      <c r="T169" s="61">
        <v>168</v>
      </c>
      <c r="U169" s="62" t="s">
        <v>67</v>
      </c>
      <c r="V169" s="63" t="s">
        <v>56</v>
      </c>
      <c r="W169" s="60">
        <v>0</v>
      </c>
      <c r="X169" s="60">
        <f t="shared" si="130"/>
        <v>0</v>
      </c>
      <c r="Y169" s="60">
        <f t="shared" si="131"/>
        <v>0</v>
      </c>
      <c r="Z169" s="60">
        <f t="shared" si="132"/>
        <v>0</v>
      </c>
      <c r="AA169" s="60">
        <f t="shared" si="133"/>
        <v>0</v>
      </c>
      <c r="AB169" s="77" t="s">
        <v>73</v>
      </c>
      <c r="AD169" s="93">
        <f t="shared" ref="AD169" si="178">W169/AC159</f>
        <v>0</v>
      </c>
    </row>
    <row r="170" spans="1:30" s="55" customFormat="1" ht="15.95">
      <c r="A170" s="57"/>
      <c r="B170" s="58" t="s">
        <v>48</v>
      </c>
      <c r="C170" s="58" t="s">
        <v>19</v>
      </c>
      <c r="D170" s="58"/>
      <c r="E170" s="58" t="s">
        <v>20</v>
      </c>
      <c r="F170" s="58" t="s">
        <v>21</v>
      </c>
      <c r="G170" s="58" t="s">
        <v>50</v>
      </c>
      <c r="H170" s="58"/>
      <c r="I170" s="58" t="s">
        <v>97</v>
      </c>
      <c r="J170" s="58"/>
      <c r="K170" s="58" t="s">
        <v>98</v>
      </c>
      <c r="L170" s="59">
        <v>2019</v>
      </c>
      <c r="M170" s="58" t="s">
        <v>96</v>
      </c>
      <c r="N170" s="58" t="s">
        <v>24</v>
      </c>
      <c r="O170" s="58" t="s">
        <v>54</v>
      </c>
      <c r="P170" s="58" t="s">
        <v>25</v>
      </c>
      <c r="Q170" s="60">
        <v>30262</v>
      </c>
      <c r="R170" s="60">
        <v>29111</v>
      </c>
      <c r="S170" s="61">
        <v>24506</v>
      </c>
      <c r="T170" s="61">
        <v>168</v>
      </c>
      <c r="U170" s="62" t="s">
        <v>68</v>
      </c>
      <c r="V170" s="63" t="s">
        <v>56</v>
      </c>
      <c r="W170" s="60">
        <v>9464079</v>
      </c>
      <c r="X170" s="60">
        <f t="shared" si="130"/>
        <v>312.73805432555679</v>
      </c>
      <c r="Y170" s="60">
        <f t="shared" si="131"/>
        <v>325.1031912335543</v>
      </c>
      <c r="Z170" s="60">
        <f t="shared" si="132"/>
        <v>386.19436056475968</v>
      </c>
      <c r="AA170" s="60">
        <f t="shared" si="133"/>
        <v>56333.803571428572</v>
      </c>
      <c r="AB170" s="77" t="s">
        <v>73</v>
      </c>
      <c r="AD170" s="93">
        <f t="shared" ref="AD170" si="179">W170/AC159</f>
        <v>9.8379341733144499E-2</v>
      </c>
    </row>
    <row r="171" spans="1:30" s="55" customFormat="1" ht="15.95">
      <c r="A171" s="57"/>
      <c r="B171" s="58" t="s">
        <v>48</v>
      </c>
      <c r="C171" s="58" t="s">
        <v>19</v>
      </c>
      <c r="D171" s="58"/>
      <c r="E171" s="58" t="s">
        <v>20</v>
      </c>
      <c r="F171" s="58" t="s">
        <v>21</v>
      </c>
      <c r="G171" s="58" t="s">
        <v>50</v>
      </c>
      <c r="H171" s="58"/>
      <c r="I171" s="58" t="s">
        <v>97</v>
      </c>
      <c r="J171" s="58"/>
      <c r="K171" s="58" t="s">
        <v>98</v>
      </c>
      <c r="L171" s="59">
        <v>2019</v>
      </c>
      <c r="M171" s="58" t="s">
        <v>96</v>
      </c>
      <c r="N171" s="58" t="s">
        <v>24</v>
      </c>
      <c r="O171" s="58" t="s">
        <v>54</v>
      </c>
      <c r="P171" s="58" t="s">
        <v>25</v>
      </c>
      <c r="Q171" s="60">
        <v>30262</v>
      </c>
      <c r="R171" s="60">
        <v>29111</v>
      </c>
      <c r="S171" s="61">
        <v>24506</v>
      </c>
      <c r="T171" s="61">
        <v>168</v>
      </c>
      <c r="U171" s="62" t="s">
        <v>69</v>
      </c>
      <c r="V171" s="63" t="s">
        <v>56</v>
      </c>
      <c r="W171" s="60">
        <v>9485998</v>
      </c>
      <c r="X171" s="60">
        <f t="shared" si="130"/>
        <v>313.46236203819973</v>
      </c>
      <c r="Y171" s="60">
        <f t="shared" si="131"/>
        <v>325.85613685548418</v>
      </c>
      <c r="Z171" s="60">
        <f t="shared" si="132"/>
        <v>387.08879458091894</v>
      </c>
      <c r="AA171" s="60">
        <f t="shared" si="133"/>
        <v>56464.273809523809</v>
      </c>
      <c r="AB171" s="77" t="s">
        <v>73</v>
      </c>
      <c r="AD171" s="93">
        <f t="shared" ref="AD171" si="180">W171/AC159</f>
        <v>9.8607190295212588E-2</v>
      </c>
    </row>
    <row r="172" spans="1:30" s="32" customFormat="1" ht="15" customHeight="1">
      <c r="A172" s="65"/>
      <c r="B172" s="66" t="s">
        <v>48</v>
      </c>
      <c r="C172" s="66" t="s">
        <v>19</v>
      </c>
      <c r="D172" s="66"/>
      <c r="E172" s="66" t="s">
        <v>20</v>
      </c>
      <c r="F172" s="66" t="s">
        <v>21</v>
      </c>
      <c r="G172" s="66" t="s">
        <v>50</v>
      </c>
      <c r="H172" s="66"/>
      <c r="I172" s="66" t="s">
        <v>99</v>
      </c>
      <c r="J172" s="66"/>
      <c r="K172" s="66" t="s">
        <v>100</v>
      </c>
      <c r="L172" s="67">
        <v>2021</v>
      </c>
      <c r="M172" s="66" t="s">
        <v>96</v>
      </c>
      <c r="N172" s="66" t="s">
        <v>24</v>
      </c>
      <c r="O172" s="66" t="s">
        <v>54</v>
      </c>
      <c r="P172" s="66" t="s">
        <v>25</v>
      </c>
      <c r="Q172" s="68">
        <v>70082.126366837299</v>
      </c>
      <c r="R172" s="68">
        <v>66355</v>
      </c>
      <c r="S172" s="68">
        <v>51445.479798214401</v>
      </c>
      <c r="T172" s="68">
        <v>362</v>
      </c>
      <c r="U172" s="74" t="s">
        <v>55</v>
      </c>
      <c r="V172" s="75" t="s">
        <v>56</v>
      </c>
      <c r="W172" s="68">
        <v>16273773</v>
      </c>
      <c r="X172" s="68">
        <f t="shared" si="130"/>
        <v>232.2100347643092</v>
      </c>
      <c r="Y172" s="68">
        <f t="shared" si="131"/>
        <v>245.25315349257781</v>
      </c>
      <c r="Z172" s="68">
        <f t="shared" si="132"/>
        <v>316.33047381093411</v>
      </c>
      <c r="AA172" s="68">
        <f t="shared" si="133"/>
        <v>44955.174033149175</v>
      </c>
      <c r="AB172" s="78" t="s">
        <v>73</v>
      </c>
      <c r="AC172" s="92">
        <f t="shared" ref="AC172" si="181">SUM(W172:W184)</f>
        <v>196850001</v>
      </c>
      <c r="AD172" s="93">
        <f t="shared" ref="AD172" si="182">W172/AC172</f>
        <v>8.2670931761895189E-2</v>
      </c>
    </row>
    <row r="173" spans="1:30" s="32" customFormat="1" ht="15.95">
      <c r="A173" s="65"/>
      <c r="B173" s="66" t="s">
        <v>48</v>
      </c>
      <c r="C173" s="66" t="s">
        <v>19</v>
      </c>
      <c r="D173" s="66"/>
      <c r="E173" s="66" t="s">
        <v>20</v>
      </c>
      <c r="F173" s="66" t="s">
        <v>21</v>
      </c>
      <c r="G173" s="66" t="s">
        <v>50</v>
      </c>
      <c r="H173" s="66"/>
      <c r="I173" s="66" t="s">
        <v>99</v>
      </c>
      <c r="J173" s="66"/>
      <c r="K173" s="66" t="s">
        <v>100</v>
      </c>
      <c r="L173" s="67">
        <v>2021</v>
      </c>
      <c r="M173" s="66" t="s">
        <v>96</v>
      </c>
      <c r="N173" s="66" t="s">
        <v>24</v>
      </c>
      <c r="O173" s="66" t="s">
        <v>54</v>
      </c>
      <c r="P173" s="66" t="s">
        <v>25</v>
      </c>
      <c r="Q173" s="68">
        <v>70082.126366837299</v>
      </c>
      <c r="R173" s="68">
        <v>66355</v>
      </c>
      <c r="S173" s="69">
        <v>51445.479798214401</v>
      </c>
      <c r="T173" s="69">
        <v>362</v>
      </c>
      <c r="U173" s="74" t="s">
        <v>58</v>
      </c>
      <c r="V173" s="75" t="s">
        <v>56</v>
      </c>
      <c r="W173" s="68">
        <v>34367142</v>
      </c>
      <c r="X173" s="68">
        <f t="shared" si="130"/>
        <v>490.38383653071423</v>
      </c>
      <c r="Y173" s="68">
        <f t="shared" si="131"/>
        <v>517.92844548263133</v>
      </c>
      <c r="Z173" s="68">
        <f t="shared" si="132"/>
        <v>668.03035241966654</v>
      </c>
      <c r="AA173" s="68">
        <f t="shared" si="133"/>
        <v>94936.856353591167</v>
      </c>
      <c r="AB173" s="78" t="s">
        <v>73</v>
      </c>
      <c r="AC173" s="55"/>
      <c r="AD173" s="93">
        <f t="shared" ref="AD173" si="183">W173/AC172</f>
        <v>0.17458542964396531</v>
      </c>
    </row>
    <row r="174" spans="1:30" s="32" customFormat="1" ht="15.95">
      <c r="A174" s="65"/>
      <c r="B174" s="66" t="s">
        <v>48</v>
      </c>
      <c r="C174" s="66" t="s">
        <v>19</v>
      </c>
      <c r="D174" s="66"/>
      <c r="E174" s="66" t="s">
        <v>20</v>
      </c>
      <c r="F174" s="66" t="s">
        <v>21</v>
      </c>
      <c r="G174" s="66" t="s">
        <v>50</v>
      </c>
      <c r="H174" s="66"/>
      <c r="I174" s="66" t="s">
        <v>99</v>
      </c>
      <c r="J174" s="66"/>
      <c r="K174" s="66" t="s">
        <v>100</v>
      </c>
      <c r="L174" s="67">
        <v>2021</v>
      </c>
      <c r="M174" s="66" t="s">
        <v>96</v>
      </c>
      <c r="N174" s="66" t="s">
        <v>24</v>
      </c>
      <c r="O174" s="66" t="s">
        <v>54</v>
      </c>
      <c r="P174" s="66" t="s">
        <v>25</v>
      </c>
      <c r="Q174" s="68">
        <v>70082.126366837299</v>
      </c>
      <c r="R174" s="68">
        <v>66355</v>
      </c>
      <c r="S174" s="69">
        <v>51445.479798214401</v>
      </c>
      <c r="T174" s="69">
        <v>362</v>
      </c>
      <c r="U174" s="74" t="s">
        <v>59</v>
      </c>
      <c r="V174" s="75" t="s">
        <v>56</v>
      </c>
      <c r="W174" s="68">
        <v>19613710</v>
      </c>
      <c r="X174" s="68">
        <f t="shared" si="130"/>
        <v>279.86750712063389</v>
      </c>
      <c r="Y174" s="68">
        <f t="shared" si="131"/>
        <v>295.58752166377815</v>
      </c>
      <c r="Z174" s="68">
        <f t="shared" si="132"/>
        <v>381.252348640371</v>
      </c>
      <c r="AA174" s="68">
        <f t="shared" si="133"/>
        <v>54181.519337016573</v>
      </c>
      <c r="AB174" s="78" t="s">
        <v>73</v>
      </c>
      <c r="AC174" s="55"/>
      <c r="AD174" s="93">
        <f t="shared" ref="AD174" si="184">W174/AC172</f>
        <v>9.9637845569530883E-2</v>
      </c>
    </row>
    <row r="175" spans="1:30" s="32" customFormat="1" ht="15.95">
      <c r="A175" s="65"/>
      <c r="B175" s="66" t="s">
        <v>48</v>
      </c>
      <c r="C175" s="66" t="s">
        <v>19</v>
      </c>
      <c r="D175" s="66"/>
      <c r="E175" s="66" t="s">
        <v>20</v>
      </c>
      <c r="F175" s="66" t="s">
        <v>21</v>
      </c>
      <c r="G175" s="66" t="s">
        <v>50</v>
      </c>
      <c r="H175" s="66"/>
      <c r="I175" s="66" t="s">
        <v>99</v>
      </c>
      <c r="J175" s="66"/>
      <c r="K175" s="66" t="s">
        <v>100</v>
      </c>
      <c r="L175" s="67">
        <v>2021</v>
      </c>
      <c r="M175" s="66" t="s">
        <v>96</v>
      </c>
      <c r="N175" s="66" t="s">
        <v>24</v>
      </c>
      <c r="O175" s="66" t="s">
        <v>54</v>
      </c>
      <c r="P175" s="66" t="s">
        <v>25</v>
      </c>
      <c r="Q175" s="68">
        <v>70082.126366837299</v>
      </c>
      <c r="R175" s="68">
        <v>66355</v>
      </c>
      <c r="S175" s="69">
        <v>51445.479798214401</v>
      </c>
      <c r="T175" s="69">
        <v>362</v>
      </c>
      <c r="U175" s="74" t="s">
        <v>60</v>
      </c>
      <c r="V175" s="75" t="s">
        <v>56</v>
      </c>
      <c r="W175" s="68">
        <v>15952655</v>
      </c>
      <c r="X175" s="68">
        <f t="shared" si="130"/>
        <v>227.62801055004459</v>
      </c>
      <c r="Y175" s="68">
        <f t="shared" si="131"/>
        <v>240.41375932484365</v>
      </c>
      <c r="Z175" s="68">
        <f t="shared" si="132"/>
        <v>310.08856487628083</v>
      </c>
      <c r="AA175" s="68">
        <f t="shared" si="133"/>
        <v>44068.107734806632</v>
      </c>
      <c r="AB175" s="78" t="s">
        <v>73</v>
      </c>
      <c r="AC175" s="55"/>
      <c r="AD175" s="93">
        <f t="shared" ref="AD175" si="185">W175/AC172</f>
        <v>8.1039649067616723E-2</v>
      </c>
    </row>
    <row r="176" spans="1:30" s="32" customFormat="1" ht="15.95">
      <c r="A176" s="65"/>
      <c r="B176" s="66" t="s">
        <v>48</v>
      </c>
      <c r="C176" s="66" t="s">
        <v>19</v>
      </c>
      <c r="D176" s="66"/>
      <c r="E176" s="66" t="s">
        <v>20</v>
      </c>
      <c r="F176" s="66" t="s">
        <v>21</v>
      </c>
      <c r="G176" s="66" t="s">
        <v>50</v>
      </c>
      <c r="H176" s="66"/>
      <c r="I176" s="66" t="s">
        <v>99</v>
      </c>
      <c r="J176" s="66"/>
      <c r="K176" s="66" t="s">
        <v>100</v>
      </c>
      <c r="L176" s="67">
        <v>2021</v>
      </c>
      <c r="M176" s="66" t="s">
        <v>96</v>
      </c>
      <c r="N176" s="66" t="s">
        <v>24</v>
      </c>
      <c r="O176" s="66" t="s">
        <v>54</v>
      </c>
      <c r="P176" s="66" t="s">
        <v>25</v>
      </c>
      <c r="Q176" s="68">
        <v>70082.126366837299</v>
      </c>
      <c r="R176" s="68">
        <v>66355</v>
      </c>
      <c r="S176" s="69">
        <v>51445.479798214401</v>
      </c>
      <c r="T176" s="69">
        <v>362</v>
      </c>
      <c r="U176" s="74" t="s">
        <v>61</v>
      </c>
      <c r="V176" s="75" t="s">
        <v>56</v>
      </c>
      <c r="W176" s="68">
        <v>20378541</v>
      </c>
      <c r="X176" s="68">
        <f t="shared" si="130"/>
        <v>290.78086034848224</v>
      </c>
      <c r="Y176" s="68">
        <f t="shared" si="131"/>
        <v>307.11387235325145</v>
      </c>
      <c r="Z176" s="68">
        <f t="shared" si="132"/>
        <v>396.11917470555517</v>
      </c>
      <c r="AA176" s="68">
        <f t="shared" si="133"/>
        <v>56294.312154696134</v>
      </c>
      <c r="AB176" s="78" t="s">
        <v>73</v>
      </c>
      <c r="AC176" s="55"/>
      <c r="AD176" s="93">
        <f t="shared" ref="AD176" si="186">W176/AC172</f>
        <v>0.10352319480049177</v>
      </c>
    </row>
    <row r="177" spans="1:30" s="32" customFormat="1" ht="15.95">
      <c r="A177" s="65"/>
      <c r="B177" s="66" t="s">
        <v>48</v>
      </c>
      <c r="C177" s="66" t="s">
        <v>19</v>
      </c>
      <c r="D177" s="66"/>
      <c r="E177" s="66" t="s">
        <v>20</v>
      </c>
      <c r="F177" s="66" t="s">
        <v>21</v>
      </c>
      <c r="G177" s="66" t="s">
        <v>50</v>
      </c>
      <c r="H177" s="66"/>
      <c r="I177" s="66" t="s">
        <v>99</v>
      </c>
      <c r="J177" s="66"/>
      <c r="K177" s="66" t="s">
        <v>100</v>
      </c>
      <c r="L177" s="67">
        <v>2021</v>
      </c>
      <c r="M177" s="66" t="s">
        <v>96</v>
      </c>
      <c r="N177" s="66" t="s">
        <v>24</v>
      </c>
      <c r="O177" s="66" t="s">
        <v>54</v>
      </c>
      <c r="P177" s="66" t="s">
        <v>25</v>
      </c>
      <c r="Q177" s="68">
        <v>70082.126366837299</v>
      </c>
      <c r="R177" s="68">
        <v>66355</v>
      </c>
      <c r="S177" s="69">
        <v>51445.479798214401</v>
      </c>
      <c r="T177" s="69">
        <v>362</v>
      </c>
      <c r="U177" s="74" t="s">
        <v>62</v>
      </c>
      <c r="V177" s="75" t="s">
        <v>56</v>
      </c>
      <c r="W177" s="68">
        <v>9822446</v>
      </c>
      <c r="X177" s="68">
        <f t="shared" si="130"/>
        <v>140.15622112527623</v>
      </c>
      <c r="Y177" s="68">
        <f t="shared" si="131"/>
        <v>148.02872428603723</v>
      </c>
      <c r="Z177" s="68">
        <f t="shared" si="132"/>
        <v>190.92923301574345</v>
      </c>
      <c r="AA177" s="68">
        <f t="shared" si="133"/>
        <v>27133.828729281769</v>
      </c>
      <c r="AB177" s="78" t="s">
        <v>73</v>
      </c>
      <c r="AC177" s="55"/>
      <c r="AD177" s="93">
        <f t="shared" ref="AD177" si="187">W177/AC172</f>
        <v>4.9898125222767972E-2</v>
      </c>
    </row>
    <row r="178" spans="1:30" s="32" customFormat="1" ht="15.95">
      <c r="A178" s="65"/>
      <c r="B178" s="66" t="s">
        <v>48</v>
      </c>
      <c r="C178" s="66" t="s">
        <v>19</v>
      </c>
      <c r="D178" s="66"/>
      <c r="E178" s="66" t="s">
        <v>20</v>
      </c>
      <c r="F178" s="66" t="s">
        <v>21</v>
      </c>
      <c r="G178" s="66" t="s">
        <v>50</v>
      </c>
      <c r="H178" s="66"/>
      <c r="I178" s="66" t="s">
        <v>99</v>
      </c>
      <c r="J178" s="66"/>
      <c r="K178" s="66" t="s">
        <v>100</v>
      </c>
      <c r="L178" s="67">
        <v>2021</v>
      </c>
      <c r="M178" s="66" t="s">
        <v>96</v>
      </c>
      <c r="N178" s="66" t="s">
        <v>24</v>
      </c>
      <c r="O178" s="66" t="s">
        <v>54</v>
      </c>
      <c r="P178" s="66" t="s">
        <v>25</v>
      </c>
      <c r="Q178" s="68">
        <v>70082.126366837299</v>
      </c>
      <c r="R178" s="68">
        <v>66355</v>
      </c>
      <c r="S178" s="69">
        <v>51445.479798214401</v>
      </c>
      <c r="T178" s="69">
        <v>362</v>
      </c>
      <c r="U178" s="74" t="s">
        <v>63</v>
      </c>
      <c r="V178" s="75" t="s">
        <v>56</v>
      </c>
      <c r="W178" s="68">
        <v>5799900</v>
      </c>
      <c r="X178" s="68">
        <f t="shared" si="130"/>
        <v>82.758619075583582</v>
      </c>
      <c r="Y178" s="68">
        <f t="shared" si="131"/>
        <v>87.407128324919</v>
      </c>
      <c r="Z178" s="68">
        <f t="shared" si="132"/>
        <v>112.73876777413798</v>
      </c>
      <c r="AA178" s="68">
        <f t="shared" si="133"/>
        <v>16021.82320441989</v>
      </c>
      <c r="AB178" s="78" t="s">
        <v>73</v>
      </c>
      <c r="AC178" s="55"/>
      <c r="AD178" s="93">
        <f t="shared" ref="AD178" si="188">W178/AC172</f>
        <v>2.9463550777426718E-2</v>
      </c>
    </row>
    <row r="179" spans="1:30" s="32" customFormat="1" ht="15.95">
      <c r="A179" s="65"/>
      <c r="B179" s="66" t="s">
        <v>48</v>
      </c>
      <c r="C179" s="66" t="s">
        <v>19</v>
      </c>
      <c r="D179" s="66"/>
      <c r="E179" s="66" t="s">
        <v>20</v>
      </c>
      <c r="F179" s="66" t="s">
        <v>21</v>
      </c>
      <c r="G179" s="66" t="s">
        <v>50</v>
      </c>
      <c r="H179" s="66"/>
      <c r="I179" s="66" t="s">
        <v>99</v>
      </c>
      <c r="J179" s="66"/>
      <c r="K179" s="66" t="s">
        <v>100</v>
      </c>
      <c r="L179" s="67">
        <v>2021</v>
      </c>
      <c r="M179" s="66" t="s">
        <v>96</v>
      </c>
      <c r="N179" s="66" t="s">
        <v>24</v>
      </c>
      <c r="O179" s="66" t="s">
        <v>54</v>
      </c>
      <c r="P179" s="66" t="s">
        <v>25</v>
      </c>
      <c r="Q179" s="68">
        <v>70082.126366837299</v>
      </c>
      <c r="R179" s="68">
        <v>66355</v>
      </c>
      <c r="S179" s="69">
        <v>51445.479798214401</v>
      </c>
      <c r="T179" s="69">
        <v>362</v>
      </c>
      <c r="U179" s="74" t="s">
        <v>64</v>
      </c>
      <c r="V179" s="75" t="s">
        <v>56</v>
      </c>
      <c r="W179" s="68">
        <v>0</v>
      </c>
      <c r="X179" s="68">
        <f t="shared" si="130"/>
        <v>0</v>
      </c>
      <c r="Y179" s="68">
        <f t="shared" si="131"/>
        <v>0</v>
      </c>
      <c r="Z179" s="68">
        <f t="shared" si="132"/>
        <v>0</v>
      </c>
      <c r="AA179" s="68">
        <f t="shared" si="133"/>
        <v>0</v>
      </c>
      <c r="AB179" s="78" t="s">
        <v>73</v>
      </c>
      <c r="AC179" s="55"/>
      <c r="AD179" s="93">
        <f t="shared" ref="AD179" si="189">W179/AC172</f>
        <v>0</v>
      </c>
    </row>
    <row r="180" spans="1:30" s="32" customFormat="1" ht="15.95">
      <c r="A180" s="65"/>
      <c r="B180" s="66" t="s">
        <v>48</v>
      </c>
      <c r="C180" s="66" t="s">
        <v>19</v>
      </c>
      <c r="D180" s="66"/>
      <c r="E180" s="66" t="s">
        <v>20</v>
      </c>
      <c r="F180" s="66" t="s">
        <v>21</v>
      </c>
      <c r="G180" s="66" t="s">
        <v>50</v>
      </c>
      <c r="H180" s="66"/>
      <c r="I180" s="66" t="s">
        <v>99</v>
      </c>
      <c r="J180" s="66"/>
      <c r="K180" s="66" t="s">
        <v>100</v>
      </c>
      <c r="L180" s="67">
        <v>2021</v>
      </c>
      <c r="M180" s="66" t="s">
        <v>96</v>
      </c>
      <c r="N180" s="66" t="s">
        <v>24</v>
      </c>
      <c r="O180" s="66" t="s">
        <v>54</v>
      </c>
      <c r="P180" s="66" t="s">
        <v>25</v>
      </c>
      <c r="Q180" s="68">
        <v>70082.126366837299</v>
      </c>
      <c r="R180" s="68">
        <v>66355</v>
      </c>
      <c r="S180" s="69">
        <v>51445.479798214401</v>
      </c>
      <c r="T180" s="69">
        <v>362</v>
      </c>
      <c r="U180" s="74" t="s">
        <v>65</v>
      </c>
      <c r="V180" s="75" t="s">
        <v>56</v>
      </c>
      <c r="W180" s="68">
        <v>27986299</v>
      </c>
      <c r="X180" s="68">
        <f t="shared" si="130"/>
        <v>399.33575721588056</v>
      </c>
      <c r="Y180" s="68">
        <f t="shared" si="131"/>
        <v>421.76624218220178</v>
      </c>
      <c r="Z180" s="68">
        <f t="shared" si="132"/>
        <v>543.99918340291902</v>
      </c>
      <c r="AA180" s="68">
        <f t="shared" si="133"/>
        <v>77310.218232044193</v>
      </c>
      <c r="AB180" s="78" t="s">
        <v>73</v>
      </c>
      <c r="AC180" s="55"/>
      <c r="AD180" s="93">
        <f t="shared" ref="AD180" si="190">W180/AC172</f>
        <v>0.142170682539138</v>
      </c>
    </row>
    <row r="181" spans="1:30" s="32" customFormat="1" ht="15.95">
      <c r="A181" s="65"/>
      <c r="B181" s="66" t="s">
        <v>48</v>
      </c>
      <c r="C181" s="66" t="s">
        <v>19</v>
      </c>
      <c r="D181" s="66"/>
      <c r="E181" s="66" t="s">
        <v>20</v>
      </c>
      <c r="F181" s="66" t="s">
        <v>21</v>
      </c>
      <c r="G181" s="66" t="s">
        <v>50</v>
      </c>
      <c r="H181" s="66"/>
      <c r="I181" s="66" t="s">
        <v>99</v>
      </c>
      <c r="J181" s="66"/>
      <c r="K181" s="66" t="s">
        <v>100</v>
      </c>
      <c r="L181" s="67">
        <v>2021</v>
      </c>
      <c r="M181" s="66" t="s">
        <v>96</v>
      </c>
      <c r="N181" s="66" t="s">
        <v>24</v>
      </c>
      <c r="O181" s="66" t="s">
        <v>54</v>
      </c>
      <c r="P181" s="66" t="s">
        <v>25</v>
      </c>
      <c r="Q181" s="68">
        <v>70082.126366837299</v>
      </c>
      <c r="R181" s="68">
        <v>66355</v>
      </c>
      <c r="S181" s="69">
        <v>51445.479798214401</v>
      </c>
      <c r="T181" s="69">
        <v>362</v>
      </c>
      <c r="U181" s="74" t="s">
        <v>66</v>
      </c>
      <c r="V181" s="75" t="s">
        <v>56</v>
      </c>
      <c r="W181" s="68">
        <v>17777622</v>
      </c>
      <c r="X181" s="68">
        <f t="shared" si="130"/>
        <v>253.66841620850604</v>
      </c>
      <c r="Y181" s="68">
        <f t="shared" si="131"/>
        <v>267.91684123276315</v>
      </c>
      <c r="Z181" s="68">
        <f t="shared" si="132"/>
        <v>345.5623714606125</v>
      </c>
      <c r="AA181" s="68">
        <f t="shared" si="133"/>
        <v>49109.45303867403</v>
      </c>
      <c r="AB181" s="78" t="s">
        <v>73</v>
      </c>
      <c r="AC181" s="55"/>
      <c r="AD181" s="93">
        <f t="shared" ref="AD181" si="191">W181/AC172</f>
        <v>9.0310499922222509E-2</v>
      </c>
    </row>
    <row r="182" spans="1:30" s="32" customFormat="1" ht="15.95">
      <c r="A182" s="65"/>
      <c r="B182" s="66" t="s">
        <v>48</v>
      </c>
      <c r="C182" s="66" t="s">
        <v>19</v>
      </c>
      <c r="D182" s="66"/>
      <c r="E182" s="66" t="s">
        <v>20</v>
      </c>
      <c r="F182" s="66" t="s">
        <v>21</v>
      </c>
      <c r="G182" s="66" t="s">
        <v>50</v>
      </c>
      <c r="H182" s="66"/>
      <c r="I182" s="66" t="s">
        <v>99</v>
      </c>
      <c r="J182" s="66"/>
      <c r="K182" s="66" t="s">
        <v>100</v>
      </c>
      <c r="L182" s="67">
        <v>2021</v>
      </c>
      <c r="M182" s="66" t="s">
        <v>96</v>
      </c>
      <c r="N182" s="66" t="s">
        <v>24</v>
      </c>
      <c r="O182" s="66" t="s">
        <v>54</v>
      </c>
      <c r="P182" s="66" t="s">
        <v>25</v>
      </c>
      <c r="Q182" s="68">
        <v>70082.126366837299</v>
      </c>
      <c r="R182" s="68">
        <v>66355</v>
      </c>
      <c r="S182" s="69">
        <v>51445.479798214401</v>
      </c>
      <c r="T182" s="69">
        <v>362</v>
      </c>
      <c r="U182" s="74" t="s">
        <v>67</v>
      </c>
      <c r="V182" s="75" t="s">
        <v>56</v>
      </c>
      <c r="W182" s="68">
        <v>0</v>
      </c>
      <c r="X182" s="68">
        <f t="shared" si="130"/>
        <v>0</v>
      </c>
      <c r="Y182" s="68">
        <f t="shared" si="131"/>
        <v>0</v>
      </c>
      <c r="Z182" s="68">
        <f t="shared" si="132"/>
        <v>0</v>
      </c>
      <c r="AA182" s="68">
        <f t="shared" si="133"/>
        <v>0</v>
      </c>
      <c r="AB182" s="78" t="s">
        <v>73</v>
      </c>
      <c r="AC182" s="55"/>
      <c r="AD182" s="93">
        <f t="shared" ref="AD182" si="192">W182/AC172</f>
        <v>0</v>
      </c>
    </row>
    <row r="183" spans="1:30" s="32" customFormat="1" ht="15.95">
      <c r="A183" s="65"/>
      <c r="B183" s="66" t="s">
        <v>48</v>
      </c>
      <c r="C183" s="66" t="s">
        <v>19</v>
      </c>
      <c r="D183" s="66"/>
      <c r="E183" s="66" t="s">
        <v>20</v>
      </c>
      <c r="F183" s="66" t="s">
        <v>21</v>
      </c>
      <c r="G183" s="66" t="s">
        <v>50</v>
      </c>
      <c r="H183" s="66"/>
      <c r="I183" s="66" t="s">
        <v>99</v>
      </c>
      <c r="J183" s="66"/>
      <c r="K183" s="66" t="s">
        <v>100</v>
      </c>
      <c r="L183" s="67">
        <v>2021</v>
      </c>
      <c r="M183" s="66" t="s">
        <v>96</v>
      </c>
      <c r="N183" s="66" t="s">
        <v>24</v>
      </c>
      <c r="O183" s="66" t="s">
        <v>54</v>
      </c>
      <c r="P183" s="66" t="s">
        <v>25</v>
      </c>
      <c r="Q183" s="68">
        <v>70082.126366837299</v>
      </c>
      <c r="R183" s="68">
        <v>66355</v>
      </c>
      <c r="S183" s="69">
        <v>51445.479798214401</v>
      </c>
      <c r="T183" s="69">
        <v>362</v>
      </c>
      <c r="U183" s="74" t="s">
        <v>68</v>
      </c>
      <c r="V183" s="75" t="s">
        <v>56</v>
      </c>
      <c r="W183" s="68">
        <v>13402114</v>
      </c>
      <c r="X183" s="68">
        <f t="shared" si="130"/>
        <v>191.23440875421053</v>
      </c>
      <c r="Y183" s="68">
        <f t="shared" si="131"/>
        <v>201.97594755481879</v>
      </c>
      <c r="Z183" s="68">
        <f t="shared" si="132"/>
        <v>260.51101190167475</v>
      </c>
      <c r="AA183" s="68">
        <f t="shared" si="133"/>
        <v>37022.414364640885</v>
      </c>
      <c r="AB183" s="78" t="s">
        <v>73</v>
      </c>
      <c r="AC183" s="55"/>
      <c r="AD183" s="93">
        <f t="shared" ref="AD183" si="193">W183/AC172</f>
        <v>6.8082874939888877E-2</v>
      </c>
    </row>
    <row r="184" spans="1:30" s="32" customFormat="1" ht="15.95">
      <c r="A184" s="65"/>
      <c r="B184" s="66" t="s">
        <v>48</v>
      </c>
      <c r="C184" s="66" t="s">
        <v>19</v>
      </c>
      <c r="D184" s="66"/>
      <c r="E184" s="66" t="s">
        <v>20</v>
      </c>
      <c r="F184" s="66" t="s">
        <v>21</v>
      </c>
      <c r="G184" s="66" t="s">
        <v>50</v>
      </c>
      <c r="H184" s="66"/>
      <c r="I184" s="66" t="s">
        <v>99</v>
      </c>
      <c r="J184" s="66"/>
      <c r="K184" s="66" t="s">
        <v>100</v>
      </c>
      <c r="L184" s="67">
        <v>2021</v>
      </c>
      <c r="M184" s="66" t="s">
        <v>96</v>
      </c>
      <c r="N184" s="66" t="s">
        <v>24</v>
      </c>
      <c r="O184" s="66" t="s">
        <v>54</v>
      </c>
      <c r="P184" s="66" t="s">
        <v>25</v>
      </c>
      <c r="Q184" s="68">
        <v>70082.126366837299</v>
      </c>
      <c r="R184" s="68">
        <v>66355</v>
      </c>
      <c r="S184" s="69">
        <v>51445.479798214401</v>
      </c>
      <c r="T184" s="69">
        <v>362</v>
      </c>
      <c r="U184" s="74" t="s">
        <v>69</v>
      </c>
      <c r="V184" s="75" t="s">
        <v>56</v>
      </c>
      <c r="W184" s="68">
        <v>15475799</v>
      </c>
      <c r="X184" s="68">
        <f t="shared" si="130"/>
        <v>220.82376494961935</v>
      </c>
      <c r="Y184" s="68">
        <f t="shared" si="131"/>
        <v>233.22732273378043</v>
      </c>
      <c r="Z184" s="68">
        <f t="shared" si="132"/>
        <v>300.81941233128788</v>
      </c>
      <c r="AA184" s="68">
        <f t="shared" si="133"/>
        <v>42750.825966850825</v>
      </c>
      <c r="AB184" s="78" t="s">
        <v>73</v>
      </c>
      <c r="AC184" s="55"/>
      <c r="AD184" s="93">
        <f t="shared" ref="AD184" si="194">W184/AC172</f>
        <v>7.861721575505605E-2</v>
      </c>
    </row>
    <row r="185" spans="1:30" s="55" customFormat="1" ht="15" customHeight="1">
      <c r="A185" s="57"/>
      <c r="B185" s="58" t="s">
        <v>48</v>
      </c>
      <c r="C185" s="58" t="s">
        <v>19</v>
      </c>
      <c r="D185" s="58"/>
      <c r="E185" s="58" t="s">
        <v>20</v>
      </c>
      <c r="F185" s="58" t="s">
        <v>21</v>
      </c>
      <c r="G185" s="58" t="s">
        <v>50</v>
      </c>
      <c r="H185" s="58"/>
      <c r="I185" s="58" t="s">
        <v>101</v>
      </c>
      <c r="J185" s="58"/>
      <c r="K185" s="58" t="s">
        <v>102</v>
      </c>
      <c r="L185" s="59">
        <v>2021</v>
      </c>
      <c r="M185" s="79" t="s">
        <v>80</v>
      </c>
      <c r="N185" s="58" t="s">
        <v>24</v>
      </c>
      <c r="O185" s="58" t="s">
        <v>54</v>
      </c>
      <c r="P185" s="58" t="s">
        <v>25</v>
      </c>
      <c r="Q185" s="60">
        <v>50858</v>
      </c>
      <c r="R185" s="60">
        <v>48644</v>
      </c>
      <c r="S185" s="60">
        <v>39787</v>
      </c>
      <c r="T185" s="60">
        <v>202</v>
      </c>
      <c r="U185" s="62" t="s">
        <v>55</v>
      </c>
      <c r="V185" s="63" t="s">
        <v>56</v>
      </c>
      <c r="W185" s="60">
        <v>8478935</v>
      </c>
      <c r="X185" s="60">
        <f t="shared" si="130"/>
        <v>166.71782217153643</v>
      </c>
      <c r="Y185" s="60">
        <f t="shared" si="131"/>
        <v>174.30587533919908</v>
      </c>
      <c r="Z185" s="60">
        <f t="shared" si="132"/>
        <v>213.10817603739915</v>
      </c>
      <c r="AA185" s="60">
        <f t="shared" si="133"/>
        <v>41974.925742574254</v>
      </c>
      <c r="AB185" s="77" t="s">
        <v>73</v>
      </c>
      <c r="AC185" s="92">
        <f t="shared" ref="AC185" si="195">SUM(W185:W197)</f>
        <v>173418188</v>
      </c>
      <c r="AD185" s="93">
        <f t="shared" ref="AD185" si="196">W185/AC185</f>
        <v>4.8892997313522847E-2</v>
      </c>
    </row>
    <row r="186" spans="1:30" s="55" customFormat="1" ht="15.95">
      <c r="A186" s="57"/>
      <c r="B186" s="58" t="s">
        <v>48</v>
      </c>
      <c r="C186" s="58" t="s">
        <v>19</v>
      </c>
      <c r="D186" s="58"/>
      <c r="E186" s="58" t="s">
        <v>20</v>
      </c>
      <c r="F186" s="58" t="s">
        <v>21</v>
      </c>
      <c r="G186" s="58" t="s">
        <v>50</v>
      </c>
      <c r="H186" s="58"/>
      <c r="I186" s="58" t="s">
        <v>101</v>
      </c>
      <c r="J186" s="58"/>
      <c r="K186" s="58" t="s">
        <v>102</v>
      </c>
      <c r="L186" s="59">
        <v>2021</v>
      </c>
      <c r="M186" s="58" t="s">
        <v>80</v>
      </c>
      <c r="N186" s="58" t="s">
        <v>24</v>
      </c>
      <c r="O186" s="58" t="s">
        <v>54</v>
      </c>
      <c r="P186" s="58" t="s">
        <v>25</v>
      </c>
      <c r="Q186" s="60">
        <v>50858</v>
      </c>
      <c r="R186" s="60">
        <v>48644</v>
      </c>
      <c r="S186" s="61">
        <v>39787</v>
      </c>
      <c r="T186" s="61">
        <v>202</v>
      </c>
      <c r="U186" s="62" t="s">
        <v>58</v>
      </c>
      <c r="V186" s="63" t="s">
        <v>56</v>
      </c>
      <c r="W186" s="60">
        <v>20455537</v>
      </c>
      <c r="X186" s="60">
        <f t="shared" si="130"/>
        <v>402.20883636792638</v>
      </c>
      <c r="Y186" s="60">
        <f t="shared" si="131"/>
        <v>420.51510977715651</v>
      </c>
      <c r="Z186" s="60">
        <f t="shared" si="132"/>
        <v>514.12614673134442</v>
      </c>
      <c r="AA186" s="60">
        <f t="shared" si="133"/>
        <v>101265.03465346535</v>
      </c>
      <c r="AB186" s="77" t="s">
        <v>73</v>
      </c>
      <c r="AD186" s="93">
        <f t="shared" ref="AD186" si="197">W186/AC185</f>
        <v>0.11795496906010805</v>
      </c>
    </row>
    <row r="187" spans="1:30" s="55" customFormat="1" ht="15.95">
      <c r="A187" s="57"/>
      <c r="B187" s="58" t="s">
        <v>48</v>
      </c>
      <c r="C187" s="58" t="s">
        <v>19</v>
      </c>
      <c r="D187" s="58"/>
      <c r="E187" s="58" t="s">
        <v>20</v>
      </c>
      <c r="F187" s="58" t="s">
        <v>21</v>
      </c>
      <c r="G187" s="58" t="s">
        <v>50</v>
      </c>
      <c r="H187" s="58"/>
      <c r="I187" s="58" t="s">
        <v>101</v>
      </c>
      <c r="J187" s="58"/>
      <c r="K187" s="58" t="s">
        <v>102</v>
      </c>
      <c r="L187" s="59">
        <v>2021</v>
      </c>
      <c r="M187" s="58" t="s">
        <v>80</v>
      </c>
      <c r="N187" s="58" t="s">
        <v>24</v>
      </c>
      <c r="O187" s="58" t="s">
        <v>54</v>
      </c>
      <c r="P187" s="58" t="s">
        <v>25</v>
      </c>
      <c r="Q187" s="60">
        <v>50858</v>
      </c>
      <c r="R187" s="60">
        <v>48644</v>
      </c>
      <c r="S187" s="61">
        <v>39787</v>
      </c>
      <c r="T187" s="61">
        <v>202</v>
      </c>
      <c r="U187" s="62" t="s">
        <v>59</v>
      </c>
      <c r="V187" s="63" t="s">
        <v>56</v>
      </c>
      <c r="W187" s="60">
        <v>17776765</v>
      </c>
      <c r="X187" s="60">
        <f t="shared" si="130"/>
        <v>349.53724094537733</v>
      </c>
      <c r="Y187" s="60">
        <f t="shared" si="131"/>
        <v>365.44620097031492</v>
      </c>
      <c r="Z187" s="60">
        <f t="shared" si="132"/>
        <v>446.79832608641016</v>
      </c>
      <c r="AA187" s="60">
        <f t="shared" si="133"/>
        <v>88003.787128712866</v>
      </c>
      <c r="AB187" s="77" t="s">
        <v>73</v>
      </c>
      <c r="AD187" s="93">
        <f t="shared" ref="AD187" si="198">W187/AC185</f>
        <v>0.10250807718046276</v>
      </c>
    </row>
    <row r="188" spans="1:30" s="55" customFormat="1" ht="15.95">
      <c r="A188" s="57"/>
      <c r="B188" s="58" t="s">
        <v>48</v>
      </c>
      <c r="C188" s="58" t="s">
        <v>19</v>
      </c>
      <c r="D188" s="58"/>
      <c r="E188" s="58" t="s">
        <v>20</v>
      </c>
      <c r="F188" s="58" t="s">
        <v>21</v>
      </c>
      <c r="G188" s="58" t="s">
        <v>50</v>
      </c>
      <c r="H188" s="58"/>
      <c r="I188" s="58" t="s">
        <v>101</v>
      </c>
      <c r="J188" s="58"/>
      <c r="K188" s="58" t="s">
        <v>102</v>
      </c>
      <c r="L188" s="59">
        <v>2021</v>
      </c>
      <c r="M188" s="58" t="s">
        <v>80</v>
      </c>
      <c r="N188" s="58" t="s">
        <v>24</v>
      </c>
      <c r="O188" s="58" t="s">
        <v>54</v>
      </c>
      <c r="P188" s="58" t="s">
        <v>25</v>
      </c>
      <c r="Q188" s="60">
        <v>50858</v>
      </c>
      <c r="R188" s="60">
        <v>48644</v>
      </c>
      <c r="S188" s="61">
        <v>39787</v>
      </c>
      <c r="T188" s="61">
        <v>202</v>
      </c>
      <c r="U188" s="62" t="s">
        <v>60</v>
      </c>
      <c r="V188" s="63" t="s">
        <v>56</v>
      </c>
      <c r="W188" s="60">
        <v>9618952</v>
      </c>
      <c r="X188" s="60">
        <f t="shared" si="130"/>
        <v>189.13350898580362</v>
      </c>
      <c r="Y188" s="60">
        <f t="shared" si="131"/>
        <v>197.74179754954363</v>
      </c>
      <c r="Z188" s="60">
        <f t="shared" si="132"/>
        <v>241.76117827431071</v>
      </c>
      <c r="AA188" s="60">
        <f t="shared" si="133"/>
        <v>47618.574257425746</v>
      </c>
      <c r="AB188" s="77" t="s">
        <v>73</v>
      </c>
      <c r="AD188" s="93">
        <f t="shared" ref="AD188" si="199">W188/AC185</f>
        <v>5.5466800287406991E-2</v>
      </c>
    </row>
    <row r="189" spans="1:30" s="55" customFormat="1" ht="15.95">
      <c r="A189" s="57"/>
      <c r="B189" s="58" t="s">
        <v>48</v>
      </c>
      <c r="C189" s="58" t="s">
        <v>19</v>
      </c>
      <c r="D189" s="58"/>
      <c r="E189" s="58" t="s">
        <v>20</v>
      </c>
      <c r="F189" s="58" t="s">
        <v>21</v>
      </c>
      <c r="G189" s="58" t="s">
        <v>50</v>
      </c>
      <c r="H189" s="58"/>
      <c r="I189" s="58" t="s">
        <v>101</v>
      </c>
      <c r="J189" s="58"/>
      <c r="K189" s="58" t="s">
        <v>102</v>
      </c>
      <c r="L189" s="59">
        <v>2021</v>
      </c>
      <c r="M189" s="58" t="s">
        <v>80</v>
      </c>
      <c r="N189" s="58" t="s">
        <v>24</v>
      </c>
      <c r="O189" s="58" t="s">
        <v>54</v>
      </c>
      <c r="P189" s="58" t="s">
        <v>25</v>
      </c>
      <c r="Q189" s="60">
        <v>50858</v>
      </c>
      <c r="R189" s="60">
        <v>48644</v>
      </c>
      <c r="S189" s="61">
        <v>39787</v>
      </c>
      <c r="T189" s="61">
        <v>202</v>
      </c>
      <c r="U189" s="62" t="s">
        <v>61</v>
      </c>
      <c r="V189" s="63" t="s">
        <v>56</v>
      </c>
      <c r="W189" s="60">
        <v>19533250</v>
      </c>
      <c r="X189" s="60">
        <f t="shared" si="130"/>
        <v>384.07428526485506</v>
      </c>
      <c r="Y189" s="60">
        <f t="shared" si="131"/>
        <v>401.55517638352109</v>
      </c>
      <c r="Z189" s="60">
        <f t="shared" si="132"/>
        <v>490.94553497373516</v>
      </c>
      <c r="AA189" s="60">
        <f t="shared" si="133"/>
        <v>96699.257425742573</v>
      </c>
      <c r="AB189" s="77" t="s">
        <v>73</v>
      </c>
      <c r="AD189" s="93">
        <f t="shared" ref="AD189" si="200">W189/AC185</f>
        <v>0.11263668606663103</v>
      </c>
    </row>
    <row r="190" spans="1:30" s="55" customFormat="1" ht="15.95">
      <c r="A190" s="57"/>
      <c r="B190" s="58" t="s">
        <v>48</v>
      </c>
      <c r="C190" s="58" t="s">
        <v>19</v>
      </c>
      <c r="D190" s="58"/>
      <c r="E190" s="58" t="s">
        <v>20</v>
      </c>
      <c r="F190" s="58" t="s">
        <v>21</v>
      </c>
      <c r="G190" s="58" t="s">
        <v>50</v>
      </c>
      <c r="H190" s="58"/>
      <c r="I190" s="58" t="s">
        <v>101</v>
      </c>
      <c r="J190" s="58"/>
      <c r="K190" s="58" t="s">
        <v>102</v>
      </c>
      <c r="L190" s="59">
        <v>2021</v>
      </c>
      <c r="M190" s="58" t="s">
        <v>80</v>
      </c>
      <c r="N190" s="58" t="s">
        <v>24</v>
      </c>
      <c r="O190" s="58" t="s">
        <v>54</v>
      </c>
      <c r="P190" s="58" t="s">
        <v>25</v>
      </c>
      <c r="Q190" s="60">
        <v>50858</v>
      </c>
      <c r="R190" s="60">
        <v>48644</v>
      </c>
      <c r="S190" s="61">
        <v>39787</v>
      </c>
      <c r="T190" s="61">
        <v>202</v>
      </c>
      <c r="U190" s="62" t="s">
        <v>62</v>
      </c>
      <c r="V190" s="63" t="s">
        <v>56</v>
      </c>
      <c r="W190" s="60">
        <v>22367635</v>
      </c>
      <c r="X190" s="60">
        <f t="shared" si="130"/>
        <v>439.80563529828152</v>
      </c>
      <c r="Y190" s="60">
        <f t="shared" si="131"/>
        <v>459.82310254090947</v>
      </c>
      <c r="Z190" s="60">
        <f t="shared" si="132"/>
        <v>562.18450750245051</v>
      </c>
      <c r="AA190" s="60">
        <f t="shared" si="133"/>
        <v>110730.86633663367</v>
      </c>
      <c r="AB190" s="77" t="s">
        <v>73</v>
      </c>
      <c r="AD190" s="93">
        <f t="shared" ref="AD190" si="201">W190/AC185</f>
        <v>0.12898090597048564</v>
      </c>
    </row>
    <row r="191" spans="1:30" s="55" customFormat="1" ht="15.95">
      <c r="A191" s="57"/>
      <c r="B191" s="58" t="s">
        <v>48</v>
      </c>
      <c r="C191" s="58" t="s">
        <v>19</v>
      </c>
      <c r="D191" s="58"/>
      <c r="E191" s="58" t="s">
        <v>20</v>
      </c>
      <c r="F191" s="58" t="s">
        <v>21</v>
      </c>
      <c r="G191" s="58" t="s">
        <v>50</v>
      </c>
      <c r="H191" s="58"/>
      <c r="I191" s="58" t="s">
        <v>101</v>
      </c>
      <c r="J191" s="58"/>
      <c r="K191" s="58" t="s">
        <v>102</v>
      </c>
      <c r="L191" s="59">
        <v>2021</v>
      </c>
      <c r="M191" s="58" t="s">
        <v>80</v>
      </c>
      <c r="N191" s="58" t="s">
        <v>24</v>
      </c>
      <c r="O191" s="58" t="s">
        <v>54</v>
      </c>
      <c r="P191" s="58" t="s">
        <v>25</v>
      </c>
      <c r="Q191" s="60">
        <v>50858</v>
      </c>
      <c r="R191" s="60">
        <v>48644</v>
      </c>
      <c r="S191" s="61">
        <v>39787</v>
      </c>
      <c r="T191" s="61">
        <v>202</v>
      </c>
      <c r="U191" s="62" t="s">
        <v>63</v>
      </c>
      <c r="V191" s="63" t="s">
        <v>56</v>
      </c>
      <c r="W191" s="60">
        <v>7751806</v>
      </c>
      <c r="X191" s="60">
        <f t="shared" si="130"/>
        <v>152.42058279916631</v>
      </c>
      <c r="Y191" s="60">
        <f t="shared" si="131"/>
        <v>159.35790642216924</v>
      </c>
      <c r="Z191" s="60">
        <f t="shared" si="132"/>
        <v>194.83263377485108</v>
      </c>
      <c r="AA191" s="60">
        <f t="shared" si="133"/>
        <v>38375.27722772277</v>
      </c>
      <c r="AB191" s="77" t="s">
        <v>73</v>
      </c>
      <c r="AD191" s="93">
        <f t="shared" ref="AD191" si="202">W191/AC185</f>
        <v>4.4700074942542939E-2</v>
      </c>
    </row>
    <row r="192" spans="1:30" s="55" customFormat="1" ht="15.95">
      <c r="A192" s="57"/>
      <c r="B192" s="58" t="s">
        <v>48</v>
      </c>
      <c r="C192" s="58" t="s">
        <v>19</v>
      </c>
      <c r="D192" s="58"/>
      <c r="E192" s="58" t="s">
        <v>20</v>
      </c>
      <c r="F192" s="58" t="s">
        <v>21</v>
      </c>
      <c r="G192" s="58" t="s">
        <v>50</v>
      </c>
      <c r="H192" s="58"/>
      <c r="I192" s="58" t="s">
        <v>101</v>
      </c>
      <c r="J192" s="58"/>
      <c r="K192" s="58" t="s">
        <v>102</v>
      </c>
      <c r="L192" s="59">
        <v>2021</v>
      </c>
      <c r="M192" s="58" t="s">
        <v>80</v>
      </c>
      <c r="N192" s="58" t="s">
        <v>24</v>
      </c>
      <c r="O192" s="58" t="s">
        <v>54</v>
      </c>
      <c r="P192" s="58" t="s">
        <v>25</v>
      </c>
      <c r="Q192" s="60">
        <v>50858</v>
      </c>
      <c r="R192" s="60">
        <v>48644</v>
      </c>
      <c r="S192" s="61">
        <v>39787</v>
      </c>
      <c r="T192" s="61">
        <v>202</v>
      </c>
      <c r="U192" s="62" t="s">
        <v>64</v>
      </c>
      <c r="V192" s="63" t="s">
        <v>56</v>
      </c>
      <c r="W192" s="60">
        <v>0</v>
      </c>
      <c r="X192" s="60">
        <f t="shared" ref="X192:X255" si="203">W192/Q192</f>
        <v>0</v>
      </c>
      <c r="Y192" s="60">
        <f t="shared" ref="Y192:Y255" si="204">W192/R192</f>
        <v>0</v>
      </c>
      <c r="Z192" s="60">
        <f t="shared" ref="Z192:Z255" si="205">W192/S192</f>
        <v>0</v>
      </c>
      <c r="AA192" s="60">
        <f t="shared" ref="AA192:AA255" si="206">W192/T192</f>
        <v>0</v>
      </c>
      <c r="AB192" s="77" t="s">
        <v>73</v>
      </c>
      <c r="AD192" s="93">
        <f t="shared" ref="AD192" si="207">W192/AC185</f>
        <v>0</v>
      </c>
    </row>
    <row r="193" spans="1:30" s="55" customFormat="1" ht="15.95">
      <c r="A193" s="57"/>
      <c r="B193" s="58" t="s">
        <v>48</v>
      </c>
      <c r="C193" s="58" t="s">
        <v>19</v>
      </c>
      <c r="D193" s="58"/>
      <c r="E193" s="58" t="s">
        <v>20</v>
      </c>
      <c r="F193" s="58" t="s">
        <v>21</v>
      </c>
      <c r="G193" s="58" t="s">
        <v>50</v>
      </c>
      <c r="H193" s="58"/>
      <c r="I193" s="58" t="s">
        <v>101</v>
      </c>
      <c r="J193" s="58"/>
      <c r="K193" s="58" t="s">
        <v>102</v>
      </c>
      <c r="L193" s="59">
        <v>2021</v>
      </c>
      <c r="M193" s="58" t="s">
        <v>80</v>
      </c>
      <c r="N193" s="58" t="s">
        <v>24</v>
      </c>
      <c r="O193" s="58" t="s">
        <v>54</v>
      </c>
      <c r="P193" s="58" t="s">
        <v>25</v>
      </c>
      <c r="Q193" s="60">
        <v>50858</v>
      </c>
      <c r="R193" s="60">
        <v>48644</v>
      </c>
      <c r="S193" s="61">
        <v>39787</v>
      </c>
      <c r="T193" s="61">
        <v>202</v>
      </c>
      <c r="U193" s="62" t="s">
        <v>65</v>
      </c>
      <c r="V193" s="63" t="s">
        <v>56</v>
      </c>
      <c r="W193" s="60">
        <v>28985333</v>
      </c>
      <c r="X193" s="60">
        <f t="shared" si="203"/>
        <v>569.92671752723265</v>
      </c>
      <c r="Y193" s="60">
        <f t="shared" si="204"/>
        <v>595.8665611380643</v>
      </c>
      <c r="Z193" s="60">
        <f t="shared" si="205"/>
        <v>728.51265488727472</v>
      </c>
      <c r="AA193" s="60">
        <f t="shared" si="206"/>
        <v>143491.74752475249</v>
      </c>
      <c r="AB193" s="77" t="s">
        <v>73</v>
      </c>
      <c r="AD193" s="93">
        <f t="shared" ref="AD193" si="208">W193/AC185</f>
        <v>0.16714125164310908</v>
      </c>
    </row>
    <row r="194" spans="1:30" s="55" customFormat="1" ht="15.95">
      <c r="A194" s="57"/>
      <c r="B194" s="58" t="s">
        <v>48</v>
      </c>
      <c r="C194" s="58" t="s">
        <v>19</v>
      </c>
      <c r="D194" s="58"/>
      <c r="E194" s="58" t="s">
        <v>20</v>
      </c>
      <c r="F194" s="58" t="s">
        <v>21</v>
      </c>
      <c r="G194" s="58" t="s">
        <v>50</v>
      </c>
      <c r="H194" s="58"/>
      <c r="I194" s="58" t="s">
        <v>101</v>
      </c>
      <c r="J194" s="58"/>
      <c r="K194" s="58" t="s">
        <v>102</v>
      </c>
      <c r="L194" s="59">
        <v>2021</v>
      </c>
      <c r="M194" s="58" t="s">
        <v>80</v>
      </c>
      <c r="N194" s="58" t="s">
        <v>24</v>
      </c>
      <c r="O194" s="58" t="s">
        <v>54</v>
      </c>
      <c r="P194" s="58" t="s">
        <v>25</v>
      </c>
      <c r="Q194" s="60">
        <v>50858</v>
      </c>
      <c r="R194" s="60">
        <v>48644</v>
      </c>
      <c r="S194" s="61">
        <v>39787</v>
      </c>
      <c r="T194" s="61">
        <v>202</v>
      </c>
      <c r="U194" s="62" t="s">
        <v>66</v>
      </c>
      <c r="V194" s="63" t="s">
        <v>56</v>
      </c>
      <c r="W194" s="60">
        <v>8945629</v>
      </c>
      <c r="X194" s="60">
        <f t="shared" si="203"/>
        <v>175.8942349286248</v>
      </c>
      <c r="Y194" s="60">
        <f t="shared" si="204"/>
        <v>183.89994655044816</v>
      </c>
      <c r="Z194" s="60">
        <f t="shared" si="205"/>
        <v>224.83798728227814</v>
      </c>
      <c r="AA194" s="60">
        <f t="shared" si="206"/>
        <v>44285.292079207924</v>
      </c>
      <c r="AB194" s="77" t="s">
        <v>73</v>
      </c>
      <c r="AD194" s="93">
        <f t="shared" ref="AD194" si="209">W194/AC185</f>
        <v>5.1584145257013062E-2</v>
      </c>
    </row>
    <row r="195" spans="1:30" s="55" customFormat="1" ht="15.95">
      <c r="A195" s="57"/>
      <c r="B195" s="58" t="s">
        <v>48</v>
      </c>
      <c r="C195" s="58" t="s">
        <v>19</v>
      </c>
      <c r="D195" s="58"/>
      <c r="E195" s="58" t="s">
        <v>20</v>
      </c>
      <c r="F195" s="58" t="s">
        <v>21</v>
      </c>
      <c r="G195" s="58" t="s">
        <v>50</v>
      </c>
      <c r="H195" s="58"/>
      <c r="I195" s="58" t="s">
        <v>101</v>
      </c>
      <c r="J195" s="58"/>
      <c r="K195" s="58" t="s">
        <v>102</v>
      </c>
      <c r="L195" s="59">
        <v>2021</v>
      </c>
      <c r="M195" s="58" t="s">
        <v>80</v>
      </c>
      <c r="N195" s="58" t="s">
        <v>24</v>
      </c>
      <c r="O195" s="58" t="s">
        <v>54</v>
      </c>
      <c r="P195" s="58" t="s">
        <v>25</v>
      </c>
      <c r="Q195" s="60">
        <v>50858</v>
      </c>
      <c r="R195" s="60">
        <v>48644</v>
      </c>
      <c r="S195" s="61">
        <v>39787</v>
      </c>
      <c r="T195" s="61">
        <v>202</v>
      </c>
      <c r="U195" s="62" t="s">
        <v>67</v>
      </c>
      <c r="V195" s="63" t="s">
        <v>56</v>
      </c>
      <c r="W195" s="60">
        <v>0</v>
      </c>
      <c r="X195" s="60">
        <f t="shared" si="203"/>
        <v>0</v>
      </c>
      <c r="Y195" s="60">
        <f t="shared" si="204"/>
        <v>0</v>
      </c>
      <c r="Z195" s="60">
        <f t="shared" si="205"/>
        <v>0</v>
      </c>
      <c r="AA195" s="60">
        <f t="shared" si="206"/>
        <v>0</v>
      </c>
      <c r="AB195" s="77" t="s">
        <v>73</v>
      </c>
      <c r="AD195" s="93">
        <f t="shared" ref="AD195" si="210">W195/AC185</f>
        <v>0</v>
      </c>
    </row>
    <row r="196" spans="1:30" s="55" customFormat="1" ht="15.95">
      <c r="A196" s="57"/>
      <c r="B196" s="58" t="s">
        <v>48</v>
      </c>
      <c r="C196" s="58" t="s">
        <v>19</v>
      </c>
      <c r="D196" s="58"/>
      <c r="E196" s="58" t="s">
        <v>20</v>
      </c>
      <c r="F196" s="58" t="s">
        <v>21</v>
      </c>
      <c r="G196" s="58" t="s">
        <v>50</v>
      </c>
      <c r="H196" s="58"/>
      <c r="I196" s="58" t="s">
        <v>101</v>
      </c>
      <c r="J196" s="58"/>
      <c r="K196" s="58" t="s">
        <v>102</v>
      </c>
      <c r="L196" s="59">
        <v>2021</v>
      </c>
      <c r="M196" s="58" t="s">
        <v>80</v>
      </c>
      <c r="N196" s="58" t="s">
        <v>24</v>
      </c>
      <c r="O196" s="58" t="s">
        <v>54</v>
      </c>
      <c r="P196" s="58" t="s">
        <v>25</v>
      </c>
      <c r="Q196" s="60">
        <v>50858</v>
      </c>
      <c r="R196" s="60">
        <v>48644</v>
      </c>
      <c r="S196" s="61">
        <v>39787</v>
      </c>
      <c r="T196" s="61">
        <v>202</v>
      </c>
      <c r="U196" s="62" t="s">
        <v>68</v>
      </c>
      <c r="V196" s="63" t="s">
        <v>56</v>
      </c>
      <c r="W196" s="60">
        <v>13208670</v>
      </c>
      <c r="X196" s="60">
        <f t="shared" si="203"/>
        <v>259.71666207872903</v>
      </c>
      <c r="Y196" s="60">
        <f t="shared" si="204"/>
        <v>271.53749691637199</v>
      </c>
      <c r="Z196" s="60">
        <f t="shared" si="205"/>
        <v>331.984567823661</v>
      </c>
      <c r="AA196" s="60">
        <f t="shared" si="206"/>
        <v>65389.455445544554</v>
      </c>
      <c r="AB196" s="77" t="s">
        <v>73</v>
      </c>
      <c r="AD196" s="93">
        <f t="shared" ref="AD196" si="211">W196/AC185</f>
        <v>7.6166578329142726E-2</v>
      </c>
    </row>
    <row r="197" spans="1:30" s="55" customFormat="1" ht="15.95">
      <c r="A197" s="57"/>
      <c r="B197" s="58" t="s">
        <v>48</v>
      </c>
      <c r="C197" s="58" t="s">
        <v>19</v>
      </c>
      <c r="D197" s="58"/>
      <c r="E197" s="58" t="s">
        <v>20</v>
      </c>
      <c r="F197" s="58" t="s">
        <v>21</v>
      </c>
      <c r="G197" s="58" t="s">
        <v>50</v>
      </c>
      <c r="H197" s="58"/>
      <c r="I197" s="58" t="s">
        <v>101</v>
      </c>
      <c r="J197" s="58"/>
      <c r="K197" s="58" t="s">
        <v>102</v>
      </c>
      <c r="L197" s="59">
        <v>2021</v>
      </c>
      <c r="M197" s="58" t="s">
        <v>80</v>
      </c>
      <c r="N197" s="58" t="s">
        <v>24</v>
      </c>
      <c r="O197" s="58" t="s">
        <v>54</v>
      </c>
      <c r="P197" s="58" t="s">
        <v>25</v>
      </c>
      <c r="Q197" s="60">
        <v>50858</v>
      </c>
      <c r="R197" s="60">
        <v>48644</v>
      </c>
      <c r="S197" s="61">
        <v>39787</v>
      </c>
      <c r="T197" s="61">
        <v>202</v>
      </c>
      <c r="U197" s="62" t="s">
        <v>69</v>
      </c>
      <c r="V197" s="63" t="s">
        <v>56</v>
      </c>
      <c r="W197" s="60">
        <v>16295676</v>
      </c>
      <c r="X197" s="60">
        <f t="shared" si="203"/>
        <v>320.41519524951826</v>
      </c>
      <c r="Y197" s="60">
        <f t="shared" si="204"/>
        <v>334.9986843187238</v>
      </c>
      <c r="Z197" s="60">
        <f t="shared" si="205"/>
        <v>409.57287556236963</v>
      </c>
      <c r="AA197" s="60">
        <f t="shared" si="206"/>
        <v>80671.663366336637</v>
      </c>
      <c r="AB197" s="77" t="s">
        <v>73</v>
      </c>
      <c r="AD197" s="93">
        <f t="shared" ref="AD197" si="212">W197/AC185</f>
        <v>9.396751394957488E-2</v>
      </c>
    </row>
    <row r="198" spans="1:30" s="32" customFormat="1" ht="15" customHeight="1">
      <c r="A198" s="65"/>
      <c r="B198" s="66" t="s">
        <v>48</v>
      </c>
      <c r="C198" s="66" t="s">
        <v>19</v>
      </c>
      <c r="D198" s="66"/>
      <c r="E198" s="66" t="s">
        <v>20</v>
      </c>
      <c r="F198" s="66" t="s">
        <v>21</v>
      </c>
      <c r="G198" s="66" t="s">
        <v>50</v>
      </c>
      <c r="H198" s="66"/>
      <c r="I198" s="66" t="s">
        <v>103</v>
      </c>
      <c r="J198" s="66"/>
      <c r="K198" s="66" t="s">
        <v>104</v>
      </c>
      <c r="L198" s="67">
        <v>2022</v>
      </c>
      <c r="M198" s="76" t="s">
        <v>23</v>
      </c>
      <c r="N198" s="66" t="s">
        <v>24</v>
      </c>
      <c r="O198" s="66" t="s">
        <v>54</v>
      </c>
      <c r="P198" s="66" t="s">
        <v>25</v>
      </c>
      <c r="Q198" s="68">
        <v>40228</v>
      </c>
      <c r="R198" s="68">
        <v>38500</v>
      </c>
      <c r="S198" s="68">
        <v>31589</v>
      </c>
      <c r="T198" s="68">
        <v>161</v>
      </c>
      <c r="U198" s="74" t="s">
        <v>55</v>
      </c>
      <c r="V198" s="75" t="s">
        <v>56</v>
      </c>
      <c r="W198" s="68">
        <v>9115913</v>
      </c>
      <c r="X198" s="68">
        <f t="shared" ref="X198:X210" si="213">W198/Q198</f>
        <v>226.60616983195783</v>
      </c>
      <c r="Y198" s="68">
        <f t="shared" ref="Y198:Y210" si="214">W198/R198</f>
        <v>236.77696103896105</v>
      </c>
      <c r="Z198" s="68">
        <f t="shared" ref="Z198:Z210" si="215">W198/S198</f>
        <v>288.57871410934183</v>
      </c>
      <c r="AA198" s="68">
        <f t="shared" ref="AA198:AA210" si="216">W198/T198</f>
        <v>56620.577639751551</v>
      </c>
      <c r="AB198" s="78" t="s">
        <v>73</v>
      </c>
      <c r="AC198" s="92">
        <f t="shared" ref="AC198" si="217">SUM(W198:W210)</f>
        <v>130431033</v>
      </c>
      <c r="AD198" s="93">
        <f t="shared" ref="AD198" si="218">W198/AC198</f>
        <v>6.989067548058138E-2</v>
      </c>
    </row>
    <row r="199" spans="1:30" s="32" customFormat="1" ht="15.95">
      <c r="A199" s="65"/>
      <c r="B199" s="66" t="s">
        <v>48</v>
      </c>
      <c r="C199" s="66" t="s">
        <v>19</v>
      </c>
      <c r="D199" s="66"/>
      <c r="E199" s="66" t="s">
        <v>20</v>
      </c>
      <c r="F199" s="66" t="s">
        <v>21</v>
      </c>
      <c r="G199" s="66" t="s">
        <v>50</v>
      </c>
      <c r="H199" s="66"/>
      <c r="I199" s="66" t="s">
        <v>103</v>
      </c>
      <c r="J199" s="66"/>
      <c r="K199" s="66" t="s">
        <v>104</v>
      </c>
      <c r="L199" s="67">
        <v>2022</v>
      </c>
      <c r="M199" s="66" t="s">
        <v>23</v>
      </c>
      <c r="N199" s="66" t="s">
        <v>24</v>
      </c>
      <c r="O199" s="66" t="s">
        <v>54</v>
      </c>
      <c r="P199" s="66" t="s">
        <v>25</v>
      </c>
      <c r="Q199" s="68">
        <v>40228</v>
      </c>
      <c r="R199" s="68">
        <v>38500</v>
      </c>
      <c r="S199" s="69">
        <v>31589</v>
      </c>
      <c r="T199" s="69">
        <v>161</v>
      </c>
      <c r="U199" s="74" t="s">
        <v>58</v>
      </c>
      <c r="V199" s="75" t="s">
        <v>56</v>
      </c>
      <c r="W199" s="68">
        <v>13901388</v>
      </c>
      <c r="X199" s="68">
        <f t="shared" si="213"/>
        <v>345.56497961618771</v>
      </c>
      <c r="Y199" s="68">
        <f t="shared" si="214"/>
        <v>361.075012987013</v>
      </c>
      <c r="Z199" s="68">
        <f t="shared" si="215"/>
        <v>440.07053088100287</v>
      </c>
      <c r="AA199" s="68">
        <f t="shared" si="216"/>
        <v>86344.024844720494</v>
      </c>
      <c r="AB199" s="78" t="s">
        <v>73</v>
      </c>
      <c r="AC199" s="55"/>
      <c r="AD199" s="93">
        <f t="shared" ref="AD199" si="219">W199/AC198</f>
        <v>0.10658037186595003</v>
      </c>
    </row>
    <row r="200" spans="1:30" s="32" customFormat="1" ht="15.95">
      <c r="A200" s="65"/>
      <c r="B200" s="66" t="s">
        <v>48</v>
      </c>
      <c r="C200" s="66" t="s">
        <v>19</v>
      </c>
      <c r="D200" s="66"/>
      <c r="E200" s="66" t="s">
        <v>20</v>
      </c>
      <c r="F200" s="66" t="s">
        <v>21</v>
      </c>
      <c r="G200" s="66" t="s">
        <v>50</v>
      </c>
      <c r="H200" s="66"/>
      <c r="I200" s="66" t="s">
        <v>103</v>
      </c>
      <c r="J200" s="66"/>
      <c r="K200" s="66" t="s">
        <v>104</v>
      </c>
      <c r="L200" s="67">
        <v>2022</v>
      </c>
      <c r="M200" s="66" t="s">
        <v>23</v>
      </c>
      <c r="N200" s="66" t="s">
        <v>24</v>
      </c>
      <c r="O200" s="66" t="s">
        <v>54</v>
      </c>
      <c r="P200" s="66" t="s">
        <v>25</v>
      </c>
      <c r="Q200" s="68">
        <v>40228</v>
      </c>
      <c r="R200" s="68">
        <v>38500</v>
      </c>
      <c r="S200" s="69">
        <v>31589</v>
      </c>
      <c r="T200" s="69">
        <v>161</v>
      </c>
      <c r="U200" s="74" t="s">
        <v>59</v>
      </c>
      <c r="V200" s="75" t="s">
        <v>56</v>
      </c>
      <c r="W200" s="68">
        <v>15199728</v>
      </c>
      <c r="X200" s="68">
        <f t="shared" si="213"/>
        <v>377.83951476583474</v>
      </c>
      <c r="Y200" s="68">
        <f t="shared" si="214"/>
        <v>394.79812987012986</v>
      </c>
      <c r="Z200" s="68">
        <f t="shared" si="215"/>
        <v>481.17154705752</v>
      </c>
      <c r="AA200" s="68">
        <f t="shared" si="216"/>
        <v>94408.248447204969</v>
      </c>
      <c r="AB200" s="78" t="s">
        <v>73</v>
      </c>
      <c r="AC200" s="55"/>
      <c r="AD200" s="93">
        <f t="shared" ref="AD200" si="220">W200/AC198</f>
        <v>0.11653459802008928</v>
      </c>
    </row>
    <row r="201" spans="1:30" s="32" customFormat="1" ht="15.95">
      <c r="A201" s="65"/>
      <c r="B201" s="66" t="s">
        <v>48</v>
      </c>
      <c r="C201" s="66" t="s">
        <v>19</v>
      </c>
      <c r="D201" s="66"/>
      <c r="E201" s="66" t="s">
        <v>20</v>
      </c>
      <c r="F201" s="66" t="s">
        <v>21</v>
      </c>
      <c r="G201" s="66" t="s">
        <v>50</v>
      </c>
      <c r="H201" s="66"/>
      <c r="I201" s="66" t="s">
        <v>103</v>
      </c>
      <c r="J201" s="66"/>
      <c r="K201" s="66" t="s">
        <v>104</v>
      </c>
      <c r="L201" s="67">
        <v>2022</v>
      </c>
      <c r="M201" s="66" t="s">
        <v>23</v>
      </c>
      <c r="N201" s="66" t="s">
        <v>24</v>
      </c>
      <c r="O201" s="66" t="s">
        <v>54</v>
      </c>
      <c r="P201" s="66" t="s">
        <v>25</v>
      </c>
      <c r="Q201" s="68">
        <v>40228</v>
      </c>
      <c r="R201" s="68">
        <v>38500</v>
      </c>
      <c r="S201" s="69">
        <v>31589</v>
      </c>
      <c r="T201" s="69">
        <v>161</v>
      </c>
      <c r="U201" s="74" t="s">
        <v>60</v>
      </c>
      <c r="V201" s="75" t="s">
        <v>56</v>
      </c>
      <c r="W201" s="68">
        <v>7881153</v>
      </c>
      <c r="X201" s="68">
        <f t="shared" si="213"/>
        <v>195.91212588246992</v>
      </c>
      <c r="Y201" s="68">
        <f t="shared" si="214"/>
        <v>204.70527272727273</v>
      </c>
      <c r="Z201" s="68">
        <f t="shared" si="215"/>
        <v>249.49042388173098</v>
      </c>
      <c r="AA201" s="68">
        <f t="shared" si="216"/>
        <v>48951.260869565216</v>
      </c>
      <c r="AB201" s="78" t="s">
        <v>73</v>
      </c>
      <c r="AC201" s="55"/>
      <c r="AD201" s="93">
        <f t="shared" ref="AD201" si="221">W201/AC198</f>
        <v>6.0423910006140946E-2</v>
      </c>
    </row>
    <row r="202" spans="1:30" s="32" customFormat="1" ht="15.95">
      <c r="A202" s="65"/>
      <c r="B202" s="66" t="s">
        <v>48</v>
      </c>
      <c r="C202" s="66" t="s">
        <v>19</v>
      </c>
      <c r="D202" s="66"/>
      <c r="E202" s="66" t="s">
        <v>20</v>
      </c>
      <c r="F202" s="66" t="s">
        <v>21</v>
      </c>
      <c r="G202" s="66" t="s">
        <v>50</v>
      </c>
      <c r="H202" s="66"/>
      <c r="I202" s="66" t="s">
        <v>103</v>
      </c>
      <c r="J202" s="66"/>
      <c r="K202" s="66" t="s">
        <v>104</v>
      </c>
      <c r="L202" s="67">
        <v>2022</v>
      </c>
      <c r="M202" s="66" t="s">
        <v>23</v>
      </c>
      <c r="N202" s="66" t="s">
        <v>24</v>
      </c>
      <c r="O202" s="66" t="s">
        <v>54</v>
      </c>
      <c r="P202" s="66" t="s">
        <v>25</v>
      </c>
      <c r="Q202" s="68">
        <v>40228</v>
      </c>
      <c r="R202" s="68">
        <v>38500</v>
      </c>
      <c r="S202" s="69">
        <v>31589</v>
      </c>
      <c r="T202" s="69">
        <v>161</v>
      </c>
      <c r="U202" s="74" t="s">
        <v>61</v>
      </c>
      <c r="V202" s="75" t="s">
        <v>56</v>
      </c>
      <c r="W202" s="68">
        <v>13261813</v>
      </c>
      <c r="X202" s="68">
        <f t="shared" si="213"/>
        <v>329.6662275032316</v>
      </c>
      <c r="Y202" s="68">
        <f t="shared" si="214"/>
        <v>344.46267532467533</v>
      </c>
      <c r="Z202" s="68">
        <f t="shared" si="215"/>
        <v>419.82376776726073</v>
      </c>
      <c r="AA202" s="68">
        <f t="shared" si="216"/>
        <v>82371.509316770185</v>
      </c>
      <c r="AB202" s="78" t="s">
        <v>73</v>
      </c>
      <c r="AC202" s="55"/>
      <c r="AD202" s="93">
        <f t="shared" ref="AD202" si="222">W202/AC198</f>
        <v>0.1016768225702851</v>
      </c>
    </row>
    <row r="203" spans="1:30" s="32" customFormat="1" ht="15.95">
      <c r="A203" s="65"/>
      <c r="B203" s="66" t="s">
        <v>48</v>
      </c>
      <c r="C203" s="66" t="s">
        <v>19</v>
      </c>
      <c r="D203" s="66"/>
      <c r="E203" s="66" t="s">
        <v>20</v>
      </c>
      <c r="F203" s="66" t="s">
        <v>21</v>
      </c>
      <c r="G203" s="66" t="s">
        <v>50</v>
      </c>
      <c r="H203" s="66"/>
      <c r="I203" s="66" t="s">
        <v>103</v>
      </c>
      <c r="J203" s="66"/>
      <c r="K203" s="66" t="s">
        <v>104</v>
      </c>
      <c r="L203" s="67">
        <v>2022</v>
      </c>
      <c r="M203" s="66" t="s">
        <v>23</v>
      </c>
      <c r="N203" s="66" t="s">
        <v>24</v>
      </c>
      <c r="O203" s="66" t="s">
        <v>54</v>
      </c>
      <c r="P203" s="66" t="s">
        <v>25</v>
      </c>
      <c r="Q203" s="68">
        <v>40228</v>
      </c>
      <c r="R203" s="68">
        <v>38500</v>
      </c>
      <c r="S203" s="69">
        <v>31589</v>
      </c>
      <c r="T203" s="69">
        <v>161</v>
      </c>
      <c r="U203" s="74" t="s">
        <v>62</v>
      </c>
      <c r="V203" s="75" t="s">
        <v>56</v>
      </c>
      <c r="W203" s="68">
        <v>17046736</v>
      </c>
      <c r="X203" s="68">
        <f t="shared" si="213"/>
        <v>423.75300785522523</v>
      </c>
      <c r="Y203" s="68">
        <f t="shared" si="214"/>
        <v>442.77236363636365</v>
      </c>
      <c r="Z203" s="68">
        <f t="shared" si="215"/>
        <v>539.64152078255086</v>
      </c>
      <c r="AA203" s="68">
        <f t="shared" si="216"/>
        <v>105880.34782608696</v>
      </c>
      <c r="AB203" s="78" t="s">
        <v>73</v>
      </c>
      <c r="AC203" s="55"/>
      <c r="AD203" s="93">
        <f t="shared" ref="AD203" si="223">W203/AC198</f>
        <v>0.13069539976732378</v>
      </c>
    </row>
    <row r="204" spans="1:30" s="32" customFormat="1" ht="15.95">
      <c r="A204" s="65"/>
      <c r="B204" s="66" t="s">
        <v>48</v>
      </c>
      <c r="C204" s="66" t="s">
        <v>19</v>
      </c>
      <c r="D204" s="66"/>
      <c r="E204" s="66" t="s">
        <v>20</v>
      </c>
      <c r="F204" s="66" t="s">
        <v>21</v>
      </c>
      <c r="G204" s="66" t="s">
        <v>50</v>
      </c>
      <c r="H204" s="66"/>
      <c r="I204" s="66" t="s">
        <v>103</v>
      </c>
      <c r="J204" s="66"/>
      <c r="K204" s="66" t="s">
        <v>104</v>
      </c>
      <c r="L204" s="67">
        <v>2022</v>
      </c>
      <c r="M204" s="66" t="s">
        <v>23</v>
      </c>
      <c r="N204" s="66" t="s">
        <v>24</v>
      </c>
      <c r="O204" s="66" t="s">
        <v>54</v>
      </c>
      <c r="P204" s="66" t="s">
        <v>25</v>
      </c>
      <c r="Q204" s="68">
        <v>40228</v>
      </c>
      <c r="R204" s="68">
        <v>38500</v>
      </c>
      <c r="S204" s="69">
        <v>31589</v>
      </c>
      <c r="T204" s="69">
        <v>161</v>
      </c>
      <c r="U204" s="74" t="s">
        <v>63</v>
      </c>
      <c r="V204" s="75" t="s">
        <v>56</v>
      </c>
      <c r="W204" s="68">
        <v>5549879</v>
      </c>
      <c r="X204" s="68">
        <f t="shared" si="213"/>
        <v>137.96059958238044</v>
      </c>
      <c r="Y204" s="68">
        <f t="shared" si="214"/>
        <v>144.15270129870129</v>
      </c>
      <c r="Z204" s="68">
        <f t="shared" si="215"/>
        <v>175.69024027351293</v>
      </c>
      <c r="AA204" s="68">
        <f t="shared" si="216"/>
        <v>34471.298136645964</v>
      </c>
      <c r="AB204" s="78" t="s">
        <v>73</v>
      </c>
      <c r="AC204" s="55"/>
      <c r="AD204" s="93">
        <f t="shared" ref="AD204" si="224">W204/AC198</f>
        <v>4.2550295526678841E-2</v>
      </c>
    </row>
    <row r="205" spans="1:30" s="32" customFormat="1" ht="15.95">
      <c r="A205" s="65"/>
      <c r="B205" s="66" t="s">
        <v>48</v>
      </c>
      <c r="C205" s="66" t="s">
        <v>19</v>
      </c>
      <c r="D205" s="66"/>
      <c r="E205" s="66" t="s">
        <v>20</v>
      </c>
      <c r="F205" s="66" t="s">
        <v>21</v>
      </c>
      <c r="G205" s="66" t="s">
        <v>50</v>
      </c>
      <c r="H205" s="66"/>
      <c r="I205" s="66" t="s">
        <v>103</v>
      </c>
      <c r="J205" s="66"/>
      <c r="K205" s="66" t="s">
        <v>104</v>
      </c>
      <c r="L205" s="67">
        <v>2022</v>
      </c>
      <c r="M205" s="66" t="s">
        <v>23</v>
      </c>
      <c r="N205" s="66" t="s">
        <v>24</v>
      </c>
      <c r="O205" s="66" t="s">
        <v>54</v>
      </c>
      <c r="P205" s="66" t="s">
        <v>25</v>
      </c>
      <c r="Q205" s="68">
        <v>40228</v>
      </c>
      <c r="R205" s="68">
        <v>38500</v>
      </c>
      <c r="S205" s="69">
        <v>31589</v>
      </c>
      <c r="T205" s="69">
        <v>161</v>
      </c>
      <c r="U205" s="74" t="s">
        <v>64</v>
      </c>
      <c r="V205" s="75" t="s">
        <v>56</v>
      </c>
      <c r="W205" s="68">
        <v>0</v>
      </c>
      <c r="X205" s="68">
        <f t="shared" si="213"/>
        <v>0</v>
      </c>
      <c r="Y205" s="68">
        <f t="shared" si="214"/>
        <v>0</v>
      </c>
      <c r="Z205" s="68">
        <f t="shared" si="215"/>
        <v>0</v>
      </c>
      <c r="AA205" s="68">
        <f t="shared" si="216"/>
        <v>0</v>
      </c>
      <c r="AB205" s="78" t="s">
        <v>73</v>
      </c>
      <c r="AC205" s="55"/>
      <c r="AD205" s="93">
        <f t="shared" ref="AD205" si="225">W205/AC198</f>
        <v>0</v>
      </c>
    </row>
    <row r="206" spans="1:30" s="32" customFormat="1" ht="15.95">
      <c r="A206" s="65"/>
      <c r="B206" s="66" t="s">
        <v>48</v>
      </c>
      <c r="C206" s="66" t="s">
        <v>19</v>
      </c>
      <c r="D206" s="66"/>
      <c r="E206" s="66" t="s">
        <v>20</v>
      </c>
      <c r="F206" s="66" t="s">
        <v>21</v>
      </c>
      <c r="G206" s="66" t="s">
        <v>50</v>
      </c>
      <c r="H206" s="66"/>
      <c r="I206" s="66" t="s">
        <v>103</v>
      </c>
      <c r="J206" s="66"/>
      <c r="K206" s="66" t="s">
        <v>104</v>
      </c>
      <c r="L206" s="67">
        <v>2022</v>
      </c>
      <c r="M206" s="66" t="s">
        <v>23</v>
      </c>
      <c r="N206" s="66" t="s">
        <v>24</v>
      </c>
      <c r="O206" s="66" t="s">
        <v>54</v>
      </c>
      <c r="P206" s="66" t="s">
        <v>25</v>
      </c>
      <c r="Q206" s="68">
        <v>40228</v>
      </c>
      <c r="R206" s="68">
        <v>38500</v>
      </c>
      <c r="S206" s="69">
        <v>31589</v>
      </c>
      <c r="T206" s="69">
        <v>161</v>
      </c>
      <c r="U206" s="74" t="s">
        <v>65</v>
      </c>
      <c r="V206" s="75" t="s">
        <v>56</v>
      </c>
      <c r="W206" s="68">
        <v>25769539</v>
      </c>
      <c r="X206" s="68">
        <f t="shared" si="213"/>
        <v>640.58712836830068</v>
      </c>
      <c r="Y206" s="68">
        <f t="shared" si="214"/>
        <v>669.33867532467536</v>
      </c>
      <c r="Z206" s="68">
        <f t="shared" si="215"/>
        <v>815.77571306467439</v>
      </c>
      <c r="AA206" s="68">
        <f t="shared" si="216"/>
        <v>160059.24844720497</v>
      </c>
      <c r="AB206" s="78" t="s">
        <v>73</v>
      </c>
      <c r="AC206" s="55"/>
      <c r="AD206" s="93">
        <f t="shared" ref="AD206" si="226">W206/AC198</f>
        <v>0.19757214527312683</v>
      </c>
    </row>
    <row r="207" spans="1:30" s="32" customFormat="1" ht="15.95">
      <c r="A207" s="65"/>
      <c r="B207" s="66" t="s">
        <v>48</v>
      </c>
      <c r="C207" s="66" t="s">
        <v>19</v>
      </c>
      <c r="D207" s="66"/>
      <c r="E207" s="66" t="s">
        <v>20</v>
      </c>
      <c r="F207" s="66" t="s">
        <v>21</v>
      </c>
      <c r="G207" s="66" t="s">
        <v>50</v>
      </c>
      <c r="H207" s="66"/>
      <c r="I207" s="66" t="s">
        <v>103</v>
      </c>
      <c r="J207" s="66"/>
      <c r="K207" s="66" t="s">
        <v>104</v>
      </c>
      <c r="L207" s="67">
        <v>2022</v>
      </c>
      <c r="M207" s="66" t="s">
        <v>23</v>
      </c>
      <c r="N207" s="66" t="s">
        <v>24</v>
      </c>
      <c r="O207" s="66" t="s">
        <v>54</v>
      </c>
      <c r="P207" s="66" t="s">
        <v>25</v>
      </c>
      <c r="Q207" s="68">
        <v>40228</v>
      </c>
      <c r="R207" s="68">
        <v>38500</v>
      </c>
      <c r="S207" s="69">
        <v>31589</v>
      </c>
      <c r="T207" s="69">
        <v>161</v>
      </c>
      <c r="U207" s="74" t="s">
        <v>66</v>
      </c>
      <c r="V207" s="75" t="s">
        <v>56</v>
      </c>
      <c r="W207" s="68">
        <v>6430028</v>
      </c>
      <c r="X207" s="68">
        <f t="shared" si="213"/>
        <v>159.83961419906532</v>
      </c>
      <c r="Y207" s="68">
        <f t="shared" si="214"/>
        <v>167.01371428571429</v>
      </c>
      <c r="Z207" s="68">
        <f t="shared" si="215"/>
        <v>203.55275570610021</v>
      </c>
      <c r="AA207" s="68">
        <f t="shared" si="216"/>
        <v>39938.062111801242</v>
      </c>
      <c r="AB207" s="78" t="s">
        <v>73</v>
      </c>
      <c r="AC207" s="55"/>
      <c r="AD207" s="93">
        <f t="shared" ref="AD207" si="227">W207/AC198</f>
        <v>4.9298298511520643E-2</v>
      </c>
    </row>
    <row r="208" spans="1:30" s="32" customFormat="1" ht="15.95">
      <c r="A208" s="65"/>
      <c r="B208" s="66" t="s">
        <v>48</v>
      </c>
      <c r="C208" s="66" t="s">
        <v>19</v>
      </c>
      <c r="D208" s="66"/>
      <c r="E208" s="66" t="s">
        <v>20</v>
      </c>
      <c r="F208" s="66" t="s">
        <v>21</v>
      </c>
      <c r="G208" s="66" t="s">
        <v>50</v>
      </c>
      <c r="H208" s="66"/>
      <c r="I208" s="66" t="s">
        <v>103</v>
      </c>
      <c r="J208" s="66"/>
      <c r="K208" s="66" t="s">
        <v>104</v>
      </c>
      <c r="L208" s="67">
        <v>2022</v>
      </c>
      <c r="M208" s="66" t="s">
        <v>23</v>
      </c>
      <c r="N208" s="66" t="s">
        <v>24</v>
      </c>
      <c r="O208" s="66" t="s">
        <v>54</v>
      </c>
      <c r="P208" s="66" t="s">
        <v>25</v>
      </c>
      <c r="Q208" s="68">
        <v>40228</v>
      </c>
      <c r="R208" s="68">
        <v>38500</v>
      </c>
      <c r="S208" s="69">
        <v>31589</v>
      </c>
      <c r="T208" s="69">
        <v>161</v>
      </c>
      <c r="U208" s="74" t="s">
        <v>67</v>
      </c>
      <c r="V208" s="75" t="s">
        <v>56</v>
      </c>
      <c r="W208" s="68">
        <v>0</v>
      </c>
      <c r="X208" s="68">
        <f t="shared" si="213"/>
        <v>0</v>
      </c>
      <c r="Y208" s="68">
        <f t="shared" si="214"/>
        <v>0</v>
      </c>
      <c r="Z208" s="68">
        <f t="shared" si="215"/>
        <v>0</v>
      </c>
      <c r="AA208" s="68">
        <f t="shared" si="216"/>
        <v>0</v>
      </c>
      <c r="AB208" s="78" t="s">
        <v>73</v>
      </c>
      <c r="AC208" s="55"/>
      <c r="AD208" s="93">
        <f t="shared" ref="AD208" si="228">W208/AC198</f>
        <v>0</v>
      </c>
    </row>
    <row r="209" spans="1:30" s="32" customFormat="1" ht="15.95">
      <c r="A209" s="65"/>
      <c r="B209" s="66" t="s">
        <v>48</v>
      </c>
      <c r="C209" s="66" t="s">
        <v>19</v>
      </c>
      <c r="D209" s="66"/>
      <c r="E209" s="66" t="s">
        <v>20</v>
      </c>
      <c r="F209" s="66" t="s">
        <v>21</v>
      </c>
      <c r="G209" s="66" t="s">
        <v>50</v>
      </c>
      <c r="H209" s="66"/>
      <c r="I209" s="66" t="s">
        <v>103</v>
      </c>
      <c r="J209" s="66"/>
      <c r="K209" s="66" t="s">
        <v>104</v>
      </c>
      <c r="L209" s="67">
        <v>2022</v>
      </c>
      <c r="M209" s="66" t="s">
        <v>23</v>
      </c>
      <c r="N209" s="66" t="s">
        <v>24</v>
      </c>
      <c r="O209" s="66" t="s">
        <v>54</v>
      </c>
      <c r="P209" s="66" t="s">
        <v>25</v>
      </c>
      <c r="Q209" s="68">
        <v>40228</v>
      </c>
      <c r="R209" s="68">
        <v>38500</v>
      </c>
      <c r="S209" s="69">
        <v>31589</v>
      </c>
      <c r="T209" s="69">
        <v>161</v>
      </c>
      <c r="U209" s="74" t="s">
        <v>68</v>
      </c>
      <c r="V209" s="75" t="s">
        <v>56</v>
      </c>
      <c r="W209" s="68">
        <v>9850885</v>
      </c>
      <c r="X209" s="68">
        <f t="shared" si="213"/>
        <v>244.8763299194591</v>
      </c>
      <c r="Y209" s="68">
        <f t="shared" si="214"/>
        <v>255.86714285714285</v>
      </c>
      <c r="Z209" s="68">
        <f t="shared" si="215"/>
        <v>311.845420874355</v>
      </c>
      <c r="AA209" s="68">
        <f t="shared" si="216"/>
        <v>61185.621118012423</v>
      </c>
      <c r="AB209" s="78" t="s">
        <v>73</v>
      </c>
      <c r="AC209" s="55"/>
      <c r="AD209" s="93">
        <f t="shared" ref="AD209" si="229">W209/AC198</f>
        <v>7.5525622801745351E-2</v>
      </c>
    </row>
    <row r="210" spans="1:30" s="32" customFormat="1" ht="15.95">
      <c r="A210" s="65"/>
      <c r="B210" s="66" t="s">
        <v>48</v>
      </c>
      <c r="C210" s="66" t="s">
        <v>19</v>
      </c>
      <c r="D210" s="66"/>
      <c r="E210" s="66" t="s">
        <v>20</v>
      </c>
      <c r="F210" s="66" t="s">
        <v>21</v>
      </c>
      <c r="G210" s="66" t="s">
        <v>50</v>
      </c>
      <c r="H210" s="66"/>
      <c r="I210" s="66" t="s">
        <v>103</v>
      </c>
      <c r="J210" s="66"/>
      <c r="K210" s="66" t="s">
        <v>104</v>
      </c>
      <c r="L210" s="67">
        <v>2022</v>
      </c>
      <c r="M210" s="66" t="s">
        <v>23</v>
      </c>
      <c r="N210" s="66" t="s">
        <v>24</v>
      </c>
      <c r="O210" s="66" t="s">
        <v>54</v>
      </c>
      <c r="P210" s="66" t="s">
        <v>25</v>
      </c>
      <c r="Q210" s="68">
        <v>40228</v>
      </c>
      <c r="R210" s="68">
        <v>38500</v>
      </c>
      <c r="S210" s="69">
        <v>31589</v>
      </c>
      <c r="T210" s="69">
        <v>161</v>
      </c>
      <c r="U210" s="74" t="s">
        <v>69</v>
      </c>
      <c r="V210" s="75" t="s">
        <v>56</v>
      </c>
      <c r="W210" s="68">
        <v>6423971</v>
      </c>
      <c r="X210" s="68">
        <f t="shared" si="213"/>
        <v>159.689047429651</v>
      </c>
      <c r="Y210" s="68">
        <f t="shared" si="214"/>
        <v>166.85638961038961</v>
      </c>
      <c r="Z210" s="68">
        <f t="shared" si="215"/>
        <v>203.36101174459463</v>
      </c>
      <c r="AA210" s="68">
        <f t="shared" si="216"/>
        <v>39900.440993788819</v>
      </c>
      <c r="AB210" s="78" t="s">
        <v>73</v>
      </c>
      <c r="AC210" s="55"/>
      <c r="AD210" s="93">
        <f t="shared" ref="AD210" si="230">W210/AC198</f>
        <v>4.9251860176557825E-2</v>
      </c>
    </row>
    <row r="211" spans="1:30" s="55" customFormat="1" ht="15" customHeight="1">
      <c r="A211" s="57"/>
      <c r="B211" s="58" t="s">
        <v>48</v>
      </c>
      <c r="C211" s="58" t="s">
        <v>19</v>
      </c>
      <c r="D211" s="58"/>
      <c r="E211" s="58" t="s">
        <v>20</v>
      </c>
      <c r="F211" s="58" t="s">
        <v>21</v>
      </c>
      <c r="G211" s="58" t="s">
        <v>50</v>
      </c>
      <c r="H211" s="58"/>
      <c r="I211" s="58" t="s">
        <v>105</v>
      </c>
      <c r="J211" s="58"/>
      <c r="K211" s="58" t="s">
        <v>106</v>
      </c>
      <c r="L211" s="59">
        <v>2022</v>
      </c>
      <c r="M211" s="79" t="s">
        <v>96</v>
      </c>
      <c r="N211" s="58" t="s">
        <v>24</v>
      </c>
      <c r="O211" s="58" t="s">
        <v>54</v>
      </c>
      <c r="P211" s="58" t="s">
        <v>25</v>
      </c>
      <c r="Q211" s="60">
        <v>91078</v>
      </c>
      <c r="R211" s="60">
        <v>87165</v>
      </c>
      <c r="S211" s="60">
        <v>71514</v>
      </c>
      <c r="T211" s="60">
        <v>360</v>
      </c>
      <c r="U211" s="62" t="s">
        <v>55</v>
      </c>
      <c r="V211" s="63" t="s">
        <v>56</v>
      </c>
      <c r="W211" s="60">
        <v>15581048</v>
      </c>
      <c r="X211" s="60">
        <f t="shared" si="203"/>
        <v>171.07367311535168</v>
      </c>
      <c r="Y211" s="60">
        <f t="shared" si="204"/>
        <v>178.75349050651064</v>
      </c>
      <c r="Z211" s="60">
        <f t="shared" si="205"/>
        <v>217.87409458287888</v>
      </c>
      <c r="AA211" s="60">
        <f t="shared" si="206"/>
        <v>43280.688888888886</v>
      </c>
      <c r="AB211" s="77" t="s">
        <v>73</v>
      </c>
      <c r="AC211" s="92">
        <f t="shared" ref="AC211" si="231">SUM(W211:W223)</f>
        <v>293698093</v>
      </c>
      <c r="AD211" s="93">
        <f t="shared" ref="AD211" si="232">W211/AC211</f>
        <v>5.305123993433624E-2</v>
      </c>
    </row>
    <row r="212" spans="1:30" s="55" customFormat="1" ht="15.95">
      <c r="A212" s="57"/>
      <c r="B212" s="58" t="s">
        <v>48</v>
      </c>
      <c r="C212" s="58" t="s">
        <v>19</v>
      </c>
      <c r="D212" s="58"/>
      <c r="E212" s="58" t="s">
        <v>20</v>
      </c>
      <c r="F212" s="58" t="s">
        <v>21</v>
      </c>
      <c r="G212" s="58" t="s">
        <v>50</v>
      </c>
      <c r="H212" s="58"/>
      <c r="I212" s="58" t="s">
        <v>105</v>
      </c>
      <c r="J212" s="58"/>
      <c r="K212" s="58" t="s">
        <v>106</v>
      </c>
      <c r="L212" s="59">
        <v>2022</v>
      </c>
      <c r="M212" s="58" t="s">
        <v>96</v>
      </c>
      <c r="N212" s="58" t="s">
        <v>24</v>
      </c>
      <c r="O212" s="58" t="s">
        <v>54</v>
      </c>
      <c r="P212" s="58" t="s">
        <v>25</v>
      </c>
      <c r="Q212" s="60">
        <v>91078</v>
      </c>
      <c r="R212" s="60">
        <v>87165</v>
      </c>
      <c r="S212" s="61">
        <v>71514</v>
      </c>
      <c r="T212" s="61">
        <v>360</v>
      </c>
      <c r="U212" s="62" t="s">
        <v>58</v>
      </c>
      <c r="V212" s="63" t="s">
        <v>56</v>
      </c>
      <c r="W212" s="60">
        <v>34324112</v>
      </c>
      <c r="X212" s="60">
        <f t="shared" si="203"/>
        <v>376.86501679878785</v>
      </c>
      <c r="Y212" s="60">
        <f t="shared" si="204"/>
        <v>393.78319279527335</v>
      </c>
      <c r="Z212" s="60">
        <f t="shared" si="205"/>
        <v>479.96353161618703</v>
      </c>
      <c r="AA212" s="60">
        <f t="shared" si="206"/>
        <v>95344.755555555559</v>
      </c>
      <c r="AB212" s="77" t="s">
        <v>73</v>
      </c>
      <c r="AD212" s="93">
        <f t="shared" ref="AD212" si="233">W212/AC211</f>
        <v>0.11686869209600213</v>
      </c>
    </row>
    <row r="213" spans="1:30" s="55" customFormat="1" ht="15.95">
      <c r="A213" s="57"/>
      <c r="B213" s="58" t="s">
        <v>48</v>
      </c>
      <c r="C213" s="58" t="s">
        <v>19</v>
      </c>
      <c r="D213" s="58"/>
      <c r="E213" s="58" t="s">
        <v>20</v>
      </c>
      <c r="F213" s="58" t="s">
        <v>21</v>
      </c>
      <c r="G213" s="58" t="s">
        <v>50</v>
      </c>
      <c r="H213" s="58"/>
      <c r="I213" s="58" t="s">
        <v>105</v>
      </c>
      <c r="J213" s="58"/>
      <c r="K213" s="58" t="s">
        <v>106</v>
      </c>
      <c r="L213" s="59">
        <v>2022</v>
      </c>
      <c r="M213" s="58" t="s">
        <v>96</v>
      </c>
      <c r="N213" s="58" t="s">
        <v>24</v>
      </c>
      <c r="O213" s="58" t="s">
        <v>54</v>
      </c>
      <c r="P213" s="58" t="s">
        <v>25</v>
      </c>
      <c r="Q213" s="60">
        <v>91078</v>
      </c>
      <c r="R213" s="60">
        <v>87165</v>
      </c>
      <c r="S213" s="61">
        <v>71514</v>
      </c>
      <c r="T213" s="61">
        <v>360</v>
      </c>
      <c r="U213" s="62" t="s">
        <v>59</v>
      </c>
      <c r="V213" s="63" t="s">
        <v>56</v>
      </c>
      <c r="W213" s="60">
        <v>30596825</v>
      </c>
      <c r="X213" s="60">
        <f t="shared" si="203"/>
        <v>335.94089681372009</v>
      </c>
      <c r="Y213" s="60">
        <f t="shared" si="204"/>
        <v>351.02191246486547</v>
      </c>
      <c r="Z213" s="60">
        <f t="shared" si="205"/>
        <v>427.84384875688676</v>
      </c>
      <c r="AA213" s="60">
        <f t="shared" si="206"/>
        <v>84991.180555555562</v>
      </c>
      <c r="AB213" s="77" t="s">
        <v>73</v>
      </c>
      <c r="AD213" s="93">
        <f t="shared" ref="AD213" si="234">W213/AC211</f>
        <v>0.10417781296251045</v>
      </c>
    </row>
    <row r="214" spans="1:30" s="55" customFormat="1" ht="15.95">
      <c r="A214" s="57"/>
      <c r="B214" s="58" t="s">
        <v>48</v>
      </c>
      <c r="C214" s="58" t="s">
        <v>19</v>
      </c>
      <c r="D214" s="58"/>
      <c r="E214" s="58" t="s">
        <v>20</v>
      </c>
      <c r="F214" s="58" t="s">
        <v>21</v>
      </c>
      <c r="G214" s="58" t="s">
        <v>50</v>
      </c>
      <c r="H214" s="58"/>
      <c r="I214" s="58" t="s">
        <v>105</v>
      </c>
      <c r="J214" s="58"/>
      <c r="K214" s="58" t="s">
        <v>106</v>
      </c>
      <c r="L214" s="59">
        <v>2022</v>
      </c>
      <c r="M214" s="58" t="s">
        <v>96</v>
      </c>
      <c r="N214" s="58" t="s">
        <v>24</v>
      </c>
      <c r="O214" s="58" t="s">
        <v>54</v>
      </c>
      <c r="P214" s="58" t="s">
        <v>25</v>
      </c>
      <c r="Q214" s="60">
        <v>91078</v>
      </c>
      <c r="R214" s="60">
        <v>87165</v>
      </c>
      <c r="S214" s="61">
        <v>71514</v>
      </c>
      <c r="T214" s="61">
        <v>360</v>
      </c>
      <c r="U214" s="62" t="s">
        <v>60</v>
      </c>
      <c r="V214" s="63" t="s">
        <v>56</v>
      </c>
      <c r="W214" s="60">
        <v>17775940</v>
      </c>
      <c r="X214" s="60">
        <f t="shared" si="203"/>
        <v>195.17270910648017</v>
      </c>
      <c r="Y214" s="60">
        <f t="shared" si="204"/>
        <v>203.93437733035049</v>
      </c>
      <c r="Z214" s="60">
        <f t="shared" si="205"/>
        <v>248.56587521324496</v>
      </c>
      <c r="AA214" s="60">
        <f t="shared" si="206"/>
        <v>49377.611111111109</v>
      </c>
      <c r="AB214" s="77" t="s">
        <v>73</v>
      </c>
      <c r="AD214" s="93">
        <f t="shared" ref="AD214" si="235">W214/AC211</f>
        <v>6.0524533266206805E-2</v>
      </c>
    </row>
    <row r="215" spans="1:30" s="55" customFormat="1" ht="15.95">
      <c r="A215" s="57"/>
      <c r="B215" s="58" t="s">
        <v>48</v>
      </c>
      <c r="C215" s="58" t="s">
        <v>19</v>
      </c>
      <c r="D215" s="58"/>
      <c r="E215" s="58" t="s">
        <v>20</v>
      </c>
      <c r="F215" s="58" t="s">
        <v>21</v>
      </c>
      <c r="G215" s="58" t="s">
        <v>50</v>
      </c>
      <c r="H215" s="58"/>
      <c r="I215" s="58" t="s">
        <v>105</v>
      </c>
      <c r="J215" s="58"/>
      <c r="K215" s="58" t="s">
        <v>106</v>
      </c>
      <c r="L215" s="59">
        <v>2022</v>
      </c>
      <c r="M215" s="58" t="s">
        <v>96</v>
      </c>
      <c r="N215" s="58" t="s">
        <v>24</v>
      </c>
      <c r="O215" s="58" t="s">
        <v>54</v>
      </c>
      <c r="P215" s="58" t="s">
        <v>25</v>
      </c>
      <c r="Q215" s="60">
        <v>91078</v>
      </c>
      <c r="R215" s="60">
        <v>87165</v>
      </c>
      <c r="S215" s="61">
        <v>71514</v>
      </c>
      <c r="T215" s="61">
        <v>360</v>
      </c>
      <c r="U215" s="62" t="s">
        <v>61</v>
      </c>
      <c r="V215" s="63" t="s">
        <v>56</v>
      </c>
      <c r="W215" s="60">
        <v>27690007</v>
      </c>
      <c r="X215" s="60">
        <f t="shared" si="203"/>
        <v>304.02519818177825</v>
      </c>
      <c r="Y215" s="60">
        <f t="shared" si="204"/>
        <v>317.67345838352549</v>
      </c>
      <c r="Z215" s="60">
        <f t="shared" si="205"/>
        <v>387.19701037559082</v>
      </c>
      <c r="AA215" s="60">
        <f t="shared" si="206"/>
        <v>76916.686111111107</v>
      </c>
      <c r="AB215" s="77" t="s">
        <v>73</v>
      </c>
      <c r="AD215" s="93">
        <f t="shared" ref="AD215" si="236">W215/AC211</f>
        <v>9.4280513425056528E-2</v>
      </c>
    </row>
    <row r="216" spans="1:30" s="55" customFormat="1" ht="15.95">
      <c r="A216" s="57"/>
      <c r="B216" s="58" t="s">
        <v>48</v>
      </c>
      <c r="C216" s="58" t="s">
        <v>19</v>
      </c>
      <c r="D216" s="58"/>
      <c r="E216" s="58" t="s">
        <v>20</v>
      </c>
      <c r="F216" s="58" t="s">
        <v>21</v>
      </c>
      <c r="G216" s="58" t="s">
        <v>50</v>
      </c>
      <c r="H216" s="58"/>
      <c r="I216" s="58" t="s">
        <v>105</v>
      </c>
      <c r="J216" s="58"/>
      <c r="K216" s="58" t="s">
        <v>106</v>
      </c>
      <c r="L216" s="59">
        <v>2022</v>
      </c>
      <c r="M216" s="58" t="s">
        <v>96</v>
      </c>
      <c r="N216" s="58" t="s">
        <v>24</v>
      </c>
      <c r="O216" s="58" t="s">
        <v>54</v>
      </c>
      <c r="P216" s="58" t="s">
        <v>25</v>
      </c>
      <c r="Q216" s="60">
        <v>91078</v>
      </c>
      <c r="R216" s="60">
        <v>87165</v>
      </c>
      <c r="S216" s="61">
        <v>71514</v>
      </c>
      <c r="T216" s="61">
        <v>360</v>
      </c>
      <c r="U216" s="62" t="s">
        <v>62</v>
      </c>
      <c r="V216" s="63" t="s">
        <v>56</v>
      </c>
      <c r="W216" s="60">
        <v>36597450</v>
      </c>
      <c r="X216" s="60">
        <f t="shared" si="203"/>
        <v>401.82535848393684</v>
      </c>
      <c r="Y216" s="60">
        <f t="shared" si="204"/>
        <v>419.86405093787641</v>
      </c>
      <c r="Z216" s="60">
        <f t="shared" si="205"/>
        <v>511.75224431579829</v>
      </c>
      <c r="AA216" s="60">
        <f t="shared" si="206"/>
        <v>101659.58333333333</v>
      </c>
      <c r="AB216" s="77" t="s">
        <v>73</v>
      </c>
      <c r="AD216" s="93">
        <f t="shared" ref="AD216" si="237">W216/AC211</f>
        <v>0.12460908283800126</v>
      </c>
    </row>
    <row r="217" spans="1:30" s="55" customFormat="1" ht="15.95">
      <c r="A217" s="57"/>
      <c r="B217" s="58" t="s">
        <v>48</v>
      </c>
      <c r="C217" s="58" t="s">
        <v>19</v>
      </c>
      <c r="D217" s="58"/>
      <c r="E217" s="58" t="s">
        <v>20</v>
      </c>
      <c r="F217" s="58" t="s">
        <v>21</v>
      </c>
      <c r="G217" s="58" t="s">
        <v>50</v>
      </c>
      <c r="H217" s="58"/>
      <c r="I217" s="58" t="s">
        <v>105</v>
      </c>
      <c r="J217" s="58"/>
      <c r="K217" s="58" t="s">
        <v>106</v>
      </c>
      <c r="L217" s="59">
        <v>2022</v>
      </c>
      <c r="M217" s="58" t="s">
        <v>96</v>
      </c>
      <c r="N217" s="58" t="s">
        <v>24</v>
      </c>
      <c r="O217" s="58" t="s">
        <v>54</v>
      </c>
      <c r="P217" s="58" t="s">
        <v>25</v>
      </c>
      <c r="Q217" s="60">
        <v>91078</v>
      </c>
      <c r="R217" s="60">
        <v>87165</v>
      </c>
      <c r="S217" s="61">
        <v>71514</v>
      </c>
      <c r="T217" s="61">
        <v>360</v>
      </c>
      <c r="U217" s="62" t="s">
        <v>63</v>
      </c>
      <c r="V217" s="63" t="s">
        <v>56</v>
      </c>
      <c r="W217" s="60">
        <v>8690340</v>
      </c>
      <c r="X217" s="60">
        <f t="shared" si="203"/>
        <v>95.416456224335178</v>
      </c>
      <c r="Y217" s="60">
        <f t="shared" si="204"/>
        <v>99.699879538805718</v>
      </c>
      <c r="Z217" s="60">
        <f t="shared" si="205"/>
        <v>121.51942277036665</v>
      </c>
      <c r="AA217" s="60">
        <f t="shared" si="206"/>
        <v>24139.833333333332</v>
      </c>
      <c r="AB217" s="77" t="s">
        <v>73</v>
      </c>
      <c r="AD217" s="93">
        <f t="shared" ref="AD217" si="238">W217/AC211</f>
        <v>2.9589364749467405E-2</v>
      </c>
    </row>
    <row r="218" spans="1:30" s="55" customFormat="1" ht="15.95">
      <c r="A218" s="57"/>
      <c r="B218" s="58" t="s">
        <v>48</v>
      </c>
      <c r="C218" s="58" t="s">
        <v>19</v>
      </c>
      <c r="D218" s="58"/>
      <c r="E218" s="58" t="s">
        <v>20</v>
      </c>
      <c r="F218" s="58" t="s">
        <v>21</v>
      </c>
      <c r="G218" s="58" t="s">
        <v>50</v>
      </c>
      <c r="H218" s="58"/>
      <c r="I218" s="58" t="s">
        <v>105</v>
      </c>
      <c r="J218" s="58"/>
      <c r="K218" s="58" t="s">
        <v>106</v>
      </c>
      <c r="L218" s="59">
        <v>2022</v>
      </c>
      <c r="M218" s="58" t="s">
        <v>96</v>
      </c>
      <c r="N218" s="58" t="s">
        <v>24</v>
      </c>
      <c r="O218" s="58" t="s">
        <v>54</v>
      </c>
      <c r="P218" s="58" t="s">
        <v>25</v>
      </c>
      <c r="Q218" s="60">
        <v>91078</v>
      </c>
      <c r="R218" s="60">
        <v>87165</v>
      </c>
      <c r="S218" s="61">
        <v>71514</v>
      </c>
      <c r="T218" s="61">
        <v>360</v>
      </c>
      <c r="U218" s="62" t="s">
        <v>64</v>
      </c>
      <c r="V218" s="63" t="s">
        <v>56</v>
      </c>
      <c r="W218" s="60">
        <v>0</v>
      </c>
      <c r="X218" s="60">
        <f t="shared" si="203"/>
        <v>0</v>
      </c>
      <c r="Y218" s="60">
        <f t="shared" si="204"/>
        <v>0</v>
      </c>
      <c r="Z218" s="60">
        <f t="shared" si="205"/>
        <v>0</v>
      </c>
      <c r="AA218" s="60">
        <f t="shared" si="206"/>
        <v>0</v>
      </c>
      <c r="AB218" s="77" t="s">
        <v>73</v>
      </c>
      <c r="AD218" s="93">
        <f t="shared" ref="AD218" si="239">W218/AC211</f>
        <v>0</v>
      </c>
    </row>
    <row r="219" spans="1:30" s="55" customFormat="1" ht="15.95">
      <c r="A219" s="57"/>
      <c r="B219" s="58" t="s">
        <v>48</v>
      </c>
      <c r="C219" s="58" t="s">
        <v>19</v>
      </c>
      <c r="D219" s="58"/>
      <c r="E219" s="58" t="s">
        <v>20</v>
      </c>
      <c r="F219" s="58" t="s">
        <v>21</v>
      </c>
      <c r="G219" s="58" t="s">
        <v>50</v>
      </c>
      <c r="H219" s="58"/>
      <c r="I219" s="58" t="s">
        <v>105</v>
      </c>
      <c r="J219" s="58"/>
      <c r="K219" s="58" t="s">
        <v>106</v>
      </c>
      <c r="L219" s="59">
        <v>2022</v>
      </c>
      <c r="M219" s="58" t="s">
        <v>96</v>
      </c>
      <c r="N219" s="58" t="s">
        <v>24</v>
      </c>
      <c r="O219" s="58" t="s">
        <v>54</v>
      </c>
      <c r="P219" s="58" t="s">
        <v>25</v>
      </c>
      <c r="Q219" s="60">
        <v>91078</v>
      </c>
      <c r="R219" s="60">
        <v>87165</v>
      </c>
      <c r="S219" s="61">
        <v>71514</v>
      </c>
      <c r="T219" s="61">
        <v>360</v>
      </c>
      <c r="U219" s="62" t="s">
        <v>65</v>
      </c>
      <c r="V219" s="63" t="s">
        <v>56</v>
      </c>
      <c r="W219" s="60">
        <v>61769924</v>
      </c>
      <c r="X219" s="60">
        <f t="shared" si="203"/>
        <v>678.20905158216033</v>
      </c>
      <c r="Y219" s="60">
        <f t="shared" si="204"/>
        <v>708.65512533700451</v>
      </c>
      <c r="Z219" s="60">
        <f t="shared" si="205"/>
        <v>863.74589590849348</v>
      </c>
      <c r="AA219" s="60">
        <f t="shared" si="206"/>
        <v>171583.12222222221</v>
      </c>
      <c r="AB219" s="77" t="s">
        <v>73</v>
      </c>
      <c r="AD219" s="93">
        <f t="shared" ref="AD219" si="240">W219/AC211</f>
        <v>0.21031775647246032</v>
      </c>
    </row>
    <row r="220" spans="1:30" s="55" customFormat="1" ht="15.95">
      <c r="A220" s="57"/>
      <c r="B220" s="58" t="s">
        <v>48</v>
      </c>
      <c r="C220" s="58" t="s">
        <v>19</v>
      </c>
      <c r="D220" s="58"/>
      <c r="E220" s="58" t="s">
        <v>20</v>
      </c>
      <c r="F220" s="58" t="s">
        <v>21</v>
      </c>
      <c r="G220" s="58" t="s">
        <v>50</v>
      </c>
      <c r="H220" s="58"/>
      <c r="I220" s="58" t="s">
        <v>105</v>
      </c>
      <c r="J220" s="58"/>
      <c r="K220" s="58" t="s">
        <v>106</v>
      </c>
      <c r="L220" s="59">
        <v>2022</v>
      </c>
      <c r="M220" s="58" t="s">
        <v>96</v>
      </c>
      <c r="N220" s="58" t="s">
        <v>24</v>
      </c>
      <c r="O220" s="58" t="s">
        <v>54</v>
      </c>
      <c r="P220" s="58" t="s">
        <v>25</v>
      </c>
      <c r="Q220" s="60">
        <v>91078</v>
      </c>
      <c r="R220" s="60">
        <v>87165</v>
      </c>
      <c r="S220" s="61">
        <v>71514</v>
      </c>
      <c r="T220" s="61">
        <v>360</v>
      </c>
      <c r="U220" s="62" t="s">
        <v>66</v>
      </c>
      <c r="V220" s="63" t="s">
        <v>56</v>
      </c>
      <c r="W220" s="60">
        <v>20577584</v>
      </c>
      <c r="X220" s="60">
        <f t="shared" si="203"/>
        <v>225.93363929818398</v>
      </c>
      <c r="Y220" s="60">
        <f t="shared" si="204"/>
        <v>236.07622325474674</v>
      </c>
      <c r="Z220" s="60">
        <f t="shared" si="205"/>
        <v>287.74203652431692</v>
      </c>
      <c r="AA220" s="60">
        <f t="shared" si="206"/>
        <v>57159.955555555556</v>
      </c>
      <c r="AB220" s="77" t="s">
        <v>73</v>
      </c>
      <c r="AD220" s="93">
        <f t="shared" ref="AD220" si="241">W220/AC211</f>
        <v>7.0063730376349428E-2</v>
      </c>
    </row>
    <row r="221" spans="1:30" s="55" customFormat="1" ht="15.95">
      <c r="A221" s="57"/>
      <c r="B221" s="58" t="s">
        <v>48</v>
      </c>
      <c r="C221" s="58" t="s">
        <v>19</v>
      </c>
      <c r="D221" s="58"/>
      <c r="E221" s="58" t="s">
        <v>20</v>
      </c>
      <c r="F221" s="58" t="s">
        <v>21</v>
      </c>
      <c r="G221" s="58" t="s">
        <v>50</v>
      </c>
      <c r="H221" s="58"/>
      <c r="I221" s="58" t="s">
        <v>105</v>
      </c>
      <c r="J221" s="58"/>
      <c r="K221" s="58" t="s">
        <v>106</v>
      </c>
      <c r="L221" s="59">
        <v>2022</v>
      </c>
      <c r="M221" s="58" t="s">
        <v>96</v>
      </c>
      <c r="N221" s="58" t="s">
        <v>24</v>
      </c>
      <c r="O221" s="58" t="s">
        <v>54</v>
      </c>
      <c r="P221" s="58" t="s">
        <v>25</v>
      </c>
      <c r="Q221" s="60">
        <v>91078</v>
      </c>
      <c r="R221" s="60">
        <v>87165</v>
      </c>
      <c r="S221" s="61">
        <v>71514</v>
      </c>
      <c r="T221" s="61">
        <v>360</v>
      </c>
      <c r="U221" s="62" t="s">
        <v>67</v>
      </c>
      <c r="V221" s="63" t="s">
        <v>56</v>
      </c>
      <c r="W221" s="60">
        <v>0</v>
      </c>
      <c r="X221" s="60">
        <f t="shared" si="203"/>
        <v>0</v>
      </c>
      <c r="Y221" s="60">
        <f t="shared" si="204"/>
        <v>0</v>
      </c>
      <c r="Z221" s="60">
        <f t="shared" si="205"/>
        <v>0</v>
      </c>
      <c r="AA221" s="60">
        <f t="shared" si="206"/>
        <v>0</v>
      </c>
      <c r="AB221" s="77" t="s">
        <v>73</v>
      </c>
      <c r="AD221" s="93">
        <f t="shared" ref="AD221" si="242">W221/AC211</f>
        <v>0</v>
      </c>
    </row>
    <row r="222" spans="1:30" s="55" customFormat="1" ht="15.95">
      <c r="A222" s="57"/>
      <c r="B222" s="58" t="s">
        <v>48</v>
      </c>
      <c r="C222" s="58" t="s">
        <v>19</v>
      </c>
      <c r="D222" s="58"/>
      <c r="E222" s="58" t="s">
        <v>20</v>
      </c>
      <c r="F222" s="58" t="s">
        <v>21</v>
      </c>
      <c r="G222" s="58" t="s">
        <v>50</v>
      </c>
      <c r="H222" s="58"/>
      <c r="I222" s="58" t="s">
        <v>105</v>
      </c>
      <c r="J222" s="58"/>
      <c r="K222" s="58" t="s">
        <v>106</v>
      </c>
      <c r="L222" s="59">
        <v>2022</v>
      </c>
      <c r="M222" s="58" t="s">
        <v>96</v>
      </c>
      <c r="N222" s="58" t="s">
        <v>24</v>
      </c>
      <c r="O222" s="58" t="s">
        <v>54</v>
      </c>
      <c r="P222" s="58" t="s">
        <v>25</v>
      </c>
      <c r="Q222" s="60">
        <v>91078</v>
      </c>
      <c r="R222" s="60">
        <v>87165</v>
      </c>
      <c r="S222" s="61">
        <v>71514</v>
      </c>
      <c r="T222" s="61">
        <v>360</v>
      </c>
      <c r="U222" s="62" t="s">
        <v>68</v>
      </c>
      <c r="V222" s="63" t="s">
        <v>56</v>
      </c>
      <c r="W222" s="60">
        <v>20492200</v>
      </c>
      <c r="X222" s="60">
        <f t="shared" si="203"/>
        <v>224.99615714003383</v>
      </c>
      <c r="Y222" s="60">
        <f t="shared" si="204"/>
        <v>235.0966557677967</v>
      </c>
      <c r="Z222" s="60">
        <f t="shared" si="205"/>
        <v>286.54808848617051</v>
      </c>
      <c r="AA222" s="60">
        <f t="shared" si="206"/>
        <v>56922.777777777781</v>
      </c>
      <c r="AB222" s="77" t="s">
        <v>73</v>
      </c>
      <c r="AD222" s="93">
        <f t="shared" ref="AD222" si="243">W222/AC211</f>
        <v>6.9773010068540003E-2</v>
      </c>
    </row>
    <row r="223" spans="1:30" s="55" customFormat="1" ht="15.95">
      <c r="A223" s="57"/>
      <c r="B223" s="58" t="s">
        <v>48</v>
      </c>
      <c r="C223" s="58" t="s">
        <v>19</v>
      </c>
      <c r="D223" s="58"/>
      <c r="E223" s="58" t="s">
        <v>20</v>
      </c>
      <c r="F223" s="58" t="s">
        <v>21</v>
      </c>
      <c r="G223" s="58" t="s">
        <v>50</v>
      </c>
      <c r="H223" s="58"/>
      <c r="I223" s="58" t="s">
        <v>105</v>
      </c>
      <c r="J223" s="58"/>
      <c r="K223" s="58" t="s">
        <v>106</v>
      </c>
      <c r="L223" s="59">
        <v>2022</v>
      </c>
      <c r="M223" s="58" t="s">
        <v>96</v>
      </c>
      <c r="N223" s="58" t="s">
        <v>24</v>
      </c>
      <c r="O223" s="58" t="s">
        <v>54</v>
      </c>
      <c r="P223" s="58" t="s">
        <v>25</v>
      </c>
      <c r="Q223" s="60">
        <v>91078</v>
      </c>
      <c r="R223" s="60">
        <v>87165</v>
      </c>
      <c r="S223" s="61">
        <v>71514</v>
      </c>
      <c r="T223" s="61">
        <v>360</v>
      </c>
      <c r="U223" s="62" t="s">
        <v>69</v>
      </c>
      <c r="V223" s="63" t="s">
        <v>56</v>
      </c>
      <c r="W223" s="60">
        <v>19602663</v>
      </c>
      <c r="X223" s="60">
        <f t="shared" si="203"/>
        <v>215.22939678078131</v>
      </c>
      <c r="Y223" s="60">
        <f t="shared" si="204"/>
        <v>224.89144725520563</v>
      </c>
      <c r="Z223" s="60">
        <f t="shared" si="205"/>
        <v>274.10944710126688</v>
      </c>
      <c r="AA223" s="60">
        <f t="shared" si="206"/>
        <v>54451.841666666667</v>
      </c>
      <c r="AB223" s="77" t="s">
        <v>73</v>
      </c>
      <c r="AD223" s="93">
        <f t="shared" ref="AD223" si="244">W223/AC211</f>
        <v>6.6744263811069418E-2</v>
      </c>
    </row>
    <row r="224" spans="1:30" s="32" customFormat="1" ht="15" customHeight="1">
      <c r="A224" s="65"/>
      <c r="B224" s="66" t="s">
        <v>48</v>
      </c>
      <c r="C224" s="66" t="s">
        <v>19</v>
      </c>
      <c r="D224" s="66"/>
      <c r="E224" s="66" t="s">
        <v>20</v>
      </c>
      <c r="F224" s="66" t="s">
        <v>21</v>
      </c>
      <c r="G224" s="66" t="s">
        <v>50</v>
      </c>
      <c r="H224" s="66"/>
      <c r="I224" s="66" t="s">
        <v>107</v>
      </c>
      <c r="J224" s="66"/>
      <c r="K224" s="66" t="s">
        <v>108</v>
      </c>
      <c r="L224" s="67">
        <v>2022</v>
      </c>
      <c r="M224" s="66" t="s">
        <v>23</v>
      </c>
      <c r="N224" s="66" t="s">
        <v>24</v>
      </c>
      <c r="O224" s="66" t="s">
        <v>54</v>
      </c>
      <c r="P224" s="66" t="s">
        <v>25</v>
      </c>
      <c r="Q224" s="68">
        <v>69927.442655543069</v>
      </c>
      <c r="R224" s="68">
        <v>66694</v>
      </c>
      <c r="S224" s="68">
        <v>53763.970308159682</v>
      </c>
      <c r="T224" s="68">
        <v>372</v>
      </c>
      <c r="U224" s="74" t="s">
        <v>55</v>
      </c>
      <c r="V224" s="75" t="s">
        <v>56</v>
      </c>
      <c r="W224" s="68">
        <v>20955509</v>
      </c>
      <c r="X224" s="68">
        <f t="shared" ref="X224:X236" si="245">W224/Q224</f>
        <v>299.67503749887072</v>
      </c>
      <c r="Y224" s="68">
        <f t="shared" ref="Y224:Y236" si="246">W224/R224</f>
        <v>314.20381143731072</v>
      </c>
      <c r="Z224" s="68">
        <f t="shared" ref="Z224:Z236" si="247">W224/S224</f>
        <v>389.76862906308861</v>
      </c>
      <c r="AA224" s="68">
        <f t="shared" ref="AA224:AA236" si="248">W224/T224</f>
        <v>56332.013440860217</v>
      </c>
      <c r="AB224" s="78" t="s">
        <v>73</v>
      </c>
      <c r="AC224" s="92">
        <f t="shared" ref="AC224" si="249">SUM(W224:W236)</f>
        <v>231487268</v>
      </c>
      <c r="AD224" s="93">
        <f t="shared" ref="AD224" si="250">W224/AC224</f>
        <v>9.0525535944378593E-2</v>
      </c>
    </row>
    <row r="225" spans="1:30" s="32" customFormat="1" ht="15.95">
      <c r="A225" s="65"/>
      <c r="B225" s="66" t="s">
        <v>48</v>
      </c>
      <c r="C225" s="66" t="s">
        <v>19</v>
      </c>
      <c r="D225" s="66"/>
      <c r="E225" s="66" t="s">
        <v>20</v>
      </c>
      <c r="F225" s="66" t="s">
        <v>21</v>
      </c>
      <c r="G225" s="66" t="s">
        <v>50</v>
      </c>
      <c r="H225" s="66"/>
      <c r="I225" s="66" t="s">
        <v>107</v>
      </c>
      <c r="J225" s="66"/>
      <c r="K225" s="66" t="s">
        <v>108</v>
      </c>
      <c r="L225" s="67">
        <v>2022</v>
      </c>
      <c r="M225" s="66" t="s">
        <v>23</v>
      </c>
      <c r="N225" s="66" t="s">
        <v>24</v>
      </c>
      <c r="O225" s="66" t="s">
        <v>54</v>
      </c>
      <c r="P225" s="66" t="s">
        <v>25</v>
      </c>
      <c r="Q225" s="68">
        <v>69927.442655543069</v>
      </c>
      <c r="R225" s="68">
        <v>66694</v>
      </c>
      <c r="S225" s="69">
        <v>53763.970308159682</v>
      </c>
      <c r="T225" s="69">
        <v>372</v>
      </c>
      <c r="U225" s="74" t="s">
        <v>58</v>
      </c>
      <c r="V225" s="75" t="s">
        <v>56</v>
      </c>
      <c r="W225" s="68">
        <v>42053773</v>
      </c>
      <c r="X225" s="68">
        <f t="shared" si="245"/>
        <v>601.39154819594205</v>
      </c>
      <c r="Y225" s="68">
        <f t="shared" si="246"/>
        <v>630.54807029118058</v>
      </c>
      <c r="Z225" s="68">
        <f t="shared" si="247"/>
        <v>782.19247497831384</v>
      </c>
      <c r="AA225" s="68">
        <f t="shared" si="248"/>
        <v>113047.77688172043</v>
      </c>
      <c r="AB225" s="78" t="s">
        <v>73</v>
      </c>
      <c r="AC225" s="55"/>
      <c r="AD225" s="93">
        <f t="shared" ref="AD225" si="251">W225/AC224</f>
        <v>0.18166775807298396</v>
      </c>
    </row>
    <row r="226" spans="1:30" s="32" customFormat="1" ht="15.95">
      <c r="A226" s="65"/>
      <c r="B226" s="66" t="s">
        <v>48</v>
      </c>
      <c r="C226" s="66" t="s">
        <v>19</v>
      </c>
      <c r="D226" s="66"/>
      <c r="E226" s="66" t="s">
        <v>20</v>
      </c>
      <c r="F226" s="66" t="s">
        <v>21</v>
      </c>
      <c r="G226" s="66" t="s">
        <v>50</v>
      </c>
      <c r="H226" s="66"/>
      <c r="I226" s="66" t="s">
        <v>107</v>
      </c>
      <c r="J226" s="66"/>
      <c r="K226" s="66" t="s">
        <v>108</v>
      </c>
      <c r="L226" s="67">
        <v>2022</v>
      </c>
      <c r="M226" s="66" t="s">
        <v>23</v>
      </c>
      <c r="N226" s="66" t="s">
        <v>24</v>
      </c>
      <c r="O226" s="66" t="s">
        <v>54</v>
      </c>
      <c r="P226" s="66" t="s">
        <v>25</v>
      </c>
      <c r="Q226" s="68">
        <v>69927.442655543069</v>
      </c>
      <c r="R226" s="68">
        <v>66694</v>
      </c>
      <c r="S226" s="69">
        <v>53763.970308159682</v>
      </c>
      <c r="T226" s="69">
        <v>372</v>
      </c>
      <c r="U226" s="74" t="s">
        <v>59</v>
      </c>
      <c r="V226" s="75" t="s">
        <v>56</v>
      </c>
      <c r="W226" s="68">
        <v>32867999</v>
      </c>
      <c r="X226" s="68">
        <f t="shared" si="245"/>
        <v>470.03004474087675</v>
      </c>
      <c r="Y226" s="68">
        <f t="shared" si="246"/>
        <v>492.81792964884397</v>
      </c>
      <c r="Z226" s="68">
        <f t="shared" si="247"/>
        <v>611.33876109985999</v>
      </c>
      <c r="AA226" s="68">
        <f t="shared" si="248"/>
        <v>88354.836021505384</v>
      </c>
      <c r="AB226" s="78" t="s">
        <v>73</v>
      </c>
      <c r="AC226" s="55"/>
      <c r="AD226" s="93">
        <f t="shared" ref="AD226" si="252">W226/AC224</f>
        <v>0.14198620634289053</v>
      </c>
    </row>
    <row r="227" spans="1:30" s="32" customFormat="1" ht="15.95">
      <c r="A227" s="65"/>
      <c r="B227" s="66" t="s">
        <v>48</v>
      </c>
      <c r="C227" s="66" t="s">
        <v>19</v>
      </c>
      <c r="D227" s="66"/>
      <c r="E227" s="66" t="s">
        <v>20</v>
      </c>
      <c r="F227" s="66" t="s">
        <v>21</v>
      </c>
      <c r="G227" s="66" t="s">
        <v>50</v>
      </c>
      <c r="H227" s="66"/>
      <c r="I227" s="66" t="s">
        <v>107</v>
      </c>
      <c r="J227" s="66"/>
      <c r="K227" s="66" t="s">
        <v>108</v>
      </c>
      <c r="L227" s="67">
        <v>2022</v>
      </c>
      <c r="M227" s="66" t="s">
        <v>23</v>
      </c>
      <c r="N227" s="66" t="s">
        <v>24</v>
      </c>
      <c r="O227" s="66" t="s">
        <v>54</v>
      </c>
      <c r="P227" s="66" t="s">
        <v>25</v>
      </c>
      <c r="Q227" s="68">
        <v>69927.442655543069</v>
      </c>
      <c r="R227" s="68">
        <v>66694</v>
      </c>
      <c r="S227" s="69">
        <v>53763.970308159682</v>
      </c>
      <c r="T227" s="69">
        <v>372</v>
      </c>
      <c r="U227" s="74" t="s">
        <v>60</v>
      </c>
      <c r="V227" s="75" t="s">
        <v>56</v>
      </c>
      <c r="W227" s="68">
        <v>13423741</v>
      </c>
      <c r="X227" s="68">
        <f t="shared" si="245"/>
        <v>191.96670849417822</v>
      </c>
      <c r="Y227" s="68">
        <f t="shared" si="246"/>
        <v>201.27359282694096</v>
      </c>
      <c r="Z227" s="68">
        <f t="shared" si="247"/>
        <v>249.67912382695997</v>
      </c>
      <c r="AA227" s="68">
        <f t="shared" si="248"/>
        <v>36085.325268817207</v>
      </c>
      <c r="AB227" s="78" t="s">
        <v>73</v>
      </c>
      <c r="AC227" s="55"/>
      <c r="AD227" s="93">
        <f t="shared" ref="AD227" si="253">W227/AC224</f>
        <v>5.7989111522107555E-2</v>
      </c>
    </row>
    <row r="228" spans="1:30" s="32" customFormat="1" ht="15.95">
      <c r="A228" s="65"/>
      <c r="B228" s="66" t="s">
        <v>48</v>
      </c>
      <c r="C228" s="66" t="s">
        <v>19</v>
      </c>
      <c r="D228" s="66"/>
      <c r="E228" s="66" t="s">
        <v>20</v>
      </c>
      <c r="F228" s="66" t="s">
        <v>21</v>
      </c>
      <c r="G228" s="66" t="s">
        <v>50</v>
      </c>
      <c r="H228" s="66"/>
      <c r="I228" s="66" t="s">
        <v>107</v>
      </c>
      <c r="J228" s="66"/>
      <c r="K228" s="66" t="s">
        <v>108</v>
      </c>
      <c r="L228" s="67">
        <v>2022</v>
      </c>
      <c r="M228" s="66" t="s">
        <v>23</v>
      </c>
      <c r="N228" s="66" t="s">
        <v>24</v>
      </c>
      <c r="O228" s="66" t="s">
        <v>54</v>
      </c>
      <c r="P228" s="66" t="s">
        <v>25</v>
      </c>
      <c r="Q228" s="68">
        <v>69927.442655543069</v>
      </c>
      <c r="R228" s="68">
        <v>66694</v>
      </c>
      <c r="S228" s="69">
        <v>53763.970308159682</v>
      </c>
      <c r="T228" s="69">
        <v>372</v>
      </c>
      <c r="U228" s="74" t="s">
        <v>61</v>
      </c>
      <c r="V228" s="75" t="s">
        <v>56</v>
      </c>
      <c r="W228" s="68">
        <v>28021227</v>
      </c>
      <c r="X228" s="68">
        <f t="shared" si="245"/>
        <v>400.71860110815578</v>
      </c>
      <c r="Y228" s="68">
        <f t="shared" si="246"/>
        <v>420.14614508051699</v>
      </c>
      <c r="Z228" s="68">
        <f t="shared" si="247"/>
        <v>521.18968966373484</v>
      </c>
      <c r="AA228" s="68">
        <f t="shared" si="248"/>
        <v>75325.879032258061</v>
      </c>
      <c r="AB228" s="78" t="s">
        <v>73</v>
      </c>
      <c r="AC228" s="55"/>
      <c r="AD228" s="93">
        <f t="shared" ref="AD228" si="254">W228/AC224</f>
        <v>0.12104867469428167</v>
      </c>
    </row>
    <row r="229" spans="1:30" s="32" customFormat="1" ht="15.95">
      <c r="A229" s="65"/>
      <c r="B229" s="66" t="s">
        <v>48</v>
      </c>
      <c r="C229" s="66" t="s">
        <v>19</v>
      </c>
      <c r="D229" s="66"/>
      <c r="E229" s="66" t="s">
        <v>20</v>
      </c>
      <c r="F229" s="66" t="s">
        <v>21</v>
      </c>
      <c r="G229" s="66" t="s">
        <v>50</v>
      </c>
      <c r="H229" s="66"/>
      <c r="I229" s="66" t="s">
        <v>107</v>
      </c>
      <c r="J229" s="66"/>
      <c r="K229" s="66" t="s">
        <v>108</v>
      </c>
      <c r="L229" s="67">
        <v>2022</v>
      </c>
      <c r="M229" s="66" t="s">
        <v>23</v>
      </c>
      <c r="N229" s="66" t="s">
        <v>24</v>
      </c>
      <c r="O229" s="66" t="s">
        <v>54</v>
      </c>
      <c r="P229" s="66" t="s">
        <v>25</v>
      </c>
      <c r="Q229" s="68">
        <v>69927.442655543069</v>
      </c>
      <c r="R229" s="68">
        <v>66694</v>
      </c>
      <c r="S229" s="69">
        <v>53763.970308159682</v>
      </c>
      <c r="T229" s="69">
        <v>372</v>
      </c>
      <c r="U229" s="74" t="s">
        <v>62</v>
      </c>
      <c r="V229" s="75" t="s">
        <v>56</v>
      </c>
      <c r="W229" s="68">
        <v>8090351</v>
      </c>
      <c r="X229" s="68">
        <f t="shared" si="245"/>
        <v>115.69636601544855</v>
      </c>
      <c r="Y229" s="68">
        <f t="shared" si="246"/>
        <v>121.30552973280955</v>
      </c>
      <c r="Z229" s="68">
        <f t="shared" si="247"/>
        <v>150.47904672271085</v>
      </c>
      <c r="AA229" s="68">
        <f t="shared" si="248"/>
        <v>21748.255376344085</v>
      </c>
      <c r="AB229" s="78" t="s">
        <v>73</v>
      </c>
      <c r="AC229" s="55"/>
      <c r="AD229" s="93">
        <f t="shared" ref="AD229" si="255">W229/AC224</f>
        <v>3.49494426622202E-2</v>
      </c>
    </row>
    <row r="230" spans="1:30" s="32" customFormat="1" ht="15.95">
      <c r="A230" s="65"/>
      <c r="B230" s="66" t="s">
        <v>48</v>
      </c>
      <c r="C230" s="66" t="s">
        <v>19</v>
      </c>
      <c r="D230" s="66"/>
      <c r="E230" s="66" t="s">
        <v>20</v>
      </c>
      <c r="F230" s="66" t="s">
        <v>21</v>
      </c>
      <c r="G230" s="66" t="s">
        <v>50</v>
      </c>
      <c r="H230" s="66"/>
      <c r="I230" s="66" t="s">
        <v>107</v>
      </c>
      <c r="J230" s="66"/>
      <c r="K230" s="66" t="s">
        <v>108</v>
      </c>
      <c r="L230" s="67">
        <v>2022</v>
      </c>
      <c r="M230" s="66" t="s">
        <v>23</v>
      </c>
      <c r="N230" s="66" t="s">
        <v>24</v>
      </c>
      <c r="O230" s="66" t="s">
        <v>54</v>
      </c>
      <c r="P230" s="66" t="s">
        <v>25</v>
      </c>
      <c r="Q230" s="68">
        <v>69927.442655543069</v>
      </c>
      <c r="R230" s="68">
        <v>66694</v>
      </c>
      <c r="S230" s="69">
        <v>53763.970308159682</v>
      </c>
      <c r="T230" s="69">
        <v>372</v>
      </c>
      <c r="U230" s="74" t="s">
        <v>63</v>
      </c>
      <c r="V230" s="75" t="s">
        <v>56</v>
      </c>
      <c r="W230" s="68">
        <v>11858712</v>
      </c>
      <c r="X230" s="68">
        <f t="shared" si="245"/>
        <v>169.58595294861641</v>
      </c>
      <c r="Y230" s="68">
        <f t="shared" si="246"/>
        <v>177.80777881068761</v>
      </c>
      <c r="Z230" s="68">
        <f t="shared" si="247"/>
        <v>220.56987108707298</v>
      </c>
      <c r="AA230" s="68">
        <f t="shared" si="248"/>
        <v>31878.258064516129</v>
      </c>
      <c r="AB230" s="78" t="s">
        <v>73</v>
      </c>
      <c r="AC230" s="55"/>
      <c r="AD230" s="93">
        <f t="shared" ref="AD230" si="256">W230/AC224</f>
        <v>5.1228355245870369E-2</v>
      </c>
    </row>
    <row r="231" spans="1:30" s="32" customFormat="1" ht="15.95">
      <c r="A231" s="65"/>
      <c r="B231" s="66" t="s">
        <v>48</v>
      </c>
      <c r="C231" s="66" t="s">
        <v>19</v>
      </c>
      <c r="D231" s="66"/>
      <c r="E231" s="66" t="s">
        <v>20</v>
      </c>
      <c r="F231" s="66" t="s">
        <v>21</v>
      </c>
      <c r="G231" s="66" t="s">
        <v>50</v>
      </c>
      <c r="H231" s="66"/>
      <c r="I231" s="66" t="s">
        <v>107</v>
      </c>
      <c r="J231" s="66"/>
      <c r="K231" s="66" t="s">
        <v>108</v>
      </c>
      <c r="L231" s="67">
        <v>2022</v>
      </c>
      <c r="M231" s="66" t="s">
        <v>23</v>
      </c>
      <c r="N231" s="66" t="s">
        <v>24</v>
      </c>
      <c r="O231" s="66" t="s">
        <v>54</v>
      </c>
      <c r="P231" s="66" t="s">
        <v>25</v>
      </c>
      <c r="Q231" s="68">
        <v>69927.442655543069</v>
      </c>
      <c r="R231" s="68">
        <v>66694</v>
      </c>
      <c r="S231" s="69">
        <v>53763.970308159682</v>
      </c>
      <c r="T231" s="69">
        <v>372</v>
      </c>
      <c r="U231" s="74" t="s">
        <v>64</v>
      </c>
      <c r="V231" s="75" t="s">
        <v>56</v>
      </c>
      <c r="W231" s="68">
        <v>0</v>
      </c>
      <c r="X231" s="68">
        <f t="shared" si="245"/>
        <v>0</v>
      </c>
      <c r="Y231" s="68">
        <f t="shared" si="246"/>
        <v>0</v>
      </c>
      <c r="Z231" s="68">
        <f t="shared" si="247"/>
        <v>0</v>
      </c>
      <c r="AA231" s="68">
        <f t="shared" si="248"/>
        <v>0</v>
      </c>
      <c r="AB231" s="78" t="s">
        <v>73</v>
      </c>
      <c r="AC231" s="55"/>
      <c r="AD231" s="93">
        <f t="shared" ref="AD231" si="257">W231/AC224</f>
        <v>0</v>
      </c>
    </row>
    <row r="232" spans="1:30" s="32" customFormat="1" ht="15.95">
      <c r="A232" s="65"/>
      <c r="B232" s="66" t="s">
        <v>48</v>
      </c>
      <c r="C232" s="66" t="s">
        <v>19</v>
      </c>
      <c r="D232" s="66"/>
      <c r="E232" s="66" t="s">
        <v>20</v>
      </c>
      <c r="F232" s="66" t="s">
        <v>21</v>
      </c>
      <c r="G232" s="66" t="s">
        <v>50</v>
      </c>
      <c r="H232" s="66"/>
      <c r="I232" s="66" t="s">
        <v>107</v>
      </c>
      <c r="J232" s="66"/>
      <c r="K232" s="66" t="s">
        <v>108</v>
      </c>
      <c r="L232" s="67">
        <v>2022</v>
      </c>
      <c r="M232" s="66" t="s">
        <v>23</v>
      </c>
      <c r="N232" s="66" t="s">
        <v>24</v>
      </c>
      <c r="O232" s="66" t="s">
        <v>54</v>
      </c>
      <c r="P232" s="66" t="s">
        <v>25</v>
      </c>
      <c r="Q232" s="68">
        <v>69927.442655543069</v>
      </c>
      <c r="R232" s="68">
        <v>66694</v>
      </c>
      <c r="S232" s="69">
        <v>53763.970308159682</v>
      </c>
      <c r="T232" s="69">
        <v>372</v>
      </c>
      <c r="U232" s="74" t="s">
        <v>65</v>
      </c>
      <c r="V232" s="75" t="s">
        <v>56</v>
      </c>
      <c r="W232" s="68">
        <v>28737825</v>
      </c>
      <c r="X232" s="68">
        <f t="shared" si="245"/>
        <v>410.96633751587632</v>
      </c>
      <c r="Y232" s="68">
        <f t="shared" si="246"/>
        <v>430.89070980897833</v>
      </c>
      <c r="Z232" s="68">
        <f t="shared" si="247"/>
        <v>534.51828120734046</v>
      </c>
      <c r="AA232" s="68">
        <f t="shared" si="248"/>
        <v>77252.217741935485</v>
      </c>
      <c r="AB232" s="78" t="s">
        <v>73</v>
      </c>
      <c r="AC232" s="55"/>
      <c r="AD232" s="93">
        <f t="shared" ref="AD232" si="258">W232/AC224</f>
        <v>0.12414430067056646</v>
      </c>
    </row>
    <row r="233" spans="1:30" s="32" customFormat="1" ht="15.95">
      <c r="A233" s="65"/>
      <c r="B233" s="66" t="s">
        <v>48</v>
      </c>
      <c r="C233" s="66" t="s">
        <v>19</v>
      </c>
      <c r="D233" s="66"/>
      <c r="E233" s="66" t="s">
        <v>20</v>
      </c>
      <c r="F233" s="66" t="s">
        <v>21</v>
      </c>
      <c r="G233" s="66" t="s">
        <v>50</v>
      </c>
      <c r="H233" s="66"/>
      <c r="I233" s="66" t="s">
        <v>107</v>
      </c>
      <c r="J233" s="66"/>
      <c r="K233" s="66" t="s">
        <v>108</v>
      </c>
      <c r="L233" s="67">
        <v>2022</v>
      </c>
      <c r="M233" s="66" t="s">
        <v>23</v>
      </c>
      <c r="N233" s="66" t="s">
        <v>24</v>
      </c>
      <c r="O233" s="66" t="s">
        <v>54</v>
      </c>
      <c r="P233" s="66" t="s">
        <v>25</v>
      </c>
      <c r="Q233" s="68">
        <v>69927.442655543069</v>
      </c>
      <c r="R233" s="68">
        <v>66694</v>
      </c>
      <c r="S233" s="69">
        <v>53763.970308159682</v>
      </c>
      <c r="T233" s="69">
        <v>372</v>
      </c>
      <c r="U233" s="74" t="s">
        <v>66</v>
      </c>
      <c r="V233" s="75" t="s">
        <v>56</v>
      </c>
      <c r="W233" s="68">
        <v>13285791</v>
      </c>
      <c r="X233" s="68">
        <f t="shared" si="245"/>
        <v>189.99394937756745</v>
      </c>
      <c r="Y233" s="68">
        <f t="shared" si="246"/>
        <v>199.20519087174259</v>
      </c>
      <c r="Z233" s="68">
        <f t="shared" si="247"/>
        <v>247.11327909471066</v>
      </c>
      <c r="AA233" s="68">
        <f t="shared" si="248"/>
        <v>35714.491935483871</v>
      </c>
      <c r="AB233" s="78" t="s">
        <v>73</v>
      </c>
      <c r="AC233" s="55"/>
      <c r="AD233" s="93">
        <f t="shared" ref="AD233" si="259">W233/AC224</f>
        <v>5.7393182419000252E-2</v>
      </c>
    </row>
    <row r="234" spans="1:30" s="32" customFormat="1" ht="15.95">
      <c r="A234" s="65"/>
      <c r="B234" s="66" t="s">
        <v>48</v>
      </c>
      <c r="C234" s="66" t="s">
        <v>19</v>
      </c>
      <c r="D234" s="66"/>
      <c r="E234" s="66" t="s">
        <v>20</v>
      </c>
      <c r="F234" s="66" t="s">
        <v>21</v>
      </c>
      <c r="G234" s="66" t="s">
        <v>50</v>
      </c>
      <c r="H234" s="66"/>
      <c r="I234" s="66" t="s">
        <v>107</v>
      </c>
      <c r="J234" s="66"/>
      <c r="K234" s="66" t="s">
        <v>108</v>
      </c>
      <c r="L234" s="67">
        <v>2022</v>
      </c>
      <c r="M234" s="66" t="s">
        <v>23</v>
      </c>
      <c r="N234" s="66" t="s">
        <v>24</v>
      </c>
      <c r="O234" s="66" t="s">
        <v>54</v>
      </c>
      <c r="P234" s="66" t="s">
        <v>25</v>
      </c>
      <c r="Q234" s="68">
        <v>69927.442655543069</v>
      </c>
      <c r="R234" s="68">
        <v>66694</v>
      </c>
      <c r="S234" s="69">
        <v>53763.970308159682</v>
      </c>
      <c r="T234" s="69">
        <v>372</v>
      </c>
      <c r="U234" s="74" t="s">
        <v>67</v>
      </c>
      <c r="V234" s="75" t="s">
        <v>56</v>
      </c>
      <c r="W234" s="68">
        <v>0</v>
      </c>
      <c r="X234" s="68">
        <f t="shared" si="245"/>
        <v>0</v>
      </c>
      <c r="Y234" s="68">
        <f t="shared" si="246"/>
        <v>0</v>
      </c>
      <c r="Z234" s="68">
        <f t="shared" si="247"/>
        <v>0</v>
      </c>
      <c r="AA234" s="68">
        <f t="shared" si="248"/>
        <v>0</v>
      </c>
      <c r="AB234" s="78" t="s">
        <v>73</v>
      </c>
      <c r="AC234" s="55"/>
      <c r="AD234" s="93">
        <f t="shared" ref="AD234" si="260">W234/AC224</f>
        <v>0</v>
      </c>
    </row>
    <row r="235" spans="1:30" s="32" customFormat="1" ht="15.95">
      <c r="A235" s="65"/>
      <c r="B235" s="66" t="s">
        <v>48</v>
      </c>
      <c r="C235" s="66" t="s">
        <v>19</v>
      </c>
      <c r="D235" s="66"/>
      <c r="E235" s="66" t="s">
        <v>20</v>
      </c>
      <c r="F235" s="66" t="s">
        <v>21</v>
      </c>
      <c r="G235" s="66" t="s">
        <v>50</v>
      </c>
      <c r="H235" s="66"/>
      <c r="I235" s="66" t="s">
        <v>107</v>
      </c>
      <c r="J235" s="66"/>
      <c r="K235" s="66" t="s">
        <v>108</v>
      </c>
      <c r="L235" s="67">
        <v>2022</v>
      </c>
      <c r="M235" s="66" t="s">
        <v>23</v>
      </c>
      <c r="N235" s="66" t="s">
        <v>24</v>
      </c>
      <c r="O235" s="66" t="s">
        <v>54</v>
      </c>
      <c r="P235" s="66" t="s">
        <v>25</v>
      </c>
      <c r="Q235" s="68">
        <v>69927.442655543069</v>
      </c>
      <c r="R235" s="68">
        <v>66694</v>
      </c>
      <c r="S235" s="69">
        <v>53763.970308159682</v>
      </c>
      <c r="T235" s="69">
        <v>372</v>
      </c>
      <c r="U235" s="74" t="s">
        <v>68</v>
      </c>
      <c r="V235" s="75" t="s">
        <v>56</v>
      </c>
      <c r="W235" s="68">
        <v>20777383</v>
      </c>
      <c r="X235" s="68">
        <f t="shared" si="245"/>
        <v>297.12773999683799</v>
      </c>
      <c r="Y235" s="68">
        <f t="shared" si="246"/>
        <v>311.53301646325008</v>
      </c>
      <c r="Z235" s="68">
        <f t="shared" si="247"/>
        <v>386.4555180897168</v>
      </c>
      <c r="AA235" s="68">
        <f t="shared" si="248"/>
        <v>55853.180107526881</v>
      </c>
      <c r="AB235" s="78" t="s">
        <v>73</v>
      </c>
      <c r="AC235" s="55"/>
      <c r="AD235" s="93">
        <f t="shared" ref="AD235" si="261">W235/AC224</f>
        <v>8.9756050859782055E-2</v>
      </c>
    </row>
    <row r="236" spans="1:30" s="32" customFormat="1" ht="15.95">
      <c r="A236" s="65"/>
      <c r="B236" s="66" t="s">
        <v>48</v>
      </c>
      <c r="C236" s="66" t="s">
        <v>19</v>
      </c>
      <c r="D236" s="66"/>
      <c r="E236" s="66" t="s">
        <v>20</v>
      </c>
      <c r="F236" s="66" t="s">
        <v>21</v>
      </c>
      <c r="G236" s="66" t="s">
        <v>50</v>
      </c>
      <c r="H236" s="66"/>
      <c r="I236" s="66" t="s">
        <v>107</v>
      </c>
      <c r="J236" s="66"/>
      <c r="K236" s="66" t="s">
        <v>108</v>
      </c>
      <c r="L236" s="67">
        <v>2022</v>
      </c>
      <c r="M236" s="66" t="s">
        <v>23</v>
      </c>
      <c r="N236" s="66" t="s">
        <v>24</v>
      </c>
      <c r="O236" s="66" t="s">
        <v>54</v>
      </c>
      <c r="P236" s="66" t="s">
        <v>25</v>
      </c>
      <c r="Q236" s="68">
        <v>69927.442655543069</v>
      </c>
      <c r="R236" s="68">
        <v>66694</v>
      </c>
      <c r="S236" s="69">
        <v>53763.970308159682</v>
      </c>
      <c r="T236" s="69">
        <v>372</v>
      </c>
      <c r="U236" s="74" t="s">
        <v>69</v>
      </c>
      <c r="V236" s="75" t="s">
        <v>56</v>
      </c>
      <c r="W236" s="68">
        <v>11414957</v>
      </c>
      <c r="X236" s="68">
        <f t="shared" si="245"/>
        <v>163.24001803167829</v>
      </c>
      <c r="Y236" s="68">
        <f t="shared" si="246"/>
        <v>171.15418178546796</v>
      </c>
      <c r="Z236" s="68">
        <f t="shared" si="247"/>
        <v>212.31610936790449</v>
      </c>
      <c r="AA236" s="68">
        <f t="shared" si="248"/>
        <v>30685.368279569891</v>
      </c>
      <c r="AB236" s="78" t="s">
        <v>73</v>
      </c>
      <c r="AC236" s="55"/>
      <c r="AD236" s="93">
        <f t="shared" ref="AD236" si="262">W236/AC224</f>
        <v>4.9311381565918348E-2</v>
      </c>
    </row>
    <row r="237" spans="1:30" s="55" customFormat="1" ht="15" customHeight="1">
      <c r="A237" s="57"/>
      <c r="B237" s="58" t="s">
        <v>48</v>
      </c>
      <c r="C237" s="58" t="s">
        <v>19</v>
      </c>
      <c r="D237" s="58"/>
      <c r="E237" s="58" t="s">
        <v>20</v>
      </c>
      <c r="F237" s="58" t="s">
        <v>21</v>
      </c>
      <c r="G237" s="58" t="s">
        <v>50</v>
      </c>
      <c r="H237" s="58"/>
      <c r="I237" s="58" t="s">
        <v>109</v>
      </c>
      <c r="J237" s="58"/>
      <c r="K237" s="58" t="s">
        <v>110</v>
      </c>
      <c r="L237" s="59">
        <v>2022</v>
      </c>
      <c r="M237" s="58" t="s">
        <v>96</v>
      </c>
      <c r="N237" s="58" t="s">
        <v>24</v>
      </c>
      <c r="O237" s="58" t="s">
        <v>54</v>
      </c>
      <c r="P237" s="58" t="s">
        <v>25</v>
      </c>
      <c r="Q237" s="60">
        <v>66576.055147297913</v>
      </c>
      <c r="R237" s="60">
        <v>62831</v>
      </c>
      <c r="S237" s="60">
        <v>47850.500283354551</v>
      </c>
      <c r="T237" s="60">
        <v>330</v>
      </c>
      <c r="U237" s="62" t="s">
        <v>55</v>
      </c>
      <c r="V237" s="63" t="s">
        <v>56</v>
      </c>
      <c r="W237" s="60">
        <v>11494355</v>
      </c>
      <c r="X237" s="60">
        <f t="shared" si="203"/>
        <v>172.64998616347901</v>
      </c>
      <c r="Y237" s="60">
        <f t="shared" si="204"/>
        <v>182.94082538874122</v>
      </c>
      <c r="Z237" s="60">
        <f t="shared" si="205"/>
        <v>240.21389393912915</v>
      </c>
      <c r="AA237" s="60">
        <f t="shared" si="206"/>
        <v>34831.378787878784</v>
      </c>
      <c r="AB237" s="77" t="s">
        <v>73</v>
      </c>
      <c r="AC237" s="92">
        <f t="shared" ref="AC237" si="263">SUM(W237:W249)</f>
        <v>202208000</v>
      </c>
      <c r="AD237" s="93">
        <f t="shared" ref="AD237" si="264">W237/AC237</f>
        <v>5.6844214867858837E-2</v>
      </c>
    </row>
    <row r="238" spans="1:30" s="55" customFormat="1" ht="15.95">
      <c r="A238" s="57"/>
      <c r="B238" s="58" t="s">
        <v>48</v>
      </c>
      <c r="C238" s="58" t="s">
        <v>19</v>
      </c>
      <c r="D238" s="58"/>
      <c r="E238" s="58" t="s">
        <v>20</v>
      </c>
      <c r="F238" s="58" t="s">
        <v>21</v>
      </c>
      <c r="G238" s="58" t="s">
        <v>50</v>
      </c>
      <c r="H238" s="58"/>
      <c r="I238" s="58" t="s">
        <v>109</v>
      </c>
      <c r="J238" s="58"/>
      <c r="K238" s="58" t="s">
        <v>110</v>
      </c>
      <c r="L238" s="59">
        <v>2022</v>
      </c>
      <c r="M238" s="58" t="s">
        <v>96</v>
      </c>
      <c r="N238" s="58" t="s">
        <v>24</v>
      </c>
      <c r="O238" s="58" t="s">
        <v>54</v>
      </c>
      <c r="P238" s="58" t="s">
        <v>25</v>
      </c>
      <c r="Q238" s="60">
        <v>66576.055147297913</v>
      </c>
      <c r="R238" s="60">
        <v>62831</v>
      </c>
      <c r="S238" s="61">
        <v>47850.500283354551</v>
      </c>
      <c r="T238" s="61">
        <v>330</v>
      </c>
      <c r="U238" s="62" t="s">
        <v>58</v>
      </c>
      <c r="V238" s="63" t="s">
        <v>56</v>
      </c>
      <c r="W238" s="60">
        <v>26802769</v>
      </c>
      <c r="X238" s="60">
        <f t="shared" si="203"/>
        <v>402.58872263758377</v>
      </c>
      <c r="Y238" s="60">
        <f t="shared" si="204"/>
        <v>426.58510926135187</v>
      </c>
      <c r="Z238" s="60">
        <f t="shared" si="205"/>
        <v>560.13560655130095</v>
      </c>
      <c r="AA238" s="60">
        <f t="shared" si="206"/>
        <v>81220.512121212116</v>
      </c>
      <c r="AB238" s="77" t="s">
        <v>73</v>
      </c>
      <c r="AD238" s="93">
        <f t="shared" ref="AD238" si="265">W238/AC237</f>
        <v>0.13255048761671151</v>
      </c>
    </row>
    <row r="239" spans="1:30" s="55" customFormat="1" ht="15.95">
      <c r="A239" s="57"/>
      <c r="B239" s="58" t="s">
        <v>48</v>
      </c>
      <c r="C239" s="58" t="s">
        <v>19</v>
      </c>
      <c r="D239" s="58"/>
      <c r="E239" s="58" t="s">
        <v>20</v>
      </c>
      <c r="F239" s="58" t="s">
        <v>21</v>
      </c>
      <c r="G239" s="58" t="s">
        <v>50</v>
      </c>
      <c r="H239" s="58"/>
      <c r="I239" s="58" t="s">
        <v>109</v>
      </c>
      <c r="J239" s="58"/>
      <c r="K239" s="58" t="s">
        <v>110</v>
      </c>
      <c r="L239" s="59">
        <v>2022</v>
      </c>
      <c r="M239" s="58" t="s">
        <v>96</v>
      </c>
      <c r="N239" s="58" t="s">
        <v>24</v>
      </c>
      <c r="O239" s="58" t="s">
        <v>54</v>
      </c>
      <c r="P239" s="58" t="s">
        <v>25</v>
      </c>
      <c r="Q239" s="60">
        <v>66576.055147297913</v>
      </c>
      <c r="R239" s="60">
        <v>62831</v>
      </c>
      <c r="S239" s="61">
        <v>47850.500283354551</v>
      </c>
      <c r="T239" s="61">
        <v>330</v>
      </c>
      <c r="U239" s="62" t="s">
        <v>59</v>
      </c>
      <c r="V239" s="63" t="s">
        <v>56</v>
      </c>
      <c r="W239" s="60">
        <v>32241598</v>
      </c>
      <c r="X239" s="60">
        <f t="shared" si="203"/>
        <v>484.28219317990897</v>
      </c>
      <c r="Y239" s="60">
        <f t="shared" si="204"/>
        <v>513.14793652814694</v>
      </c>
      <c r="Z239" s="60">
        <f t="shared" si="205"/>
        <v>673.7985561086324</v>
      </c>
      <c r="AA239" s="60">
        <f t="shared" si="206"/>
        <v>97701.812121212119</v>
      </c>
      <c r="AB239" s="77" t="s">
        <v>73</v>
      </c>
      <c r="AD239" s="93">
        <f t="shared" ref="AD239" si="266">W239/AC237</f>
        <v>0.15944768752967242</v>
      </c>
    </row>
    <row r="240" spans="1:30" s="55" customFormat="1" ht="15.95">
      <c r="A240" s="57"/>
      <c r="B240" s="58" t="s">
        <v>48</v>
      </c>
      <c r="C240" s="58" t="s">
        <v>19</v>
      </c>
      <c r="D240" s="58"/>
      <c r="E240" s="58" t="s">
        <v>20</v>
      </c>
      <c r="F240" s="58" t="s">
        <v>21</v>
      </c>
      <c r="G240" s="58" t="s">
        <v>50</v>
      </c>
      <c r="H240" s="58"/>
      <c r="I240" s="58" t="s">
        <v>109</v>
      </c>
      <c r="J240" s="58"/>
      <c r="K240" s="58" t="s">
        <v>110</v>
      </c>
      <c r="L240" s="59">
        <v>2022</v>
      </c>
      <c r="M240" s="58" t="s">
        <v>96</v>
      </c>
      <c r="N240" s="58" t="s">
        <v>24</v>
      </c>
      <c r="O240" s="58" t="s">
        <v>54</v>
      </c>
      <c r="P240" s="58" t="s">
        <v>25</v>
      </c>
      <c r="Q240" s="60">
        <v>66576.055147297913</v>
      </c>
      <c r="R240" s="60">
        <v>62831</v>
      </c>
      <c r="S240" s="61">
        <v>47850.500283354551</v>
      </c>
      <c r="T240" s="61">
        <v>330</v>
      </c>
      <c r="U240" s="62" t="s">
        <v>60</v>
      </c>
      <c r="V240" s="63" t="s">
        <v>56</v>
      </c>
      <c r="W240" s="60">
        <v>10656776</v>
      </c>
      <c r="X240" s="60">
        <f t="shared" si="203"/>
        <v>160.06920170355755</v>
      </c>
      <c r="Y240" s="60">
        <f t="shared" si="204"/>
        <v>169.6101605895179</v>
      </c>
      <c r="Z240" s="60">
        <f t="shared" si="205"/>
        <v>222.7098136256499</v>
      </c>
      <c r="AA240" s="60">
        <f t="shared" si="206"/>
        <v>32293.260606060605</v>
      </c>
      <c r="AB240" s="77" t="s">
        <v>73</v>
      </c>
      <c r="AD240" s="93">
        <f t="shared" ref="AD240" si="267">W240/AC237</f>
        <v>5.270204937490109E-2</v>
      </c>
    </row>
    <row r="241" spans="1:30" s="55" customFormat="1" ht="15.95">
      <c r="A241" s="57"/>
      <c r="B241" s="58" t="s">
        <v>48</v>
      </c>
      <c r="C241" s="58" t="s">
        <v>19</v>
      </c>
      <c r="D241" s="58"/>
      <c r="E241" s="58" t="s">
        <v>20</v>
      </c>
      <c r="F241" s="58" t="s">
        <v>21</v>
      </c>
      <c r="G241" s="58" t="s">
        <v>50</v>
      </c>
      <c r="H241" s="58"/>
      <c r="I241" s="58" t="s">
        <v>109</v>
      </c>
      <c r="J241" s="58"/>
      <c r="K241" s="58" t="s">
        <v>110</v>
      </c>
      <c r="L241" s="59">
        <v>2022</v>
      </c>
      <c r="M241" s="58" t="s">
        <v>96</v>
      </c>
      <c r="N241" s="58" t="s">
        <v>24</v>
      </c>
      <c r="O241" s="58" t="s">
        <v>54</v>
      </c>
      <c r="P241" s="58" t="s">
        <v>25</v>
      </c>
      <c r="Q241" s="60">
        <v>66576.055147297913</v>
      </c>
      <c r="R241" s="60">
        <v>62831</v>
      </c>
      <c r="S241" s="61">
        <v>47850.500283354551</v>
      </c>
      <c r="T241" s="61">
        <v>330</v>
      </c>
      <c r="U241" s="62" t="s">
        <v>61</v>
      </c>
      <c r="V241" s="63" t="s">
        <v>56</v>
      </c>
      <c r="W241" s="60">
        <v>21556126</v>
      </c>
      <c r="X241" s="60">
        <f t="shared" si="203"/>
        <v>323.78196563775958</v>
      </c>
      <c r="Y241" s="60">
        <f t="shared" si="204"/>
        <v>343.08105871305565</v>
      </c>
      <c r="Z241" s="60">
        <f t="shared" si="205"/>
        <v>450.48904133398565</v>
      </c>
      <c r="AA241" s="60">
        <f t="shared" si="206"/>
        <v>65321.593939393941</v>
      </c>
      <c r="AB241" s="77" t="s">
        <v>73</v>
      </c>
      <c r="AD241" s="93">
        <f t="shared" ref="AD241" si="268">W241/AC237</f>
        <v>0.10660372487735401</v>
      </c>
    </row>
    <row r="242" spans="1:30" s="55" customFormat="1" ht="15.95">
      <c r="A242" s="57"/>
      <c r="B242" s="58" t="s">
        <v>48</v>
      </c>
      <c r="C242" s="58" t="s">
        <v>19</v>
      </c>
      <c r="D242" s="58"/>
      <c r="E242" s="58" t="s">
        <v>20</v>
      </c>
      <c r="F242" s="58" t="s">
        <v>21</v>
      </c>
      <c r="G242" s="58" t="s">
        <v>50</v>
      </c>
      <c r="H242" s="58"/>
      <c r="I242" s="58" t="s">
        <v>109</v>
      </c>
      <c r="J242" s="58"/>
      <c r="K242" s="58" t="s">
        <v>110</v>
      </c>
      <c r="L242" s="59">
        <v>2022</v>
      </c>
      <c r="M242" s="58" t="s">
        <v>96</v>
      </c>
      <c r="N242" s="58" t="s">
        <v>24</v>
      </c>
      <c r="O242" s="58" t="s">
        <v>54</v>
      </c>
      <c r="P242" s="58" t="s">
        <v>25</v>
      </c>
      <c r="Q242" s="60">
        <v>66576.055147297913</v>
      </c>
      <c r="R242" s="60">
        <v>62831</v>
      </c>
      <c r="S242" s="61">
        <v>47850.500283354551</v>
      </c>
      <c r="T242" s="61">
        <v>330</v>
      </c>
      <c r="U242" s="62" t="s">
        <v>62</v>
      </c>
      <c r="V242" s="63" t="s">
        <v>56</v>
      </c>
      <c r="W242" s="60">
        <v>9125413</v>
      </c>
      <c r="X242" s="60">
        <f t="shared" si="203"/>
        <v>137.06749340750582</v>
      </c>
      <c r="Y242" s="60">
        <f t="shared" si="204"/>
        <v>145.2374305677134</v>
      </c>
      <c r="Z242" s="60">
        <f t="shared" si="205"/>
        <v>190.70674174694886</v>
      </c>
      <c r="AA242" s="60">
        <f t="shared" si="206"/>
        <v>27652.766666666666</v>
      </c>
      <c r="AB242" s="77" t="s">
        <v>73</v>
      </c>
      <c r="AD242" s="93">
        <f t="shared" ref="AD242" si="269">W242/AC237</f>
        <v>4.5128842577939546E-2</v>
      </c>
    </row>
    <row r="243" spans="1:30" s="55" customFormat="1" ht="15.95">
      <c r="A243" s="57"/>
      <c r="B243" s="58" t="s">
        <v>48</v>
      </c>
      <c r="C243" s="58" t="s">
        <v>19</v>
      </c>
      <c r="D243" s="58"/>
      <c r="E243" s="58" t="s">
        <v>20</v>
      </c>
      <c r="F243" s="58" t="s">
        <v>21</v>
      </c>
      <c r="G243" s="58" t="s">
        <v>50</v>
      </c>
      <c r="H243" s="58"/>
      <c r="I243" s="58" t="s">
        <v>109</v>
      </c>
      <c r="J243" s="58"/>
      <c r="K243" s="58" t="s">
        <v>110</v>
      </c>
      <c r="L243" s="59">
        <v>2022</v>
      </c>
      <c r="M243" s="58" t="s">
        <v>96</v>
      </c>
      <c r="N243" s="58" t="s">
        <v>24</v>
      </c>
      <c r="O243" s="58" t="s">
        <v>54</v>
      </c>
      <c r="P243" s="58" t="s">
        <v>25</v>
      </c>
      <c r="Q243" s="60">
        <v>66576.055147297913</v>
      </c>
      <c r="R243" s="60">
        <v>62831</v>
      </c>
      <c r="S243" s="61">
        <v>47850.500283354551</v>
      </c>
      <c r="T243" s="61">
        <v>330</v>
      </c>
      <c r="U243" s="62" t="s">
        <v>63</v>
      </c>
      <c r="V243" s="63" t="s">
        <v>56</v>
      </c>
      <c r="W243" s="60">
        <v>8274475</v>
      </c>
      <c r="X243" s="60">
        <f t="shared" si="203"/>
        <v>124.28605121905953</v>
      </c>
      <c r="Y243" s="60">
        <f t="shared" si="204"/>
        <v>131.69414779328676</v>
      </c>
      <c r="Z243" s="60">
        <f t="shared" si="205"/>
        <v>172.92347939940743</v>
      </c>
      <c r="AA243" s="60">
        <f t="shared" si="206"/>
        <v>25074.166666666668</v>
      </c>
      <c r="AB243" s="77" t="s">
        <v>73</v>
      </c>
      <c r="AD243" s="93">
        <f t="shared" ref="AD243" si="270">W243/AC237</f>
        <v>4.0920611449596453E-2</v>
      </c>
    </row>
    <row r="244" spans="1:30" s="55" customFormat="1" ht="15.95">
      <c r="A244" s="57"/>
      <c r="B244" s="58" t="s">
        <v>48</v>
      </c>
      <c r="C244" s="58" t="s">
        <v>19</v>
      </c>
      <c r="D244" s="58"/>
      <c r="E244" s="58" t="s">
        <v>20</v>
      </c>
      <c r="F244" s="58" t="s">
        <v>21</v>
      </c>
      <c r="G244" s="58" t="s">
        <v>50</v>
      </c>
      <c r="H244" s="58"/>
      <c r="I244" s="58" t="s">
        <v>109</v>
      </c>
      <c r="J244" s="58"/>
      <c r="K244" s="58" t="s">
        <v>110</v>
      </c>
      <c r="L244" s="59">
        <v>2022</v>
      </c>
      <c r="M244" s="58" t="s">
        <v>96</v>
      </c>
      <c r="N244" s="58" t="s">
        <v>24</v>
      </c>
      <c r="O244" s="58" t="s">
        <v>54</v>
      </c>
      <c r="P244" s="58" t="s">
        <v>25</v>
      </c>
      <c r="Q244" s="60">
        <v>66576.055147297913</v>
      </c>
      <c r="R244" s="60">
        <v>62831</v>
      </c>
      <c r="S244" s="61">
        <v>47850.500283354551</v>
      </c>
      <c r="T244" s="61">
        <v>330</v>
      </c>
      <c r="U244" s="62" t="s">
        <v>64</v>
      </c>
      <c r="V244" s="63" t="s">
        <v>56</v>
      </c>
      <c r="W244" s="60">
        <v>0</v>
      </c>
      <c r="X244" s="60">
        <f t="shared" si="203"/>
        <v>0</v>
      </c>
      <c r="Y244" s="60">
        <f t="shared" si="204"/>
        <v>0</v>
      </c>
      <c r="Z244" s="60">
        <f t="shared" si="205"/>
        <v>0</v>
      </c>
      <c r="AA244" s="60">
        <f t="shared" si="206"/>
        <v>0</v>
      </c>
      <c r="AB244" s="77" t="s">
        <v>73</v>
      </c>
      <c r="AD244" s="93">
        <f t="shared" ref="AD244" si="271">W244/AC237</f>
        <v>0</v>
      </c>
    </row>
    <row r="245" spans="1:30" s="55" customFormat="1" ht="15.95">
      <c r="A245" s="57"/>
      <c r="B245" s="58" t="s">
        <v>48</v>
      </c>
      <c r="C245" s="58" t="s">
        <v>19</v>
      </c>
      <c r="D245" s="58"/>
      <c r="E245" s="58" t="s">
        <v>20</v>
      </c>
      <c r="F245" s="58" t="s">
        <v>21</v>
      </c>
      <c r="G245" s="58" t="s">
        <v>50</v>
      </c>
      <c r="H245" s="58"/>
      <c r="I245" s="58" t="s">
        <v>109</v>
      </c>
      <c r="J245" s="58"/>
      <c r="K245" s="58" t="s">
        <v>110</v>
      </c>
      <c r="L245" s="59">
        <v>2022</v>
      </c>
      <c r="M245" s="58" t="s">
        <v>96</v>
      </c>
      <c r="N245" s="58" t="s">
        <v>24</v>
      </c>
      <c r="O245" s="58" t="s">
        <v>54</v>
      </c>
      <c r="P245" s="58" t="s">
        <v>25</v>
      </c>
      <c r="Q245" s="60">
        <v>66576.055147297913</v>
      </c>
      <c r="R245" s="60">
        <v>62831</v>
      </c>
      <c r="S245" s="61">
        <v>47850.500283354551</v>
      </c>
      <c r="T245" s="61">
        <v>330</v>
      </c>
      <c r="U245" s="62" t="s">
        <v>65</v>
      </c>
      <c r="V245" s="63" t="s">
        <v>56</v>
      </c>
      <c r="W245" s="60">
        <v>29360535</v>
      </c>
      <c r="X245" s="60">
        <f t="shared" si="203"/>
        <v>441.00743029968544</v>
      </c>
      <c r="Y245" s="60">
        <f t="shared" si="204"/>
        <v>467.29377218252137</v>
      </c>
      <c r="Z245" s="60">
        <f t="shared" si="205"/>
        <v>613.58888258506806</v>
      </c>
      <c r="AA245" s="60">
        <f t="shared" si="206"/>
        <v>88971.318181818177</v>
      </c>
      <c r="AB245" s="77" t="s">
        <v>73</v>
      </c>
      <c r="AD245" s="93">
        <f t="shared" ref="AD245" si="272">W245/AC237</f>
        <v>0.14519967063617661</v>
      </c>
    </row>
    <row r="246" spans="1:30" s="55" customFormat="1" ht="15.95">
      <c r="A246" s="57"/>
      <c r="B246" s="58" t="s">
        <v>48</v>
      </c>
      <c r="C246" s="58" t="s">
        <v>19</v>
      </c>
      <c r="D246" s="58"/>
      <c r="E246" s="58" t="s">
        <v>20</v>
      </c>
      <c r="F246" s="58" t="s">
        <v>21</v>
      </c>
      <c r="G246" s="58" t="s">
        <v>50</v>
      </c>
      <c r="H246" s="58"/>
      <c r="I246" s="58" t="s">
        <v>109</v>
      </c>
      <c r="J246" s="58"/>
      <c r="K246" s="58" t="s">
        <v>110</v>
      </c>
      <c r="L246" s="59">
        <v>2022</v>
      </c>
      <c r="M246" s="58" t="s">
        <v>96</v>
      </c>
      <c r="N246" s="58" t="s">
        <v>24</v>
      </c>
      <c r="O246" s="58" t="s">
        <v>54</v>
      </c>
      <c r="P246" s="58" t="s">
        <v>25</v>
      </c>
      <c r="Q246" s="60">
        <v>66576.055147297913</v>
      </c>
      <c r="R246" s="60">
        <v>62831</v>
      </c>
      <c r="S246" s="61">
        <v>47850.500283354551</v>
      </c>
      <c r="T246" s="61">
        <v>330</v>
      </c>
      <c r="U246" s="62" t="s">
        <v>66</v>
      </c>
      <c r="V246" s="63" t="s">
        <v>56</v>
      </c>
      <c r="W246" s="60">
        <v>19103390</v>
      </c>
      <c r="X246" s="60">
        <f t="shared" si="203"/>
        <v>286.94085219880048</v>
      </c>
      <c r="Y246" s="60">
        <f t="shared" si="204"/>
        <v>304.04402285496013</v>
      </c>
      <c r="Z246" s="60">
        <f t="shared" si="205"/>
        <v>399.23072667738387</v>
      </c>
      <c r="AA246" s="60">
        <f t="shared" si="206"/>
        <v>57889.060606060608</v>
      </c>
      <c r="AB246" s="77" t="s">
        <v>73</v>
      </c>
      <c r="AD246" s="93">
        <f t="shared" ref="AD246" si="273">W246/AC237</f>
        <v>9.4473957509099538E-2</v>
      </c>
    </row>
    <row r="247" spans="1:30" s="55" customFormat="1" ht="15.95">
      <c r="A247" s="57"/>
      <c r="B247" s="58" t="s">
        <v>48</v>
      </c>
      <c r="C247" s="58" t="s">
        <v>19</v>
      </c>
      <c r="D247" s="58"/>
      <c r="E247" s="58" t="s">
        <v>20</v>
      </c>
      <c r="F247" s="58" t="s">
        <v>21</v>
      </c>
      <c r="G247" s="58" t="s">
        <v>50</v>
      </c>
      <c r="H247" s="58"/>
      <c r="I247" s="58" t="s">
        <v>109</v>
      </c>
      <c r="J247" s="58"/>
      <c r="K247" s="58" t="s">
        <v>110</v>
      </c>
      <c r="L247" s="59">
        <v>2022</v>
      </c>
      <c r="M247" s="58" t="s">
        <v>96</v>
      </c>
      <c r="N247" s="58" t="s">
        <v>24</v>
      </c>
      <c r="O247" s="58" t="s">
        <v>54</v>
      </c>
      <c r="P247" s="58" t="s">
        <v>25</v>
      </c>
      <c r="Q247" s="60">
        <v>66576.055147297913</v>
      </c>
      <c r="R247" s="60">
        <v>62831</v>
      </c>
      <c r="S247" s="61">
        <v>47850.500283354551</v>
      </c>
      <c r="T247" s="61">
        <v>330</v>
      </c>
      <c r="U247" s="62" t="s">
        <v>67</v>
      </c>
      <c r="V247" s="63" t="s">
        <v>56</v>
      </c>
      <c r="W247" s="60">
        <v>0</v>
      </c>
      <c r="X247" s="60">
        <f t="shared" si="203"/>
        <v>0</v>
      </c>
      <c r="Y247" s="60">
        <f t="shared" si="204"/>
        <v>0</v>
      </c>
      <c r="Z247" s="60">
        <f t="shared" si="205"/>
        <v>0</v>
      </c>
      <c r="AA247" s="60">
        <f t="shared" si="206"/>
        <v>0</v>
      </c>
      <c r="AB247" s="77" t="s">
        <v>73</v>
      </c>
      <c r="AD247" s="93">
        <f t="shared" ref="AD247" si="274">W247/AC237</f>
        <v>0</v>
      </c>
    </row>
    <row r="248" spans="1:30" s="55" customFormat="1" ht="15.95">
      <c r="A248" s="57"/>
      <c r="B248" s="58" t="s">
        <v>48</v>
      </c>
      <c r="C248" s="58" t="s">
        <v>19</v>
      </c>
      <c r="D248" s="58"/>
      <c r="E248" s="58" t="s">
        <v>20</v>
      </c>
      <c r="F248" s="58" t="s">
        <v>21</v>
      </c>
      <c r="G248" s="58" t="s">
        <v>50</v>
      </c>
      <c r="H248" s="58"/>
      <c r="I248" s="58" t="s">
        <v>109</v>
      </c>
      <c r="J248" s="58"/>
      <c r="K248" s="58" t="s">
        <v>110</v>
      </c>
      <c r="L248" s="59">
        <v>2022</v>
      </c>
      <c r="M248" s="58" t="s">
        <v>96</v>
      </c>
      <c r="N248" s="58" t="s">
        <v>24</v>
      </c>
      <c r="O248" s="58" t="s">
        <v>54</v>
      </c>
      <c r="P248" s="58" t="s">
        <v>25</v>
      </c>
      <c r="Q248" s="60">
        <v>66576.055147297913</v>
      </c>
      <c r="R248" s="60">
        <v>62831</v>
      </c>
      <c r="S248" s="61">
        <v>47850.500283354551</v>
      </c>
      <c r="T248" s="61">
        <v>330</v>
      </c>
      <c r="U248" s="62" t="s">
        <v>68</v>
      </c>
      <c r="V248" s="63" t="s">
        <v>56</v>
      </c>
      <c r="W248" s="60">
        <v>16012302</v>
      </c>
      <c r="X248" s="60">
        <f t="shared" si="203"/>
        <v>240.51142658682869</v>
      </c>
      <c r="Y248" s="60">
        <f t="shared" si="204"/>
        <v>254.84716143305056</v>
      </c>
      <c r="Z248" s="60">
        <f t="shared" si="205"/>
        <v>334.63186184429713</v>
      </c>
      <c r="AA248" s="60">
        <f t="shared" si="206"/>
        <v>48522.127272727274</v>
      </c>
      <c r="AB248" s="77" t="s">
        <v>73</v>
      </c>
      <c r="AD248" s="93">
        <f t="shared" ref="AD248" si="275">W248/AC237</f>
        <v>7.9187282402278847E-2</v>
      </c>
    </row>
    <row r="249" spans="1:30" s="55" customFormat="1" ht="15.95">
      <c r="A249" s="57"/>
      <c r="B249" s="58" t="s">
        <v>48</v>
      </c>
      <c r="C249" s="58" t="s">
        <v>19</v>
      </c>
      <c r="D249" s="58"/>
      <c r="E249" s="58" t="s">
        <v>20</v>
      </c>
      <c r="F249" s="58" t="s">
        <v>21</v>
      </c>
      <c r="G249" s="58" t="s">
        <v>50</v>
      </c>
      <c r="H249" s="58"/>
      <c r="I249" s="58" t="s">
        <v>109</v>
      </c>
      <c r="J249" s="58"/>
      <c r="K249" s="58" t="s">
        <v>110</v>
      </c>
      <c r="L249" s="59">
        <v>2022</v>
      </c>
      <c r="M249" s="58" t="s">
        <v>96</v>
      </c>
      <c r="N249" s="58" t="s">
        <v>24</v>
      </c>
      <c r="O249" s="58" t="s">
        <v>54</v>
      </c>
      <c r="P249" s="58" t="s">
        <v>25</v>
      </c>
      <c r="Q249" s="60">
        <v>66576.055147297913</v>
      </c>
      <c r="R249" s="60">
        <v>62831</v>
      </c>
      <c r="S249" s="61">
        <v>47850.500283354551</v>
      </c>
      <c r="T249" s="61">
        <v>330</v>
      </c>
      <c r="U249" s="62" t="s">
        <v>69</v>
      </c>
      <c r="V249" s="63" t="s">
        <v>56</v>
      </c>
      <c r="W249" s="60">
        <v>17580261</v>
      </c>
      <c r="X249" s="60">
        <f t="shared" si="203"/>
        <v>264.0628220026569</v>
      </c>
      <c r="Y249" s="60">
        <f t="shared" si="204"/>
        <v>279.80234279257053</v>
      </c>
      <c r="Z249" s="60">
        <f t="shared" si="205"/>
        <v>367.39973241440765</v>
      </c>
      <c r="AA249" s="60">
        <f t="shared" si="206"/>
        <v>53273.518181818181</v>
      </c>
      <c r="AB249" s="77" t="s">
        <v>73</v>
      </c>
      <c r="AD249" s="93">
        <f t="shared" ref="AD249" si="276">W249/AC237</f>
        <v>8.6941471158411138E-2</v>
      </c>
    </row>
    <row r="250" spans="1:30" s="32" customFormat="1" ht="15" customHeight="1">
      <c r="A250" s="65"/>
      <c r="B250" s="66" t="s">
        <v>48</v>
      </c>
      <c r="C250" s="66" t="s">
        <v>19</v>
      </c>
      <c r="D250" s="66"/>
      <c r="E250" s="66" t="s">
        <v>20</v>
      </c>
      <c r="F250" s="66" t="s">
        <v>21</v>
      </c>
      <c r="G250" s="66" t="s">
        <v>50</v>
      </c>
      <c r="H250" s="66"/>
      <c r="I250" s="66" t="s">
        <v>111</v>
      </c>
      <c r="J250" s="66"/>
      <c r="K250" s="66" t="s">
        <v>112</v>
      </c>
      <c r="L250" s="67">
        <v>2023</v>
      </c>
      <c r="M250" s="76" t="s">
        <v>113</v>
      </c>
      <c r="N250" s="66" t="s">
        <v>24</v>
      </c>
      <c r="O250" s="66" t="s">
        <v>54</v>
      </c>
      <c r="P250" s="66" t="s">
        <v>25</v>
      </c>
      <c r="Q250" s="68">
        <v>63022</v>
      </c>
      <c r="R250" s="68">
        <v>59108</v>
      </c>
      <c r="S250" s="68">
        <v>43452</v>
      </c>
      <c r="T250" s="68">
        <v>308</v>
      </c>
      <c r="U250" s="74" t="s">
        <v>55</v>
      </c>
      <c r="V250" s="75" t="s">
        <v>56</v>
      </c>
      <c r="W250" s="68">
        <v>13530898</v>
      </c>
      <c r="X250" s="68">
        <f t="shared" si="203"/>
        <v>214.70118371362381</v>
      </c>
      <c r="Y250" s="68">
        <f t="shared" si="204"/>
        <v>228.91821750016919</v>
      </c>
      <c r="Z250" s="68">
        <f t="shared" si="205"/>
        <v>311.39873883825828</v>
      </c>
      <c r="AA250" s="68">
        <f t="shared" si="206"/>
        <v>43931.487012987011</v>
      </c>
      <c r="AB250" s="78" t="s">
        <v>73</v>
      </c>
      <c r="AC250" s="92">
        <f t="shared" ref="AC250" si="277">SUM(W250:W262)</f>
        <v>209918416</v>
      </c>
      <c r="AD250" s="93">
        <f t="shared" ref="AD250" si="278">W250/AC250</f>
        <v>6.4457889202060289E-2</v>
      </c>
    </row>
    <row r="251" spans="1:30" s="32" customFormat="1" ht="15.95">
      <c r="A251" s="65"/>
      <c r="B251" s="66" t="s">
        <v>48</v>
      </c>
      <c r="C251" s="66" t="s">
        <v>19</v>
      </c>
      <c r="D251" s="66"/>
      <c r="E251" s="66" t="s">
        <v>20</v>
      </c>
      <c r="F251" s="66" t="s">
        <v>21</v>
      </c>
      <c r="G251" s="66" t="s">
        <v>50</v>
      </c>
      <c r="H251" s="66"/>
      <c r="I251" s="66" t="s">
        <v>111</v>
      </c>
      <c r="J251" s="66"/>
      <c r="K251" s="66" t="s">
        <v>112</v>
      </c>
      <c r="L251" s="67">
        <v>2023</v>
      </c>
      <c r="M251" s="76" t="s">
        <v>113</v>
      </c>
      <c r="N251" s="66" t="s">
        <v>24</v>
      </c>
      <c r="O251" s="66" t="s">
        <v>54</v>
      </c>
      <c r="P251" s="66" t="s">
        <v>25</v>
      </c>
      <c r="Q251" s="68">
        <v>63022</v>
      </c>
      <c r="R251" s="68">
        <v>59108</v>
      </c>
      <c r="S251" s="68">
        <v>43452</v>
      </c>
      <c r="T251" s="68">
        <v>308</v>
      </c>
      <c r="U251" s="74" t="s">
        <v>58</v>
      </c>
      <c r="V251" s="75" t="s">
        <v>56</v>
      </c>
      <c r="W251" s="68">
        <v>31926045</v>
      </c>
      <c r="X251" s="68">
        <f t="shared" si="203"/>
        <v>506.58571609913997</v>
      </c>
      <c r="Y251" s="68">
        <f t="shared" si="204"/>
        <v>540.13069296880292</v>
      </c>
      <c r="Z251" s="68">
        <f t="shared" si="205"/>
        <v>734.74281966307649</v>
      </c>
      <c r="AA251" s="68">
        <f t="shared" si="206"/>
        <v>103655.99025974025</v>
      </c>
      <c r="AB251" s="78" t="s">
        <v>73</v>
      </c>
      <c r="AC251" s="55"/>
      <c r="AD251" s="93">
        <f t="shared" ref="AD251" si="279">W251/AC250</f>
        <v>0.15208787112799099</v>
      </c>
    </row>
    <row r="252" spans="1:30" s="32" customFormat="1" ht="15.95">
      <c r="A252" s="65"/>
      <c r="B252" s="66" t="s">
        <v>48</v>
      </c>
      <c r="C252" s="66" t="s">
        <v>19</v>
      </c>
      <c r="D252" s="66"/>
      <c r="E252" s="66" t="s">
        <v>20</v>
      </c>
      <c r="F252" s="66" t="s">
        <v>21</v>
      </c>
      <c r="G252" s="66" t="s">
        <v>50</v>
      </c>
      <c r="H252" s="66"/>
      <c r="I252" s="66" t="s">
        <v>111</v>
      </c>
      <c r="J252" s="66"/>
      <c r="K252" s="66" t="s">
        <v>112</v>
      </c>
      <c r="L252" s="67">
        <v>2023</v>
      </c>
      <c r="M252" s="76" t="s">
        <v>113</v>
      </c>
      <c r="N252" s="66" t="s">
        <v>24</v>
      </c>
      <c r="O252" s="66" t="s">
        <v>54</v>
      </c>
      <c r="P252" s="66" t="s">
        <v>25</v>
      </c>
      <c r="Q252" s="68">
        <v>63022</v>
      </c>
      <c r="R252" s="68">
        <v>59108</v>
      </c>
      <c r="S252" s="68">
        <v>43452</v>
      </c>
      <c r="T252" s="68">
        <v>308</v>
      </c>
      <c r="U252" s="74" t="s">
        <v>59</v>
      </c>
      <c r="V252" s="75" t="s">
        <v>56</v>
      </c>
      <c r="W252" s="68">
        <v>30840350</v>
      </c>
      <c r="X252" s="68">
        <f t="shared" si="203"/>
        <v>489.35847799181238</v>
      </c>
      <c r="Y252" s="68">
        <f t="shared" si="204"/>
        <v>521.76270555593146</v>
      </c>
      <c r="Z252" s="68">
        <f t="shared" si="205"/>
        <v>709.75674307281599</v>
      </c>
      <c r="AA252" s="68">
        <f t="shared" si="206"/>
        <v>100131.00649350649</v>
      </c>
      <c r="AB252" s="78" t="s">
        <v>73</v>
      </c>
      <c r="AC252" s="55"/>
      <c r="AD252" s="93">
        <f t="shared" ref="AD252" si="280">W252/AC250</f>
        <v>0.14691588564578345</v>
      </c>
    </row>
    <row r="253" spans="1:30" s="32" customFormat="1" ht="15.95">
      <c r="A253" s="65"/>
      <c r="B253" s="66" t="s">
        <v>48</v>
      </c>
      <c r="C253" s="66" t="s">
        <v>19</v>
      </c>
      <c r="D253" s="66"/>
      <c r="E253" s="66" t="s">
        <v>20</v>
      </c>
      <c r="F253" s="66" t="s">
        <v>21</v>
      </c>
      <c r="G253" s="66" t="s">
        <v>50</v>
      </c>
      <c r="H253" s="66"/>
      <c r="I253" s="66" t="s">
        <v>111</v>
      </c>
      <c r="J253" s="66"/>
      <c r="K253" s="66" t="s">
        <v>112</v>
      </c>
      <c r="L253" s="67">
        <v>2023</v>
      </c>
      <c r="M253" s="76" t="s">
        <v>113</v>
      </c>
      <c r="N253" s="66" t="s">
        <v>24</v>
      </c>
      <c r="O253" s="66" t="s">
        <v>54</v>
      </c>
      <c r="P253" s="66" t="s">
        <v>25</v>
      </c>
      <c r="Q253" s="68">
        <v>63022</v>
      </c>
      <c r="R253" s="68">
        <v>59108</v>
      </c>
      <c r="S253" s="68">
        <v>43452</v>
      </c>
      <c r="T253" s="68">
        <v>308</v>
      </c>
      <c r="U253" s="74" t="s">
        <v>60</v>
      </c>
      <c r="V253" s="75" t="s">
        <v>56</v>
      </c>
      <c r="W253" s="68">
        <v>9948733</v>
      </c>
      <c r="X253" s="68">
        <f t="shared" si="203"/>
        <v>157.86127066738598</v>
      </c>
      <c r="Y253" s="68">
        <f t="shared" si="204"/>
        <v>168.31449211612642</v>
      </c>
      <c r="Z253" s="68">
        <f t="shared" si="205"/>
        <v>228.95915032679738</v>
      </c>
      <c r="AA253" s="68">
        <f t="shared" si="206"/>
        <v>32301.08116883117</v>
      </c>
      <c r="AB253" s="78" t="s">
        <v>73</v>
      </c>
      <c r="AC253" s="55"/>
      <c r="AD253" s="93">
        <f t="shared" ref="AD253" si="281">W253/AC250</f>
        <v>4.7393331131080942E-2</v>
      </c>
    </row>
    <row r="254" spans="1:30" s="32" customFormat="1" ht="15.95">
      <c r="A254" s="65"/>
      <c r="B254" s="66" t="s">
        <v>48</v>
      </c>
      <c r="C254" s="66" t="s">
        <v>19</v>
      </c>
      <c r="D254" s="66"/>
      <c r="E254" s="66" t="s">
        <v>20</v>
      </c>
      <c r="F254" s="66" t="s">
        <v>21</v>
      </c>
      <c r="G254" s="66" t="s">
        <v>50</v>
      </c>
      <c r="H254" s="66"/>
      <c r="I254" s="66" t="s">
        <v>111</v>
      </c>
      <c r="J254" s="66"/>
      <c r="K254" s="66" t="s">
        <v>112</v>
      </c>
      <c r="L254" s="67">
        <v>2023</v>
      </c>
      <c r="M254" s="76" t="s">
        <v>113</v>
      </c>
      <c r="N254" s="66" t="s">
        <v>24</v>
      </c>
      <c r="O254" s="66" t="s">
        <v>54</v>
      </c>
      <c r="P254" s="66" t="s">
        <v>25</v>
      </c>
      <c r="Q254" s="68">
        <v>63022</v>
      </c>
      <c r="R254" s="68">
        <v>59108</v>
      </c>
      <c r="S254" s="68">
        <v>43452</v>
      </c>
      <c r="T254" s="68">
        <v>308</v>
      </c>
      <c r="U254" s="74" t="s">
        <v>61</v>
      </c>
      <c r="V254" s="75" t="s">
        <v>56</v>
      </c>
      <c r="W254" s="68">
        <v>22237041</v>
      </c>
      <c r="X254" s="68">
        <f t="shared" si="203"/>
        <v>352.84568880708326</v>
      </c>
      <c r="Y254" s="68">
        <f t="shared" si="204"/>
        <v>376.21034377749203</v>
      </c>
      <c r="Z254" s="68">
        <f t="shared" si="205"/>
        <v>511.76104667218999</v>
      </c>
      <c r="AA254" s="68">
        <f t="shared" si="206"/>
        <v>72198.185064935067</v>
      </c>
      <c r="AB254" s="78" t="s">
        <v>73</v>
      </c>
      <c r="AC254" s="55"/>
      <c r="AD254" s="93">
        <f t="shared" ref="AD254" si="282">W254/AC250</f>
        <v>0.10593182543831695</v>
      </c>
    </row>
    <row r="255" spans="1:30" s="32" customFormat="1" ht="15.95">
      <c r="A255" s="65"/>
      <c r="B255" s="66" t="s">
        <v>48</v>
      </c>
      <c r="C255" s="66" t="s">
        <v>19</v>
      </c>
      <c r="D255" s="66"/>
      <c r="E255" s="66" t="s">
        <v>20</v>
      </c>
      <c r="F255" s="66" t="s">
        <v>21</v>
      </c>
      <c r="G255" s="66" t="s">
        <v>50</v>
      </c>
      <c r="H255" s="66"/>
      <c r="I255" s="66" t="s">
        <v>111</v>
      </c>
      <c r="J255" s="66"/>
      <c r="K255" s="66" t="s">
        <v>112</v>
      </c>
      <c r="L255" s="67">
        <v>2023</v>
      </c>
      <c r="M255" s="76" t="s">
        <v>113</v>
      </c>
      <c r="N255" s="66" t="s">
        <v>24</v>
      </c>
      <c r="O255" s="66" t="s">
        <v>54</v>
      </c>
      <c r="P255" s="66" t="s">
        <v>25</v>
      </c>
      <c r="Q255" s="68">
        <v>63022</v>
      </c>
      <c r="R255" s="68">
        <v>59108</v>
      </c>
      <c r="S255" s="68">
        <v>43452</v>
      </c>
      <c r="T255" s="68">
        <v>308</v>
      </c>
      <c r="U255" s="74" t="s">
        <v>62</v>
      </c>
      <c r="V255" s="75" t="s">
        <v>56</v>
      </c>
      <c r="W255" s="68">
        <v>14077103</v>
      </c>
      <c r="X255" s="68">
        <f t="shared" si="203"/>
        <v>223.36807781409667</v>
      </c>
      <c r="Y255" s="68">
        <f t="shared" si="204"/>
        <v>238.15901400825607</v>
      </c>
      <c r="Z255" s="68">
        <f t="shared" si="205"/>
        <v>323.96904630396762</v>
      </c>
      <c r="AA255" s="68">
        <f t="shared" si="206"/>
        <v>45704.879870129873</v>
      </c>
      <c r="AB255" s="78" t="s">
        <v>73</v>
      </c>
      <c r="AC255" s="55"/>
      <c r="AD255" s="93">
        <f t="shared" ref="AD255" si="283">W255/AC250</f>
        <v>6.7059876252115014E-2</v>
      </c>
    </row>
    <row r="256" spans="1:30" s="32" customFormat="1" ht="15.95">
      <c r="A256" s="65"/>
      <c r="B256" s="66" t="s">
        <v>48</v>
      </c>
      <c r="C256" s="66" t="s">
        <v>19</v>
      </c>
      <c r="D256" s="66"/>
      <c r="E256" s="66" t="s">
        <v>20</v>
      </c>
      <c r="F256" s="66" t="s">
        <v>21</v>
      </c>
      <c r="G256" s="66" t="s">
        <v>50</v>
      </c>
      <c r="H256" s="66"/>
      <c r="I256" s="66" t="s">
        <v>111</v>
      </c>
      <c r="J256" s="66"/>
      <c r="K256" s="66" t="s">
        <v>112</v>
      </c>
      <c r="L256" s="67">
        <v>2023</v>
      </c>
      <c r="M256" s="76" t="s">
        <v>113</v>
      </c>
      <c r="N256" s="66" t="s">
        <v>24</v>
      </c>
      <c r="O256" s="66" t="s">
        <v>54</v>
      </c>
      <c r="P256" s="66" t="s">
        <v>25</v>
      </c>
      <c r="Q256" s="68">
        <v>63022</v>
      </c>
      <c r="R256" s="68">
        <v>59108</v>
      </c>
      <c r="S256" s="68">
        <v>43452</v>
      </c>
      <c r="T256" s="68">
        <v>308</v>
      </c>
      <c r="U256" s="74" t="s">
        <v>63</v>
      </c>
      <c r="V256" s="75" t="s">
        <v>56</v>
      </c>
      <c r="W256" s="68">
        <v>4035549</v>
      </c>
      <c r="X256" s="68">
        <f t="shared" ref="X256:X319" si="284">W256/Q256</f>
        <v>64.033972263653965</v>
      </c>
      <c r="Y256" s="68">
        <f t="shared" ref="Y256:Y319" si="285">W256/R256</f>
        <v>68.274159166271915</v>
      </c>
      <c r="Z256" s="68">
        <f t="shared" ref="Z256:Z319" si="286">W256/S256</f>
        <v>92.873722728528037</v>
      </c>
      <c r="AA256" s="68">
        <f t="shared" ref="AA256:AA319" si="287">W256/T256</f>
        <v>13102.431818181818</v>
      </c>
      <c r="AB256" s="78" t="s">
        <v>73</v>
      </c>
      <c r="AC256" s="55"/>
      <c r="AD256" s="93">
        <f t="shared" ref="AD256" si="288">W256/AC250</f>
        <v>1.9224368575647025E-2</v>
      </c>
    </row>
    <row r="257" spans="1:30" s="32" customFormat="1" ht="15.95">
      <c r="A257" s="65"/>
      <c r="B257" s="66" t="s">
        <v>48</v>
      </c>
      <c r="C257" s="66" t="s">
        <v>19</v>
      </c>
      <c r="D257" s="66"/>
      <c r="E257" s="66" t="s">
        <v>20</v>
      </c>
      <c r="F257" s="66" t="s">
        <v>21</v>
      </c>
      <c r="G257" s="66" t="s">
        <v>50</v>
      </c>
      <c r="H257" s="66"/>
      <c r="I257" s="66" t="s">
        <v>111</v>
      </c>
      <c r="J257" s="66"/>
      <c r="K257" s="66" t="s">
        <v>112</v>
      </c>
      <c r="L257" s="67">
        <v>2023</v>
      </c>
      <c r="M257" s="76" t="s">
        <v>113</v>
      </c>
      <c r="N257" s="66" t="s">
        <v>24</v>
      </c>
      <c r="O257" s="66" t="s">
        <v>54</v>
      </c>
      <c r="P257" s="66" t="s">
        <v>25</v>
      </c>
      <c r="Q257" s="68">
        <v>63022</v>
      </c>
      <c r="R257" s="68">
        <v>59108</v>
      </c>
      <c r="S257" s="68">
        <v>43452</v>
      </c>
      <c r="T257" s="68">
        <v>308</v>
      </c>
      <c r="U257" s="74" t="s">
        <v>64</v>
      </c>
      <c r="V257" s="75" t="s">
        <v>56</v>
      </c>
      <c r="W257" s="68">
        <v>0</v>
      </c>
      <c r="X257" s="68">
        <f t="shared" si="284"/>
        <v>0</v>
      </c>
      <c r="Y257" s="68">
        <f t="shared" si="285"/>
        <v>0</v>
      </c>
      <c r="Z257" s="68">
        <f t="shared" si="286"/>
        <v>0</v>
      </c>
      <c r="AA257" s="68">
        <f t="shared" si="287"/>
        <v>0</v>
      </c>
      <c r="AB257" s="78" t="s">
        <v>73</v>
      </c>
      <c r="AC257" s="55"/>
      <c r="AD257" s="93">
        <f t="shared" ref="AD257" si="289">W257/AC250</f>
        <v>0</v>
      </c>
    </row>
    <row r="258" spans="1:30" s="32" customFormat="1" ht="15.95">
      <c r="A258" s="65"/>
      <c r="B258" s="66" t="s">
        <v>48</v>
      </c>
      <c r="C258" s="66" t="s">
        <v>19</v>
      </c>
      <c r="D258" s="66"/>
      <c r="E258" s="66" t="s">
        <v>20</v>
      </c>
      <c r="F258" s="66" t="s">
        <v>21</v>
      </c>
      <c r="G258" s="66" t="s">
        <v>50</v>
      </c>
      <c r="H258" s="66"/>
      <c r="I258" s="66" t="s">
        <v>111</v>
      </c>
      <c r="J258" s="66"/>
      <c r="K258" s="66" t="s">
        <v>112</v>
      </c>
      <c r="L258" s="67">
        <v>2023</v>
      </c>
      <c r="M258" s="76" t="s">
        <v>113</v>
      </c>
      <c r="N258" s="66" t="s">
        <v>24</v>
      </c>
      <c r="O258" s="66" t="s">
        <v>54</v>
      </c>
      <c r="P258" s="66" t="s">
        <v>25</v>
      </c>
      <c r="Q258" s="68">
        <v>63022</v>
      </c>
      <c r="R258" s="68">
        <v>59108</v>
      </c>
      <c r="S258" s="68">
        <v>43452</v>
      </c>
      <c r="T258" s="68">
        <v>308</v>
      </c>
      <c r="U258" s="74" t="s">
        <v>65</v>
      </c>
      <c r="V258" s="75" t="s">
        <v>56</v>
      </c>
      <c r="W258" s="68">
        <v>28516021</v>
      </c>
      <c r="X258" s="68">
        <f t="shared" si="284"/>
        <v>452.47724604106503</v>
      </c>
      <c r="Y258" s="68">
        <f t="shared" si="285"/>
        <v>482.43928063883061</v>
      </c>
      <c r="Z258" s="68">
        <f t="shared" si="286"/>
        <v>656.26486697965572</v>
      </c>
      <c r="AA258" s="68">
        <f t="shared" si="287"/>
        <v>92584.483766233767</v>
      </c>
      <c r="AB258" s="78" t="s">
        <v>73</v>
      </c>
      <c r="AC258" s="55"/>
      <c r="AD258" s="93">
        <f t="shared" ref="AD258" si="290">W258/AC250</f>
        <v>0.13584335068534434</v>
      </c>
    </row>
    <row r="259" spans="1:30" s="32" customFormat="1" ht="15.95">
      <c r="A259" s="65"/>
      <c r="B259" s="66" t="s">
        <v>48</v>
      </c>
      <c r="C259" s="66" t="s">
        <v>19</v>
      </c>
      <c r="D259" s="66"/>
      <c r="E259" s="66" t="s">
        <v>20</v>
      </c>
      <c r="F259" s="66" t="s">
        <v>21</v>
      </c>
      <c r="G259" s="66" t="s">
        <v>50</v>
      </c>
      <c r="H259" s="66"/>
      <c r="I259" s="66" t="s">
        <v>111</v>
      </c>
      <c r="J259" s="66"/>
      <c r="K259" s="66" t="s">
        <v>112</v>
      </c>
      <c r="L259" s="67">
        <v>2023</v>
      </c>
      <c r="M259" s="76" t="s">
        <v>113</v>
      </c>
      <c r="N259" s="66" t="s">
        <v>24</v>
      </c>
      <c r="O259" s="66" t="s">
        <v>54</v>
      </c>
      <c r="P259" s="66" t="s">
        <v>25</v>
      </c>
      <c r="Q259" s="68">
        <v>63022</v>
      </c>
      <c r="R259" s="68">
        <v>59108</v>
      </c>
      <c r="S259" s="68">
        <v>43452</v>
      </c>
      <c r="T259" s="68">
        <v>308</v>
      </c>
      <c r="U259" s="74" t="s">
        <v>66</v>
      </c>
      <c r="V259" s="75" t="s">
        <v>56</v>
      </c>
      <c r="W259" s="68">
        <v>19896853</v>
      </c>
      <c r="X259" s="68">
        <f t="shared" si="284"/>
        <v>315.7128145726889</v>
      </c>
      <c r="Y259" s="68">
        <f t="shared" si="285"/>
        <v>336.61861338566689</v>
      </c>
      <c r="Z259" s="68">
        <f t="shared" si="286"/>
        <v>457.9041931326521</v>
      </c>
      <c r="AA259" s="68">
        <f t="shared" si="287"/>
        <v>64600.172077922078</v>
      </c>
      <c r="AB259" s="78" t="s">
        <v>73</v>
      </c>
      <c r="AC259" s="55"/>
      <c r="AD259" s="93">
        <f t="shared" ref="AD259" si="291">W259/AC250</f>
        <v>9.4783742080066E-2</v>
      </c>
    </row>
    <row r="260" spans="1:30" s="32" customFormat="1" ht="15.95">
      <c r="A260" s="65"/>
      <c r="B260" s="66" t="s">
        <v>48</v>
      </c>
      <c r="C260" s="66" t="s">
        <v>19</v>
      </c>
      <c r="D260" s="66"/>
      <c r="E260" s="66" t="s">
        <v>20</v>
      </c>
      <c r="F260" s="66" t="s">
        <v>21</v>
      </c>
      <c r="G260" s="66" t="s">
        <v>50</v>
      </c>
      <c r="H260" s="66"/>
      <c r="I260" s="66" t="s">
        <v>111</v>
      </c>
      <c r="J260" s="66"/>
      <c r="K260" s="66" t="s">
        <v>112</v>
      </c>
      <c r="L260" s="67">
        <v>2023</v>
      </c>
      <c r="M260" s="76" t="s">
        <v>113</v>
      </c>
      <c r="N260" s="66" t="s">
        <v>24</v>
      </c>
      <c r="O260" s="66" t="s">
        <v>54</v>
      </c>
      <c r="P260" s="66" t="s">
        <v>25</v>
      </c>
      <c r="Q260" s="68">
        <v>63022</v>
      </c>
      <c r="R260" s="68">
        <v>59108</v>
      </c>
      <c r="S260" s="68">
        <v>43452</v>
      </c>
      <c r="T260" s="68">
        <v>308</v>
      </c>
      <c r="U260" s="74" t="s">
        <v>67</v>
      </c>
      <c r="V260" s="75" t="s">
        <v>56</v>
      </c>
      <c r="W260" s="68">
        <v>0</v>
      </c>
      <c r="X260" s="68">
        <f t="shared" si="284"/>
        <v>0</v>
      </c>
      <c r="Y260" s="68">
        <f t="shared" si="285"/>
        <v>0</v>
      </c>
      <c r="Z260" s="68">
        <f t="shared" si="286"/>
        <v>0</v>
      </c>
      <c r="AA260" s="68">
        <f t="shared" si="287"/>
        <v>0</v>
      </c>
      <c r="AB260" s="78" t="s">
        <v>73</v>
      </c>
      <c r="AC260" s="55"/>
      <c r="AD260" s="93">
        <f t="shared" ref="AD260" si="292">W260/AC250</f>
        <v>0</v>
      </c>
    </row>
    <row r="261" spans="1:30" s="32" customFormat="1" ht="15.95">
      <c r="A261" s="65"/>
      <c r="B261" s="66" t="s">
        <v>48</v>
      </c>
      <c r="C261" s="66" t="s">
        <v>19</v>
      </c>
      <c r="D261" s="66"/>
      <c r="E261" s="66" t="s">
        <v>20</v>
      </c>
      <c r="F261" s="66" t="s">
        <v>21</v>
      </c>
      <c r="G261" s="66" t="s">
        <v>50</v>
      </c>
      <c r="H261" s="66"/>
      <c r="I261" s="66" t="s">
        <v>111</v>
      </c>
      <c r="J261" s="66"/>
      <c r="K261" s="66" t="s">
        <v>112</v>
      </c>
      <c r="L261" s="67">
        <v>2023</v>
      </c>
      <c r="M261" s="76" t="s">
        <v>113</v>
      </c>
      <c r="N261" s="66" t="s">
        <v>24</v>
      </c>
      <c r="O261" s="66" t="s">
        <v>54</v>
      </c>
      <c r="P261" s="66" t="s">
        <v>25</v>
      </c>
      <c r="Q261" s="68">
        <v>63022</v>
      </c>
      <c r="R261" s="68">
        <v>59108</v>
      </c>
      <c r="S261" s="68">
        <v>43452</v>
      </c>
      <c r="T261" s="68">
        <v>308</v>
      </c>
      <c r="U261" s="74" t="s">
        <v>68</v>
      </c>
      <c r="V261" s="75" t="s">
        <v>56</v>
      </c>
      <c r="W261" s="68">
        <v>18008441</v>
      </c>
      <c r="X261" s="68">
        <f t="shared" si="284"/>
        <v>285.74848465615185</v>
      </c>
      <c r="Y261" s="68">
        <f t="shared" si="285"/>
        <v>304.67011233673952</v>
      </c>
      <c r="Z261" s="68">
        <f t="shared" si="286"/>
        <v>414.44446745834483</v>
      </c>
      <c r="AA261" s="68">
        <f t="shared" si="287"/>
        <v>58468.964285714283</v>
      </c>
      <c r="AB261" s="78" t="s">
        <v>73</v>
      </c>
      <c r="AC261" s="55"/>
      <c r="AD261" s="93">
        <f t="shared" ref="AD261" si="293">W261/AC250</f>
        <v>8.578780910770592E-2</v>
      </c>
    </row>
    <row r="262" spans="1:30" s="32" customFormat="1" ht="15.95">
      <c r="A262" s="65"/>
      <c r="B262" s="66" t="s">
        <v>48</v>
      </c>
      <c r="C262" s="66" t="s">
        <v>19</v>
      </c>
      <c r="D262" s="66"/>
      <c r="E262" s="66" t="s">
        <v>20</v>
      </c>
      <c r="F262" s="66" t="s">
        <v>21</v>
      </c>
      <c r="G262" s="66" t="s">
        <v>50</v>
      </c>
      <c r="H262" s="66"/>
      <c r="I262" s="66" t="s">
        <v>111</v>
      </c>
      <c r="J262" s="66"/>
      <c r="K262" s="66" t="s">
        <v>112</v>
      </c>
      <c r="L262" s="67">
        <v>2023</v>
      </c>
      <c r="M262" s="76" t="s">
        <v>113</v>
      </c>
      <c r="N262" s="66" t="s">
        <v>24</v>
      </c>
      <c r="O262" s="66" t="s">
        <v>54</v>
      </c>
      <c r="P262" s="66" t="s">
        <v>25</v>
      </c>
      <c r="Q262" s="68">
        <v>63022</v>
      </c>
      <c r="R262" s="68">
        <v>59108</v>
      </c>
      <c r="S262" s="68">
        <v>43452</v>
      </c>
      <c r="T262" s="68">
        <v>308</v>
      </c>
      <c r="U262" s="74" t="s">
        <v>69</v>
      </c>
      <c r="V262" s="75" t="s">
        <v>56</v>
      </c>
      <c r="W262" s="68">
        <v>16901382</v>
      </c>
      <c r="X262" s="68">
        <f t="shared" si="284"/>
        <v>268.18225381612768</v>
      </c>
      <c r="Y262" s="68">
        <f t="shared" si="285"/>
        <v>285.94068484807474</v>
      </c>
      <c r="Z262" s="68">
        <f t="shared" si="286"/>
        <v>388.96672190002761</v>
      </c>
      <c r="AA262" s="68">
        <f t="shared" si="287"/>
        <v>54874.616883116883</v>
      </c>
      <c r="AB262" s="78" t="s">
        <v>73</v>
      </c>
      <c r="AC262" s="55"/>
      <c r="AD262" s="93">
        <f t="shared" ref="AD262" si="294">W262/AC250</f>
        <v>8.0514050753889066E-2</v>
      </c>
    </row>
    <row r="263" spans="1:30" s="55" customFormat="1" ht="15" customHeight="1">
      <c r="A263" s="57"/>
      <c r="B263" s="58" t="s">
        <v>48</v>
      </c>
      <c r="C263" s="58" t="s">
        <v>114</v>
      </c>
      <c r="D263" s="58"/>
      <c r="E263" s="58" t="s">
        <v>20</v>
      </c>
      <c r="F263" s="58" t="s">
        <v>21</v>
      </c>
      <c r="G263" s="58" t="s">
        <v>50</v>
      </c>
      <c r="H263" s="58"/>
      <c r="I263" s="58" t="s">
        <v>115</v>
      </c>
      <c r="J263" s="58"/>
      <c r="K263" s="58" t="s">
        <v>116</v>
      </c>
      <c r="L263" s="59">
        <v>2016</v>
      </c>
      <c r="M263" s="58" t="s">
        <v>117</v>
      </c>
      <c r="N263" s="58" t="s">
        <v>24</v>
      </c>
      <c r="O263" s="58" t="s">
        <v>54</v>
      </c>
      <c r="P263" s="58" t="s">
        <v>25</v>
      </c>
      <c r="Q263" s="60">
        <v>153906</v>
      </c>
      <c r="R263" s="60">
        <v>139164</v>
      </c>
      <c r="S263" s="60">
        <v>94476</v>
      </c>
      <c r="T263" s="60">
        <v>550</v>
      </c>
      <c r="U263" s="62" t="s">
        <v>55</v>
      </c>
      <c r="V263" s="63" t="s">
        <v>56</v>
      </c>
      <c r="W263" s="60">
        <v>53770465</v>
      </c>
      <c r="X263" s="60">
        <f t="shared" si="284"/>
        <v>349.37211674658556</v>
      </c>
      <c r="Y263" s="60">
        <f t="shared" si="285"/>
        <v>386.38200252938981</v>
      </c>
      <c r="Z263" s="60">
        <f t="shared" si="286"/>
        <v>569.14417418180278</v>
      </c>
      <c r="AA263" s="60">
        <f t="shared" si="287"/>
        <v>97764.481818181812</v>
      </c>
      <c r="AB263" s="77" t="s">
        <v>57</v>
      </c>
      <c r="AC263" s="92">
        <f t="shared" ref="AC263" si="295">SUM(W263:W275)</f>
        <v>723335934</v>
      </c>
      <c r="AD263" s="93">
        <f t="shared" ref="AD263" si="296">W263/AC263</f>
        <v>7.4336781117250561E-2</v>
      </c>
    </row>
    <row r="264" spans="1:30" s="55" customFormat="1" ht="15.95">
      <c r="A264" s="57"/>
      <c r="B264" s="58" t="s">
        <v>48</v>
      </c>
      <c r="C264" s="58" t="s">
        <v>114</v>
      </c>
      <c r="D264" s="58"/>
      <c r="E264" s="58" t="s">
        <v>20</v>
      </c>
      <c r="F264" s="58" t="s">
        <v>21</v>
      </c>
      <c r="G264" s="58" t="s">
        <v>50</v>
      </c>
      <c r="H264" s="58"/>
      <c r="I264" s="58" t="s">
        <v>115</v>
      </c>
      <c r="J264" s="58"/>
      <c r="K264" s="58" t="s">
        <v>116</v>
      </c>
      <c r="L264" s="59">
        <v>2016</v>
      </c>
      <c r="M264" s="58" t="s">
        <v>117</v>
      </c>
      <c r="N264" s="58" t="s">
        <v>24</v>
      </c>
      <c r="O264" s="58" t="s">
        <v>54</v>
      </c>
      <c r="P264" s="58" t="s">
        <v>25</v>
      </c>
      <c r="Q264" s="60">
        <v>153906</v>
      </c>
      <c r="R264" s="60">
        <v>139164</v>
      </c>
      <c r="S264" s="61">
        <v>94476</v>
      </c>
      <c r="T264" s="61">
        <v>550</v>
      </c>
      <c r="U264" s="62" t="s">
        <v>58</v>
      </c>
      <c r="V264" s="63" t="s">
        <v>56</v>
      </c>
      <c r="W264" s="60">
        <v>112868012</v>
      </c>
      <c r="X264" s="60">
        <f t="shared" si="284"/>
        <v>733.35680220394272</v>
      </c>
      <c r="Y264" s="60">
        <f t="shared" si="285"/>
        <v>811.04317208473458</v>
      </c>
      <c r="Z264" s="60">
        <f t="shared" si="286"/>
        <v>1194.6739066006182</v>
      </c>
      <c r="AA264" s="60">
        <f t="shared" si="287"/>
        <v>205214.56727272726</v>
      </c>
      <c r="AB264" s="77" t="s">
        <v>57</v>
      </c>
      <c r="AD264" s="93">
        <f t="shared" ref="AD264" si="297">W264/AC263</f>
        <v>0.15603816524895608</v>
      </c>
    </row>
    <row r="265" spans="1:30" s="55" customFormat="1" ht="15.95">
      <c r="A265" s="57"/>
      <c r="B265" s="58" t="s">
        <v>48</v>
      </c>
      <c r="C265" s="58" t="s">
        <v>114</v>
      </c>
      <c r="D265" s="58"/>
      <c r="E265" s="58" t="s">
        <v>20</v>
      </c>
      <c r="F265" s="58" t="s">
        <v>21</v>
      </c>
      <c r="G265" s="58" t="s">
        <v>50</v>
      </c>
      <c r="H265" s="58"/>
      <c r="I265" s="58" t="s">
        <v>115</v>
      </c>
      <c r="J265" s="58"/>
      <c r="K265" s="58" t="s">
        <v>116</v>
      </c>
      <c r="L265" s="59">
        <v>2016</v>
      </c>
      <c r="M265" s="58" t="s">
        <v>117</v>
      </c>
      <c r="N265" s="58" t="s">
        <v>24</v>
      </c>
      <c r="O265" s="58" t="s">
        <v>54</v>
      </c>
      <c r="P265" s="58" t="s">
        <v>25</v>
      </c>
      <c r="Q265" s="60">
        <v>153906</v>
      </c>
      <c r="R265" s="60">
        <v>139164</v>
      </c>
      <c r="S265" s="61">
        <v>94476</v>
      </c>
      <c r="T265" s="61">
        <v>550</v>
      </c>
      <c r="U265" s="62" t="s">
        <v>59</v>
      </c>
      <c r="V265" s="63" t="s">
        <v>56</v>
      </c>
      <c r="W265" s="60">
        <v>119718644</v>
      </c>
      <c r="X265" s="60">
        <f t="shared" si="284"/>
        <v>777.86859511649971</v>
      </c>
      <c r="Y265" s="60">
        <f t="shared" si="285"/>
        <v>860.27021356097839</v>
      </c>
      <c r="Z265" s="60">
        <f t="shared" si="286"/>
        <v>1267.1857826326263</v>
      </c>
      <c r="AA265" s="60">
        <f t="shared" si="287"/>
        <v>217670.26181818181</v>
      </c>
      <c r="AB265" s="77" t="s">
        <v>57</v>
      </c>
      <c r="AD265" s="93">
        <f t="shared" ref="AD265" si="298">W265/AC263</f>
        <v>0.16550905101308019</v>
      </c>
    </row>
    <row r="266" spans="1:30" s="55" customFormat="1" ht="15.95">
      <c r="A266" s="57"/>
      <c r="B266" s="58" t="s">
        <v>48</v>
      </c>
      <c r="C266" s="58" t="s">
        <v>114</v>
      </c>
      <c r="D266" s="58"/>
      <c r="E266" s="58" t="s">
        <v>20</v>
      </c>
      <c r="F266" s="58" t="s">
        <v>21</v>
      </c>
      <c r="G266" s="58" t="s">
        <v>50</v>
      </c>
      <c r="H266" s="58"/>
      <c r="I266" s="58" t="s">
        <v>115</v>
      </c>
      <c r="J266" s="58"/>
      <c r="K266" s="58" t="s">
        <v>116</v>
      </c>
      <c r="L266" s="59">
        <v>2016</v>
      </c>
      <c r="M266" s="58" t="s">
        <v>117</v>
      </c>
      <c r="N266" s="58" t="s">
        <v>24</v>
      </c>
      <c r="O266" s="58" t="s">
        <v>54</v>
      </c>
      <c r="P266" s="58" t="s">
        <v>25</v>
      </c>
      <c r="Q266" s="60">
        <v>153906</v>
      </c>
      <c r="R266" s="60">
        <v>139164</v>
      </c>
      <c r="S266" s="61">
        <v>94476</v>
      </c>
      <c r="T266" s="61">
        <v>550</v>
      </c>
      <c r="U266" s="62" t="s">
        <v>60</v>
      </c>
      <c r="V266" s="63" t="s">
        <v>56</v>
      </c>
      <c r="W266" s="60">
        <v>47479538</v>
      </c>
      <c r="X266" s="60">
        <f t="shared" si="284"/>
        <v>308.49699167024028</v>
      </c>
      <c r="Y266" s="60">
        <f t="shared" si="285"/>
        <v>341.17687045500276</v>
      </c>
      <c r="Z266" s="60">
        <f t="shared" si="286"/>
        <v>502.55660696896564</v>
      </c>
      <c r="AA266" s="60">
        <f t="shared" si="287"/>
        <v>86326.432727272724</v>
      </c>
      <c r="AB266" s="77" t="s">
        <v>57</v>
      </c>
      <c r="AD266" s="93">
        <f t="shared" ref="AD266" si="299">W266/AC263</f>
        <v>6.5639678285359451E-2</v>
      </c>
    </row>
    <row r="267" spans="1:30" s="55" customFormat="1" ht="15.95">
      <c r="A267" s="57"/>
      <c r="B267" s="58" t="s">
        <v>48</v>
      </c>
      <c r="C267" s="58" t="s">
        <v>114</v>
      </c>
      <c r="D267" s="58"/>
      <c r="E267" s="58" t="s">
        <v>20</v>
      </c>
      <c r="F267" s="58" t="s">
        <v>21</v>
      </c>
      <c r="G267" s="58" t="s">
        <v>50</v>
      </c>
      <c r="H267" s="58"/>
      <c r="I267" s="58" t="s">
        <v>115</v>
      </c>
      <c r="J267" s="58"/>
      <c r="K267" s="58" t="s">
        <v>116</v>
      </c>
      <c r="L267" s="59">
        <v>2016</v>
      </c>
      <c r="M267" s="58" t="s">
        <v>117</v>
      </c>
      <c r="N267" s="58" t="s">
        <v>24</v>
      </c>
      <c r="O267" s="58" t="s">
        <v>54</v>
      </c>
      <c r="P267" s="58" t="s">
        <v>25</v>
      </c>
      <c r="Q267" s="60">
        <v>153906</v>
      </c>
      <c r="R267" s="60">
        <v>139164</v>
      </c>
      <c r="S267" s="61">
        <v>94476</v>
      </c>
      <c r="T267" s="61">
        <v>550</v>
      </c>
      <c r="U267" s="62" t="s">
        <v>61</v>
      </c>
      <c r="V267" s="63" t="s">
        <v>56</v>
      </c>
      <c r="W267" s="60">
        <v>53852786</v>
      </c>
      <c r="X267" s="60">
        <f t="shared" si="284"/>
        <v>349.90699517887543</v>
      </c>
      <c r="Y267" s="60">
        <f t="shared" si="285"/>
        <v>386.97354200799055</v>
      </c>
      <c r="Z267" s="60">
        <f t="shared" si="286"/>
        <v>570.01551716838139</v>
      </c>
      <c r="AA267" s="60">
        <f t="shared" si="287"/>
        <v>97914.156363636357</v>
      </c>
      <c r="AB267" s="77" t="s">
        <v>57</v>
      </c>
      <c r="AD267" s="93">
        <f t="shared" ref="AD267" si="300">W267/AC263</f>
        <v>7.4450588542169668E-2</v>
      </c>
    </row>
    <row r="268" spans="1:30" s="55" customFormat="1" ht="15.95">
      <c r="A268" s="57"/>
      <c r="B268" s="58" t="s">
        <v>48</v>
      </c>
      <c r="C268" s="58" t="s">
        <v>114</v>
      </c>
      <c r="D268" s="58"/>
      <c r="E268" s="58" t="s">
        <v>20</v>
      </c>
      <c r="F268" s="58" t="s">
        <v>21</v>
      </c>
      <c r="G268" s="58" t="s">
        <v>50</v>
      </c>
      <c r="H268" s="58"/>
      <c r="I268" s="58" t="s">
        <v>115</v>
      </c>
      <c r="J268" s="58"/>
      <c r="K268" s="58" t="s">
        <v>116</v>
      </c>
      <c r="L268" s="59">
        <v>2016</v>
      </c>
      <c r="M268" s="58" t="s">
        <v>117</v>
      </c>
      <c r="N268" s="58" t="s">
        <v>24</v>
      </c>
      <c r="O268" s="58" t="s">
        <v>54</v>
      </c>
      <c r="P268" s="58" t="s">
        <v>25</v>
      </c>
      <c r="Q268" s="60">
        <v>153906</v>
      </c>
      <c r="R268" s="60">
        <v>139164</v>
      </c>
      <c r="S268" s="61">
        <v>94476</v>
      </c>
      <c r="T268" s="61">
        <v>550</v>
      </c>
      <c r="U268" s="62" t="s">
        <v>62</v>
      </c>
      <c r="V268" s="63" t="s">
        <v>56</v>
      </c>
      <c r="W268" s="60">
        <v>49314912</v>
      </c>
      <c r="X268" s="60">
        <f t="shared" si="284"/>
        <v>320.4222837316284</v>
      </c>
      <c r="Y268" s="60">
        <f t="shared" si="285"/>
        <v>354.36543933775977</v>
      </c>
      <c r="Z268" s="60">
        <f t="shared" si="286"/>
        <v>521.98348786993517</v>
      </c>
      <c r="AA268" s="60">
        <f t="shared" si="287"/>
        <v>89663.476363636364</v>
      </c>
      <c r="AB268" s="77" t="s">
        <v>57</v>
      </c>
      <c r="AD268" s="93">
        <f t="shared" ref="AD268" si="301">W268/AC263</f>
        <v>6.817705257264324E-2</v>
      </c>
    </row>
    <row r="269" spans="1:30" s="55" customFormat="1" ht="15.95">
      <c r="A269" s="57"/>
      <c r="B269" s="58" t="s">
        <v>48</v>
      </c>
      <c r="C269" s="58" t="s">
        <v>114</v>
      </c>
      <c r="D269" s="58"/>
      <c r="E269" s="58" t="s">
        <v>20</v>
      </c>
      <c r="F269" s="58" t="s">
        <v>21</v>
      </c>
      <c r="G269" s="58" t="s">
        <v>50</v>
      </c>
      <c r="H269" s="58"/>
      <c r="I269" s="58" t="s">
        <v>115</v>
      </c>
      <c r="J269" s="58"/>
      <c r="K269" s="58" t="s">
        <v>116</v>
      </c>
      <c r="L269" s="59">
        <v>2016</v>
      </c>
      <c r="M269" s="58" t="s">
        <v>117</v>
      </c>
      <c r="N269" s="58" t="s">
        <v>24</v>
      </c>
      <c r="O269" s="58" t="s">
        <v>54</v>
      </c>
      <c r="P269" s="58" t="s">
        <v>25</v>
      </c>
      <c r="Q269" s="60">
        <v>153906</v>
      </c>
      <c r="R269" s="60">
        <v>139164</v>
      </c>
      <c r="S269" s="61">
        <v>94476</v>
      </c>
      <c r="T269" s="61">
        <v>550</v>
      </c>
      <c r="U269" s="62" t="s">
        <v>63</v>
      </c>
      <c r="V269" s="63" t="s">
        <v>56</v>
      </c>
      <c r="W269" s="60">
        <v>8654189</v>
      </c>
      <c r="X269" s="60">
        <f t="shared" si="284"/>
        <v>56.23035489194703</v>
      </c>
      <c r="Y269" s="60">
        <f t="shared" si="285"/>
        <v>62.186980828375155</v>
      </c>
      <c r="Z269" s="60">
        <f t="shared" si="286"/>
        <v>91.601983572547525</v>
      </c>
      <c r="AA269" s="60">
        <f t="shared" si="287"/>
        <v>15734.889090909091</v>
      </c>
      <c r="AB269" s="77" t="s">
        <v>57</v>
      </c>
      <c r="AD269" s="93">
        <f t="shared" ref="AD269" si="302">W269/AC263</f>
        <v>1.1964273573611788E-2</v>
      </c>
    </row>
    <row r="270" spans="1:30" s="55" customFormat="1" ht="15.95">
      <c r="A270" s="57"/>
      <c r="B270" s="58" t="s">
        <v>48</v>
      </c>
      <c r="C270" s="58" t="s">
        <v>114</v>
      </c>
      <c r="D270" s="58"/>
      <c r="E270" s="58" t="s">
        <v>20</v>
      </c>
      <c r="F270" s="58" t="s">
        <v>21</v>
      </c>
      <c r="G270" s="58" t="s">
        <v>50</v>
      </c>
      <c r="H270" s="58"/>
      <c r="I270" s="58" t="s">
        <v>115</v>
      </c>
      <c r="J270" s="58"/>
      <c r="K270" s="58" t="s">
        <v>116</v>
      </c>
      <c r="L270" s="59">
        <v>2016</v>
      </c>
      <c r="M270" s="58" t="s">
        <v>117</v>
      </c>
      <c r="N270" s="58" t="s">
        <v>24</v>
      </c>
      <c r="O270" s="58" t="s">
        <v>54</v>
      </c>
      <c r="P270" s="58" t="s">
        <v>25</v>
      </c>
      <c r="Q270" s="60">
        <v>153906</v>
      </c>
      <c r="R270" s="60">
        <v>139164</v>
      </c>
      <c r="S270" s="61">
        <v>94476</v>
      </c>
      <c r="T270" s="61">
        <v>550</v>
      </c>
      <c r="U270" s="62" t="s">
        <v>64</v>
      </c>
      <c r="V270" s="63" t="s">
        <v>56</v>
      </c>
      <c r="W270" s="60">
        <v>0</v>
      </c>
      <c r="X270" s="60">
        <f t="shared" si="284"/>
        <v>0</v>
      </c>
      <c r="Y270" s="60">
        <f t="shared" si="285"/>
        <v>0</v>
      </c>
      <c r="Z270" s="60">
        <f t="shared" si="286"/>
        <v>0</v>
      </c>
      <c r="AA270" s="60">
        <f t="shared" si="287"/>
        <v>0</v>
      </c>
      <c r="AB270" s="77" t="s">
        <v>57</v>
      </c>
      <c r="AD270" s="93">
        <f t="shared" ref="AD270" si="303">W270/AC263</f>
        <v>0</v>
      </c>
    </row>
    <row r="271" spans="1:30" s="55" customFormat="1" ht="15.95">
      <c r="A271" s="57"/>
      <c r="B271" s="58" t="s">
        <v>48</v>
      </c>
      <c r="C271" s="58" t="s">
        <v>114</v>
      </c>
      <c r="D271" s="58"/>
      <c r="E271" s="58" t="s">
        <v>20</v>
      </c>
      <c r="F271" s="58" t="s">
        <v>21</v>
      </c>
      <c r="G271" s="58" t="s">
        <v>50</v>
      </c>
      <c r="H271" s="58"/>
      <c r="I271" s="58" t="s">
        <v>115</v>
      </c>
      <c r="J271" s="58"/>
      <c r="K271" s="58" t="s">
        <v>116</v>
      </c>
      <c r="L271" s="59">
        <v>2016</v>
      </c>
      <c r="M271" s="58" t="s">
        <v>117</v>
      </c>
      <c r="N271" s="58" t="s">
        <v>24</v>
      </c>
      <c r="O271" s="58" t="s">
        <v>54</v>
      </c>
      <c r="P271" s="58" t="s">
        <v>25</v>
      </c>
      <c r="Q271" s="60">
        <v>153906</v>
      </c>
      <c r="R271" s="60">
        <v>139164</v>
      </c>
      <c r="S271" s="61">
        <v>94476</v>
      </c>
      <c r="T271" s="61">
        <v>550</v>
      </c>
      <c r="U271" s="62" t="s">
        <v>65</v>
      </c>
      <c r="V271" s="63" t="s">
        <v>56</v>
      </c>
      <c r="W271" s="60">
        <v>145404409</v>
      </c>
      <c r="X271" s="60">
        <f t="shared" si="284"/>
        <v>944.7611464140449</v>
      </c>
      <c r="Y271" s="60">
        <f t="shared" si="285"/>
        <v>1044.8421215256819</v>
      </c>
      <c r="Z271" s="60">
        <f t="shared" si="286"/>
        <v>1539.061867564249</v>
      </c>
      <c r="AA271" s="60">
        <f t="shared" si="287"/>
        <v>264371.65272727271</v>
      </c>
      <c r="AB271" s="77" t="s">
        <v>57</v>
      </c>
      <c r="AD271" s="93">
        <f t="shared" ref="AD271" si="304">W271/AC263</f>
        <v>0.20101919753374231</v>
      </c>
    </row>
    <row r="272" spans="1:30" s="55" customFormat="1" ht="15.95">
      <c r="A272" s="57"/>
      <c r="B272" s="58" t="s">
        <v>48</v>
      </c>
      <c r="C272" s="58" t="s">
        <v>114</v>
      </c>
      <c r="D272" s="58"/>
      <c r="E272" s="58" t="s">
        <v>20</v>
      </c>
      <c r="F272" s="58" t="s">
        <v>21</v>
      </c>
      <c r="G272" s="58" t="s">
        <v>50</v>
      </c>
      <c r="H272" s="58"/>
      <c r="I272" s="58" t="s">
        <v>115</v>
      </c>
      <c r="J272" s="58"/>
      <c r="K272" s="58" t="s">
        <v>116</v>
      </c>
      <c r="L272" s="59">
        <v>2016</v>
      </c>
      <c r="M272" s="58" t="s">
        <v>117</v>
      </c>
      <c r="N272" s="58" t="s">
        <v>24</v>
      </c>
      <c r="O272" s="58" t="s">
        <v>54</v>
      </c>
      <c r="P272" s="58" t="s">
        <v>25</v>
      </c>
      <c r="Q272" s="60">
        <v>153906</v>
      </c>
      <c r="R272" s="60">
        <v>139164</v>
      </c>
      <c r="S272" s="61">
        <v>94476</v>
      </c>
      <c r="T272" s="61">
        <v>550</v>
      </c>
      <c r="U272" s="62" t="s">
        <v>66</v>
      </c>
      <c r="V272" s="63" t="s">
        <v>56</v>
      </c>
      <c r="W272" s="60">
        <v>12657357</v>
      </c>
      <c r="X272" s="60">
        <f t="shared" si="284"/>
        <v>82.240828817589957</v>
      </c>
      <c r="Y272" s="60">
        <f t="shared" si="285"/>
        <v>90.952811071828918</v>
      </c>
      <c r="Z272" s="60">
        <f t="shared" si="286"/>
        <v>133.97431093611075</v>
      </c>
      <c r="AA272" s="60">
        <f t="shared" si="287"/>
        <v>23013.376363636362</v>
      </c>
      <c r="AB272" s="77" t="s">
        <v>57</v>
      </c>
      <c r="AD272" s="93">
        <f t="shared" ref="AD272" si="305">W272/AC263</f>
        <v>1.7498587316139059E-2</v>
      </c>
    </row>
    <row r="273" spans="1:30" s="55" customFormat="1" ht="15.95">
      <c r="A273" s="57"/>
      <c r="B273" s="58" t="s">
        <v>48</v>
      </c>
      <c r="C273" s="58" t="s">
        <v>114</v>
      </c>
      <c r="D273" s="58"/>
      <c r="E273" s="58" t="s">
        <v>20</v>
      </c>
      <c r="F273" s="58" t="s">
        <v>21</v>
      </c>
      <c r="G273" s="58" t="s">
        <v>50</v>
      </c>
      <c r="H273" s="58"/>
      <c r="I273" s="58" t="s">
        <v>115</v>
      </c>
      <c r="J273" s="58"/>
      <c r="K273" s="58" t="s">
        <v>116</v>
      </c>
      <c r="L273" s="59">
        <v>2016</v>
      </c>
      <c r="M273" s="58" t="s">
        <v>117</v>
      </c>
      <c r="N273" s="58" t="s">
        <v>24</v>
      </c>
      <c r="O273" s="58" t="s">
        <v>54</v>
      </c>
      <c r="P273" s="58" t="s">
        <v>25</v>
      </c>
      <c r="Q273" s="60">
        <v>153906</v>
      </c>
      <c r="R273" s="60">
        <v>139164</v>
      </c>
      <c r="S273" s="61">
        <v>94476</v>
      </c>
      <c r="T273" s="61">
        <v>550</v>
      </c>
      <c r="U273" s="62" t="s">
        <v>67</v>
      </c>
      <c r="V273" s="63" t="s">
        <v>56</v>
      </c>
      <c r="W273" s="60">
        <v>19788118</v>
      </c>
      <c r="X273" s="60">
        <f t="shared" si="284"/>
        <v>128.57275219939444</v>
      </c>
      <c r="Y273" s="60">
        <f t="shared" si="285"/>
        <v>142.19279411342015</v>
      </c>
      <c r="Z273" s="60">
        <f t="shared" si="286"/>
        <v>209.45126804691139</v>
      </c>
      <c r="AA273" s="60">
        <f t="shared" si="287"/>
        <v>35978.396363636362</v>
      </c>
      <c r="AB273" s="77" t="s">
        <v>57</v>
      </c>
      <c r="AD273" s="93">
        <f t="shared" ref="AD273" si="306">W273/AC263</f>
        <v>2.7356746803069789E-2</v>
      </c>
    </row>
    <row r="274" spans="1:30" s="55" customFormat="1" ht="15.95">
      <c r="A274" s="57"/>
      <c r="B274" s="58" t="s">
        <v>48</v>
      </c>
      <c r="C274" s="58" t="s">
        <v>114</v>
      </c>
      <c r="D274" s="58"/>
      <c r="E274" s="58" t="s">
        <v>20</v>
      </c>
      <c r="F274" s="58" t="s">
        <v>21</v>
      </c>
      <c r="G274" s="58" t="s">
        <v>50</v>
      </c>
      <c r="H274" s="58"/>
      <c r="I274" s="58" t="s">
        <v>115</v>
      </c>
      <c r="J274" s="58"/>
      <c r="K274" s="58" t="s">
        <v>116</v>
      </c>
      <c r="L274" s="59">
        <v>2016</v>
      </c>
      <c r="M274" s="58" t="s">
        <v>117</v>
      </c>
      <c r="N274" s="58" t="s">
        <v>24</v>
      </c>
      <c r="O274" s="58" t="s">
        <v>54</v>
      </c>
      <c r="P274" s="58" t="s">
        <v>25</v>
      </c>
      <c r="Q274" s="60">
        <v>153906</v>
      </c>
      <c r="R274" s="60">
        <v>139164</v>
      </c>
      <c r="S274" s="61">
        <v>94476</v>
      </c>
      <c r="T274" s="61">
        <v>550</v>
      </c>
      <c r="U274" s="62" t="s">
        <v>68</v>
      </c>
      <c r="V274" s="63" t="s">
        <v>56</v>
      </c>
      <c r="W274" s="60">
        <v>8854889</v>
      </c>
      <c r="X274" s="60">
        <f t="shared" si="284"/>
        <v>57.534397619326079</v>
      </c>
      <c r="Y274" s="60">
        <f t="shared" si="285"/>
        <v>63.629164151648418</v>
      </c>
      <c r="Z274" s="60">
        <f t="shared" si="286"/>
        <v>93.726332613573817</v>
      </c>
      <c r="AA274" s="60">
        <f t="shared" si="287"/>
        <v>16099.798181818182</v>
      </c>
      <c r="AB274" s="77" t="s">
        <v>57</v>
      </c>
      <c r="AD274" s="93">
        <f t="shared" ref="AD274" si="307">W274/AC263</f>
        <v>1.224173801380646E-2</v>
      </c>
    </row>
    <row r="275" spans="1:30" s="55" customFormat="1" ht="15.95">
      <c r="A275" s="57"/>
      <c r="B275" s="58" t="s">
        <v>48</v>
      </c>
      <c r="C275" s="58" t="s">
        <v>114</v>
      </c>
      <c r="D275" s="58"/>
      <c r="E275" s="58" t="s">
        <v>20</v>
      </c>
      <c r="F275" s="58" t="s">
        <v>21</v>
      </c>
      <c r="G275" s="58" t="s">
        <v>50</v>
      </c>
      <c r="H275" s="58"/>
      <c r="I275" s="58" t="s">
        <v>115</v>
      </c>
      <c r="J275" s="58"/>
      <c r="K275" s="58" t="s">
        <v>116</v>
      </c>
      <c r="L275" s="59">
        <v>2016</v>
      </c>
      <c r="M275" s="58" t="s">
        <v>117</v>
      </c>
      <c r="N275" s="58" t="s">
        <v>24</v>
      </c>
      <c r="O275" s="58" t="s">
        <v>54</v>
      </c>
      <c r="P275" s="58" t="s">
        <v>25</v>
      </c>
      <c r="Q275" s="60">
        <v>153906</v>
      </c>
      <c r="R275" s="60">
        <v>139164</v>
      </c>
      <c r="S275" s="61">
        <v>94476</v>
      </c>
      <c r="T275" s="61">
        <v>550</v>
      </c>
      <c r="U275" s="62" t="s">
        <v>69</v>
      </c>
      <c r="V275" s="63" t="s">
        <v>56</v>
      </c>
      <c r="W275" s="60">
        <v>90972615</v>
      </c>
      <c r="X275" s="60">
        <f t="shared" si="284"/>
        <v>591.09206268761454</v>
      </c>
      <c r="Y275" s="60">
        <f t="shared" si="285"/>
        <v>653.70796326636196</v>
      </c>
      <c r="Z275" s="60">
        <f t="shared" si="286"/>
        <v>962.91772513654257</v>
      </c>
      <c r="AA275" s="60">
        <f t="shared" si="287"/>
        <v>165404.75454545455</v>
      </c>
      <c r="AB275" s="77" t="s">
        <v>57</v>
      </c>
      <c r="AD275" s="93">
        <f t="shared" ref="AD275" si="308">W275/AC263</f>
        <v>0.12576813998017136</v>
      </c>
    </row>
    <row r="276" spans="1:30" s="32" customFormat="1" ht="15" customHeight="1">
      <c r="A276" s="65"/>
      <c r="B276" s="66" t="s">
        <v>48</v>
      </c>
      <c r="C276" s="66" t="s">
        <v>118</v>
      </c>
      <c r="D276" s="66"/>
      <c r="E276" s="66" t="s">
        <v>20</v>
      </c>
      <c r="F276" s="66" t="s">
        <v>21</v>
      </c>
      <c r="G276" s="66" t="s">
        <v>50</v>
      </c>
      <c r="H276" s="66"/>
      <c r="I276" s="66" t="s">
        <v>119</v>
      </c>
      <c r="J276" s="66"/>
      <c r="K276" s="66" t="s">
        <v>120</v>
      </c>
      <c r="L276" s="67">
        <v>2016</v>
      </c>
      <c r="M276" s="66" t="s">
        <v>121</v>
      </c>
      <c r="N276" s="66" t="s">
        <v>24</v>
      </c>
      <c r="O276" s="66" t="s">
        <v>54</v>
      </c>
      <c r="P276" s="66" t="s">
        <v>25</v>
      </c>
      <c r="Q276" s="68">
        <v>96574</v>
      </c>
      <c r="R276" s="68">
        <v>94680</v>
      </c>
      <c r="S276" s="68">
        <v>63384</v>
      </c>
      <c r="T276" s="68">
        <v>344</v>
      </c>
      <c r="U276" s="74" t="s">
        <v>55</v>
      </c>
      <c r="V276" s="75" t="s">
        <v>56</v>
      </c>
      <c r="W276" s="68">
        <v>41376445</v>
      </c>
      <c r="X276" s="68">
        <f t="shared" si="284"/>
        <v>428.44290388717462</v>
      </c>
      <c r="Y276" s="68">
        <f t="shared" si="285"/>
        <v>437.01357203210813</v>
      </c>
      <c r="Z276" s="68">
        <f t="shared" si="286"/>
        <v>652.790057427742</v>
      </c>
      <c r="AA276" s="68">
        <f t="shared" si="287"/>
        <v>120280.36337209302</v>
      </c>
      <c r="AB276" s="78" t="s">
        <v>57</v>
      </c>
      <c r="AC276" s="92">
        <f t="shared" ref="AC276" si="309">SUM(W276:W288)</f>
        <v>674018836</v>
      </c>
      <c r="AD276" s="93">
        <f t="shared" ref="AD276" si="310">W276/AC276</f>
        <v>6.1387668697140088E-2</v>
      </c>
    </row>
    <row r="277" spans="1:30" s="32" customFormat="1" ht="15.95">
      <c r="A277" s="65"/>
      <c r="B277" s="66" t="s">
        <v>48</v>
      </c>
      <c r="C277" s="66" t="s">
        <v>118</v>
      </c>
      <c r="D277" s="66"/>
      <c r="E277" s="66" t="s">
        <v>20</v>
      </c>
      <c r="F277" s="66" t="s">
        <v>21</v>
      </c>
      <c r="G277" s="66" t="s">
        <v>50</v>
      </c>
      <c r="H277" s="66"/>
      <c r="I277" s="66" t="s">
        <v>119</v>
      </c>
      <c r="J277" s="66"/>
      <c r="K277" s="66" t="s">
        <v>120</v>
      </c>
      <c r="L277" s="67">
        <v>2016</v>
      </c>
      <c r="M277" s="66" t="s">
        <v>121</v>
      </c>
      <c r="N277" s="66" t="s">
        <v>24</v>
      </c>
      <c r="O277" s="66" t="s">
        <v>54</v>
      </c>
      <c r="P277" s="66" t="s">
        <v>25</v>
      </c>
      <c r="Q277" s="68">
        <v>96574</v>
      </c>
      <c r="R277" s="68">
        <v>94680</v>
      </c>
      <c r="S277" s="69">
        <v>63384</v>
      </c>
      <c r="T277" s="69">
        <v>344</v>
      </c>
      <c r="U277" s="74" t="s">
        <v>58</v>
      </c>
      <c r="V277" s="75" t="s">
        <v>56</v>
      </c>
      <c r="W277" s="68">
        <v>85088926</v>
      </c>
      <c r="X277" s="68">
        <f t="shared" si="284"/>
        <v>881.07488557996976</v>
      </c>
      <c r="Y277" s="68">
        <f t="shared" si="285"/>
        <v>898.70010561892695</v>
      </c>
      <c r="Z277" s="68">
        <f t="shared" si="286"/>
        <v>1342.4354095670831</v>
      </c>
      <c r="AA277" s="68">
        <f t="shared" si="287"/>
        <v>247351.52906976745</v>
      </c>
      <c r="AB277" s="78" t="s">
        <v>57</v>
      </c>
      <c r="AC277" s="55"/>
      <c r="AD277" s="93">
        <f t="shared" ref="AD277" si="311">W277/AC276</f>
        <v>0.12624116931948767</v>
      </c>
    </row>
    <row r="278" spans="1:30" s="32" customFormat="1" ht="15.95">
      <c r="A278" s="65"/>
      <c r="B278" s="66" t="s">
        <v>48</v>
      </c>
      <c r="C278" s="66" t="s">
        <v>118</v>
      </c>
      <c r="D278" s="66"/>
      <c r="E278" s="66" t="s">
        <v>20</v>
      </c>
      <c r="F278" s="66" t="s">
        <v>21</v>
      </c>
      <c r="G278" s="66" t="s">
        <v>50</v>
      </c>
      <c r="H278" s="66"/>
      <c r="I278" s="66" t="s">
        <v>119</v>
      </c>
      <c r="J278" s="66"/>
      <c r="K278" s="66" t="s">
        <v>120</v>
      </c>
      <c r="L278" s="67">
        <v>2016</v>
      </c>
      <c r="M278" s="66" t="s">
        <v>121</v>
      </c>
      <c r="N278" s="66" t="s">
        <v>24</v>
      </c>
      <c r="O278" s="66" t="s">
        <v>54</v>
      </c>
      <c r="P278" s="66" t="s">
        <v>25</v>
      </c>
      <c r="Q278" s="68">
        <v>96574</v>
      </c>
      <c r="R278" s="68">
        <v>94680</v>
      </c>
      <c r="S278" s="69">
        <v>63384</v>
      </c>
      <c r="T278" s="69">
        <v>344</v>
      </c>
      <c r="U278" s="74" t="s">
        <v>59</v>
      </c>
      <c r="V278" s="75" t="s">
        <v>56</v>
      </c>
      <c r="W278" s="68">
        <v>87591018</v>
      </c>
      <c r="X278" s="68">
        <f t="shared" si="284"/>
        <v>906.983432393812</v>
      </c>
      <c r="Y278" s="68">
        <f t="shared" si="285"/>
        <v>925.12693282636246</v>
      </c>
      <c r="Z278" s="68">
        <f t="shared" si="286"/>
        <v>1381.9105452480121</v>
      </c>
      <c r="AA278" s="68">
        <f t="shared" si="287"/>
        <v>254625.0523255814</v>
      </c>
      <c r="AB278" s="78" t="s">
        <v>57</v>
      </c>
      <c r="AC278" s="55"/>
      <c r="AD278" s="93">
        <f t="shared" ref="AD278" si="312">W278/AC276</f>
        <v>0.12995336824681855</v>
      </c>
    </row>
    <row r="279" spans="1:30" s="32" customFormat="1" ht="15.95">
      <c r="A279" s="65"/>
      <c r="B279" s="66" t="s">
        <v>48</v>
      </c>
      <c r="C279" s="66" t="s">
        <v>118</v>
      </c>
      <c r="D279" s="66"/>
      <c r="E279" s="66" t="s">
        <v>20</v>
      </c>
      <c r="F279" s="66" t="s">
        <v>21</v>
      </c>
      <c r="G279" s="66" t="s">
        <v>50</v>
      </c>
      <c r="H279" s="66"/>
      <c r="I279" s="66" t="s">
        <v>119</v>
      </c>
      <c r="J279" s="66"/>
      <c r="K279" s="66" t="s">
        <v>120</v>
      </c>
      <c r="L279" s="67">
        <v>2016</v>
      </c>
      <c r="M279" s="66" t="s">
        <v>121</v>
      </c>
      <c r="N279" s="66" t="s">
        <v>24</v>
      </c>
      <c r="O279" s="66" t="s">
        <v>54</v>
      </c>
      <c r="P279" s="66" t="s">
        <v>25</v>
      </c>
      <c r="Q279" s="68">
        <v>96574</v>
      </c>
      <c r="R279" s="68">
        <v>94680</v>
      </c>
      <c r="S279" s="69">
        <v>63384</v>
      </c>
      <c r="T279" s="69">
        <v>344</v>
      </c>
      <c r="U279" s="74" t="s">
        <v>60</v>
      </c>
      <c r="V279" s="75" t="s">
        <v>56</v>
      </c>
      <c r="W279" s="68">
        <v>39472302</v>
      </c>
      <c r="X279" s="68">
        <f t="shared" si="284"/>
        <v>408.72597179365044</v>
      </c>
      <c r="Y279" s="68">
        <f t="shared" si="285"/>
        <v>416.90221799746513</v>
      </c>
      <c r="Z279" s="68">
        <f t="shared" si="286"/>
        <v>622.74867474441498</v>
      </c>
      <c r="AA279" s="68">
        <f t="shared" si="287"/>
        <v>114745.06395348837</v>
      </c>
      <c r="AB279" s="78" t="s">
        <v>57</v>
      </c>
      <c r="AC279" s="55"/>
      <c r="AD279" s="93">
        <f t="shared" ref="AD279" si="313">W279/AC276</f>
        <v>5.8562609665703765E-2</v>
      </c>
    </row>
    <row r="280" spans="1:30" s="32" customFormat="1" ht="15.95">
      <c r="A280" s="65"/>
      <c r="B280" s="66" t="s">
        <v>48</v>
      </c>
      <c r="C280" s="66" t="s">
        <v>118</v>
      </c>
      <c r="D280" s="66"/>
      <c r="E280" s="66" t="s">
        <v>20</v>
      </c>
      <c r="F280" s="66" t="s">
        <v>21</v>
      </c>
      <c r="G280" s="66" t="s">
        <v>50</v>
      </c>
      <c r="H280" s="66"/>
      <c r="I280" s="66" t="s">
        <v>119</v>
      </c>
      <c r="J280" s="66"/>
      <c r="K280" s="66" t="s">
        <v>120</v>
      </c>
      <c r="L280" s="67">
        <v>2016</v>
      </c>
      <c r="M280" s="66" t="s">
        <v>121</v>
      </c>
      <c r="N280" s="66" t="s">
        <v>24</v>
      </c>
      <c r="O280" s="66" t="s">
        <v>54</v>
      </c>
      <c r="P280" s="66" t="s">
        <v>25</v>
      </c>
      <c r="Q280" s="68">
        <v>96574</v>
      </c>
      <c r="R280" s="68">
        <v>94680</v>
      </c>
      <c r="S280" s="69">
        <v>63384</v>
      </c>
      <c r="T280" s="69">
        <v>344</v>
      </c>
      <c r="U280" s="74" t="s">
        <v>61</v>
      </c>
      <c r="V280" s="75" t="s">
        <v>56</v>
      </c>
      <c r="W280" s="68">
        <v>58578966</v>
      </c>
      <c r="X280" s="68">
        <f t="shared" si="284"/>
        <v>606.57077474268442</v>
      </c>
      <c r="Y280" s="68">
        <f t="shared" si="285"/>
        <v>618.70475285171108</v>
      </c>
      <c r="Z280" s="68">
        <f t="shared" si="286"/>
        <v>924.19168875425976</v>
      </c>
      <c r="AA280" s="68">
        <f t="shared" si="287"/>
        <v>170287.69186046513</v>
      </c>
      <c r="AB280" s="78" t="s">
        <v>57</v>
      </c>
      <c r="AC280" s="55"/>
      <c r="AD280" s="93">
        <f t="shared" ref="AD280" si="314">W280/AC276</f>
        <v>8.6909983625442777E-2</v>
      </c>
    </row>
    <row r="281" spans="1:30" s="32" customFormat="1" ht="15.95">
      <c r="A281" s="65"/>
      <c r="B281" s="66" t="s">
        <v>48</v>
      </c>
      <c r="C281" s="66" t="s">
        <v>118</v>
      </c>
      <c r="D281" s="66"/>
      <c r="E281" s="66" t="s">
        <v>20</v>
      </c>
      <c r="F281" s="66" t="s">
        <v>21</v>
      </c>
      <c r="G281" s="66" t="s">
        <v>50</v>
      </c>
      <c r="H281" s="66"/>
      <c r="I281" s="66" t="s">
        <v>119</v>
      </c>
      <c r="J281" s="66"/>
      <c r="K281" s="66" t="s">
        <v>120</v>
      </c>
      <c r="L281" s="67">
        <v>2016</v>
      </c>
      <c r="M281" s="66" t="s">
        <v>121</v>
      </c>
      <c r="N281" s="66" t="s">
        <v>24</v>
      </c>
      <c r="O281" s="66" t="s">
        <v>54</v>
      </c>
      <c r="P281" s="66" t="s">
        <v>25</v>
      </c>
      <c r="Q281" s="68">
        <v>96574</v>
      </c>
      <c r="R281" s="68">
        <v>94680</v>
      </c>
      <c r="S281" s="69">
        <v>63384</v>
      </c>
      <c r="T281" s="69">
        <v>344</v>
      </c>
      <c r="U281" s="74" t="s">
        <v>62</v>
      </c>
      <c r="V281" s="75" t="s">
        <v>56</v>
      </c>
      <c r="W281" s="68">
        <v>76790037</v>
      </c>
      <c r="X281" s="68">
        <f t="shared" si="284"/>
        <v>795.14193261126184</v>
      </c>
      <c r="Y281" s="68">
        <f t="shared" si="285"/>
        <v>811.04813054499368</v>
      </c>
      <c r="Z281" s="68">
        <f t="shared" si="286"/>
        <v>1211.505064369557</v>
      </c>
      <c r="AA281" s="68">
        <f t="shared" si="287"/>
        <v>223226.85174418605</v>
      </c>
      <c r="AB281" s="78" t="s">
        <v>57</v>
      </c>
      <c r="AC281" s="55"/>
      <c r="AD281" s="93">
        <f t="shared" ref="AD281" si="315">W281/AC276</f>
        <v>0.11392862172178227</v>
      </c>
    </row>
    <row r="282" spans="1:30" s="32" customFormat="1" ht="15.95">
      <c r="A282" s="65"/>
      <c r="B282" s="66" t="s">
        <v>48</v>
      </c>
      <c r="C282" s="66" t="s">
        <v>118</v>
      </c>
      <c r="D282" s="66"/>
      <c r="E282" s="66" t="s">
        <v>20</v>
      </c>
      <c r="F282" s="66" t="s">
        <v>21</v>
      </c>
      <c r="G282" s="66" t="s">
        <v>50</v>
      </c>
      <c r="H282" s="66"/>
      <c r="I282" s="66" t="s">
        <v>119</v>
      </c>
      <c r="J282" s="66"/>
      <c r="K282" s="66" t="s">
        <v>120</v>
      </c>
      <c r="L282" s="67">
        <v>2016</v>
      </c>
      <c r="M282" s="66" t="s">
        <v>121</v>
      </c>
      <c r="N282" s="66" t="s">
        <v>24</v>
      </c>
      <c r="O282" s="66" t="s">
        <v>54</v>
      </c>
      <c r="P282" s="66" t="s">
        <v>25</v>
      </c>
      <c r="Q282" s="68">
        <v>96574</v>
      </c>
      <c r="R282" s="68">
        <v>94680</v>
      </c>
      <c r="S282" s="69">
        <v>63384</v>
      </c>
      <c r="T282" s="69">
        <v>344</v>
      </c>
      <c r="U282" s="74" t="s">
        <v>63</v>
      </c>
      <c r="V282" s="75" t="s">
        <v>56</v>
      </c>
      <c r="W282" s="68">
        <v>10159804</v>
      </c>
      <c r="X282" s="68">
        <f t="shared" si="284"/>
        <v>105.20226976204776</v>
      </c>
      <c r="Y282" s="68">
        <f t="shared" si="285"/>
        <v>107.30675961132235</v>
      </c>
      <c r="Z282" s="68">
        <f t="shared" si="286"/>
        <v>160.28972611384577</v>
      </c>
      <c r="AA282" s="68">
        <f t="shared" si="287"/>
        <v>29534.31395348837</v>
      </c>
      <c r="AB282" s="78" t="s">
        <v>57</v>
      </c>
      <c r="AC282" s="55"/>
      <c r="AD282" s="93">
        <f t="shared" ref="AD282" si="316">W282/AC276</f>
        <v>1.50734719229716E-2</v>
      </c>
    </row>
    <row r="283" spans="1:30" s="32" customFormat="1" ht="15.95">
      <c r="A283" s="65"/>
      <c r="B283" s="66" t="s">
        <v>48</v>
      </c>
      <c r="C283" s="66" t="s">
        <v>118</v>
      </c>
      <c r="D283" s="66"/>
      <c r="E283" s="66" t="s">
        <v>20</v>
      </c>
      <c r="F283" s="66" t="s">
        <v>21</v>
      </c>
      <c r="G283" s="66" t="s">
        <v>50</v>
      </c>
      <c r="H283" s="66"/>
      <c r="I283" s="66" t="s">
        <v>119</v>
      </c>
      <c r="J283" s="66"/>
      <c r="K283" s="66" t="s">
        <v>120</v>
      </c>
      <c r="L283" s="67">
        <v>2016</v>
      </c>
      <c r="M283" s="66" t="s">
        <v>121</v>
      </c>
      <c r="N283" s="66" t="s">
        <v>24</v>
      </c>
      <c r="O283" s="66" t="s">
        <v>54</v>
      </c>
      <c r="P283" s="66" t="s">
        <v>25</v>
      </c>
      <c r="Q283" s="68">
        <v>96574</v>
      </c>
      <c r="R283" s="68">
        <v>94680</v>
      </c>
      <c r="S283" s="69">
        <v>63384</v>
      </c>
      <c r="T283" s="69">
        <v>344</v>
      </c>
      <c r="U283" s="74" t="s">
        <v>64</v>
      </c>
      <c r="V283" s="75" t="s">
        <v>56</v>
      </c>
      <c r="W283" s="68">
        <v>9353395</v>
      </c>
      <c r="X283" s="68">
        <f t="shared" si="284"/>
        <v>96.852103050510493</v>
      </c>
      <c r="Y283" s="68">
        <f t="shared" si="285"/>
        <v>98.789554288128429</v>
      </c>
      <c r="Z283" s="68">
        <f t="shared" si="286"/>
        <v>147.56713050612143</v>
      </c>
      <c r="AA283" s="68">
        <f t="shared" si="287"/>
        <v>27190.101744186046</v>
      </c>
      <c r="AB283" s="78" t="s">
        <v>57</v>
      </c>
      <c r="AC283" s="55"/>
      <c r="AD283" s="93">
        <f t="shared" ref="AD283" si="317">W283/AC276</f>
        <v>1.3877052836547138E-2</v>
      </c>
    </row>
    <row r="284" spans="1:30" s="32" customFormat="1" ht="15.95">
      <c r="A284" s="65"/>
      <c r="B284" s="66" t="s">
        <v>48</v>
      </c>
      <c r="C284" s="66" t="s">
        <v>118</v>
      </c>
      <c r="D284" s="66"/>
      <c r="E284" s="66" t="s">
        <v>20</v>
      </c>
      <c r="F284" s="66" t="s">
        <v>21</v>
      </c>
      <c r="G284" s="66" t="s">
        <v>50</v>
      </c>
      <c r="H284" s="66"/>
      <c r="I284" s="66" t="s">
        <v>119</v>
      </c>
      <c r="J284" s="66"/>
      <c r="K284" s="66" t="s">
        <v>120</v>
      </c>
      <c r="L284" s="67">
        <v>2016</v>
      </c>
      <c r="M284" s="66" t="s">
        <v>121</v>
      </c>
      <c r="N284" s="66" t="s">
        <v>24</v>
      </c>
      <c r="O284" s="66" t="s">
        <v>54</v>
      </c>
      <c r="P284" s="66" t="s">
        <v>25</v>
      </c>
      <c r="Q284" s="68">
        <v>96574</v>
      </c>
      <c r="R284" s="68">
        <v>94680</v>
      </c>
      <c r="S284" s="69">
        <v>63384</v>
      </c>
      <c r="T284" s="69">
        <v>344</v>
      </c>
      <c r="U284" s="74" t="s">
        <v>65</v>
      </c>
      <c r="V284" s="75" t="s">
        <v>56</v>
      </c>
      <c r="W284" s="68">
        <v>170952065</v>
      </c>
      <c r="X284" s="68">
        <f t="shared" si="284"/>
        <v>1770.1665562159587</v>
      </c>
      <c r="Y284" s="68">
        <f t="shared" si="285"/>
        <v>1805.5773658639628</v>
      </c>
      <c r="Z284" s="68">
        <f t="shared" si="286"/>
        <v>2697.0854632083806</v>
      </c>
      <c r="AA284" s="68">
        <f t="shared" si="287"/>
        <v>496953.67732558138</v>
      </c>
      <c r="AB284" s="78" t="s">
        <v>57</v>
      </c>
      <c r="AC284" s="55"/>
      <c r="AD284" s="93">
        <f t="shared" ref="AD284" si="318">W284/AC276</f>
        <v>0.2536309905143363</v>
      </c>
    </row>
    <row r="285" spans="1:30" s="32" customFormat="1" ht="15.95">
      <c r="A285" s="65"/>
      <c r="B285" s="66" t="s">
        <v>48</v>
      </c>
      <c r="C285" s="66" t="s">
        <v>118</v>
      </c>
      <c r="D285" s="66"/>
      <c r="E285" s="66" t="s">
        <v>20</v>
      </c>
      <c r="F285" s="66" t="s">
        <v>21</v>
      </c>
      <c r="G285" s="66" t="s">
        <v>50</v>
      </c>
      <c r="H285" s="66"/>
      <c r="I285" s="66" t="s">
        <v>119</v>
      </c>
      <c r="J285" s="66"/>
      <c r="K285" s="66" t="s">
        <v>120</v>
      </c>
      <c r="L285" s="67">
        <v>2016</v>
      </c>
      <c r="M285" s="66" t="s">
        <v>121</v>
      </c>
      <c r="N285" s="66" t="s">
        <v>24</v>
      </c>
      <c r="O285" s="66" t="s">
        <v>54</v>
      </c>
      <c r="P285" s="66" t="s">
        <v>25</v>
      </c>
      <c r="Q285" s="68">
        <v>96574</v>
      </c>
      <c r="R285" s="68">
        <v>94680</v>
      </c>
      <c r="S285" s="69">
        <v>63384</v>
      </c>
      <c r="T285" s="69">
        <v>344</v>
      </c>
      <c r="U285" s="74" t="s">
        <v>66</v>
      </c>
      <c r="V285" s="75" t="s">
        <v>56</v>
      </c>
      <c r="W285" s="68">
        <v>0</v>
      </c>
      <c r="X285" s="68">
        <f t="shared" si="284"/>
        <v>0</v>
      </c>
      <c r="Y285" s="68">
        <f t="shared" si="285"/>
        <v>0</v>
      </c>
      <c r="Z285" s="68">
        <f t="shared" si="286"/>
        <v>0</v>
      </c>
      <c r="AA285" s="68">
        <f t="shared" si="287"/>
        <v>0</v>
      </c>
      <c r="AB285" s="78" t="s">
        <v>57</v>
      </c>
      <c r="AC285" s="55"/>
      <c r="AD285" s="93">
        <f t="shared" ref="AD285" si="319">W285/AC276</f>
        <v>0</v>
      </c>
    </row>
    <row r="286" spans="1:30" s="32" customFormat="1" ht="15.95">
      <c r="A286" s="65"/>
      <c r="B286" s="66" t="s">
        <v>48</v>
      </c>
      <c r="C286" s="66" t="s">
        <v>118</v>
      </c>
      <c r="D286" s="66"/>
      <c r="E286" s="66" t="s">
        <v>20</v>
      </c>
      <c r="F286" s="66" t="s">
        <v>21</v>
      </c>
      <c r="G286" s="66" t="s">
        <v>50</v>
      </c>
      <c r="H286" s="66"/>
      <c r="I286" s="66" t="s">
        <v>119</v>
      </c>
      <c r="J286" s="66"/>
      <c r="K286" s="66" t="s">
        <v>120</v>
      </c>
      <c r="L286" s="67">
        <v>2016</v>
      </c>
      <c r="M286" s="66" t="s">
        <v>121</v>
      </c>
      <c r="N286" s="66" t="s">
        <v>24</v>
      </c>
      <c r="O286" s="66" t="s">
        <v>54</v>
      </c>
      <c r="P286" s="66" t="s">
        <v>25</v>
      </c>
      <c r="Q286" s="68">
        <v>96574</v>
      </c>
      <c r="R286" s="68">
        <v>94680</v>
      </c>
      <c r="S286" s="69">
        <v>63384</v>
      </c>
      <c r="T286" s="69">
        <v>344</v>
      </c>
      <c r="U286" s="74" t="s">
        <v>67</v>
      </c>
      <c r="V286" s="75" t="s">
        <v>56</v>
      </c>
      <c r="W286" s="68">
        <v>20338181</v>
      </c>
      <c r="X286" s="68">
        <f t="shared" si="284"/>
        <v>210.59685836767659</v>
      </c>
      <c r="Y286" s="68">
        <f t="shared" si="285"/>
        <v>214.8096852555978</v>
      </c>
      <c r="Z286" s="68">
        <f t="shared" si="286"/>
        <v>320.87247570364758</v>
      </c>
      <c r="AA286" s="68">
        <f t="shared" si="287"/>
        <v>59122.619186046511</v>
      </c>
      <c r="AB286" s="78" t="s">
        <v>57</v>
      </c>
      <c r="AC286" s="55"/>
      <c r="AD286" s="93">
        <f t="shared" ref="AD286" si="320">W286/AC276</f>
        <v>3.0174499455679901E-2</v>
      </c>
    </row>
    <row r="287" spans="1:30" s="32" customFormat="1" ht="15.95">
      <c r="A287" s="65"/>
      <c r="B287" s="66" t="s">
        <v>48</v>
      </c>
      <c r="C287" s="66" t="s">
        <v>118</v>
      </c>
      <c r="D287" s="66"/>
      <c r="E287" s="66" t="s">
        <v>20</v>
      </c>
      <c r="F287" s="66" t="s">
        <v>21</v>
      </c>
      <c r="G287" s="66" t="s">
        <v>50</v>
      </c>
      <c r="H287" s="66"/>
      <c r="I287" s="66" t="s">
        <v>119</v>
      </c>
      <c r="J287" s="66"/>
      <c r="K287" s="66" t="s">
        <v>120</v>
      </c>
      <c r="L287" s="67">
        <v>2016</v>
      </c>
      <c r="M287" s="66" t="s">
        <v>121</v>
      </c>
      <c r="N287" s="66" t="s">
        <v>24</v>
      </c>
      <c r="O287" s="66" t="s">
        <v>54</v>
      </c>
      <c r="P287" s="66" t="s">
        <v>25</v>
      </c>
      <c r="Q287" s="68">
        <v>96574</v>
      </c>
      <c r="R287" s="68">
        <v>94680</v>
      </c>
      <c r="S287" s="69">
        <v>63384</v>
      </c>
      <c r="T287" s="69">
        <v>344</v>
      </c>
      <c r="U287" s="74" t="s">
        <v>68</v>
      </c>
      <c r="V287" s="75" t="s">
        <v>56</v>
      </c>
      <c r="W287" s="68">
        <v>9400000</v>
      </c>
      <c r="X287" s="68">
        <f t="shared" si="284"/>
        <v>97.334686354505351</v>
      </c>
      <c r="Y287" s="68">
        <f t="shared" si="285"/>
        <v>99.281791297000424</v>
      </c>
      <c r="Z287" s="68">
        <f t="shared" si="286"/>
        <v>148.30241070301653</v>
      </c>
      <c r="AA287" s="68">
        <f t="shared" si="287"/>
        <v>27325.581395348836</v>
      </c>
      <c r="AB287" s="78" t="s">
        <v>57</v>
      </c>
      <c r="AC287" s="55"/>
      <c r="AD287" s="93">
        <f t="shared" ref="AD287" si="321">W287/AC276</f>
        <v>1.3946197788454684E-2</v>
      </c>
    </row>
    <row r="288" spans="1:30" s="32" customFormat="1" ht="15.95">
      <c r="A288" s="65"/>
      <c r="B288" s="66" t="s">
        <v>48</v>
      </c>
      <c r="C288" s="66" t="s">
        <v>118</v>
      </c>
      <c r="D288" s="66"/>
      <c r="E288" s="66" t="s">
        <v>20</v>
      </c>
      <c r="F288" s="66" t="s">
        <v>21</v>
      </c>
      <c r="G288" s="66" t="s">
        <v>50</v>
      </c>
      <c r="H288" s="66"/>
      <c r="I288" s="66" t="s">
        <v>119</v>
      </c>
      <c r="J288" s="66"/>
      <c r="K288" s="66" t="s">
        <v>120</v>
      </c>
      <c r="L288" s="67">
        <v>2016</v>
      </c>
      <c r="M288" s="66" t="s">
        <v>121</v>
      </c>
      <c r="N288" s="66" t="s">
        <v>24</v>
      </c>
      <c r="O288" s="66" t="s">
        <v>54</v>
      </c>
      <c r="P288" s="66" t="s">
        <v>25</v>
      </c>
      <c r="Q288" s="68">
        <v>96574</v>
      </c>
      <c r="R288" s="68">
        <v>94680</v>
      </c>
      <c r="S288" s="69">
        <v>63384</v>
      </c>
      <c r="T288" s="69">
        <v>344</v>
      </c>
      <c r="U288" s="74" t="s">
        <v>69</v>
      </c>
      <c r="V288" s="75" t="s">
        <v>56</v>
      </c>
      <c r="W288" s="68">
        <v>64917697</v>
      </c>
      <c r="X288" s="68">
        <f t="shared" si="284"/>
        <v>672.20677407998016</v>
      </c>
      <c r="Y288" s="68">
        <f t="shared" si="285"/>
        <v>685.65374947190537</v>
      </c>
      <c r="Z288" s="68">
        <f t="shared" si="286"/>
        <v>1024.1969108923388</v>
      </c>
      <c r="AA288" s="68">
        <f t="shared" si="287"/>
        <v>188714.23546511628</v>
      </c>
      <c r="AB288" s="78" t="s">
        <v>57</v>
      </c>
      <c r="AC288" s="55"/>
      <c r="AD288" s="93">
        <f t="shared" ref="AD288" si="322">W288/AC276</f>
        <v>9.6314366205635243E-2</v>
      </c>
    </row>
    <row r="289" spans="1:30" s="55" customFormat="1" ht="15" customHeight="1">
      <c r="A289" s="57"/>
      <c r="B289" s="58" t="s">
        <v>48</v>
      </c>
      <c r="C289" s="58" t="s">
        <v>114</v>
      </c>
      <c r="D289" s="58"/>
      <c r="E289" s="58" t="s">
        <v>20</v>
      </c>
      <c r="F289" s="58" t="s">
        <v>21</v>
      </c>
      <c r="G289" s="58" t="s">
        <v>50</v>
      </c>
      <c r="H289" s="58"/>
      <c r="I289" s="58" t="s">
        <v>122</v>
      </c>
      <c r="J289" s="58"/>
      <c r="K289" s="58" t="s">
        <v>123</v>
      </c>
      <c r="L289" s="59">
        <v>2017</v>
      </c>
      <c r="M289" s="58" t="s">
        <v>72</v>
      </c>
      <c r="N289" s="58" t="s">
        <v>24</v>
      </c>
      <c r="O289" s="58" t="s">
        <v>54</v>
      </c>
      <c r="P289" s="58" t="s">
        <v>25</v>
      </c>
      <c r="Q289" s="60">
        <v>105380</v>
      </c>
      <c r="R289" s="60">
        <v>103200</v>
      </c>
      <c r="S289" s="60">
        <v>63452.930629232898</v>
      </c>
      <c r="T289" s="60">
        <v>513</v>
      </c>
      <c r="U289" s="62" t="s">
        <v>55</v>
      </c>
      <c r="V289" s="63" t="s">
        <v>56</v>
      </c>
      <c r="W289" s="60">
        <v>28255878</v>
      </c>
      <c r="X289" s="60">
        <f t="shared" si="284"/>
        <v>268.13321313342192</v>
      </c>
      <c r="Y289" s="60">
        <f t="shared" si="285"/>
        <v>273.79726744186047</v>
      </c>
      <c r="Z289" s="60">
        <f t="shared" si="286"/>
        <v>445.30453865250564</v>
      </c>
      <c r="AA289" s="60">
        <f t="shared" si="287"/>
        <v>55079.684210526313</v>
      </c>
      <c r="AB289" s="77" t="s">
        <v>57</v>
      </c>
      <c r="AC289" s="92">
        <f t="shared" ref="AC289" si="323">SUM(W289:W301)</f>
        <v>451967037</v>
      </c>
      <c r="AD289" s="93">
        <f t="shared" ref="AD289" si="324">W289/AC289</f>
        <v>6.2517563642589272E-2</v>
      </c>
    </row>
    <row r="290" spans="1:30" s="55" customFormat="1" ht="15.95">
      <c r="A290" s="57"/>
      <c r="B290" s="58" t="s">
        <v>48</v>
      </c>
      <c r="C290" s="58" t="s">
        <v>114</v>
      </c>
      <c r="D290" s="58"/>
      <c r="E290" s="58" t="s">
        <v>20</v>
      </c>
      <c r="F290" s="58" t="s">
        <v>21</v>
      </c>
      <c r="G290" s="58" t="s">
        <v>50</v>
      </c>
      <c r="H290" s="58"/>
      <c r="I290" s="58" t="s">
        <v>122</v>
      </c>
      <c r="J290" s="58"/>
      <c r="K290" s="58" t="s">
        <v>123</v>
      </c>
      <c r="L290" s="59">
        <v>2017</v>
      </c>
      <c r="M290" s="58" t="s">
        <v>72</v>
      </c>
      <c r="N290" s="58" t="s">
        <v>24</v>
      </c>
      <c r="O290" s="58" t="s">
        <v>54</v>
      </c>
      <c r="P290" s="58" t="s">
        <v>25</v>
      </c>
      <c r="Q290" s="60">
        <v>105380</v>
      </c>
      <c r="R290" s="60">
        <v>103200</v>
      </c>
      <c r="S290" s="61">
        <v>63452.930629232898</v>
      </c>
      <c r="T290" s="61">
        <v>513</v>
      </c>
      <c r="U290" s="62" t="s">
        <v>58</v>
      </c>
      <c r="V290" s="63" t="s">
        <v>56</v>
      </c>
      <c r="W290" s="60">
        <v>76226822</v>
      </c>
      <c r="X290" s="60">
        <f t="shared" si="284"/>
        <v>723.35188840387173</v>
      </c>
      <c r="Y290" s="60">
        <f t="shared" si="285"/>
        <v>738.63199612403105</v>
      </c>
      <c r="Z290" s="60">
        <f t="shared" si="286"/>
        <v>1201.3128667832111</v>
      </c>
      <c r="AA290" s="60">
        <f t="shared" si="287"/>
        <v>148590.29629629629</v>
      </c>
      <c r="AB290" s="77" t="s">
        <v>57</v>
      </c>
      <c r="AD290" s="93">
        <f t="shared" ref="AD290" si="325">W290/AC289</f>
        <v>0.16865571105797258</v>
      </c>
    </row>
    <row r="291" spans="1:30" s="55" customFormat="1" ht="15.95">
      <c r="A291" s="57"/>
      <c r="B291" s="58" t="s">
        <v>48</v>
      </c>
      <c r="C291" s="58" t="s">
        <v>114</v>
      </c>
      <c r="D291" s="58"/>
      <c r="E291" s="58" t="s">
        <v>20</v>
      </c>
      <c r="F291" s="58" t="s">
        <v>21</v>
      </c>
      <c r="G291" s="58" t="s">
        <v>50</v>
      </c>
      <c r="H291" s="58"/>
      <c r="I291" s="58" t="s">
        <v>122</v>
      </c>
      <c r="J291" s="58"/>
      <c r="K291" s="58" t="s">
        <v>123</v>
      </c>
      <c r="L291" s="59">
        <v>2017</v>
      </c>
      <c r="M291" s="58" t="s">
        <v>72</v>
      </c>
      <c r="N291" s="58" t="s">
        <v>24</v>
      </c>
      <c r="O291" s="58" t="s">
        <v>54</v>
      </c>
      <c r="P291" s="58" t="s">
        <v>25</v>
      </c>
      <c r="Q291" s="60">
        <v>105380</v>
      </c>
      <c r="R291" s="60">
        <v>103200</v>
      </c>
      <c r="S291" s="61">
        <v>63452.930629232898</v>
      </c>
      <c r="T291" s="61">
        <v>513</v>
      </c>
      <c r="U291" s="62" t="s">
        <v>59</v>
      </c>
      <c r="V291" s="63" t="s">
        <v>56</v>
      </c>
      <c r="W291" s="60">
        <v>71887846</v>
      </c>
      <c r="X291" s="60">
        <f t="shared" si="284"/>
        <v>682.17732017460617</v>
      </c>
      <c r="Y291" s="60">
        <f t="shared" si="285"/>
        <v>696.58765503875964</v>
      </c>
      <c r="Z291" s="60">
        <f t="shared" si="286"/>
        <v>1132.9318486494162</v>
      </c>
      <c r="AA291" s="60">
        <f t="shared" si="287"/>
        <v>140132.25341130604</v>
      </c>
      <c r="AB291" s="77" t="s">
        <v>57</v>
      </c>
      <c r="AD291" s="93">
        <f t="shared" ref="AD291" si="326">W291/AC289</f>
        <v>0.15905550651916237</v>
      </c>
    </row>
    <row r="292" spans="1:30" s="55" customFormat="1" ht="15.95">
      <c r="A292" s="57"/>
      <c r="B292" s="58" t="s">
        <v>48</v>
      </c>
      <c r="C292" s="58" t="s">
        <v>114</v>
      </c>
      <c r="D292" s="58"/>
      <c r="E292" s="58" t="s">
        <v>20</v>
      </c>
      <c r="F292" s="58" t="s">
        <v>21</v>
      </c>
      <c r="G292" s="58" t="s">
        <v>50</v>
      </c>
      <c r="H292" s="58"/>
      <c r="I292" s="58" t="s">
        <v>122</v>
      </c>
      <c r="J292" s="58"/>
      <c r="K292" s="58" t="s">
        <v>123</v>
      </c>
      <c r="L292" s="59">
        <v>2017</v>
      </c>
      <c r="M292" s="58" t="s">
        <v>72</v>
      </c>
      <c r="N292" s="58" t="s">
        <v>24</v>
      </c>
      <c r="O292" s="58" t="s">
        <v>54</v>
      </c>
      <c r="P292" s="58" t="s">
        <v>25</v>
      </c>
      <c r="Q292" s="60">
        <v>105380</v>
      </c>
      <c r="R292" s="60">
        <v>103200</v>
      </c>
      <c r="S292" s="61">
        <v>63452.930629232898</v>
      </c>
      <c r="T292" s="61">
        <v>513</v>
      </c>
      <c r="U292" s="62" t="s">
        <v>60</v>
      </c>
      <c r="V292" s="63" t="s">
        <v>56</v>
      </c>
      <c r="W292" s="60">
        <v>28694210</v>
      </c>
      <c r="X292" s="60">
        <f t="shared" si="284"/>
        <v>272.29275004744733</v>
      </c>
      <c r="Y292" s="60">
        <f t="shared" si="285"/>
        <v>278.04467054263569</v>
      </c>
      <c r="Z292" s="60">
        <f t="shared" si="286"/>
        <v>452.21252533890873</v>
      </c>
      <c r="AA292" s="60">
        <f t="shared" si="287"/>
        <v>55934.132553606236</v>
      </c>
      <c r="AB292" s="77" t="s">
        <v>57</v>
      </c>
      <c r="AD292" s="93">
        <f t="shared" ref="AD292" si="327">W292/AC289</f>
        <v>6.3487395431450461E-2</v>
      </c>
    </row>
    <row r="293" spans="1:30" s="55" customFormat="1" ht="15.95">
      <c r="A293" s="57"/>
      <c r="B293" s="58" t="s">
        <v>48</v>
      </c>
      <c r="C293" s="58" t="s">
        <v>114</v>
      </c>
      <c r="D293" s="58"/>
      <c r="E293" s="58" t="s">
        <v>20</v>
      </c>
      <c r="F293" s="58" t="s">
        <v>21</v>
      </c>
      <c r="G293" s="58" t="s">
        <v>50</v>
      </c>
      <c r="H293" s="58"/>
      <c r="I293" s="58" t="s">
        <v>122</v>
      </c>
      <c r="J293" s="58"/>
      <c r="K293" s="58" t="s">
        <v>123</v>
      </c>
      <c r="L293" s="59">
        <v>2017</v>
      </c>
      <c r="M293" s="58" t="s">
        <v>72</v>
      </c>
      <c r="N293" s="58" t="s">
        <v>24</v>
      </c>
      <c r="O293" s="58" t="s">
        <v>54</v>
      </c>
      <c r="P293" s="58" t="s">
        <v>25</v>
      </c>
      <c r="Q293" s="60">
        <v>105380</v>
      </c>
      <c r="R293" s="60">
        <v>103200</v>
      </c>
      <c r="S293" s="61">
        <v>63452.930629232898</v>
      </c>
      <c r="T293" s="61">
        <v>513</v>
      </c>
      <c r="U293" s="62" t="s">
        <v>61</v>
      </c>
      <c r="V293" s="63" t="s">
        <v>56</v>
      </c>
      <c r="W293" s="60">
        <v>39086772</v>
      </c>
      <c r="X293" s="60">
        <f t="shared" si="284"/>
        <v>370.9126209907003</v>
      </c>
      <c r="Y293" s="60">
        <f t="shared" si="285"/>
        <v>378.74779069767442</v>
      </c>
      <c r="Z293" s="60">
        <f t="shared" si="286"/>
        <v>615.99632376936495</v>
      </c>
      <c r="AA293" s="60">
        <f t="shared" si="287"/>
        <v>76192.538011695913</v>
      </c>
      <c r="AB293" s="77" t="s">
        <v>57</v>
      </c>
      <c r="AD293" s="93">
        <f t="shared" ref="AD293" si="328">W293/AC289</f>
        <v>8.6481466125150189E-2</v>
      </c>
    </row>
    <row r="294" spans="1:30" s="55" customFormat="1" ht="15.95">
      <c r="A294" s="57"/>
      <c r="B294" s="58" t="s">
        <v>48</v>
      </c>
      <c r="C294" s="58" t="s">
        <v>114</v>
      </c>
      <c r="D294" s="58"/>
      <c r="E294" s="58" t="s">
        <v>20</v>
      </c>
      <c r="F294" s="58" t="s">
        <v>21</v>
      </c>
      <c r="G294" s="58" t="s">
        <v>50</v>
      </c>
      <c r="H294" s="58"/>
      <c r="I294" s="58" t="s">
        <v>122</v>
      </c>
      <c r="J294" s="58"/>
      <c r="K294" s="58" t="s">
        <v>123</v>
      </c>
      <c r="L294" s="59">
        <v>2017</v>
      </c>
      <c r="M294" s="58" t="s">
        <v>72</v>
      </c>
      <c r="N294" s="58" t="s">
        <v>24</v>
      </c>
      <c r="O294" s="58" t="s">
        <v>54</v>
      </c>
      <c r="P294" s="58" t="s">
        <v>25</v>
      </c>
      <c r="Q294" s="60">
        <v>105380</v>
      </c>
      <c r="R294" s="60">
        <v>103200</v>
      </c>
      <c r="S294" s="61">
        <v>63452.930629232898</v>
      </c>
      <c r="T294" s="61">
        <v>513</v>
      </c>
      <c r="U294" s="62" t="s">
        <v>62</v>
      </c>
      <c r="V294" s="63" t="s">
        <v>56</v>
      </c>
      <c r="W294" s="60">
        <v>14360261</v>
      </c>
      <c r="X294" s="60">
        <f t="shared" si="284"/>
        <v>136.27121844752324</v>
      </c>
      <c r="Y294" s="60">
        <f t="shared" si="285"/>
        <v>139.14981589147285</v>
      </c>
      <c r="Z294" s="60">
        <f t="shared" si="286"/>
        <v>226.31359745871529</v>
      </c>
      <c r="AA294" s="60">
        <f t="shared" si="287"/>
        <v>27992.711500974659</v>
      </c>
      <c r="AB294" s="77" t="s">
        <v>57</v>
      </c>
      <c r="AD294" s="93">
        <f t="shared" ref="AD294" si="329">W294/AC289</f>
        <v>3.1772806033197508E-2</v>
      </c>
    </row>
    <row r="295" spans="1:30" s="55" customFormat="1" ht="15.95">
      <c r="A295" s="57"/>
      <c r="B295" s="58" t="s">
        <v>48</v>
      </c>
      <c r="C295" s="58" t="s">
        <v>114</v>
      </c>
      <c r="D295" s="58"/>
      <c r="E295" s="58" t="s">
        <v>20</v>
      </c>
      <c r="F295" s="58" t="s">
        <v>21</v>
      </c>
      <c r="G295" s="58" t="s">
        <v>50</v>
      </c>
      <c r="H295" s="58"/>
      <c r="I295" s="58" t="s">
        <v>122</v>
      </c>
      <c r="J295" s="58"/>
      <c r="K295" s="58" t="s">
        <v>123</v>
      </c>
      <c r="L295" s="59">
        <v>2017</v>
      </c>
      <c r="M295" s="58" t="s">
        <v>72</v>
      </c>
      <c r="N295" s="58" t="s">
        <v>24</v>
      </c>
      <c r="O295" s="58" t="s">
        <v>54</v>
      </c>
      <c r="P295" s="58" t="s">
        <v>25</v>
      </c>
      <c r="Q295" s="60">
        <v>105380</v>
      </c>
      <c r="R295" s="60">
        <v>103200</v>
      </c>
      <c r="S295" s="61">
        <v>63452.930629232898</v>
      </c>
      <c r="T295" s="61">
        <v>513</v>
      </c>
      <c r="U295" s="62" t="s">
        <v>63</v>
      </c>
      <c r="V295" s="63" t="s">
        <v>56</v>
      </c>
      <c r="W295" s="60">
        <v>5088000</v>
      </c>
      <c r="X295" s="60">
        <f t="shared" si="284"/>
        <v>48.282406528753086</v>
      </c>
      <c r="Y295" s="60">
        <f t="shared" si="285"/>
        <v>49.302325581395351</v>
      </c>
      <c r="Z295" s="60">
        <f t="shared" si="286"/>
        <v>80.185421690451406</v>
      </c>
      <c r="AA295" s="60">
        <f t="shared" si="287"/>
        <v>9918.1286549707602</v>
      </c>
      <c r="AB295" s="77" t="s">
        <v>57</v>
      </c>
      <c r="AD295" s="93">
        <f t="shared" ref="AD295" si="330">W295/AC289</f>
        <v>1.1257458140691796E-2</v>
      </c>
    </row>
    <row r="296" spans="1:30" s="55" customFormat="1" ht="15.95">
      <c r="A296" s="57"/>
      <c r="B296" s="58" t="s">
        <v>48</v>
      </c>
      <c r="C296" s="58" t="s">
        <v>114</v>
      </c>
      <c r="D296" s="58"/>
      <c r="E296" s="58" t="s">
        <v>20</v>
      </c>
      <c r="F296" s="58" t="s">
        <v>21</v>
      </c>
      <c r="G296" s="58" t="s">
        <v>50</v>
      </c>
      <c r="H296" s="58"/>
      <c r="I296" s="58" t="s">
        <v>122</v>
      </c>
      <c r="J296" s="58"/>
      <c r="K296" s="58" t="s">
        <v>123</v>
      </c>
      <c r="L296" s="59">
        <v>2017</v>
      </c>
      <c r="M296" s="58" t="s">
        <v>72</v>
      </c>
      <c r="N296" s="58" t="s">
        <v>24</v>
      </c>
      <c r="O296" s="58" t="s">
        <v>54</v>
      </c>
      <c r="P296" s="58" t="s">
        <v>25</v>
      </c>
      <c r="Q296" s="60">
        <v>105380</v>
      </c>
      <c r="R296" s="60">
        <v>103200</v>
      </c>
      <c r="S296" s="61">
        <v>63452.930629232898</v>
      </c>
      <c r="T296" s="61">
        <v>513</v>
      </c>
      <c r="U296" s="62" t="s">
        <v>64</v>
      </c>
      <c r="V296" s="63" t="s">
        <v>56</v>
      </c>
      <c r="W296" s="60">
        <v>106000</v>
      </c>
      <c r="X296" s="60">
        <f t="shared" si="284"/>
        <v>1.0058834693490226</v>
      </c>
      <c r="Y296" s="60">
        <f t="shared" si="285"/>
        <v>1.0271317829457365</v>
      </c>
      <c r="Z296" s="60">
        <f t="shared" si="286"/>
        <v>1.670529618551071</v>
      </c>
      <c r="AA296" s="60">
        <f t="shared" si="287"/>
        <v>206.62768031189083</v>
      </c>
      <c r="AB296" s="77" t="s">
        <v>57</v>
      </c>
      <c r="AD296" s="93">
        <f t="shared" ref="AD296" si="331">W296/AC289</f>
        <v>2.3453037793107908E-4</v>
      </c>
    </row>
    <row r="297" spans="1:30" s="55" customFormat="1" ht="15.95">
      <c r="A297" s="57"/>
      <c r="B297" s="58" t="s">
        <v>48</v>
      </c>
      <c r="C297" s="58" t="s">
        <v>114</v>
      </c>
      <c r="D297" s="58"/>
      <c r="E297" s="58" t="s">
        <v>20</v>
      </c>
      <c r="F297" s="58" t="s">
        <v>21</v>
      </c>
      <c r="G297" s="58" t="s">
        <v>50</v>
      </c>
      <c r="H297" s="58"/>
      <c r="I297" s="58" t="s">
        <v>122</v>
      </c>
      <c r="J297" s="58"/>
      <c r="K297" s="58" t="s">
        <v>123</v>
      </c>
      <c r="L297" s="59">
        <v>2017</v>
      </c>
      <c r="M297" s="58" t="s">
        <v>72</v>
      </c>
      <c r="N297" s="58" t="s">
        <v>24</v>
      </c>
      <c r="O297" s="58" t="s">
        <v>54</v>
      </c>
      <c r="P297" s="58" t="s">
        <v>25</v>
      </c>
      <c r="Q297" s="60">
        <v>105380</v>
      </c>
      <c r="R297" s="60">
        <v>103200</v>
      </c>
      <c r="S297" s="61">
        <v>63452.930629232898</v>
      </c>
      <c r="T297" s="61">
        <v>513</v>
      </c>
      <c r="U297" s="62" t="s">
        <v>65</v>
      </c>
      <c r="V297" s="63" t="s">
        <v>56</v>
      </c>
      <c r="W297" s="60">
        <v>108942219</v>
      </c>
      <c r="X297" s="60">
        <f t="shared" si="284"/>
        <v>1033.8035585500095</v>
      </c>
      <c r="Y297" s="60">
        <f t="shared" si="285"/>
        <v>1055.6416569767441</v>
      </c>
      <c r="Z297" s="60">
        <f t="shared" si="286"/>
        <v>1716.8981466997852</v>
      </c>
      <c r="AA297" s="60">
        <f t="shared" si="287"/>
        <v>212363</v>
      </c>
      <c r="AB297" s="77" t="s">
        <v>57</v>
      </c>
      <c r="AD297" s="93">
        <f t="shared" ref="AD297" si="332">W297/AC289</f>
        <v>0.24104018674264513</v>
      </c>
    </row>
    <row r="298" spans="1:30" s="55" customFormat="1" ht="15.95">
      <c r="A298" s="57"/>
      <c r="B298" s="58" t="s">
        <v>48</v>
      </c>
      <c r="C298" s="58" t="s">
        <v>114</v>
      </c>
      <c r="D298" s="58"/>
      <c r="E298" s="58" t="s">
        <v>20</v>
      </c>
      <c r="F298" s="58" t="s">
        <v>21</v>
      </c>
      <c r="G298" s="58" t="s">
        <v>50</v>
      </c>
      <c r="H298" s="58"/>
      <c r="I298" s="58" t="s">
        <v>122</v>
      </c>
      <c r="J298" s="58"/>
      <c r="K298" s="58" t="s">
        <v>123</v>
      </c>
      <c r="L298" s="59">
        <v>2017</v>
      </c>
      <c r="M298" s="58" t="s">
        <v>72</v>
      </c>
      <c r="N298" s="58" t="s">
        <v>24</v>
      </c>
      <c r="O298" s="58" t="s">
        <v>54</v>
      </c>
      <c r="P298" s="58" t="s">
        <v>25</v>
      </c>
      <c r="Q298" s="60">
        <v>105380</v>
      </c>
      <c r="R298" s="60">
        <v>103200</v>
      </c>
      <c r="S298" s="61">
        <v>63452.930629232898</v>
      </c>
      <c r="T298" s="61">
        <v>513</v>
      </c>
      <c r="U298" s="62" t="s">
        <v>66</v>
      </c>
      <c r="V298" s="63" t="s">
        <v>56</v>
      </c>
      <c r="W298" s="60">
        <v>8692000</v>
      </c>
      <c r="X298" s="60">
        <f t="shared" si="284"/>
        <v>82.482444486619855</v>
      </c>
      <c r="Y298" s="60">
        <f t="shared" si="285"/>
        <v>84.224806201550393</v>
      </c>
      <c r="Z298" s="60">
        <f t="shared" si="286"/>
        <v>136.98342872118781</v>
      </c>
      <c r="AA298" s="60">
        <f t="shared" si="287"/>
        <v>16943.469785575049</v>
      </c>
      <c r="AB298" s="77" t="s">
        <v>57</v>
      </c>
      <c r="AD298" s="93">
        <f t="shared" ref="AD298" si="333">W298/AC289</f>
        <v>1.9231490990348484E-2</v>
      </c>
    </row>
    <row r="299" spans="1:30" s="55" customFormat="1" ht="15.95">
      <c r="A299" s="57"/>
      <c r="B299" s="58" t="s">
        <v>48</v>
      </c>
      <c r="C299" s="58" t="s">
        <v>114</v>
      </c>
      <c r="D299" s="58"/>
      <c r="E299" s="58" t="s">
        <v>20</v>
      </c>
      <c r="F299" s="58" t="s">
        <v>21</v>
      </c>
      <c r="G299" s="58" t="s">
        <v>50</v>
      </c>
      <c r="H299" s="58"/>
      <c r="I299" s="58" t="s">
        <v>122</v>
      </c>
      <c r="J299" s="58"/>
      <c r="K299" s="58" t="s">
        <v>123</v>
      </c>
      <c r="L299" s="59">
        <v>2017</v>
      </c>
      <c r="M299" s="58" t="s">
        <v>72</v>
      </c>
      <c r="N299" s="58" t="s">
        <v>24</v>
      </c>
      <c r="O299" s="58" t="s">
        <v>54</v>
      </c>
      <c r="P299" s="58" t="s">
        <v>25</v>
      </c>
      <c r="Q299" s="60">
        <v>105380</v>
      </c>
      <c r="R299" s="60">
        <v>103200</v>
      </c>
      <c r="S299" s="61">
        <v>63452.930629232898</v>
      </c>
      <c r="T299" s="61">
        <v>513</v>
      </c>
      <c r="U299" s="62" t="s">
        <v>67</v>
      </c>
      <c r="V299" s="63" t="s">
        <v>56</v>
      </c>
      <c r="W299" s="60">
        <v>12443496</v>
      </c>
      <c r="X299" s="60">
        <f t="shared" si="284"/>
        <v>118.08214082368571</v>
      </c>
      <c r="Y299" s="60">
        <f t="shared" si="285"/>
        <v>120.57651162790698</v>
      </c>
      <c r="Z299" s="60">
        <f t="shared" si="286"/>
        <v>196.10593043699791</v>
      </c>
      <c r="AA299" s="60">
        <f t="shared" si="287"/>
        <v>24256.327485380116</v>
      </c>
      <c r="AB299" s="77" t="s">
        <v>57</v>
      </c>
      <c r="AD299" s="93">
        <f t="shared" ref="AD299" si="334">W299/AC289</f>
        <v>2.7531866223244064E-2</v>
      </c>
    </row>
    <row r="300" spans="1:30" s="55" customFormat="1" ht="15.95">
      <c r="A300" s="57"/>
      <c r="B300" s="58" t="s">
        <v>48</v>
      </c>
      <c r="C300" s="58" t="s">
        <v>114</v>
      </c>
      <c r="D300" s="58"/>
      <c r="E300" s="58" t="s">
        <v>20</v>
      </c>
      <c r="F300" s="58" t="s">
        <v>21</v>
      </c>
      <c r="G300" s="58" t="s">
        <v>50</v>
      </c>
      <c r="H300" s="58"/>
      <c r="I300" s="58" t="s">
        <v>122</v>
      </c>
      <c r="J300" s="58"/>
      <c r="K300" s="58" t="s">
        <v>123</v>
      </c>
      <c r="L300" s="59">
        <v>2017</v>
      </c>
      <c r="M300" s="58" t="s">
        <v>72</v>
      </c>
      <c r="N300" s="58" t="s">
        <v>24</v>
      </c>
      <c r="O300" s="58" t="s">
        <v>54</v>
      </c>
      <c r="P300" s="58" t="s">
        <v>25</v>
      </c>
      <c r="Q300" s="60">
        <v>105380</v>
      </c>
      <c r="R300" s="60">
        <v>103200</v>
      </c>
      <c r="S300" s="61">
        <v>63452.930629232898</v>
      </c>
      <c r="T300" s="61">
        <v>513</v>
      </c>
      <c r="U300" s="62" t="s">
        <v>68</v>
      </c>
      <c r="V300" s="63" t="s">
        <v>56</v>
      </c>
      <c r="W300" s="60">
        <v>10702219</v>
      </c>
      <c r="X300" s="60">
        <f t="shared" si="284"/>
        <v>101.55835073068893</v>
      </c>
      <c r="Y300" s="60">
        <f t="shared" si="285"/>
        <v>103.70367248062016</v>
      </c>
      <c r="Z300" s="60">
        <f t="shared" si="286"/>
        <v>168.66390399735872</v>
      </c>
      <c r="AA300" s="60">
        <f t="shared" si="287"/>
        <v>20862.025341130604</v>
      </c>
      <c r="AB300" s="77" t="s">
        <v>57</v>
      </c>
      <c r="AD300" s="93">
        <f t="shared" ref="AD300" si="335">W300/AC289</f>
        <v>2.36792025167092E-2</v>
      </c>
    </row>
    <row r="301" spans="1:30" s="55" customFormat="1" ht="15.95">
      <c r="A301" s="57"/>
      <c r="B301" s="58" t="s">
        <v>48</v>
      </c>
      <c r="C301" s="58" t="s">
        <v>114</v>
      </c>
      <c r="D301" s="58"/>
      <c r="E301" s="58" t="s">
        <v>20</v>
      </c>
      <c r="F301" s="58" t="s">
        <v>21</v>
      </c>
      <c r="G301" s="58" t="s">
        <v>50</v>
      </c>
      <c r="H301" s="58"/>
      <c r="I301" s="58" t="s">
        <v>122</v>
      </c>
      <c r="J301" s="58"/>
      <c r="K301" s="58" t="s">
        <v>123</v>
      </c>
      <c r="L301" s="59">
        <v>2017</v>
      </c>
      <c r="M301" s="58" t="s">
        <v>72</v>
      </c>
      <c r="N301" s="58" t="s">
        <v>24</v>
      </c>
      <c r="O301" s="58" t="s">
        <v>54</v>
      </c>
      <c r="P301" s="58" t="s">
        <v>25</v>
      </c>
      <c r="Q301" s="60">
        <v>105380</v>
      </c>
      <c r="R301" s="60">
        <v>103200</v>
      </c>
      <c r="S301" s="61">
        <v>63452.930629232898</v>
      </c>
      <c r="T301" s="61">
        <v>513</v>
      </c>
      <c r="U301" s="62" t="s">
        <v>69</v>
      </c>
      <c r="V301" s="63" t="s">
        <v>56</v>
      </c>
      <c r="W301" s="60">
        <v>47481314</v>
      </c>
      <c r="X301" s="60">
        <f t="shared" si="284"/>
        <v>450.5723476940596</v>
      </c>
      <c r="Y301" s="60">
        <f t="shared" si="285"/>
        <v>460.09025193798448</v>
      </c>
      <c r="Z301" s="60">
        <f t="shared" si="286"/>
        <v>748.29189966720401</v>
      </c>
      <c r="AA301" s="60">
        <f t="shared" si="287"/>
        <v>92556.167641325534</v>
      </c>
      <c r="AB301" s="77" t="s">
        <v>57</v>
      </c>
      <c r="AD301" s="93">
        <f t="shared" ref="AD301" si="336">W301/AC289</f>
        <v>0.10505481619890789</v>
      </c>
    </row>
    <row r="302" spans="1:30" s="32" customFormat="1" ht="15" customHeight="1">
      <c r="A302" s="65"/>
      <c r="B302" s="66" t="s">
        <v>48</v>
      </c>
      <c r="C302" s="66" t="s">
        <v>114</v>
      </c>
      <c r="D302" s="66"/>
      <c r="E302" s="66" t="s">
        <v>20</v>
      </c>
      <c r="F302" s="66" t="s">
        <v>21</v>
      </c>
      <c r="G302" s="66" t="s">
        <v>50</v>
      </c>
      <c r="H302" s="66"/>
      <c r="I302" s="66" t="s">
        <v>124</v>
      </c>
      <c r="J302" s="66"/>
      <c r="K302" s="66" t="s">
        <v>125</v>
      </c>
      <c r="L302" s="67">
        <v>2018</v>
      </c>
      <c r="M302" s="66" t="s">
        <v>126</v>
      </c>
      <c r="N302" s="66" t="s">
        <v>24</v>
      </c>
      <c r="O302" s="66" t="s">
        <v>54</v>
      </c>
      <c r="P302" s="66" t="s">
        <v>25</v>
      </c>
      <c r="Q302" s="68">
        <v>108275</v>
      </c>
      <c r="R302" s="68">
        <v>106596</v>
      </c>
      <c r="S302" s="68">
        <v>66045.856984921818</v>
      </c>
      <c r="T302" s="68">
        <v>551</v>
      </c>
      <c r="U302" s="74" t="s">
        <v>55</v>
      </c>
      <c r="V302" s="75" t="s">
        <v>56</v>
      </c>
      <c r="W302" s="68">
        <v>37950631</v>
      </c>
      <c r="X302" s="68">
        <f t="shared" si="284"/>
        <v>350.50224890325558</v>
      </c>
      <c r="Y302" s="68">
        <f t="shared" si="285"/>
        <v>356.02303088295997</v>
      </c>
      <c r="Z302" s="68">
        <f t="shared" si="286"/>
        <v>574.61031974593163</v>
      </c>
      <c r="AA302" s="68">
        <f t="shared" si="287"/>
        <v>68875.91833030853</v>
      </c>
      <c r="AB302" s="78" t="s">
        <v>57</v>
      </c>
      <c r="AC302" s="92">
        <f t="shared" ref="AC302" si="337">SUM(W302:W314)</f>
        <v>504775428</v>
      </c>
      <c r="AD302" s="93">
        <f t="shared" ref="AD302" si="338">W302/AC302</f>
        <v>7.5183198101314866E-2</v>
      </c>
    </row>
    <row r="303" spans="1:30" s="32" customFormat="1" ht="15.95">
      <c r="A303" s="65"/>
      <c r="B303" s="66" t="s">
        <v>48</v>
      </c>
      <c r="C303" s="66" t="s">
        <v>114</v>
      </c>
      <c r="D303" s="66"/>
      <c r="E303" s="66" t="s">
        <v>20</v>
      </c>
      <c r="F303" s="66" t="s">
        <v>21</v>
      </c>
      <c r="G303" s="66" t="s">
        <v>50</v>
      </c>
      <c r="H303" s="66"/>
      <c r="I303" s="66" t="s">
        <v>124</v>
      </c>
      <c r="J303" s="66"/>
      <c r="K303" s="66" t="s">
        <v>125</v>
      </c>
      <c r="L303" s="67">
        <v>2018</v>
      </c>
      <c r="M303" s="66" t="s">
        <v>126</v>
      </c>
      <c r="N303" s="66" t="s">
        <v>24</v>
      </c>
      <c r="O303" s="66" t="s">
        <v>54</v>
      </c>
      <c r="P303" s="66" t="s">
        <v>25</v>
      </c>
      <c r="Q303" s="68">
        <v>108275</v>
      </c>
      <c r="R303" s="68">
        <v>106596</v>
      </c>
      <c r="S303" s="69">
        <v>66045.856984921818</v>
      </c>
      <c r="T303" s="69">
        <v>551</v>
      </c>
      <c r="U303" s="74" t="s">
        <v>58</v>
      </c>
      <c r="V303" s="75" t="s">
        <v>56</v>
      </c>
      <c r="W303" s="68">
        <v>111418361</v>
      </c>
      <c r="X303" s="68">
        <f t="shared" si="284"/>
        <v>1029.0312722235049</v>
      </c>
      <c r="Y303" s="68">
        <f t="shared" si="285"/>
        <v>1045.239605613719</v>
      </c>
      <c r="Z303" s="68">
        <f t="shared" si="286"/>
        <v>1686.984863038974</v>
      </c>
      <c r="AA303" s="68">
        <f t="shared" si="287"/>
        <v>202211.18148820326</v>
      </c>
      <c r="AB303" s="78" t="s">
        <v>57</v>
      </c>
      <c r="AC303" s="55"/>
      <c r="AD303" s="93">
        <f t="shared" ref="AD303" si="339">W303/AC302</f>
        <v>0.22072857516352798</v>
      </c>
    </row>
    <row r="304" spans="1:30" s="32" customFormat="1" ht="15.95">
      <c r="A304" s="65"/>
      <c r="B304" s="66" t="s">
        <v>48</v>
      </c>
      <c r="C304" s="66" t="s">
        <v>114</v>
      </c>
      <c r="D304" s="66"/>
      <c r="E304" s="66" t="s">
        <v>20</v>
      </c>
      <c r="F304" s="66" t="s">
        <v>21</v>
      </c>
      <c r="G304" s="66" t="s">
        <v>50</v>
      </c>
      <c r="H304" s="66"/>
      <c r="I304" s="66" t="s">
        <v>124</v>
      </c>
      <c r="J304" s="66"/>
      <c r="K304" s="66" t="s">
        <v>125</v>
      </c>
      <c r="L304" s="67">
        <v>2018</v>
      </c>
      <c r="M304" s="66" t="s">
        <v>126</v>
      </c>
      <c r="N304" s="66" t="s">
        <v>24</v>
      </c>
      <c r="O304" s="66" t="s">
        <v>54</v>
      </c>
      <c r="P304" s="66" t="s">
        <v>25</v>
      </c>
      <c r="Q304" s="68">
        <v>108275</v>
      </c>
      <c r="R304" s="68">
        <v>106596</v>
      </c>
      <c r="S304" s="69">
        <v>66045.856984921818</v>
      </c>
      <c r="T304" s="69">
        <v>551</v>
      </c>
      <c r="U304" s="74" t="s">
        <v>59</v>
      </c>
      <c r="V304" s="75" t="s">
        <v>56</v>
      </c>
      <c r="W304" s="68">
        <v>61707863</v>
      </c>
      <c r="X304" s="68">
        <f t="shared" si="284"/>
        <v>569.91792195797734</v>
      </c>
      <c r="Y304" s="68">
        <f t="shared" si="285"/>
        <v>578.89473338586811</v>
      </c>
      <c r="Z304" s="68">
        <f t="shared" si="286"/>
        <v>934.31845413237386</v>
      </c>
      <c r="AA304" s="68">
        <f t="shared" si="287"/>
        <v>111992.49183303086</v>
      </c>
      <c r="AB304" s="78" t="s">
        <v>57</v>
      </c>
      <c r="AC304" s="55"/>
      <c r="AD304" s="93">
        <f t="shared" ref="AD304" si="340">W304/AC302</f>
        <v>0.12224815150867446</v>
      </c>
    </row>
    <row r="305" spans="1:30" s="32" customFormat="1" ht="15.95">
      <c r="A305" s="65"/>
      <c r="B305" s="66" t="s">
        <v>48</v>
      </c>
      <c r="C305" s="66" t="s">
        <v>114</v>
      </c>
      <c r="D305" s="66"/>
      <c r="E305" s="66" t="s">
        <v>20</v>
      </c>
      <c r="F305" s="66" t="s">
        <v>21</v>
      </c>
      <c r="G305" s="66" t="s">
        <v>50</v>
      </c>
      <c r="H305" s="66"/>
      <c r="I305" s="66" t="s">
        <v>124</v>
      </c>
      <c r="J305" s="66"/>
      <c r="K305" s="66" t="s">
        <v>125</v>
      </c>
      <c r="L305" s="67">
        <v>2018</v>
      </c>
      <c r="M305" s="66" t="s">
        <v>126</v>
      </c>
      <c r="N305" s="66" t="s">
        <v>24</v>
      </c>
      <c r="O305" s="66" t="s">
        <v>54</v>
      </c>
      <c r="P305" s="66" t="s">
        <v>25</v>
      </c>
      <c r="Q305" s="68">
        <v>108275</v>
      </c>
      <c r="R305" s="68">
        <v>106596</v>
      </c>
      <c r="S305" s="69">
        <v>66045.856984921818</v>
      </c>
      <c r="T305" s="69">
        <v>551</v>
      </c>
      <c r="U305" s="74" t="s">
        <v>60</v>
      </c>
      <c r="V305" s="75" t="s">
        <v>56</v>
      </c>
      <c r="W305" s="68">
        <v>21819267</v>
      </c>
      <c r="X305" s="68">
        <f t="shared" si="284"/>
        <v>201.51712768413762</v>
      </c>
      <c r="Y305" s="68">
        <f t="shared" si="285"/>
        <v>204.69123606889565</v>
      </c>
      <c r="Z305" s="68">
        <f t="shared" si="286"/>
        <v>330.36541572897312</v>
      </c>
      <c r="AA305" s="68">
        <f t="shared" si="287"/>
        <v>39599.395644283119</v>
      </c>
      <c r="AB305" s="78" t="s">
        <v>57</v>
      </c>
      <c r="AC305" s="55"/>
      <c r="AD305" s="93">
        <f t="shared" ref="AD305" si="341">W305/AC302</f>
        <v>4.3225691643611466E-2</v>
      </c>
    </row>
    <row r="306" spans="1:30" s="32" customFormat="1" ht="15.95">
      <c r="A306" s="65"/>
      <c r="B306" s="66" t="s">
        <v>48</v>
      </c>
      <c r="C306" s="66" t="s">
        <v>114</v>
      </c>
      <c r="D306" s="66"/>
      <c r="E306" s="66" t="s">
        <v>20</v>
      </c>
      <c r="F306" s="66" t="s">
        <v>21</v>
      </c>
      <c r="G306" s="66" t="s">
        <v>50</v>
      </c>
      <c r="H306" s="66"/>
      <c r="I306" s="66" t="s">
        <v>124</v>
      </c>
      <c r="J306" s="66"/>
      <c r="K306" s="66" t="s">
        <v>125</v>
      </c>
      <c r="L306" s="67">
        <v>2018</v>
      </c>
      <c r="M306" s="66" t="s">
        <v>126</v>
      </c>
      <c r="N306" s="66" t="s">
        <v>24</v>
      </c>
      <c r="O306" s="66" t="s">
        <v>54</v>
      </c>
      <c r="P306" s="66" t="s">
        <v>25</v>
      </c>
      <c r="Q306" s="68">
        <v>108275</v>
      </c>
      <c r="R306" s="68">
        <v>106596</v>
      </c>
      <c r="S306" s="69">
        <v>66045.856984921818</v>
      </c>
      <c r="T306" s="69">
        <v>551</v>
      </c>
      <c r="U306" s="74" t="s">
        <v>61</v>
      </c>
      <c r="V306" s="75" t="s">
        <v>56</v>
      </c>
      <c r="W306" s="68">
        <v>43984989</v>
      </c>
      <c r="X306" s="68">
        <f t="shared" si="284"/>
        <v>406.23402447471716</v>
      </c>
      <c r="Y306" s="68">
        <f t="shared" si="285"/>
        <v>412.63264099966227</v>
      </c>
      <c r="Z306" s="68">
        <f t="shared" si="286"/>
        <v>665.9765049311377</v>
      </c>
      <c r="AA306" s="68">
        <f t="shared" si="287"/>
        <v>79827.566243194189</v>
      </c>
      <c r="AB306" s="78" t="s">
        <v>57</v>
      </c>
      <c r="AC306" s="55"/>
      <c r="AD306" s="93">
        <f t="shared" ref="AD306" si="342">W306/AC302</f>
        <v>8.7137738012080884E-2</v>
      </c>
    </row>
    <row r="307" spans="1:30" s="32" customFormat="1" ht="15.95">
      <c r="A307" s="65"/>
      <c r="B307" s="66" t="s">
        <v>48</v>
      </c>
      <c r="C307" s="66" t="s">
        <v>114</v>
      </c>
      <c r="D307" s="66"/>
      <c r="E307" s="66" t="s">
        <v>20</v>
      </c>
      <c r="F307" s="66" t="s">
        <v>21</v>
      </c>
      <c r="G307" s="66" t="s">
        <v>50</v>
      </c>
      <c r="H307" s="66"/>
      <c r="I307" s="66" t="s">
        <v>124</v>
      </c>
      <c r="J307" s="66"/>
      <c r="K307" s="66" t="s">
        <v>125</v>
      </c>
      <c r="L307" s="67">
        <v>2018</v>
      </c>
      <c r="M307" s="66" t="s">
        <v>126</v>
      </c>
      <c r="N307" s="66" t="s">
        <v>24</v>
      </c>
      <c r="O307" s="66" t="s">
        <v>54</v>
      </c>
      <c r="P307" s="66" t="s">
        <v>25</v>
      </c>
      <c r="Q307" s="68">
        <v>108275</v>
      </c>
      <c r="R307" s="68">
        <v>106596</v>
      </c>
      <c r="S307" s="69">
        <v>66045.856984921818</v>
      </c>
      <c r="T307" s="69">
        <v>551</v>
      </c>
      <c r="U307" s="74" t="s">
        <v>62</v>
      </c>
      <c r="V307" s="75" t="s">
        <v>56</v>
      </c>
      <c r="W307" s="68">
        <v>16005780</v>
      </c>
      <c r="X307" s="68">
        <f t="shared" si="284"/>
        <v>147.82525975525283</v>
      </c>
      <c r="Y307" s="68">
        <f t="shared" si="285"/>
        <v>150.15366430260048</v>
      </c>
      <c r="Z307" s="68">
        <f t="shared" si="286"/>
        <v>242.34343728258531</v>
      </c>
      <c r="AA307" s="68">
        <f t="shared" si="287"/>
        <v>29048.602540834847</v>
      </c>
      <c r="AB307" s="78" t="s">
        <v>57</v>
      </c>
      <c r="AC307" s="55"/>
      <c r="AD307" s="93">
        <f t="shared" ref="AD307" si="343">W307/AC302</f>
        <v>3.1708714632598951E-2</v>
      </c>
    </row>
    <row r="308" spans="1:30" s="32" customFormat="1" ht="15.95">
      <c r="A308" s="65"/>
      <c r="B308" s="66" t="s">
        <v>48</v>
      </c>
      <c r="C308" s="66" t="s">
        <v>114</v>
      </c>
      <c r="D308" s="66"/>
      <c r="E308" s="66" t="s">
        <v>20</v>
      </c>
      <c r="F308" s="66" t="s">
        <v>21</v>
      </c>
      <c r="G308" s="66" t="s">
        <v>50</v>
      </c>
      <c r="H308" s="66"/>
      <c r="I308" s="66" t="s">
        <v>124</v>
      </c>
      <c r="J308" s="66"/>
      <c r="K308" s="66" t="s">
        <v>125</v>
      </c>
      <c r="L308" s="67">
        <v>2018</v>
      </c>
      <c r="M308" s="66" t="s">
        <v>126</v>
      </c>
      <c r="N308" s="66" t="s">
        <v>24</v>
      </c>
      <c r="O308" s="66" t="s">
        <v>54</v>
      </c>
      <c r="P308" s="66" t="s">
        <v>25</v>
      </c>
      <c r="Q308" s="68">
        <v>108275</v>
      </c>
      <c r="R308" s="68">
        <v>106596</v>
      </c>
      <c r="S308" s="69">
        <v>66045.856984921818</v>
      </c>
      <c r="T308" s="69">
        <v>551</v>
      </c>
      <c r="U308" s="74" t="s">
        <v>63</v>
      </c>
      <c r="V308" s="75" t="s">
        <v>56</v>
      </c>
      <c r="W308" s="68">
        <v>7017684</v>
      </c>
      <c r="X308" s="68">
        <f t="shared" si="284"/>
        <v>64.813521126760563</v>
      </c>
      <c r="Y308" s="68">
        <f t="shared" si="285"/>
        <v>65.834402791849598</v>
      </c>
      <c r="Z308" s="68">
        <f t="shared" si="286"/>
        <v>106.25471937781242</v>
      </c>
      <c r="AA308" s="68">
        <f t="shared" si="287"/>
        <v>12736.268602540835</v>
      </c>
      <c r="AB308" s="78" t="s">
        <v>57</v>
      </c>
      <c r="AC308" s="55"/>
      <c r="AD308" s="93">
        <f t="shared" ref="AD308" si="344">W308/AC302</f>
        <v>1.3902586399272986E-2</v>
      </c>
    </row>
    <row r="309" spans="1:30" s="32" customFormat="1" ht="15.95">
      <c r="A309" s="65"/>
      <c r="B309" s="66" t="s">
        <v>48</v>
      </c>
      <c r="C309" s="66" t="s">
        <v>114</v>
      </c>
      <c r="D309" s="66"/>
      <c r="E309" s="66" t="s">
        <v>20</v>
      </c>
      <c r="F309" s="66" t="s">
        <v>21</v>
      </c>
      <c r="G309" s="66" t="s">
        <v>50</v>
      </c>
      <c r="H309" s="66"/>
      <c r="I309" s="66" t="s">
        <v>124</v>
      </c>
      <c r="J309" s="66"/>
      <c r="K309" s="66" t="s">
        <v>125</v>
      </c>
      <c r="L309" s="67">
        <v>2018</v>
      </c>
      <c r="M309" s="66" t="s">
        <v>126</v>
      </c>
      <c r="N309" s="66" t="s">
        <v>24</v>
      </c>
      <c r="O309" s="66" t="s">
        <v>54</v>
      </c>
      <c r="P309" s="66" t="s">
        <v>25</v>
      </c>
      <c r="Q309" s="68">
        <v>108275</v>
      </c>
      <c r="R309" s="68">
        <v>106596</v>
      </c>
      <c r="S309" s="69">
        <v>66045.856984921818</v>
      </c>
      <c r="T309" s="69">
        <v>551</v>
      </c>
      <c r="U309" s="74" t="s">
        <v>64</v>
      </c>
      <c r="V309" s="75" t="s">
        <v>56</v>
      </c>
      <c r="W309" s="68">
        <v>0</v>
      </c>
      <c r="X309" s="68">
        <f t="shared" si="284"/>
        <v>0</v>
      </c>
      <c r="Y309" s="68">
        <f t="shared" si="285"/>
        <v>0</v>
      </c>
      <c r="Z309" s="68">
        <f t="shared" si="286"/>
        <v>0</v>
      </c>
      <c r="AA309" s="68">
        <f t="shared" si="287"/>
        <v>0</v>
      </c>
      <c r="AB309" s="78" t="s">
        <v>57</v>
      </c>
      <c r="AC309" s="55"/>
      <c r="AD309" s="93">
        <f t="shared" ref="AD309" si="345">W309/AC302</f>
        <v>0</v>
      </c>
    </row>
    <row r="310" spans="1:30" s="32" customFormat="1" ht="15.95">
      <c r="A310" s="65"/>
      <c r="B310" s="66" t="s">
        <v>48</v>
      </c>
      <c r="C310" s="66" t="s">
        <v>114</v>
      </c>
      <c r="D310" s="66"/>
      <c r="E310" s="66" t="s">
        <v>20</v>
      </c>
      <c r="F310" s="66" t="s">
        <v>21</v>
      </c>
      <c r="G310" s="66" t="s">
        <v>50</v>
      </c>
      <c r="H310" s="66"/>
      <c r="I310" s="66" t="s">
        <v>124</v>
      </c>
      <c r="J310" s="66"/>
      <c r="K310" s="66" t="s">
        <v>125</v>
      </c>
      <c r="L310" s="67">
        <v>2018</v>
      </c>
      <c r="M310" s="66" t="s">
        <v>126</v>
      </c>
      <c r="N310" s="66" t="s">
        <v>24</v>
      </c>
      <c r="O310" s="66" t="s">
        <v>54</v>
      </c>
      <c r="P310" s="66" t="s">
        <v>25</v>
      </c>
      <c r="Q310" s="68">
        <v>108275</v>
      </c>
      <c r="R310" s="68">
        <v>106596</v>
      </c>
      <c r="S310" s="69">
        <v>66045.856984921818</v>
      </c>
      <c r="T310" s="69">
        <v>551</v>
      </c>
      <c r="U310" s="74" t="s">
        <v>65</v>
      </c>
      <c r="V310" s="75" t="s">
        <v>56</v>
      </c>
      <c r="W310" s="68">
        <v>51842898</v>
      </c>
      <c r="X310" s="68">
        <f t="shared" si="284"/>
        <v>478.80764719464327</v>
      </c>
      <c r="Y310" s="68">
        <f t="shared" si="285"/>
        <v>486.34937521107736</v>
      </c>
      <c r="Z310" s="68">
        <f t="shared" si="286"/>
        <v>784.95306695521663</v>
      </c>
      <c r="AA310" s="68">
        <f t="shared" si="287"/>
        <v>94088.744101633391</v>
      </c>
      <c r="AB310" s="78" t="s">
        <v>57</v>
      </c>
      <c r="AC310" s="55"/>
      <c r="AD310" s="93">
        <f t="shared" ref="AD310" si="346">W310/AC302</f>
        <v>0.10270487651391778</v>
      </c>
    </row>
    <row r="311" spans="1:30" s="32" customFormat="1" ht="15.95">
      <c r="A311" s="65"/>
      <c r="B311" s="66" t="s">
        <v>48</v>
      </c>
      <c r="C311" s="66" t="s">
        <v>114</v>
      </c>
      <c r="D311" s="66"/>
      <c r="E311" s="66" t="s">
        <v>20</v>
      </c>
      <c r="F311" s="66" t="s">
        <v>21</v>
      </c>
      <c r="G311" s="66" t="s">
        <v>50</v>
      </c>
      <c r="H311" s="66"/>
      <c r="I311" s="66" t="s">
        <v>124</v>
      </c>
      <c r="J311" s="66"/>
      <c r="K311" s="66" t="s">
        <v>125</v>
      </c>
      <c r="L311" s="67">
        <v>2018</v>
      </c>
      <c r="M311" s="66" t="s">
        <v>126</v>
      </c>
      <c r="N311" s="66" t="s">
        <v>24</v>
      </c>
      <c r="O311" s="66" t="s">
        <v>54</v>
      </c>
      <c r="P311" s="66" t="s">
        <v>25</v>
      </c>
      <c r="Q311" s="68">
        <v>108275</v>
      </c>
      <c r="R311" s="68">
        <v>106596</v>
      </c>
      <c r="S311" s="69">
        <v>66045.856984921818</v>
      </c>
      <c r="T311" s="69">
        <v>551</v>
      </c>
      <c r="U311" s="74" t="s">
        <v>66</v>
      </c>
      <c r="V311" s="75" t="s">
        <v>56</v>
      </c>
      <c r="W311" s="68">
        <v>63303233</v>
      </c>
      <c r="X311" s="68">
        <f t="shared" si="284"/>
        <v>584.65234818748559</v>
      </c>
      <c r="Y311" s="68">
        <f t="shared" si="285"/>
        <v>593.86124244812186</v>
      </c>
      <c r="Z311" s="68">
        <f t="shared" si="286"/>
        <v>958.4739435579138</v>
      </c>
      <c r="AA311" s="68">
        <f t="shared" si="287"/>
        <v>114887.90018148821</v>
      </c>
      <c r="AB311" s="78" t="s">
        <v>57</v>
      </c>
      <c r="AC311" s="55"/>
      <c r="AD311" s="93">
        <f t="shared" ref="AD311" si="347">W311/AC302</f>
        <v>0.12540870551250366</v>
      </c>
    </row>
    <row r="312" spans="1:30" s="32" customFormat="1" ht="15.95">
      <c r="A312" s="65"/>
      <c r="B312" s="66" t="s">
        <v>48</v>
      </c>
      <c r="C312" s="66" t="s">
        <v>114</v>
      </c>
      <c r="D312" s="66"/>
      <c r="E312" s="66" t="s">
        <v>20</v>
      </c>
      <c r="F312" s="66" t="s">
        <v>21</v>
      </c>
      <c r="G312" s="66" t="s">
        <v>50</v>
      </c>
      <c r="H312" s="66"/>
      <c r="I312" s="66" t="s">
        <v>124</v>
      </c>
      <c r="J312" s="66"/>
      <c r="K312" s="66" t="s">
        <v>125</v>
      </c>
      <c r="L312" s="67">
        <v>2018</v>
      </c>
      <c r="M312" s="66" t="s">
        <v>126</v>
      </c>
      <c r="N312" s="66" t="s">
        <v>24</v>
      </c>
      <c r="O312" s="66" t="s">
        <v>54</v>
      </c>
      <c r="P312" s="66" t="s">
        <v>25</v>
      </c>
      <c r="Q312" s="68">
        <v>108275</v>
      </c>
      <c r="R312" s="68">
        <v>106596</v>
      </c>
      <c r="S312" s="69">
        <v>66045.856984921818</v>
      </c>
      <c r="T312" s="69">
        <v>551</v>
      </c>
      <c r="U312" s="74" t="s">
        <v>67</v>
      </c>
      <c r="V312" s="75" t="s">
        <v>56</v>
      </c>
      <c r="W312" s="68">
        <v>12185140</v>
      </c>
      <c r="X312" s="68">
        <f t="shared" si="284"/>
        <v>112.53881320711152</v>
      </c>
      <c r="Y312" s="68">
        <f t="shared" si="285"/>
        <v>114.31141881496491</v>
      </c>
      <c r="Z312" s="68">
        <f t="shared" si="286"/>
        <v>184.495145589251</v>
      </c>
      <c r="AA312" s="68">
        <f t="shared" si="287"/>
        <v>22114.591651542651</v>
      </c>
      <c r="AB312" s="78" t="s">
        <v>57</v>
      </c>
      <c r="AC312" s="55"/>
      <c r="AD312" s="93">
        <f t="shared" ref="AD312" si="348">W312/AC302</f>
        <v>2.4139724962998793E-2</v>
      </c>
    </row>
    <row r="313" spans="1:30" s="32" customFormat="1" ht="15.95">
      <c r="A313" s="65"/>
      <c r="B313" s="66" t="s">
        <v>48</v>
      </c>
      <c r="C313" s="66" t="s">
        <v>114</v>
      </c>
      <c r="D313" s="66"/>
      <c r="E313" s="66" t="s">
        <v>20</v>
      </c>
      <c r="F313" s="66" t="s">
        <v>21</v>
      </c>
      <c r="G313" s="66" t="s">
        <v>50</v>
      </c>
      <c r="H313" s="66"/>
      <c r="I313" s="66" t="s">
        <v>124</v>
      </c>
      <c r="J313" s="66"/>
      <c r="K313" s="66" t="s">
        <v>125</v>
      </c>
      <c r="L313" s="67">
        <v>2018</v>
      </c>
      <c r="M313" s="66" t="s">
        <v>126</v>
      </c>
      <c r="N313" s="66" t="s">
        <v>24</v>
      </c>
      <c r="O313" s="66" t="s">
        <v>54</v>
      </c>
      <c r="P313" s="66" t="s">
        <v>25</v>
      </c>
      <c r="Q313" s="68">
        <v>108275</v>
      </c>
      <c r="R313" s="68">
        <v>106596</v>
      </c>
      <c r="S313" s="69">
        <v>66045.856984921818</v>
      </c>
      <c r="T313" s="69">
        <v>551</v>
      </c>
      <c r="U313" s="74" t="s">
        <v>68</v>
      </c>
      <c r="V313" s="75" t="s">
        <v>56</v>
      </c>
      <c r="W313" s="68">
        <v>11470603</v>
      </c>
      <c r="X313" s="68">
        <f t="shared" si="284"/>
        <v>105.9395335950127</v>
      </c>
      <c r="Y313" s="68">
        <f t="shared" si="285"/>
        <v>107.60819355322901</v>
      </c>
      <c r="Z313" s="68">
        <f t="shared" si="286"/>
        <v>173.67634434085281</v>
      </c>
      <c r="AA313" s="68">
        <f t="shared" si="287"/>
        <v>20817.791288566244</v>
      </c>
      <c r="AB313" s="78" t="s">
        <v>57</v>
      </c>
      <c r="AC313" s="55"/>
      <c r="AD313" s="93">
        <f t="shared" ref="AD313" si="349">W313/AC302</f>
        <v>2.2724170717755302E-2</v>
      </c>
    </row>
    <row r="314" spans="1:30" s="32" customFormat="1" ht="15.95">
      <c r="A314" s="65"/>
      <c r="B314" s="66" t="s">
        <v>48</v>
      </c>
      <c r="C314" s="66" t="s">
        <v>114</v>
      </c>
      <c r="D314" s="66"/>
      <c r="E314" s="66" t="s">
        <v>20</v>
      </c>
      <c r="F314" s="66" t="s">
        <v>21</v>
      </c>
      <c r="G314" s="66" t="s">
        <v>50</v>
      </c>
      <c r="H314" s="66"/>
      <c r="I314" s="66" t="s">
        <v>124</v>
      </c>
      <c r="J314" s="66"/>
      <c r="K314" s="66" t="s">
        <v>125</v>
      </c>
      <c r="L314" s="67">
        <v>2018</v>
      </c>
      <c r="M314" s="66" t="s">
        <v>126</v>
      </c>
      <c r="N314" s="66" t="s">
        <v>24</v>
      </c>
      <c r="O314" s="66" t="s">
        <v>54</v>
      </c>
      <c r="P314" s="66" t="s">
        <v>25</v>
      </c>
      <c r="Q314" s="68">
        <v>108275</v>
      </c>
      <c r="R314" s="68">
        <v>106596</v>
      </c>
      <c r="S314" s="69">
        <v>66045.856984921818</v>
      </c>
      <c r="T314" s="69">
        <v>551</v>
      </c>
      <c r="U314" s="74" t="s">
        <v>69</v>
      </c>
      <c r="V314" s="75" t="s">
        <v>56</v>
      </c>
      <c r="W314" s="68">
        <v>66068979</v>
      </c>
      <c r="X314" s="68">
        <f t="shared" si="284"/>
        <v>610.19606557377051</v>
      </c>
      <c r="Y314" s="68">
        <f t="shared" si="285"/>
        <v>619.80730046155577</v>
      </c>
      <c r="Z314" s="68">
        <f t="shared" si="286"/>
        <v>1000.3500903180568</v>
      </c>
      <c r="AA314" s="68">
        <f t="shared" si="287"/>
        <v>119907.40290381125</v>
      </c>
      <c r="AB314" s="78" t="s">
        <v>57</v>
      </c>
      <c r="AC314" s="55"/>
      <c r="AD314" s="93">
        <f t="shared" ref="AD314" si="350">W314/AC302</f>
        <v>0.13088786683174286</v>
      </c>
    </row>
    <row r="315" spans="1:30" s="55" customFormat="1" ht="15" customHeight="1">
      <c r="A315" s="57"/>
      <c r="B315" s="58" t="s">
        <v>48</v>
      </c>
      <c r="C315" s="58" t="s">
        <v>114</v>
      </c>
      <c r="D315" s="58"/>
      <c r="E315" s="58" t="s">
        <v>20</v>
      </c>
      <c r="F315" s="58" t="s">
        <v>21</v>
      </c>
      <c r="G315" s="58" t="s">
        <v>50</v>
      </c>
      <c r="H315" s="58"/>
      <c r="I315" s="58" t="s">
        <v>127</v>
      </c>
      <c r="J315" s="58"/>
      <c r="K315" s="58" t="s">
        <v>128</v>
      </c>
      <c r="L315" s="59">
        <v>2019</v>
      </c>
      <c r="M315" s="58" t="s">
        <v>96</v>
      </c>
      <c r="N315" s="58" t="s">
        <v>24</v>
      </c>
      <c r="O315" s="58" t="s">
        <v>54</v>
      </c>
      <c r="P315" s="58" t="s">
        <v>25</v>
      </c>
      <c r="Q315" s="60">
        <v>55843</v>
      </c>
      <c r="R315" s="60">
        <v>54294</v>
      </c>
      <c r="S315" s="60">
        <v>35931</v>
      </c>
      <c r="T315" s="60">
        <v>473</v>
      </c>
      <c r="U315" s="62" t="s">
        <v>55</v>
      </c>
      <c r="V315" s="63" t="s">
        <v>56</v>
      </c>
      <c r="W315" s="60">
        <v>15897115</v>
      </c>
      <c r="X315" s="60">
        <f t="shared" si="284"/>
        <v>284.67516071844278</v>
      </c>
      <c r="Y315" s="60">
        <f t="shared" si="285"/>
        <v>292.79690205179207</v>
      </c>
      <c r="Z315" s="60">
        <f t="shared" si="286"/>
        <v>442.4345272884139</v>
      </c>
      <c r="AA315" s="60">
        <f t="shared" si="287"/>
        <v>33609.122621564486</v>
      </c>
      <c r="AB315" s="77" t="s">
        <v>57</v>
      </c>
      <c r="AC315" s="92">
        <f t="shared" ref="AC315" si="351">SUM(W315:W327)</f>
        <v>190370001</v>
      </c>
      <c r="AD315" s="93">
        <f t="shared" ref="AD315" si="352">W315/AC315</f>
        <v>8.3506408134126131E-2</v>
      </c>
    </row>
    <row r="316" spans="1:30" s="55" customFormat="1" ht="15.95">
      <c r="A316" s="57"/>
      <c r="B316" s="58" t="s">
        <v>48</v>
      </c>
      <c r="C316" s="58" t="s">
        <v>114</v>
      </c>
      <c r="D316" s="58"/>
      <c r="E316" s="58" t="s">
        <v>20</v>
      </c>
      <c r="F316" s="58" t="s">
        <v>21</v>
      </c>
      <c r="G316" s="58" t="s">
        <v>50</v>
      </c>
      <c r="H316" s="58"/>
      <c r="I316" s="58" t="s">
        <v>127</v>
      </c>
      <c r="J316" s="58"/>
      <c r="K316" s="58" t="s">
        <v>128</v>
      </c>
      <c r="L316" s="59">
        <v>2019</v>
      </c>
      <c r="M316" s="58" t="s">
        <v>96</v>
      </c>
      <c r="N316" s="58" t="s">
        <v>24</v>
      </c>
      <c r="O316" s="58" t="s">
        <v>54</v>
      </c>
      <c r="P316" s="58" t="s">
        <v>25</v>
      </c>
      <c r="Q316" s="60">
        <v>55843</v>
      </c>
      <c r="R316" s="60">
        <v>54294</v>
      </c>
      <c r="S316" s="61">
        <v>35931</v>
      </c>
      <c r="T316" s="61">
        <v>473</v>
      </c>
      <c r="U316" s="62" t="s">
        <v>58</v>
      </c>
      <c r="V316" s="63" t="s">
        <v>56</v>
      </c>
      <c r="W316" s="60">
        <v>23732447</v>
      </c>
      <c r="X316" s="60">
        <f t="shared" si="284"/>
        <v>424.98517271636553</v>
      </c>
      <c r="Y316" s="60">
        <f t="shared" si="285"/>
        <v>437.10993848307362</v>
      </c>
      <c r="Z316" s="60">
        <f t="shared" si="286"/>
        <v>660.50059836909634</v>
      </c>
      <c r="AA316" s="60">
        <f t="shared" si="287"/>
        <v>50174.306553911207</v>
      </c>
      <c r="AB316" s="77" t="s">
        <v>57</v>
      </c>
      <c r="AD316" s="93">
        <f t="shared" ref="AD316" si="353">W316/AC315</f>
        <v>0.12466484674757132</v>
      </c>
    </row>
    <row r="317" spans="1:30" s="55" customFormat="1" ht="15.95">
      <c r="A317" s="57"/>
      <c r="B317" s="58" t="s">
        <v>48</v>
      </c>
      <c r="C317" s="58" t="s">
        <v>114</v>
      </c>
      <c r="D317" s="58"/>
      <c r="E317" s="58" t="s">
        <v>20</v>
      </c>
      <c r="F317" s="58" t="s">
        <v>21</v>
      </c>
      <c r="G317" s="58" t="s">
        <v>50</v>
      </c>
      <c r="H317" s="58"/>
      <c r="I317" s="58" t="s">
        <v>127</v>
      </c>
      <c r="J317" s="58"/>
      <c r="K317" s="58" t="s">
        <v>128</v>
      </c>
      <c r="L317" s="59">
        <v>2019</v>
      </c>
      <c r="M317" s="58" t="s">
        <v>96</v>
      </c>
      <c r="N317" s="58" t="s">
        <v>24</v>
      </c>
      <c r="O317" s="58" t="s">
        <v>54</v>
      </c>
      <c r="P317" s="58" t="s">
        <v>25</v>
      </c>
      <c r="Q317" s="60">
        <v>55843</v>
      </c>
      <c r="R317" s="60">
        <v>54294</v>
      </c>
      <c r="S317" s="61">
        <v>35931</v>
      </c>
      <c r="T317" s="61">
        <v>473</v>
      </c>
      <c r="U317" s="62" t="s">
        <v>59</v>
      </c>
      <c r="V317" s="63" t="s">
        <v>56</v>
      </c>
      <c r="W317" s="60">
        <v>20664728</v>
      </c>
      <c r="X317" s="60">
        <f t="shared" si="284"/>
        <v>370.05046290492987</v>
      </c>
      <c r="Y317" s="60">
        <f t="shared" si="285"/>
        <v>380.60794931299961</v>
      </c>
      <c r="Z317" s="60">
        <f t="shared" si="286"/>
        <v>575.12254042470295</v>
      </c>
      <c r="AA317" s="60">
        <f t="shared" si="287"/>
        <v>43688.642706131075</v>
      </c>
      <c r="AB317" s="77" t="s">
        <v>57</v>
      </c>
      <c r="AD317" s="93">
        <f t="shared" ref="AD317" si="354">W317/AC315</f>
        <v>0.10855033824368157</v>
      </c>
    </row>
    <row r="318" spans="1:30" s="55" customFormat="1" ht="15.95">
      <c r="A318" s="57"/>
      <c r="B318" s="58" t="s">
        <v>48</v>
      </c>
      <c r="C318" s="58" t="s">
        <v>114</v>
      </c>
      <c r="D318" s="58"/>
      <c r="E318" s="58" t="s">
        <v>20</v>
      </c>
      <c r="F318" s="58" t="s">
        <v>21</v>
      </c>
      <c r="G318" s="58" t="s">
        <v>50</v>
      </c>
      <c r="H318" s="58"/>
      <c r="I318" s="58" t="s">
        <v>127</v>
      </c>
      <c r="J318" s="58"/>
      <c r="K318" s="58" t="s">
        <v>128</v>
      </c>
      <c r="L318" s="59">
        <v>2019</v>
      </c>
      <c r="M318" s="58" t="s">
        <v>96</v>
      </c>
      <c r="N318" s="58" t="s">
        <v>24</v>
      </c>
      <c r="O318" s="58" t="s">
        <v>54</v>
      </c>
      <c r="P318" s="58" t="s">
        <v>25</v>
      </c>
      <c r="Q318" s="60">
        <v>55843</v>
      </c>
      <c r="R318" s="60">
        <v>54294</v>
      </c>
      <c r="S318" s="61">
        <v>35931</v>
      </c>
      <c r="T318" s="61">
        <v>473</v>
      </c>
      <c r="U318" s="62" t="s">
        <v>60</v>
      </c>
      <c r="V318" s="63" t="s">
        <v>56</v>
      </c>
      <c r="W318" s="60">
        <v>15908552</v>
      </c>
      <c r="X318" s="60">
        <f t="shared" si="284"/>
        <v>284.87996705048079</v>
      </c>
      <c r="Y318" s="60">
        <f t="shared" si="285"/>
        <v>293.00755147898479</v>
      </c>
      <c r="Z318" s="60">
        <f t="shared" si="286"/>
        <v>442.75283181653725</v>
      </c>
      <c r="AA318" s="60">
        <f t="shared" si="287"/>
        <v>33633.302325581397</v>
      </c>
      <c r="AB318" s="77" t="s">
        <v>57</v>
      </c>
      <c r="AD318" s="93">
        <f t="shared" ref="AD318" si="355">W318/AC315</f>
        <v>8.3566485877152458E-2</v>
      </c>
    </row>
    <row r="319" spans="1:30" s="55" customFormat="1" ht="15.95">
      <c r="A319" s="57"/>
      <c r="B319" s="58" t="s">
        <v>48</v>
      </c>
      <c r="C319" s="58" t="s">
        <v>114</v>
      </c>
      <c r="D319" s="58"/>
      <c r="E319" s="58" t="s">
        <v>20</v>
      </c>
      <c r="F319" s="58" t="s">
        <v>21</v>
      </c>
      <c r="G319" s="58" t="s">
        <v>50</v>
      </c>
      <c r="H319" s="58"/>
      <c r="I319" s="58" t="s">
        <v>127</v>
      </c>
      <c r="J319" s="58"/>
      <c r="K319" s="58" t="s">
        <v>128</v>
      </c>
      <c r="L319" s="59">
        <v>2019</v>
      </c>
      <c r="M319" s="58" t="s">
        <v>96</v>
      </c>
      <c r="N319" s="58" t="s">
        <v>24</v>
      </c>
      <c r="O319" s="58" t="s">
        <v>54</v>
      </c>
      <c r="P319" s="58" t="s">
        <v>25</v>
      </c>
      <c r="Q319" s="60">
        <v>55843</v>
      </c>
      <c r="R319" s="60">
        <v>54294</v>
      </c>
      <c r="S319" s="61">
        <v>35931</v>
      </c>
      <c r="T319" s="61">
        <v>473</v>
      </c>
      <c r="U319" s="62" t="s">
        <v>61</v>
      </c>
      <c r="V319" s="63" t="s">
        <v>56</v>
      </c>
      <c r="W319" s="60">
        <v>15500701</v>
      </c>
      <c r="X319" s="60">
        <f t="shared" si="284"/>
        <v>277.57643751231132</v>
      </c>
      <c r="Y319" s="60">
        <f t="shared" si="285"/>
        <v>285.49565329502337</v>
      </c>
      <c r="Z319" s="60">
        <f t="shared" si="286"/>
        <v>431.40188138376334</v>
      </c>
      <c r="AA319" s="60">
        <f t="shared" si="287"/>
        <v>32771.038054968289</v>
      </c>
      <c r="AB319" s="77" t="s">
        <v>57</v>
      </c>
      <c r="AD319" s="93">
        <f t="shared" ref="AD319" si="356">W319/AC315</f>
        <v>8.1424073743635694E-2</v>
      </c>
    </row>
    <row r="320" spans="1:30" s="55" customFormat="1" ht="15.95">
      <c r="A320" s="57"/>
      <c r="B320" s="58" t="s">
        <v>48</v>
      </c>
      <c r="C320" s="58" t="s">
        <v>114</v>
      </c>
      <c r="D320" s="58"/>
      <c r="E320" s="58" t="s">
        <v>20</v>
      </c>
      <c r="F320" s="58" t="s">
        <v>21</v>
      </c>
      <c r="G320" s="58" t="s">
        <v>50</v>
      </c>
      <c r="H320" s="58"/>
      <c r="I320" s="58" t="s">
        <v>127</v>
      </c>
      <c r="J320" s="58"/>
      <c r="K320" s="58" t="s">
        <v>128</v>
      </c>
      <c r="L320" s="59">
        <v>2019</v>
      </c>
      <c r="M320" s="58" t="s">
        <v>96</v>
      </c>
      <c r="N320" s="58" t="s">
        <v>24</v>
      </c>
      <c r="O320" s="58" t="s">
        <v>54</v>
      </c>
      <c r="P320" s="58" t="s">
        <v>25</v>
      </c>
      <c r="Q320" s="60">
        <v>55843</v>
      </c>
      <c r="R320" s="60">
        <v>54294</v>
      </c>
      <c r="S320" s="61">
        <v>35931</v>
      </c>
      <c r="T320" s="61">
        <v>473</v>
      </c>
      <c r="U320" s="62" t="s">
        <v>62</v>
      </c>
      <c r="V320" s="63" t="s">
        <v>56</v>
      </c>
      <c r="W320" s="60">
        <v>14287512</v>
      </c>
      <c r="X320" s="60">
        <f t="shared" ref="X320:X383" si="357">W320/Q320</f>
        <v>255.8514406460971</v>
      </c>
      <c r="Y320" s="60">
        <f t="shared" ref="Y320:Y383" si="358">W320/R320</f>
        <v>263.15084539728144</v>
      </c>
      <c r="Z320" s="60">
        <f t="shared" ref="Z320:Z383" si="359">W320/S320</f>
        <v>397.63747182099024</v>
      </c>
      <c r="AA320" s="60">
        <f t="shared" ref="AA320:AA383" si="360">W320/T320</f>
        <v>30206.156448202961</v>
      </c>
      <c r="AB320" s="77" t="s">
        <v>57</v>
      </c>
      <c r="AD320" s="93">
        <f t="shared" ref="AD320" si="361">W320/AC315</f>
        <v>7.5051278693852613E-2</v>
      </c>
    </row>
    <row r="321" spans="1:30" s="55" customFormat="1" ht="15.95">
      <c r="A321" s="57"/>
      <c r="B321" s="58" t="s">
        <v>48</v>
      </c>
      <c r="C321" s="58" t="s">
        <v>114</v>
      </c>
      <c r="D321" s="58"/>
      <c r="E321" s="58" t="s">
        <v>20</v>
      </c>
      <c r="F321" s="58" t="s">
        <v>21</v>
      </c>
      <c r="G321" s="58" t="s">
        <v>50</v>
      </c>
      <c r="H321" s="58"/>
      <c r="I321" s="58" t="s">
        <v>127</v>
      </c>
      <c r="J321" s="58"/>
      <c r="K321" s="58" t="s">
        <v>128</v>
      </c>
      <c r="L321" s="59">
        <v>2019</v>
      </c>
      <c r="M321" s="58" t="s">
        <v>96</v>
      </c>
      <c r="N321" s="58" t="s">
        <v>24</v>
      </c>
      <c r="O321" s="58" t="s">
        <v>54</v>
      </c>
      <c r="P321" s="58" t="s">
        <v>25</v>
      </c>
      <c r="Q321" s="60">
        <v>55843</v>
      </c>
      <c r="R321" s="60">
        <v>54294</v>
      </c>
      <c r="S321" s="61">
        <v>35931</v>
      </c>
      <c r="T321" s="61">
        <v>473</v>
      </c>
      <c r="U321" s="62" t="s">
        <v>63</v>
      </c>
      <c r="V321" s="63" t="s">
        <v>56</v>
      </c>
      <c r="W321" s="60">
        <v>1009489</v>
      </c>
      <c r="X321" s="60">
        <f t="shared" si="357"/>
        <v>18.077270203964687</v>
      </c>
      <c r="Y321" s="60">
        <f t="shared" si="358"/>
        <v>18.593012119202857</v>
      </c>
      <c r="Z321" s="60">
        <f t="shared" si="359"/>
        <v>28.095210264117338</v>
      </c>
      <c r="AA321" s="60">
        <f t="shared" si="360"/>
        <v>2134.2262156448205</v>
      </c>
      <c r="AB321" s="77" t="s">
        <v>57</v>
      </c>
      <c r="AD321" s="93">
        <f t="shared" ref="AD321" si="362">W321/AC315</f>
        <v>5.3027735183969454E-3</v>
      </c>
    </row>
    <row r="322" spans="1:30" s="55" customFormat="1" ht="15.95">
      <c r="A322" s="57"/>
      <c r="B322" s="58" t="s">
        <v>48</v>
      </c>
      <c r="C322" s="58" t="s">
        <v>114</v>
      </c>
      <c r="D322" s="58"/>
      <c r="E322" s="58" t="s">
        <v>20</v>
      </c>
      <c r="F322" s="58" t="s">
        <v>21</v>
      </c>
      <c r="G322" s="58" t="s">
        <v>50</v>
      </c>
      <c r="H322" s="58"/>
      <c r="I322" s="58" t="s">
        <v>127</v>
      </c>
      <c r="J322" s="58"/>
      <c r="K322" s="58" t="s">
        <v>128</v>
      </c>
      <c r="L322" s="59">
        <v>2019</v>
      </c>
      <c r="M322" s="58" t="s">
        <v>96</v>
      </c>
      <c r="N322" s="58" t="s">
        <v>24</v>
      </c>
      <c r="O322" s="58" t="s">
        <v>54</v>
      </c>
      <c r="P322" s="58" t="s">
        <v>25</v>
      </c>
      <c r="Q322" s="60">
        <v>55843</v>
      </c>
      <c r="R322" s="60">
        <v>54294</v>
      </c>
      <c r="S322" s="61">
        <v>35931</v>
      </c>
      <c r="T322" s="61">
        <v>473</v>
      </c>
      <c r="U322" s="62" t="s">
        <v>64</v>
      </c>
      <c r="V322" s="63" t="s">
        <v>56</v>
      </c>
      <c r="W322" s="60">
        <v>130000</v>
      </c>
      <c r="X322" s="60">
        <f t="shared" si="357"/>
        <v>2.3279551600021491</v>
      </c>
      <c r="Y322" s="60">
        <f t="shared" si="358"/>
        <v>2.3943713854201203</v>
      </c>
      <c r="Z322" s="60">
        <f t="shared" si="359"/>
        <v>3.6180456987002865</v>
      </c>
      <c r="AA322" s="60">
        <f t="shared" si="360"/>
        <v>274.8414376321353</v>
      </c>
      <c r="AB322" s="77" t="s">
        <v>57</v>
      </c>
      <c r="AD322" s="93">
        <f t="shared" ref="AD322" si="363">W322/AC315</f>
        <v>6.8288070240646792E-4</v>
      </c>
    </row>
    <row r="323" spans="1:30" s="55" customFormat="1" ht="15.95">
      <c r="A323" s="57"/>
      <c r="B323" s="58" t="s">
        <v>48</v>
      </c>
      <c r="C323" s="58" t="s">
        <v>114</v>
      </c>
      <c r="D323" s="58"/>
      <c r="E323" s="58" t="s">
        <v>20</v>
      </c>
      <c r="F323" s="58" t="s">
        <v>21</v>
      </c>
      <c r="G323" s="58" t="s">
        <v>50</v>
      </c>
      <c r="H323" s="58"/>
      <c r="I323" s="58" t="s">
        <v>127</v>
      </c>
      <c r="J323" s="58"/>
      <c r="K323" s="58" t="s">
        <v>128</v>
      </c>
      <c r="L323" s="59">
        <v>2019</v>
      </c>
      <c r="M323" s="58" t="s">
        <v>96</v>
      </c>
      <c r="N323" s="58" t="s">
        <v>24</v>
      </c>
      <c r="O323" s="58" t="s">
        <v>54</v>
      </c>
      <c r="P323" s="58" t="s">
        <v>25</v>
      </c>
      <c r="Q323" s="60">
        <v>55843</v>
      </c>
      <c r="R323" s="60">
        <v>54294</v>
      </c>
      <c r="S323" s="61">
        <v>35931</v>
      </c>
      <c r="T323" s="61">
        <v>473</v>
      </c>
      <c r="U323" s="62" t="s">
        <v>65</v>
      </c>
      <c r="V323" s="63" t="s">
        <v>56</v>
      </c>
      <c r="W323" s="60">
        <v>30651100</v>
      </c>
      <c r="X323" s="60">
        <f t="shared" si="357"/>
        <v>548.87989542109131</v>
      </c>
      <c r="Y323" s="60">
        <f t="shared" si="358"/>
        <v>564.53935978192806</v>
      </c>
      <c r="Z323" s="60">
        <f t="shared" si="359"/>
        <v>853.05446550332579</v>
      </c>
      <c r="AA323" s="60">
        <f t="shared" si="360"/>
        <v>64801.479915433403</v>
      </c>
      <c r="AB323" s="77" t="s">
        <v>57</v>
      </c>
      <c r="AD323" s="93">
        <f t="shared" ref="AD323" si="364">W323/AC315</f>
        <v>0.16100803613485298</v>
      </c>
    </row>
    <row r="324" spans="1:30" s="55" customFormat="1" ht="15.95">
      <c r="A324" s="57"/>
      <c r="B324" s="58" t="s">
        <v>48</v>
      </c>
      <c r="C324" s="58" t="s">
        <v>114</v>
      </c>
      <c r="D324" s="58"/>
      <c r="E324" s="58" t="s">
        <v>20</v>
      </c>
      <c r="F324" s="58" t="s">
        <v>21</v>
      </c>
      <c r="G324" s="58" t="s">
        <v>50</v>
      </c>
      <c r="H324" s="58"/>
      <c r="I324" s="58" t="s">
        <v>127</v>
      </c>
      <c r="J324" s="58"/>
      <c r="K324" s="58" t="s">
        <v>128</v>
      </c>
      <c r="L324" s="59">
        <v>2019</v>
      </c>
      <c r="M324" s="58" t="s">
        <v>96</v>
      </c>
      <c r="N324" s="58" t="s">
        <v>24</v>
      </c>
      <c r="O324" s="58" t="s">
        <v>54</v>
      </c>
      <c r="P324" s="58" t="s">
        <v>25</v>
      </c>
      <c r="Q324" s="60">
        <v>55843</v>
      </c>
      <c r="R324" s="60">
        <v>54294</v>
      </c>
      <c r="S324" s="61">
        <v>35931</v>
      </c>
      <c r="T324" s="61">
        <v>473</v>
      </c>
      <c r="U324" s="62" t="s">
        <v>66</v>
      </c>
      <c r="V324" s="63" t="s">
        <v>56</v>
      </c>
      <c r="W324" s="60">
        <v>24392296</v>
      </c>
      <c r="X324" s="60">
        <f t="shared" si="357"/>
        <v>436.80131798076752</v>
      </c>
      <c r="Y324" s="60">
        <f t="shared" si="358"/>
        <v>449.26319666998194</v>
      </c>
      <c r="Z324" s="60">
        <f t="shared" si="359"/>
        <v>678.86493557095548</v>
      </c>
      <c r="AA324" s="60">
        <f t="shared" si="360"/>
        <v>51569.336152219876</v>
      </c>
      <c r="AB324" s="77" t="s">
        <v>57</v>
      </c>
      <c r="AD324" s="93">
        <f t="shared" ref="AD324" si="365">W324/AC315</f>
        <v>0.12813098635220369</v>
      </c>
    </row>
    <row r="325" spans="1:30" s="55" customFormat="1" ht="15.95">
      <c r="A325" s="57"/>
      <c r="B325" s="58" t="s">
        <v>48</v>
      </c>
      <c r="C325" s="58" t="s">
        <v>114</v>
      </c>
      <c r="D325" s="58"/>
      <c r="E325" s="58" t="s">
        <v>20</v>
      </c>
      <c r="F325" s="58" t="s">
        <v>21</v>
      </c>
      <c r="G325" s="58" t="s">
        <v>50</v>
      </c>
      <c r="H325" s="58"/>
      <c r="I325" s="58" t="s">
        <v>127</v>
      </c>
      <c r="J325" s="58"/>
      <c r="K325" s="58" t="s">
        <v>128</v>
      </c>
      <c r="L325" s="59">
        <v>2019</v>
      </c>
      <c r="M325" s="58" t="s">
        <v>96</v>
      </c>
      <c r="N325" s="58" t="s">
        <v>24</v>
      </c>
      <c r="O325" s="58" t="s">
        <v>54</v>
      </c>
      <c r="P325" s="58" t="s">
        <v>25</v>
      </c>
      <c r="Q325" s="60">
        <v>55843</v>
      </c>
      <c r="R325" s="60">
        <v>54294</v>
      </c>
      <c r="S325" s="61">
        <v>35931</v>
      </c>
      <c r="T325" s="61">
        <v>473</v>
      </c>
      <c r="U325" s="62" t="s">
        <v>67</v>
      </c>
      <c r="V325" s="63" t="s">
        <v>56</v>
      </c>
      <c r="W325" s="60">
        <v>5135000</v>
      </c>
      <c r="X325" s="60">
        <f t="shared" si="357"/>
        <v>91.954228820084879</v>
      </c>
      <c r="Y325" s="60">
        <f t="shared" si="358"/>
        <v>94.577669724094747</v>
      </c>
      <c r="Z325" s="60">
        <f t="shared" si="359"/>
        <v>142.91280509866132</v>
      </c>
      <c r="AA325" s="60">
        <f t="shared" si="360"/>
        <v>10856.236786469344</v>
      </c>
      <c r="AB325" s="77" t="s">
        <v>57</v>
      </c>
      <c r="AD325" s="93">
        <f t="shared" ref="AD325" si="366">W325/AC315</f>
        <v>2.6973787745055482E-2</v>
      </c>
    </row>
    <row r="326" spans="1:30" s="55" customFormat="1" ht="15.95">
      <c r="A326" s="57"/>
      <c r="B326" s="58" t="s">
        <v>48</v>
      </c>
      <c r="C326" s="58" t="s">
        <v>114</v>
      </c>
      <c r="D326" s="58"/>
      <c r="E326" s="58" t="s">
        <v>20</v>
      </c>
      <c r="F326" s="58" t="s">
        <v>21</v>
      </c>
      <c r="G326" s="58" t="s">
        <v>50</v>
      </c>
      <c r="H326" s="58"/>
      <c r="I326" s="58" t="s">
        <v>127</v>
      </c>
      <c r="J326" s="58"/>
      <c r="K326" s="58" t="s">
        <v>128</v>
      </c>
      <c r="L326" s="59">
        <v>2019</v>
      </c>
      <c r="M326" s="58" t="s">
        <v>96</v>
      </c>
      <c r="N326" s="58" t="s">
        <v>24</v>
      </c>
      <c r="O326" s="58" t="s">
        <v>54</v>
      </c>
      <c r="P326" s="58" t="s">
        <v>25</v>
      </c>
      <c r="Q326" s="60">
        <v>55843</v>
      </c>
      <c r="R326" s="60">
        <v>54294</v>
      </c>
      <c r="S326" s="61">
        <v>35931</v>
      </c>
      <c r="T326" s="61">
        <v>473</v>
      </c>
      <c r="U326" s="62" t="s">
        <v>68</v>
      </c>
      <c r="V326" s="63" t="s">
        <v>56</v>
      </c>
      <c r="W326" s="60">
        <v>5927614</v>
      </c>
      <c r="X326" s="60">
        <f t="shared" si="357"/>
        <v>106.14784306000752</v>
      </c>
      <c r="Y326" s="60">
        <f t="shared" si="358"/>
        <v>109.17622573396692</v>
      </c>
      <c r="Z326" s="60">
        <f t="shared" si="359"/>
        <v>164.97214104811999</v>
      </c>
      <c r="AA326" s="60">
        <f t="shared" si="360"/>
        <v>12531.953488372093</v>
      </c>
      <c r="AB326" s="77" t="s">
        <v>57</v>
      </c>
      <c r="AD326" s="93">
        <f t="shared" ref="AD326" si="367">W326/AC315</f>
        <v>3.1137332399341636E-2</v>
      </c>
    </row>
    <row r="327" spans="1:30" s="55" customFormat="1" ht="15.95">
      <c r="A327" s="57"/>
      <c r="B327" s="58" t="s">
        <v>48</v>
      </c>
      <c r="C327" s="58" t="s">
        <v>114</v>
      </c>
      <c r="D327" s="58"/>
      <c r="E327" s="58" t="s">
        <v>20</v>
      </c>
      <c r="F327" s="58" t="s">
        <v>21</v>
      </c>
      <c r="G327" s="58" t="s">
        <v>50</v>
      </c>
      <c r="H327" s="58"/>
      <c r="I327" s="58" t="s">
        <v>127</v>
      </c>
      <c r="J327" s="58"/>
      <c r="K327" s="58" t="s">
        <v>128</v>
      </c>
      <c r="L327" s="59">
        <v>2019</v>
      </c>
      <c r="M327" s="58" t="s">
        <v>96</v>
      </c>
      <c r="N327" s="58" t="s">
        <v>24</v>
      </c>
      <c r="O327" s="58" t="s">
        <v>54</v>
      </c>
      <c r="P327" s="58" t="s">
        <v>25</v>
      </c>
      <c r="Q327" s="60">
        <v>55843</v>
      </c>
      <c r="R327" s="60">
        <v>54294</v>
      </c>
      <c r="S327" s="61">
        <v>35931</v>
      </c>
      <c r="T327" s="61">
        <v>473</v>
      </c>
      <c r="U327" s="62" t="s">
        <v>69</v>
      </c>
      <c r="V327" s="63" t="s">
        <v>56</v>
      </c>
      <c r="W327" s="60">
        <v>17133447</v>
      </c>
      <c r="X327" s="60">
        <f t="shared" si="357"/>
        <v>306.8145873251795</v>
      </c>
      <c r="Y327" s="60">
        <f t="shared" si="358"/>
        <v>315.56796331086309</v>
      </c>
      <c r="Z327" s="60">
        <f t="shared" si="359"/>
        <v>476.84303247891791</v>
      </c>
      <c r="AA327" s="60">
        <f t="shared" si="360"/>
        <v>36222.932346723042</v>
      </c>
      <c r="AB327" s="77" t="s">
        <v>57</v>
      </c>
      <c r="AD327" s="93">
        <f t="shared" ref="AD327" si="368">W327/AC315</f>
        <v>9.0000771707722999E-2</v>
      </c>
    </row>
    <row r="328" spans="1:30" s="32" customFormat="1" ht="15" customHeight="1">
      <c r="A328" s="65"/>
      <c r="B328" s="66" t="s">
        <v>48</v>
      </c>
      <c r="C328" s="66" t="s">
        <v>114</v>
      </c>
      <c r="D328" s="66"/>
      <c r="E328" s="66" t="s">
        <v>20</v>
      </c>
      <c r="F328" s="66" t="s">
        <v>21</v>
      </c>
      <c r="G328" s="66" t="s">
        <v>50</v>
      </c>
      <c r="H328" s="66"/>
      <c r="I328" s="66" t="s">
        <v>129</v>
      </c>
      <c r="J328" s="66"/>
      <c r="K328" s="66" t="s">
        <v>130</v>
      </c>
      <c r="L328" s="67">
        <v>2019</v>
      </c>
      <c r="M328" s="66" t="s">
        <v>96</v>
      </c>
      <c r="N328" s="66" t="s">
        <v>24</v>
      </c>
      <c r="O328" s="66" t="s">
        <v>54</v>
      </c>
      <c r="P328" s="66" t="s">
        <v>25</v>
      </c>
      <c r="Q328" s="68">
        <v>60653.573518891855</v>
      </c>
      <c r="R328" s="68">
        <v>59076</v>
      </c>
      <c r="S328" s="68">
        <v>37727.496539358413</v>
      </c>
      <c r="T328" s="68">
        <v>494</v>
      </c>
      <c r="U328" s="74" t="s">
        <v>55</v>
      </c>
      <c r="V328" s="75" t="s">
        <v>56</v>
      </c>
      <c r="W328" s="68">
        <v>16839897</v>
      </c>
      <c r="X328" s="68">
        <f t="shared" si="357"/>
        <v>277.6406404934221</v>
      </c>
      <c r="Y328" s="68">
        <f t="shared" si="358"/>
        <v>285.05479382490353</v>
      </c>
      <c r="Z328" s="68">
        <f t="shared" si="359"/>
        <v>446.35606771395851</v>
      </c>
      <c r="AA328" s="68">
        <f t="shared" si="360"/>
        <v>34088.860323886642</v>
      </c>
      <c r="AB328" s="78" t="s">
        <v>57</v>
      </c>
      <c r="AC328" s="92">
        <f t="shared" ref="AC328" si="369">SUM(W328:W340)</f>
        <v>207583868</v>
      </c>
      <c r="AD328" s="93">
        <f t="shared" ref="AD328" si="370">W328/AC328</f>
        <v>8.1123341434219731E-2</v>
      </c>
    </row>
    <row r="329" spans="1:30" s="32" customFormat="1" ht="15.95">
      <c r="A329" s="65"/>
      <c r="B329" s="66" t="s">
        <v>48</v>
      </c>
      <c r="C329" s="66" t="s">
        <v>114</v>
      </c>
      <c r="D329" s="66"/>
      <c r="E329" s="66" t="s">
        <v>20</v>
      </c>
      <c r="F329" s="66" t="s">
        <v>21</v>
      </c>
      <c r="G329" s="66" t="s">
        <v>50</v>
      </c>
      <c r="H329" s="66"/>
      <c r="I329" s="66" t="s">
        <v>129</v>
      </c>
      <c r="J329" s="66"/>
      <c r="K329" s="66" t="s">
        <v>130</v>
      </c>
      <c r="L329" s="67">
        <v>2019</v>
      </c>
      <c r="M329" s="66" t="s">
        <v>96</v>
      </c>
      <c r="N329" s="66" t="s">
        <v>24</v>
      </c>
      <c r="O329" s="66" t="s">
        <v>54</v>
      </c>
      <c r="P329" s="66" t="s">
        <v>25</v>
      </c>
      <c r="Q329" s="68">
        <v>60653.573518891855</v>
      </c>
      <c r="R329" s="68">
        <v>59076</v>
      </c>
      <c r="S329" s="69">
        <v>37727.496539358413</v>
      </c>
      <c r="T329" s="69">
        <v>494</v>
      </c>
      <c r="U329" s="74" t="s">
        <v>58</v>
      </c>
      <c r="V329" s="75" t="s">
        <v>56</v>
      </c>
      <c r="W329" s="68">
        <v>29833454</v>
      </c>
      <c r="X329" s="68">
        <f t="shared" si="357"/>
        <v>491.86638592213751</v>
      </c>
      <c r="Y329" s="68">
        <f t="shared" si="358"/>
        <v>505.00125262373894</v>
      </c>
      <c r="Z329" s="68">
        <f t="shared" si="359"/>
        <v>790.76155951341434</v>
      </c>
      <c r="AA329" s="68">
        <f t="shared" si="360"/>
        <v>60391.607287449391</v>
      </c>
      <c r="AB329" s="78" t="s">
        <v>57</v>
      </c>
      <c r="AC329" s="55"/>
      <c r="AD329" s="93">
        <f t="shared" ref="AD329" si="371">W329/AC328</f>
        <v>0.14371759370048928</v>
      </c>
    </row>
    <row r="330" spans="1:30" s="32" customFormat="1" ht="15.95">
      <c r="A330" s="65"/>
      <c r="B330" s="66" t="s">
        <v>48</v>
      </c>
      <c r="C330" s="66" t="s">
        <v>114</v>
      </c>
      <c r="D330" s="66"/>
      <c r="E330" s="66" t="s">
        <v>20</v>
      </c>
      <c r="F330" s="66" t="s">
        <v>21</v>
      </c>
      <c r="G330" s="66" t="s">
        <v>50</v>
      </c>
      <c r="H330" s="66"/>
      <c r="I330" s="66" t="s">
        <v>129</v>
      </c>
      <c r="J330" s="66"/>
      <c r="K330" s="66" t="s">
        <v>130</v>
      </c>
      <c r="L330" s="67">
        <v>2019</v>
      </c>
      <c r="M330" s="66" t="s">
        <v>96</v>
      </c>
      <c r="N330" s="66" t="s">
        <v>24</v>
      </c>
      <c r="O330" s="66" t="s">
        <v>54</v>
      </c>
      <c r="P330" s="66" t="s">
        <v>25</v>
      </c>
      <c r="Q330" s="68">
        <v>60653.573518891855</v>
      </c>
      <c r="R330" s="68">
        <v>59076</v>
      </c>
      <c r="S330" s="69">
        <v>37727.496539358413</v>
      </c>
      <c r="T330" s="69">
        <v>494</v>
      </c>
      <c r="U330" s="74" t="s">
        <v>59</v>
      </c>
      <c r="V330" s="75" t="s">
        <v>56</v>
      </c>
      <c r="W330" s="68">
        <v>19743816</v>
      </c>
      <c r="X330" s="68">
        <f t="shared" si="357"/>
        <v>325.51777009231557</v>
      </c>
      <c r="Y330" s="68">
        <f t="shared" si="358"/>
        <v>334.2104407881373</v>
      </c>
      <c r="Z330" s="68">
        <f t="shared" si="359"/>
        <v>523.32695808222206</v>
      </c>
      <c r="AA330" s="68">
        <f t="shared" si="360"/>
        <v>39967.238866396758</v>
      </c>
      <c r="AB330" s="78" t="s">
        <v>57</v>
      </c>
      <c r="AC330" s="55"/>
      <c r="AD330" s="93">
        <f t="shared" ref="AD330" si="372">W330/AC328</f>
        <v>9.511247762277944E-2</v>
      </c>
    </row>
    <row r="331" spans="1:30" s="32" customFormat="1" ht="15.95">
      <c r="A331" s="65"/>
      <c r="B331" s="66" t="s">
        <v>48</v>
      </c>
      <c r="C331" s="66" t="s">
        <v>114</v>
      </c>
      <c r="D331" s="66"/>
      <c r="E331" s="66" t="s">
        <v>20</v>
      </c>
      <c r="F331" s="66" t="s">
        <v>21</v>
      </c>
      <c r="G331" s="66" t="s">
        <v>50</v>
      </c>
      <c r="H331" s="66"/>
      <c r="I331" s="66" t="s">
        <v>129</v>
      </c>
      <c r="J331" s="66"/>
      <c r="K331" s="66" t="s">
        <v>130</v>
      </c>
      <c r="L331" s="67">
        <v>2019</v>
      </c>
      <c r="M331" s="66" t="s">
        <v>96</v>
      </c>
      <c r="N331" s="66" t="s">
        <v>24</v>
      </c>
      <c r="O331" s="66" t="s">
        <v>54</v>
      </c>
      <c r="P331" s="66" t="s">
        <v>25</v>
      </c>
      <c r="Q331" s="68">
        <v>60653.573518891855</v>
      </c>
      <c r="R331" s="68">
        <v>59076</v>
      </c>
      <c r="S331" s="69">
        <v>37727.496539358413</v>
      </c>
      <c r="T331" s="69">
        <v>494</v>
      </c>
      <c r="U331" s="74" t="s">
        <v>60</v>
      </c>
      <c r="V331" s="75" t="s">
        <v>56</v>
      </c>
      <c r="W331" s="68">
        <v>12372096</v>
      </c>
      <c r="X331" s="68">
        <f t="shared" si="357"/>
        <v>203.97967147222488</v>
      </c>
      <c r="Y331" s="68">
        <f t="shared" si="358"/>
        <v>209.42677229331707</v>
      </c>
      <c r="Z331" s="68">
        <f t="shared" si="359"/>
        <v>327.93312927861706</v>
      </c>
      <c r="AA331" s="68">
        <f t="shared" si="360"/>
        <v>25044.728744939272</v>
      </c>
      <c r="AB331" s="78" t="s">
        <v>57</v>
      </c>
      <c r="AC331" s="55"/>
      <c r="AD331" s="93">
        <f t="shared" ref="AD331" si="373">W331/AC328</f>
        <v>5.9600469531669004E-2</v>
      </c>
    </row>
    <row r="332" spans="1:30" s="32" customFormat="1" ht="15.95">
      <c r="A332" s="65"/>
      <c r="B332" s="66" t="s">
        <v>48</v>
      </c>
      <c r="C332" s="66" t="s">
        <v>114</v>
      </c>
      <c r="D332" s="66"/>
      <c r="E332" s="66" t="s">
        <v>20</v>
      </c>
      <c r="F332" s="66" t="s">
        <v>21</v>
      </c>
      <c r="G332" s="66" t="s">
        <v>50</v>
      </c>
      <c r="H332" s="66"/>
      <c r="I332" s="66" t="s">
        <v>129</v>
      </c>
      <c r="J332" s="66"/>
      <c r="K332" s="66" t="s">
        <v>130</v>
      </c>
      <c r="L332" s="67">
        <v>2019</v>
      </c>
      <c r="M332" s="66" t="s">
        <v>96</v>
      </c>
      <c r="N332" s="66" t="s">
        <v>24</v>
      </c>
      <c r="O332" s="66" t="s">
        <v>54</v>
      </c>
      <c r="P332" s="66" t="s">
        <v>25</v>
      </c>
      <c r="Q332" s="68">
        <v>60653.573518891855</v>
      </c>
      <c r="R332" s="68">
        <v>59076</v>
      </c>
      <c r="S332" s="69">
        <v>37727.496539358413</v>
      </c>
      <c r="T332" s="69">
        <v>494</v>
      </c>
      <c r="U332" s="74" t="s">
        <v>61</v>
      </c>
      <c r="V332" s="75" t="s">
        <v>56</v>
      </c>
      <c r="W332" s="68">
        <v>15127648</v>
      </c>
      <c r="X332" s="68">
        <f t="shared" si="357"/>
        <v>249.41066325281182</v>
      </c>
      <c r="Y332" s="68">
        <f t="shared" si="358"/>
        <v>256.07095944207464</v>
      </c>
      <c r="Z332" s="68">
        <f t="shared" si="359"/>
        <v>400.97142369938064</v>
      </c>
      <c r="AA332" s="68">
        <f t="shared" si="360"/>
        <v>30622.76923076923</v>
      </c>
      <c r="AB332" s="78" t="s">
        <v>57</v>
      </c>
      <c r="AC332" s="55"/>
      <c r="AD332" s="93">
        <f t="shared" ref="AD332" si="374">W332/AC328</f>
        <v>7.2874872916425276E-2</v>
      </c>
    </row>
    <row r="333" spans="1:30" s="32" customFormat="1" ht="15.95">
      <c r="A333" s="65"/>
      <c r="B333" s="66" t="s">
        <v>48</v>
      </c>
      <c r="C333" s="66" t="s">
        <v>114</v>
      </c>
      <c r="D333" s="66"/>
      <c r="E333" s="66" t="s">
        <v>20</v>
      </c>
      <c r="F333" s="66" t="s">
        <v>21</v>
      </c>
      <c r="G333" s="66" t="s">
        <v>50</v>
      </c>
      <c r="H333" s="66"/>
      <c r="I333" s="66" t="s">
        <v>129</v>
      </c>
      <c r="J333" s="66"/>
      <c r="K333" s="66" t="s">
        <v>130</v>
      </c>
      <c r="L333" s="67">
        <v>2019</v>
      </c>
      <c r="M333" s="66" t="s">
        <v>96</v>
      </c>
      <c r="N333" s="66" t="s">
        <v>24</v>
      </c>
      <c r="O333" s="66" t="s">
        <v>54</v>
      </c>
      <c r="P333" s="66" t="s">
        <v>25</v>
      </c>
      <c r="Q333" s="68">
        <v>60653.573518891855</v>
      </c>
      <c r="R333" s="68">
        <v>59076</v>
      </c>
      <c r="S333" s="69">
        <v>37727.496539358413</v>
      </c>
      <c r="T333" s="69">
        <v>494</v>
      </c>
      <c r="U333" s="74" t="s">
        <v>62</v>
      </c>
      <c r="V333" s="75" t="s">
        <v>56</v>
      </c>
      <c r="W333" s="68">
        <v>18303850</v>
      </c>
      <c r="X333" s="68">
        <f t="shared" si="357"/>
        <v>301.77694302379189</v>
      </c>
      <c r="Y333" s="68">
        <f t="shared" si="358"/>
        <v>309.83563545263729</v>
      </c>
      <c r="Z333" s="68">
        <f t="shared" si="359"/>
        <v>485.15941101220153</v>
      </c>
      <c r="AA333" s="68">
        <f t="shared" si="360"/>
        <v>37052.327935222675</v>
      </c>
      <c r="AB333" s="78" t="s">
        <v>57</v>
      </c>
      <c r="AC333" s="55"/>
      <c r="AD333" s="93">
        <f t="shared" ref="AD333" si="375">W333/AC328</f>
        <v>8.8175686176153151E-2</v>
      </c>
    </row>
    <row r="334" spans="1:30" s="32" customFormat="1" ht="15.95">
      <c r="A334" s="65"/>
      <c r="B334" s="66" t="s">
        <v>48</v>
      </c>
      <c r="C334" s="66" t="s">
        <v>114</v>
      </c>
      <c r="D334" s="66"/>
      <c r="E334" s="66" t="s">
        <v>20</v>
      </c>
      <c r="F334" s="66" t="s">
        <v>21</v>
      </c>
      <c r="G334" s="66" t="s">
        <v>50</v>
      </c>
      <c r="H334" s="66"/>
      <c r="I334" s="66" t="s">
        <v>129</v>
      </c>
      <c r="J334" s="66"/>
      <c r="K334" s="66" t="s">
        <v>130</v>
      </c>
      <c r="L334" s="67">
        <v>2019</v>
      </c>
      <c r="M334" s="66" t="s">
        <v>96</v>
      </c>
      <c r="N334" s="66" t="s">
        <v>24</v>
      </c>
      <c r="O334" s="66" t="s">
        <v>54</v>
      </c>
      <c r="P334" s="66" t="s">
        <v>25</v>
      </c>
      <c r="Q334" s="68">
        <v>60653.573518891855</v>
      </c>
      <c r="R334" s="68">
        <v>59076</v>
      </c>
      <c r="S334" s="69">
        <v>37727.496539358413</v>
      </c>
      <c r="T334" s="69">
        <v>494</v>
      </c>
      <c r="U334" s="74" t="s">
        <v>63</v>
      </c>
      <c r="V334" s="75" t="s">
        <v>56</v>
      </c>
      <c r="W334" s="68">
        <v>987305</v>
      </c>
      <c r="X334" s="68">
        <f t="shared" si="357"/>
        <v>16.277771328551363</v>
      </c>
      <c r="Y334" s="68">
        <f t="shared" si="358"/>
        <v>16.71245514252827</v>
      </c>
      <c r="Z334" s="68">
        <f t="shared" si="359"/>
        <v>26.169374874105809</v>
      </c>
      <c r="AA334" s="68">
        <f t="shared" si="360"/>
        <v>1998.5931174089069</v>
      </c>
      <c r="AB334" s="78" t="s">
        <v>57</v>
      </c>
      <c r="AC334" s="55"/>
      <c r="AD334" s="93">
        <f t="shared" ref="AD334" si="376">W334/AC328</f>
        <v>4.7561740202278144E-3</v>
      </c>
    </row>
    <row r="335" spans="1:30" s="32" customFormat="1" ht="15.95">
      <c r="A335" s="65"/>
      <c r="B335" s="66" t="s">
        <v>48</v>
      </c>
      <c r="C335" s="66" t="s">
        <v>114</v>
      </c>
      <c r="D335" s="66"/>
      <c r="E335" s="66" t="s">
        <v>20</v>
      </c>
      <c r="F335" s="66" t="s">
        <v>21</v>
      </c>
      <c r="G335" s="66" t="s">
        <v>50</v>
      </c>
      <c r="H335" s="66"/>
      <c r="I335" s="66" t="s">
        <v>129</v>
      </c>
      <c r="J335" s="66"/>
      <c r="K335" s="66" t="s">
        <v>130</v>
      </c>
      <c r="L335" s="67">
        <v>2019</v>
      </c>
      <c r="M335" s="66" t="s">
        <v>96</v>
      </c>
      <c r="N335" s="66" t="s">
        <v>24</v>
      </c>
      <c r="O335" s="66" t="s">
        <v>54</v>
      </c>
      <c r="P335" s="66" t="s">
        <v>25</v>
      </c>
      <c r="Q335" s="68">
        <v>60653.573518891855</v>
      </c>
      <c r="R335" s="68">
        <v>59076</v>
      </c>
      <c r="S335" s="69">
        <v>37727.496539358413</v>
      </c>
      <c r="T335" s="69">
        <v>494</v>
      </c>
      <c r="U335" s="74" t="s">
        <v>64</v>
      </c>
      <c r="V335" s="75" t="s">
        <v>56</v>
      </c>
      <c r="W335" s="68">
        <v>205000</v>
      </c>
      <c r="X335" s="68">
        <f t="shared" si="357"/>
        <v>3.3798503221932727</v>
      </c>
      <c r="Y335" s="68">
        <f t="shared" si="358"/>
        <v>3.4701063037443292</v>
      </c>
      <c r="Z335" s="68">
        <f t="shared" si="359"/>
        <v>5.4337027050320739</v>
      </c>
      <c r="AA335" s="68">
        <f t="shared" si="360"/>
        <v>414.97975708502025</v>
      </c>
      <c r="AB335" s="78" t="s">
        <v>57</v>
      </c>
      <c r="AC335" s="55"/>
      <c r="AD335" s="93">
        <f t="shared" ref="AD335" si="377">W335/AC328</f>
        <v>9.8755265510323755E-4</v>
      </c>
    </row>
    <row r="336" spans="1:30" s="32" customFormat="1" ht="15.95">
      <c r="A336" s="65"/>
      <c r="B336" s="66" t="s">
        <v>48</v>
      </c>
      <c r="C336" s="66" t="s">
        <v>114</v>
      </c>
      <c r="D336" s="66"/>
      <c r="E336" s="66" t="s">
        <v>20</v>
      </c>
      <c r="F336" s="66" t="s">
        <v>21</v>
      </c>
      <c r="G336" s="66" t="s">
        <v>50</v>
      </c>
      <c r="H336" s="66"/>
      <c r="I336" s="66" t="s">
        <v>129</v>
      </c>
      <c r="J336" s="66"/>
      <c r="K336" s="66" t="s">
        <v>130</v>
      </c>
      <c r="L336" s="67">
        <v>2019</v>
      </c>
      <c r="M336" s="66" t="s">
        <v>96</v>
      </c>
      <c r="N336" s="66" t="s">
        <v>24</v>
      </c>
      <c r="O336" s="66" t="s">
        <v>54</v>
      </c>
      <c r="P336" s="66" t="s">
        <v>25</v>
      </c>
      <c r="Q336" s="68">
        <v>60653.573518891855</v>
      </c>
      <c r="R336" s="68">
        <v>59076</v>
      </c>
      <c r="S336" s="69">
        <v>37727.496539358413</v>
      </c>
      <c r="T336" s="69">
        <v>494</v>
      </c>
      <c r="U336" s="74" t="s">
        <v>65</v>
      </c>
      <c r="V336" s="75" t="s">
        <v>56</v>
      </c>
      <c r="W336" s="68">
        <v>33726944</v>
      </c>
      <c r="X336" s="68">
        <f t="shared" si="357"/>
        <v>556.05864656094866</v>
      </c>
      <c r="Y336" s="68">
        <f t="shared" si="358"/>
        <v>570.90771209966817</v>
      </c>
      <c r="Z336" s="68">
        <f t="shared" si="359"/>
        <v>893.96188705007444</v>
      </c>
      <c r="AA336" s="68">
        <f t="shared" si="360"/>
        <v>68273.165991902832</v>
      </c>
      <c r="AB336" s="78" t="s">
        <v>57</v>
      </c>
      <c r="AC336" s="55"/>
      <c r="AD336" s="93">
        <f t="shared" ref="AD336" si="378">W336/AC328</f>
        <v>0.16247381997911323</v>
      </c>
    </row>
    <row r="337" spans="1:30" s="32" customFormat="1" ht="15.95">
      <c r="A337" s="65"/>
      <c r="B337" s="66" t="s">
        <v>48</v>
      </c>
      <c r="C337" s="66" t="s">
        <v>114</v>
      </c>
      <c r="D337" s="66"/>
      <c r="E337" s="66" t="s">
        <v>20</v>
      </c>
      <c r="F337" s="66" t="s">
        <v>21</v>
      </c>
      <c r="G337" s="66" t="s">
        <v>50</v>
      </c>
      <c r="H337" s="66"/>
      <c r="I337" s="66" t="s">
        <v>129</v>
      </c>
      <c r="J337" s="66"/>
      <c r="K337" s="66" t="s">
        <v>130</v>
      </c>
      <c r="L337" s="67">
        <v>2019</v>
      </c>
      <c r="M337" s="66" t="s">
        <v>96</v>
      </c>
      <c r="N337" s="66" t="s">
        <v>24</v>
      </c>
      <c r="O337" s="66" t="s">
        <v>54</v>
      </c>
      <c r="P337" s="66" t="s">
        <v>25</v>
      </c>
      <c r="Q337" s="68">
        <v>60653.573518891855</v>
      </c>
      <c r="R337" s="68">
        <v>59076</v>
      </c>
      <c r="S337" s="69">
        <v>37727.496539358413</v>
      </c>
      <c r="T337" s="69">
        <v>494</v>
      </c>
      <c r="U337" s="74" t="s">
        <v>66</v>
      </c>
      <c r="V337" s="75" t="s">
        <v>56</v>
      </c>
      <c r="W337" s="68">
        <v>26245959</v>
      </c>
      <c r="X337" s="68">
        <f t="shared" si="357"/>
        <v>432.71908771912894</v>
      </c>
      <c r="Y337" s="68">
        <f t="shared" si="358"/>
        <v>444.27447694495226</v>
      </c>
      <c r="Z337" s="68">
        <f t="shared" si="359"/>
        <v>695.67189470468725</v>
      </c>
      <c r="AA337" s="68">
        <f t="shared" si="360"/>
        <v>53129.471659919029</v>
      </c>
      <c r="AB337" s="78" t="s">
        <v>57</v>
      </c>
      <c r="AC337" s="55"/>
      <c r="AD337" s="93">
        <f t="shared" ref="AD337" si="379">W337/AC328</f>
        <v>0.12643544632283277</v>
      </c>
    </row>
    <row r="338" spans="1:30" s="32" customFormat="1" ht="15.95">
      <c r="A338" s="65"/>
      <c r="B338" s="66" t="s">
        <v>48</v>
      </c>
      <c r="C338" s="66" t="s">
        <v>114</v>
      </c>
      <c r="D338" s="66"/>
      <c r="E338" s="66" t="s">
        <v>20</v>
      </c>
      <c r="F338" s="66" t="s">
        <v>21</v>
      </c>
      <c r="G338" s="66" t="s">
        <v>50</v>
      </c>
      <c r="H338" s="66"/>
      <c r="I338" s="66" t="s">
        <v>129</v>
      </c>
      <c r="J338" s="66"/>
      <c r="K338" s="66" t="s">
        <v>130</v>
      </c>
      <c r="L338" s="67">
        <v>2019</v>
      </c>
      <c r="M338" s="66" t="s">
        <v>96</v>
      </c>
      <c r="N338" s="66" t="s">
        <v>24</v>
      </c>
      <c r="O338" s="66" t="s">
        <v>54</v>
      </c>
      <c r="P338" s="66" t="s">
        <v>25</v>
      </c>
      <c r="Q338" s="68">
        <v>60653.573518891855</v>
      </c>
      <c r="R338" s="68">
        <v>59076</v>
      </c>
      <c r="S338" s="69">
        <v>37727.496539358413</v>
      </c>
      <c r="T338" s="69">
        <v>494</v>
      </c>
      <c r="U338" s="74" t="s">
        <v>67</v>
      </c>
      <c r="V338" s="75" t="s">
        <v>56</v>
      </c>
      <c r="W338" s="68">
        <v>6045000</v>
      </c>
      <c r="X338" s="68">
        <f t="shared" si="357"/>
        <v>99.664366817845533</v>
      </c>
      <c r="Y338" s="68">
        <f t="shared" si="358"/>
        <v>102.32581759089986</v>
      </c>
      <c r="Z338" s="68">
        <f t="shared" si="359"/>
        <v>160.22796513131163</v>
      </c>
      <c r="AA338" s="68">
        <f t="shared" si="360"/>
        <v>12236.842105263158</v>
      </c>
      <c r="AB338" s="78" t="s">
        <v>57</v>
      </c>
      <c r="AC338" s="55"/>
      <c r="AD338" s="93">
        <f t="shared" ref="AD338" si="380">W338/AC328</f>
        <v>2.9120760000483276E-2</v>
      </c>
    </row>
    <row r="339" spans="1:30" s="32" customFormat="1" ht="15.95">
      <c r="A339" s="65"/>
      <c r="B339" s="66" t="s">
        <v>48</v>
      </c>
      <c r="C339" s="66" t="s">
        <v>114</v>
      </c>
      <c r="D339" s="66"/>
      <c r="E339" s="66" t="s">
        <v>20</v>
      </c>
      <c r="F339" s="66" t="s">
        <v>21</v>
      </c>
      <c r="G339" s="66" t="s">
        <v>50</v>
      </c>
      <c r="H339" s="66"/>
      <c r="I339" s="66" t="s">
        <v>129</v>
      </c>
      <c r="J339" s="66"/>
      <c r="K339" s="66" t="s">
        <v>130</v>
      </c>
      <c r="L339" s="67">
        <v>2019</v>
      </c>
      <c r="M339" s="66" t="s">
        <v>96</v>
      </c>
      <c r="N339" s="66" t="s">
        <v>24</v>
      </c>
      <c r="O339" s="66" t="s">
        <v>54</v>
      </c>
      <c r="P339" s="66" t="s">
        <v>25</v>
      </c>
      <c r="Q339" s="68">
        <v>60653.573518891855</v>
      </c>
      <c r="R339" s="68">
        <v>59076</v>
      </c>
      <c r="S339" s="69">
        <v>37727.496539358413</v>
      </c>
      <c r="T339" s="69">
        <v>494</v>
      </c>
      <c r="U339" s="74" t="s">
        <v>68</v>
      </c>
      <c r="V339" s="75" t="s">
        <v>56</v>
      </c>
      <c r="W339" s="68">
        <v>9672899</v>
      </c>
      <c r="X339" s="68">
        <f t="shared" si="357"/>
        <v>159.47780878874627</v>
      </c>
      <c r="Y339" s="68">
        <f t="shared" si="358"/>
        <v>163.73652583113278</v>
      </c>
      <c r="Z339" s="68">
        <f t="shared" si="359"/>
        <v>256.38857298440018</v>
      </c>
      <c r="AA339" s="68">
        <f t="shared" si="360"/>
        <v>19580.767206477733</v>
      </c>
      <c r="AB339" s="78" t="s">
        <v>57</v>
      </c>
      <c r="AC339" s="55"/>
      <c r="AD339" s="93">
        <f t="shared" ref="AD339" si="381">W339/AC328</f>
        <v>4.6597546780465619E-2</v>
      </c>
    </row>
    <row r="340" spans="1:30" s="32" customFormat="1" ht="15.95">
      <c r="A340" s="65"/>
      <c r="B340" s="66" t="s">
        <v>48</v>
      </c>
      <c r="C340" s="66" t="s">
        <v>114</v>
      </c>
      <c r="D340" s="66"/>
      <c r="E340" s="66" t="s">
        <v>20</v>
      </c>
      <c r="F340" s="66" t="s">
        <v>21</v>
      </c>
      <c r="G340" s="66" t="s">
        <v>50</v>
      </c>
      <c r="H340" s="66"/>
      <c r="I340" s="66" t="s">
        <v>129</v>
      </c>
      <c r="J340" s="66"/>
      <c r="K340" s="66" t="s">
        <v>130</v>
      </c>
      <c r="L340" s="67">
        <v>2019</v>
      </c>
      <c r="M340" s="66" t="s">
        <v>96</v>
      </c>
      <c r="N340" s="66" t="s">
        <v>24</v>
      </c>
      <c r="O340" s="66" t="s">
        <v>54</v>
      </c>
      <c r="P340" s="66" t="s">
        <v>25</v>
      </c>
      <c r="Q340" s="68">
        <v>60653.573518891855</v>
      </c>
      <c r="R340" s="68">
        <v>59076</v>
      </c>
      <c r="S340" s="69">
        <v>37727.496539358413</v>
      </c>
      <c r="T340" s="69">
        <v>494</v>
      </c>
      <c r="U340" s="74" t="s">
        <v>69</v>
      </c>
      <c r="V340" s="75" t="s">
        <v>56</v>
      </c>
      <c r="W340" s="68">
        <v>18480000</v>
      </c>
      <c r="X340" s="68">
        <f t="shared" si="357"/>
        <v>304.68114123966677</v>
      </c>
      <c r="Y340" s="68">
        <f t="shared" si="358"/>
        <v>312.81738777168391</v>
      </c>
      <c r="Z340" s="68">
        <f t="shared" si="359"/>
        <v>489.82841945850106</v>
      </c>
      <c r="AA340" s="68">
        <f t="shared" si="360"/>
        <v>37408.906882591094</v>
      </c>
      <c r="AB340" s="78" t="s">
        <v>57</v>
      </c>
      <c r="AC340" s="55"/>
      <c r="AD340" s="93">
        <f t="shared" ref="AD340" si="382">W340/AC328</f>
        <v>8.9024258860038202E-2</v>
      </c>
    </row>
    <row r="341" spans="1:30" s="55" customFormat="1" ht="15" customHeight="1">
      <c r="A341" s="57"/>
      <c r="B341" s="58" t="s">
        <v>48</v>
      </c>
      <c r="C341" s="58" t="s">
        <v>114</v>
      </c>
      <c r="D341" s="58"/>
      <c r="E341" s="58" t="s">
        <v>20</v>
      </c>
      <c r="F341" s="58" t="s">
        <v>21</v>
      </c>
      <c r="G341" s="58" t="s">
        <v>50</v>
      </c>
      <c r="H341" s="58"/>
      <c r="I341" s="58" t="s">
        <v>131</v>
      </c>
      <c r="J341" s="58"/>
      <c r="K341" s="58" t="s">
        <v>132</v>
      </c>
      <c r="L341" s="59">
        <v>2019</v>
      </c>
      <c r="M341" s="58" t="s">
        <v>133</v>
      </c>
      <c r="N341" s="58" t="s">
        <v>24</v>
      </c>
      <c r="O341" s="58" t="s">
        <v>54</v>
      </c>
      <c r="P341" s="58" t="s">
        <v>25</v>
      </c>
      <c r="Q341" s="60">
        <v>39152.537648993399</v>
      </c>
      <c r="R341" s="60">
        <v>37112</v>
      </c>
      <c r="S341" s="60">
        <v>24231.087245329298</v>
      </c>
      <c r="T341" s="60">
        <v>211</v>
      </c>
      <c r="U341" s="62" t="s">
        <v>55</v>
      </c>
      <c r="V341" s="63" t="s">
        <v>56</v>
      </c>
      <c r="W341" s="60">
        <v>11450469</v>
      </c>
      <c r="X341" s="60">
        <f t="shared" si="357"/>
        <v>292.45790151981089</v>
      </c>
      <c r="Y341" s="60">
        <f t="shared" si="358"/>
        <v>308.53818172019834</v>
      </c>
      <c r="Z341" s="60">
        <f t="shared" si="359"/>
        <v>472.55283611787388</v>
      </c>
      <c r="AA341" s="60">
        <f t="shared" si="360"/>
        <v>54267.625592417062</v>
      </c>
      <c r="AB341" s="77" t="s">
        <v>57</v>
      </c>
      <c r="AC341" s="92">
        <f t="shared" ref="AC341" si="383">SUM(W341:W353)</f>
        <v>138250000</v>
      </c>
      <c r="AD341" s="93">
        <f t="shared" ref="AD341" si="384">W341/AC341</f>
        <v>8.2824368896925862E-2</v>
      </c>
    </row>
    <row r="342" spans="1:30" s="55" customFormat="1" ht="15.95">
      <c r="A342" s="57"/>
      <c r="B342" s="58" t="s">
        <v>48</v>
      </c>
      <c r="C342" s="58" t="s">
        <v>114</v>
      </c>
      <c r="D342" s="58"/>
      <c r="E342" s="58" t="s">
        <v>20</v>
      </c>
      <c r="F342" s="58" t="s">
        <v>21</v>
      </c>
      <c r="G342" s="58" t="s">
        <v>50</v>
      </c>
      <c r="H342" s="58"/>
      <c r="I342" s="58" t="s">
        <v>131</v>
      </c>
      <c r="J342" s="58"/>
      <c r="K342" s="58" t="s">
        <v>132</v>
      </c>
      <c r="L342" s="59">
        <v>2019</v>
      </c>
      <c r="M342" s="58" t="s">
        <v>133</v>
      </c>
      <c r="N342" s="58" t="s">
        <v>24</v>
      </c>
      <c r="O342" s="58" t="s">
        <v>54</v>
      </c>
      <c r="P342" s="58" t="s">
        <v>25</v>
      </c>
      <c r="Q342" s="60">
        <v>39152.537648993399</v>
      </c>
      <c r="R342" s="60">
        <v>37112</v>
      </c>
      <c r="S342" s="61">
        <v>24231.087245329298</v>
      </c>
      <c r="T342" s="61">
        <v>211</v>
      </c>
      <c r="U342" s="62" t="s">
        <v>58</v>
      </c>
      <c r="V342" s="63" t="s">
        <v>56</v>
      </c>
      <c r="W342" s="60">
        <v>21281180</v>
      </c>
      <c r="X342" s="60">
        <f t="shared" si="357"/>
        <v>543.54535562389356</v>
      </c>
      <c r="Y342" s="60">
        <f t="shared" si="358"/>
        <v>573.43123517999572</v>
      </c>
      <c r="Z342" s="60">
        <f t="shared" si="359"/>
        <v>878.25939399818253</v>
      </c>
      <c r="AA342" s="60">
        <f t="shared" si="360"/>
        <v>100858.67298578199</v>
      </c>
      <c r="AB342" s="77" t="s">
        <v>57</v>
      </c>
      <c r="AD342" s="93">
        <f t="shared" ref="AD342" si="385">W342/AC341</f>
        <v>0.15393258589511755</v>
      </c>
    </row>
    <row r="343" spans="1:30" s="55" customFormat="1" ht="15.95">
      <c r="A343" s="57"/>
      <c r="B343" s="58" t="s">
        <v>48</v>
      </c>
      <c r="C343" s="58" t="s">
        <v>114</v>
      </c>
      <c r="D343" s="58"/>
      <c r="E343" s="58" t="s">
        <v>20</v>
      </c>
      <c r="F343" s="58" t="s">
        <v>21</v>
      </c>
      <c r="G343" s="58" t="s">
        <v>50</v>
      </c>
      <c r="H343" s="58"/>
      <c r="I343" s="58" t="s">
        <v>131</v>
      </c>
      <c r="J343" s="58"/>
      <c r="K343" s="58" t="s">
        <v>132</v>
      </c>
      <c r="L343" s="59">
        <v>2019</v>
      </c>
      <c r="M343" s="58" t="s">
        <v>133</v>
      </c>
      <c r="N343" s="58" t="s">
        <v>24</v>
      </c>
      <c r="O343" s="58" t="s">
        <v>54</v>
      </c>
      <c r="P343" s="58" t="s">
        <v>25</v>
      </c>
      <c r="Q343" s="60">
        <v>39152.537648993399</v>
      </c>
      <c r="R343" s="60">
        <v>37112</v>
      </c>
      <c r="S343" s="61">
        <v>24231.087245329298</v>
      </c>
      <c r="T343" s="61">
        <v>211</v>
      </c>
      <c r="U343" s="62" t="s">
        <v>59</v>
      </c>
      <c r="V343" s="63" t="s">
        <v>56</v>
      </c>
      <c r="W343" s="60">
        <v>20884925</v>
      </c>
      <c r="X343" s="60">
        <f t="shared" si="357"/>
        <v>533.42455570148582</v>
      </c>
      <c r="Y343" s="60">
        <f t="shared" si="358"/>
        <v>562.75396098297051</v>
      </c>
      <c r="Z343" s="60">
        <f t="shared" si="359"/>
        <v>861.90622767146806</v>
      </c>
      <c r="AA343" s="60">
        <f t="shared" si="360"/>
        <v>98980.687203791473</v>
      </c>
      <c r="AB343" s="77" t="s">
        <v>57</v>
      </c>
      <c r="AD343" s="93">
        <f t="shared" ref="AD343" si="386">W343/AC341</f>
        <v>0.15106636528028933</v>
      </c>
    </row>
    <row r="344" spans="1:30" s="55" customFormat="1" ht="15.95">
      <c r="A344" s="57"/>
      <c r="B344" s="58" t="s">
        <v>48</v>
      </c>
      <c r="C344" s="58" t="s">
        <v>114</v>
      </c>
      <c r="D344" s="58"/>
      <c r="E344" s="58" t="s">
        <v>20</v>
      </c>
      <c r="F344" s="58" t="s">
        <v>21</v>
      </c>
      <c r="G344" s="58" t="s">
        <v>50</v>
      </c>
      <c r="H344" s="58"/>
      <c r="I344" s="58" t="s">
        <v>131</v>
      </c>
      <c r="J344" s="58"/>
      <c r="K344" s="58" t="s">
        <v>132</v>
      </c>
      <c r="L344" s="59">
        <v>2019</v>
      </c>
      <c r="M344" s="58" t="s">
        <v>133</v>
      </c>
      <c r="N344" s="58" t="s">
        <v>24</v>
      </c>
      <c r="O344" s="58" t="s">
        <v>54</v>
      </c>
      <c r="P344" s="58" t="s">
        <v>25</v>
      </c>
      <c r="Q344" s="60">
        <v>39152.537648993399</v>
      </c>
      <c r="R344" s="60">
        <v>37112</v>
      </c>
      <c r="S344" s="61">
        <v>24231.087245329298</v>
      </c>
      <c r="T344" s="61">
        <v>211</v>
      </c>
      <c r="U344" s="62" t="s">
        <v>60</v>
      </c>
      <c r="V344" s="63" t="s">
        <v>56</v>
      </c>
      <c r="W344" s="60">
        <v>9913184</v>
      </c>
      <c r="X344" s="60">
        <f t="shared" si="357"/>
        <v>253.19390760498675</v>
      </c>
      <c r="Y344" s="60">
        <f t="shared" si="358"/>
        <v>267.11532657900409</v>
      </c>
      <c r="Z344" s="60">
        <f t="shared" si="359"/>
        <v>409.11016082907429</v>
      </c>
      <c r="AA344" s="60">
        <f t="shared" si="360"/>
        <v>46981.91469194313</v>
      </c>
      <c r="AB344" s="77" t="s">
        <v>57</v>
      </c>
      <c r="AD344" s="93">
        <f t="shared" ref="AD344" si="387">W344/AC341</f>
        <v>7.1704766726943939E-2</v>
      </c>
    </row>
    <row r="345" spans="1:30" s="55" customFormat="1" ht="15.95">
      <c r="A345" s="57"/>
      <c r="B345" s="58" t="s">
        <v>48</v>
      </c>
      <c r="C345" s="58" t="s">
        <v>114</v>
      </c>
      <c r="D345" s="58"/>
      <c r="E345" s="58" t="s">
        <v>20</v>
      </c>
      <c r="F345" s="58" t="s">
        <v>21</v>
      </c>
      <c r="G345" s="58" t="s">
        <v>50</v>
      </c>
      <c r="H345" s="58"/>
      <c r="I345" s="58" t="s">
        <v>131</v>
      </c>
      <c r="J345" s="58"/>
      <c r="K345" s="58" t="s">
        <v>132</v>
      </c>
      <c r="L345" s="59">
        <v>2019</v>
      </c>
      <c r="M345" s="58" t="s">
        <v>133</v>
      </c>
      <c r="N345" s="58" t="s">
        <v>24</v>
      </c>
      <c r="O345" s="58" t="s">
        <v>54</v>
      </c>
      <c r="P345" s="58" t="s">
        <v>25</v>
      </c>
      <c r="Q345" s="60">
        <v>39152.537648993399</v>
      </c>
      <c r="R345" s="60">
        <v>37112</v>
      </c>
      <c r="S345" s="61">
        <v>24231.087245329298</v>
      </c>
      <c r="T345" s="61">
        <v>211</v>
      </c>
      <c r="U345" s="62" t="s">
        <v>61</v>
      </c>
      <c r="V345" s="63" t="s">
        <v>56</v>
      </c>
      <c r="W345" s="60">
        <v>14664901</v>
      </c>
      <c r="X345" s="60">
        <f t="shared" si="357"/>
        <v>374.55812268089426</v>
      </c>
      <c r="Y345" s="60">
        <f t="shared" si="358"/>
        <v>395.15253826255656</v>
      </c>
      <c r="Z345" s="60">
        <f t="shared" si="359"/>
        <v>605.21019348096968</v>
      </c>
      <c r="AA345" s="60">
        <f t="shared" si="360"/>
        <v>69501.900473933652</v>
      </c>
      <c r="AB345" s="77" t="s">
        <v>57</v>
      </c>
      <c r="AD345" s="93">
        <f t="shared" ref="AD345" si="388">W345/AC341</f>
        <v>0.10607523327305605</v>
      </c>
    </row>
    <row r="346" spans="1:30" s="55" customFormat="1" ht="15.95">
      <c r="A346" s="57"/>
      <c r="B346" s="58" t="s">
        <v>48</v>
      </c>
      <c r="C346" s="58" t="s">
        <v>114</v>
      </c>
      <c r="D346" s="58"/>
      <c r="E346" s="58" t="s">
        <v>20</v>
      </c>
      <c r="F346" s="58" t="s">
        <v>21</v>
      </c>
      <c r="G346" s="58" t="s">
        <v>50</v>
      </c>
      <c r="H346" s="58"/>
      <c r="I346" s="58" t="s">
        <v>131</v>
      </c>
      <c r="J346" s="58"/>
      <c r="K346" s="58" t="s">
        <v>132</v>
      </c>
      <c r="L346" s="59">
        <v>2019</v>
      </c>
      <c r="M346" s="58" t="s">
        <v>133</v>
      </c>
      <c r="N346" s="58" t="s">
        <v>24</v>
      </c>
      <c r="O346" s="58" t="s">
        <v>54</v>
      </c>
      <c r="P346" s="58" t="s">
        <v>25</v>
      </c>
      <c r="Q346" s="60">
        <v>39152.537648993399</v>
      </c>
      <c r="R346" s="60">
        <v>37112</v>
      </c>
      <c r="S346" s="61">
        <v>24231.087245329298</v>
      </c>
      <c r="T346" s="61">
        <v>211</v>
      </c>
      <c r="U346" s="62" t="s">
        <v>62</v>
      </c>
      <c r="V346" s="63" t="s">
        <v>56</v>
      </c>
      <c r="W346" s="60">
        <v>7803036</v>
      </c>
      <c r="X346" s="60">
        <f t="shared" si="357"/>
        <v>199.29834612394822</v>
      </c>
      <c r="Y346" s="60">
        <f t="shared" si="358"/>
        <v>210.25641302004743</v>
      </c>
      <c r="Z346" s="60">
        <f t="shared" si="359"/>
        <v>322.02583074369011</v>
      </c>
      <c r="AA346" s="60">
        <f t="shared" si="360"/>
        <v>36981.21327014218</v>
      </c>
      <c r="AB346" s="77" t="s">
        <v>57</v>
      </c>
      <c r="AD346" s="93">
        <f t="shared" ref="AD346" si="389">W346/AC341</f>
        <v>5.6441490054249546E-2</v>
      </c>
    </row>
    <row r="347" spans="1:30" s="55" customFormat="1" ht="15.95">
      <c r="A347" s="57"/>
      <c r="B347" s="58" t="s">
        <v>48</v>
      </c>
      <c r="C347" s="58" t="s">
        <v>114</v>
      </c>
      <c r="D347" s="58"/>
      <c r="E347" s="58" t="s">
        <v>20</v>
      </c>
      <c r="F347" s="58" t="s">
        <v>21</v>
      </c>
      <c r="G347" s="58" t="s">
        <v>50</v>
      </c>
      <c r="H347" s="58"/>
      <c r="I347" s="58" t="s">
        <v>131</v>
      </c>
      <c r="J347" s="58"/>
      <c r="K347" s="58" t="s">
        <v>132</v>
      </c>
      <c r="L347" s="59">
        <v>2019</v>
      </c>
      <c r="M347" s="58" t="s">
        <v>133</v>
      </c>
      <c r="N347" s="58" t="s">
        <v>24</v>
      </c>
      <c r="O347" s="58" t="s">
        <v>54</v>
      </c>
      <c r="P347" s="58" t="s">
        <v>25</v>
      </c>
      <c r="Q347" s="60">
        <v>39152.537648993399</v>
      </c>
      <c r="R347" s="60">
        <v>37112</v>
      </c>
      <c r="S347" s="61">
        <v>24231.087245329298</v>
      </c>
      <c r="T347" s="61">
        <v>211</v>
      </c>
      <c r="U347" s="62" t="s">
        <v>63</v>
      </c>
      <c r="V347" s="63" t="s">
        <v>56</v>
      </c>
      <c r="W347" s="60">
        <v>1396435</v>
      </c>
      <c r="X347" s="60">
        <f t="shared" si="357"/>
        <v>35.666525948309811</v>
      </c>
      <c r="Y347" s="60">
        <f t="shared" si="358"/>
        <v>37.62758676438888</v>
      </c>
      <c r="Z347" s="60">
        <f t="shared" si="359"/>
        <v>57.629894435264028</v>
      </c>
      <c r="AA347" s="60">
        <f t="shared" si="360"/>
        <v>6618.1753554502366</v>
      </c>
      <c r="AB347" s="77" t="s">
        <v>57</v>
      </c>
      <c r="AD347" s="93">
        <f t="shared" ref="AD347" si="390">W347/AC341</f>
        <v>1.0100795660036166E-2</v>
      </c>
    </row>
    <row r="348" spans="1:30" s="55" customFormat="1" ht="15.95">
      <c r="A348" s="57"/>
      <c r="B348" s="58" t="s">
        <v>48</v>
      </c>
      <c r="C348" s="58" t="s">
        <v>114</v>
      </c>
      <c r="D348" s="58"/>
      <c r="E348" s="58" t="s">
        <v>20</v>
      </c>
      <c r="F348" s="58" t="s">
        <v>21</v>
      </c>
      <c r="G348" s="58" t="s">
        <v>50</v>
      </c>
      <c r="H348" s="58"/>
      <c r="I348" s="58" t="s">
        <v>131</v>
      </c>
      <c r="J348" s="58"/>
      <c r="K348" s="58" t="s">
        <v>132</v>
      </c>
      <c r="L348" s="59">
        <v>2019</v>
      </c>
      <c r="M348" s="58" t="s">
        <v>133</v>
      </c>
      <c r="N348" s="58" t="s">
        <v>24</v>
      </c>
      <c r="O348" s="58" t="s">
        <v>54</v>
      </c>
      <c r="P348" s="58" t="s">
        <v>25</v>
      </c>
      <c r="Q348" s="60">
        <v>39152.537648993399</v>
      </c>
      <c r="R348" s="60">
        <v>37112</v>
      </c>
      <c r="S348" s="61">
        <v>24231.087245329298</v>
      </c>
      <c r="T348" s="61">
        <v>211</v>
      </c>
      <c r="U348" s="62" t="s">
        <v>64</v>
      </c>
      <c r="V348" s="63" t="s">
        <v>56</v>
      </c>
      <c r="W348" s="60">
        <v>0</v>
      </c>
      <c r="X348" s="60">
        <f t="shared" si="357"/>
        <v>0</v>
      </c>
      <c r="Y348" s="60">
        <f t="shared" si="358"/>
        <v>0</v>
      </c>
      <c r="Z348" s="60">
        <f t="shared" si="359"/>
        <v>0</v>
      </c>
      <c r="AA348" s="60">
        <f t="shared" si="360"/>
        <v>0</v>
      </c>
      <c r="AB348" s="77" t="s">
        <v>57</v>
      </c>
      <c r="AD348" s="93">
        <f t="shared" ref="AD348" si="391">W348/AC341</f>
        <v>0</v>
      </c>
    </row>
    <row r="349" spans="1:30" s="55" customFormat="1" ht="15.95">
      <c r="A349" s="57"/>
      <c r="B349" s="58" t="s">
        <v>48</v>
      </c>
      <c r="C349" s="58" t="s">
        <v>114</v>
      </c>
      <c r="D349" s="58"/>
      <c r="E349" s="58" t="s">
        <v>20</v>
      </c>
      <c r="F349" s="58" t="s">
        <v>21</v>
      </c>
      <c r="G349" s="58" t="s">
        <v>50</v>
      </c>
      <c r="H349" s="58"/>
      <c r="I349" s="58" t="s">
        <v>131</v>
      </c>
      <c r="J349" s="58"/>
      <c r="K349" s="58" t="s">
        <v>132</v>
      </c>
      <c r="L349" s="59">
        <v>2019</v>
      </c>
      <c r="M349" s="58" t="s">
        <v>133</v>
      </c>
      <c r="N349" s="58" t="s">
        <v>24</v>
      </c>
      <c r="O349" s="58" t="s">
        <v>54</v>
      </c>
      <c r="P349" s="58" t="s">
        <v>25</v>
      </c>
      <c r="Q349" s="60">
        <v>39152.537648993399</v>
      </c>
      <c r="R349" s="60">
        <v>37112</v>
      </c>
      <c r="S349" s="61">
        <v>24231.087245329298</v>
      </c>
      <c r="T349" s="61">
        <v>211</v>
      </c>
      <c r="U349" s="62" t="s">
        <v>65</v>
      </c>
      <c r="V349" s="63" t="s">
        <v>56</v>
      </c>
      <c r="W349" s="60">
        <v>21077259</v>
      </c>
      <c r="X349" s="60">
        <f t="shared" si="357"/>
        <v>538.33698313401385</v>
      </c>
      <c r="Y349" s="60">
        <f t="shared" si="358"/>
        <v>567.93648954516061</v>
      </c>
      <c r="Z349" s="60">
        <f t="shared" si="359"/>
        <v>869.84371714739223</v>
      </c>
      <c r="AA349" s="60">
        <f t="shared" si="360"/>
        <v>99892.222748815169</v>
      </c>
      <c r="AB349" s="77" t="s">
        <v>57</v>
      </c>
      <c r="AD349" s="93">
        <f t="shared" ref="AD349" si="392">W349/AC341</f>
        <v>0.15245756962025317</v>
      </c>
    </row>
    <row r="350" spans="1:30" s="55" customFormat="1" ht="15.95">
      <c r="A350" s="57"/>
      <c r="B350" s="58" t="s">
        <v>48</v>
      </c>
      <c r="C350" s="58" t="s">
        <v>114</v>
      </c>
      <c r="D350" s="58"/>
      <c r="E350" s="58" t="s">
        <v>20</v>
      </c>
      <c r="F350" s="58" t="s">
        <v>21</v>
      </c>
      <c r="G350" s="58" t="s">
        <v>50</v>
      </c>
      <c r="H350" s="58"/>
      <c r="I350" s="58" t="s">
        <v>131</v>
      </c>
      <c r="J350" s="58"/>
      <c r="K350" s="58" t="s">
        <v>132</v>
      </c>
      <c r="L350" s="59">
        <v>2019</v>
      </c>
      <c r="M350" s="58" t="s">
        <v>133</v>
      </c>
      <c r="N350" s="58" t="s">
        <v>24</v>
      </c>
      <c r="O350" s="58" t="s">
        <v>54</v>
      </c>
      <c r="P350" s="58" t="s">
        <v>25</v>
      </c>
      <c r="Q350" s="60">
        <v>39152.537648993399</v>
      </c>
      <c r="R350" s="60">
        <v>37112</v>
      </c>
      <c r="S350" s="61">
        <v>24231.087245329298</v>
      </c>
      <c r="T350" s="61">
        <v>211</v>
      </c>
      <c r="U350" s="62" t="s">
        <v>66</v>
      </c>
      <c r="V350" s="63" t="s">
        <v>56</v>
      </c>
      <c r="W350" s="60">
        <v>13467072</v>
      </c>
      <c r="X350" s="60">
        <f t="shared" si="357"/>
        <v>343.96421812383431</v>
      </c>
      <c r="Y350" s="60">
        <f t="shared" si="358"/>
        <v>362.87648200043111</v>
      </c>
      <c r="Z350" s="60">
        <f t="shared" si="359"/>
        <v>555.77662956893801</v>
      </c>
      <c r="AA350" s="60">
        <f t="shared" si="360"/>
        <v>63824.985781990523</v>
      </c>
      <c r="AB350" s="77" t="s">
        <v>57</v>
      </c>
      <c r="AD350" s="93">
        <f t="shared" ref="AD350" si="393">W350/AC341</f>
        <v>9.741100904159132E-2</v>
      </c>
    </row>
    <row r="351" spans="1:30" s="55" customFormat="1" ht="15.95">
      <c r="A351" s="57"/>
      <c r="B351" s="58" t="s">
        <v>48</v>
      </c>
      <c r="C351" s="58" t="s">
        <v>114</v>
      </c>
      <c r="D351" s="58"/>
      <c r="E351" s="58" t="s">
        <v>20</v>
      </c>
      <c r="F351" s="58" t="s">
        <v>21</v>
      </c>
      <c r="G351" s="58" t="s">
        <v>50</v>
      </c>
      <c r="H351" s="58"/>
      <c r="I351" s="58" t="s">
        <v>131</v>
      </c>
      <c r="J351" s="58"/>
      <c r="K351" s="58" t="s">
        <v>132</v>
      </c>
      <c r="L351" s="59">
        <v>2019</v>
      </c>
      <c r="M351" s="58" t="s">
        <v>133</v>
      </c>
      <c r="N351" s="58" t="s">
        <v>24</v>
      </c>
      <c r="O351" s="58" t="s">
        <v>54</v>
      </c>
      <c r="P351" s="58" t="s">
        <v>25</v>
      </c>
      <c r="Q351" s="60">
        <v>39152.537648993399</v>
      </c>
      <c r="R351" s="60">
        <v>37112</v>
      </c>
      <c r="S351" s="61">
        <v>24231.087245329298</v>
      </c>
      <c r="T351" s="61">
        <v>211</v>
      </c>
      <c r="U351" s="62" t="s">
        <v>67</v>
      </c>
      <c r="V351" s="63" t="s">
        <v>56</v>
      </c>
      <c r="W351" s="60">
        <v>2239999</v>
      </c>
      <c r="X351" s="60">
        <f t="shared" si="357"/>
        <v>57.212102573831245</v>
      </c>
      <c r="Y351" s="60">
        <f t="shared" si="358"/>
        <v>60.357808794998924</v>
      </c>
      <c r="Z351" s="60">
        <f t="shared" si="359"/>
        <v>92.443189912238651</v>
      </c>
      <c r="AA351" s="60">
        <f t="shared" si="360"/>
        <v>10616.109004739337</v>
      </c>
      <c r="AB351" s="77" t="s">
        <v>57</v>
      </c>
      <c r="AD351" s="93">
        <f t="shared" ref="AD351" si="394">W351/AC341</f>
        <v>1.6202524412296564E-2</v>
      </c>
    </row>
    <row r="352" spans="1:30" s="55" customFormat="1" ht="15.95">
      <c r="A352" s="57"/>
      <c r="B352" s="58" t="s">
        <v>48</v>
      </c>
      <c r="C352" s="58" t="s">
        <v>114</v>
      </c>
      <c r="D352" s="58"/>
      <c r="E352" s="58" t="s">
        <v>20</v>
      </c>
      <c r="F352" s="58" t="s">
        <v>21</v>
      </c>
      <c r="G352" s="58" t="s">
        <v>50</v>
      </c>
      <c r="H352" s="58"/>
      <c r="I352" s="58" t="s">
        <v>131</v>
      </c>
      <c r="J352" s="58"/>
      <c r="K352" s="58" t="s">
        <v>132</v>
      </c>
      <c r="L352" s="59">
        <v>2019</v>
      </c>
      <c r="M352" s="58" t="s">
        <v>133</v>
      </c>
      <c r="N352" s="58" t="s">
        <v>24</v>
      </c>
      <c r="O352" s="58" t="s">
        <v>54</v>
      </c>
      <c r="P352" s="58" t="s">
        <v>25</v>
      </c>
      <c r="Q352" s="60">
        <v>39152.537648993399</v>
      </c>
      <c r="R352" s="60">
        <v>37112</v>
      </c>
      <c r="S352" s="61">
        <v>24231.087245329298</v>
      </c>
      <c r="T352" s="61">
        <v>211</v>
      </c>
      <c r="U352" s="62" t="s">
        <v>68</v>
      </c>
      <c r="V352" s="63" t="s">
        <v>56</v>
      </c>
      <c r="W352" s="60">
        <v>3721683</v>
      </c>
      <c r="X352" s="60">
        <f t="shared" si="357"/>
        <v>95.055984196101875</v>
      </c>
      <c r="Y352" s="60">
        <f t="shared" si="358"/>
        <v>100.28246928217288</v>
      </c>
      <c r="Z352" s="60">
        <f t="shared" si="359"/>
        <v>153.59125087205399</v>
      </c>
      <c r="AA352" s="60">
        <f t="shared" si="360"/>
        <v>17638.308056872036</v>
      </c>
      <c r="AB352" s="77" t="s">
        <v>57</v>
      </c>
      <c r="AD352" s="93">
        <f t="shared" ref="AD352" si="395">W352/AC341</f>
        <v>2.6919949367088608E-2</v>
      </c>
    </row>
    <row r="353" spans="1:30" s="55" customFormat="1" ht="15.95">
      <c r="A353" s="57"/>
      <c r="B353" s="58" t="s">
        <v>48</v>
      </c>
      <c r="C353" s="58" t="s">
        <v>114</v>
      </c>
      <c r="D353" s="58"/>
      <c r="E353" s="58" t="s">
        <v>20</v>
      </c>
      <c r="F353" s="58" t="s">
        <v>21</v>
      </c>
      <c r="G353" s="58" t="s">
        <v>50</v>
      </c>
      <c r="H353" s="58"/>
      <c r="I353" s="58" t="s">
        <v>131</v>
      </c>
      <c r="J353" s="58"/>
      <c r="K353" s="58" t="s">
        <v>132</v>
      </c>
      <c r="L353" s="59">
        <v>2019</v>
      </c>
      <c r="M353" s="58" t="s">
        <v>133</v>
      </c>
      <c r="N353" s="58" t="s">
        <v>24</v>
      </c>
      <c r="O353" s="58" t="s">
        <v>54</v>
      </c>
      <c r="P353" s="58" t="s">
        <v>25</v>
      </c>
      <c r="Q353" s="60">
        <v>39152.537648993399</v>
      </c>
      <c r="R353" s="60">
        <v>37112</v>
      </c>
      <c r="S353" s="61">
        <v>24231.087245329298</v>
      </c>
      <c r="T353" s="61">
        <v>211</v>
      </c>
      <c r="U353" s="62" t="s">
        <v>69</v>
      </c>
      <c r="V353" s="63" t="s">
        <v>56</v>
      </c>
      <c r="W353" s="60">
        <v>10349857</v>
      </c>
      <c r="X353" s="60">
        <f t="shared" si="357"/>
        <v>264.34702886406882</v>
      </c>
      <c r="Y353" s="60">
        <f t="shared" si="358"/>
        <v>278.88168247467127</v>
      </c>
      <c r="Z353" s="60">
        <f t="shared" si="359"/>
        <v>427.13134970842066</v>
      </c>
      <c r="AA353" s="60">
        <f t="shared" si="360"/>
        <v>49051.454976303321</v>
      </c>
      <c r="AB353" s="77" t="s">
        <v>57</v>
      </c>
      <c r="AD353" s="93">
        <f t="shared" ref="AD353" si="396">W353/AC341</f>
        <v>7.4863341772151898E-2</v>
      </c>
    </row>
    <row r="354" spans="1:30" s="32" customFormat="1" ht="15" customHeight="1">
      <c r="A354" s="65"/>
      <c r="B354" s="66" t="s">
        <v>48</v>
      </c>
      <c r="C354" s="66" t="s">
        <v>114</v>
      </c>
      <c r="D354" s="66"/>
      <c r="E354" s="66" t="s">
        <v>20</v>
      </c>
      <c r="F354" s="66" t="s">
        <v>21</v>
      </c>
      <c r="G354" s="66" t="s">
        <v>50</v>
      </c>
      <c r="H354" s="66"/>
      <c r="I354" s="66" t="s">
        <v>134</v>
      </c>
      <c r="J354" s="66"/>
      <c r="K354" s="66" t="s">
        <v>135</v>
      </c>
      <c r="L354" s="67">
        <v>2021</v>
      </c>
      <c r="M354" s="66" t="s">
        <v>121</v>
      </c>
      <c r="N354" s="66" t="s">
        <v>24</v>
      </c>
      <c r="O354" s="66" t="s">
        <v>54</v>
      </c>
      <c r="P354" s="66" t="s">
        <v>25</v>
      </c>
      <c r="Q354" s="68">
        <v>85248</v>
      </c>
      <c r="R354" s="68">
        <v>76723</v>
      </c>
      <c r="S354" s="68">
        <v>46963</v>
      </c>
      <c r="T354" s="68">
        <v>427</v>
      </c>
      <c r="U354" s="74" t="s">
        <v>55</v>
      </c>
      <c r="V354" s="75" t="s">
        <v>56</v>
      </c>
      <c r="W354" s="68">
        <v>16685072</v>
      </c>
      <c r="X354" s="68">
        <f t="shared" si="357"/>
        <v>195.72391141141142</v>
      </c>
      <c r="Y354" s="68">
        <f t="shared" si="358"/>
        <v>217.47157957848364</v>
      </c>
      <c r="Z354" s="68">
        <f t="shared" si="359"/>
        <v>355.28122138704936</v>
      </c>
      <c r="AA354" s="68">
        <f t="shared" si="360"/>
        <v>39075.110070257608</v>
      </c>
      <c r="AB354" s="78" t="s">
        <v>57</v>
      </c>
      <c r="AC354" s="92">
        <f t="shared" ref="AC354" si="397">SUM(W354:W366)</f>
        <v>337542001</v>
      </c>
      <c r="AD354" s="93">
        <f t="shared" ref="AD354" si="398">W354/AC354</f>
        <v>4.9431098798279623E-2</v>
      </c>
    </row>
    <row r="355" spans="1:30" s="32" customFormat="1" ht="15.95">
      <c r="A355" s="65"/>
      <c r="B355" s="66" t="s">
        <v>48</v>
      </c>
      <c r="C355" s="66" t="s">
        <v>114</v>
      </c>
      <c r="D355" s="66"/>
      <c r="E355" s="66" t="s">
        <v>20</v>
      </c>
      <c r="F355" s="66" t="s">
        <v>21</v>
      </c>
      <c r="G355" s="66" t="s">
        <v>50</v>
      </c>
      <c r="H355" s="66"/>
      <c r="I355" s="66" t="s">
        <v>134</v>
      </c>
      <c r="J355" s="66"/>
      <c r="K355" s="66" t="s">
        <v>135</v>
      </c>
      <c r="L355" s="67">
        <v>2021</v>
      </c>
      <c r="M355" s="66" t="s">
        <v>121</v>
      </c>
      <c r="N355" s="66" t="s">
        <v>24</v>
      </c>
      <c r="O355" s="66" t="s">
        <v>54</v>
      </c>
      <c r="P355" s="66" t="s">
        <v>25</v>
      </c>
      <c r="Q355" s="68">
        <v>85248</v>
      </c>
      <c r="R355" s="68">
        <v>76723</v>
      </c>
      <c r="S355" s="69">
        <v>46963</v>
      </c>
      <c r="T355" s="69">
        <v>427</v>
      </c>
      <c r="U355" s="74" t="s">
        <v>58</v>
      </c>
      <c r="V355" s="75" t="s">
        <v>56</v>
      </c>
      <c r="W355" s="68">
        <v>64938965</v>
      </c>
      <c r="X355" s="68">
        <f t="shared" si="357"/>
        <v>761.76526135510505</v>
      </c>
      <c r="Y355" s="68">
        <f t="shared" si="358"/>
        <v>846.40805234414711</v>
      </c>
      <c r="Z355" s="68">
        <f t="shared" si="359"/>
        <v>1382.7686689521538</v>
      </c>
      <c r="AA355" s="68">
        <f t="shared" si="360"/>
        <v>152081.88524590165</v>
      </c>
      <c r="AB355" s="78" t="s">
        <v>57</v>
      </c>
      <c r="AC355" s="55"/>
      <c r="AD355" s="93">
        <f t="shared" ref="AD355" si="399">W355/AC354</f>
        <v>0.19238780598447658</v>
      </c>
    </row>
    <row r="356" spans="1:30" s="32" customFormat="1" ht="15.95">
      <c r="A356" s="65"/>
      <c r="B356" s="66" t="s">
        <v>48</v>
      </c>
      <c r="C356" s="66" t="s">
        <v>114</v>
      </c>
      <c r="D356" s="66"/>
      <c r="E356" s="66" t="s">
        <v>20</v>
      </c>
      <c r="F356" s="66" t="s">
        <v>21</v>
      </c>
      <c r="G356" s="66" t="s">
        <v>50</v>
      </c>
      <c r="H356" s="66"/>
      <c r="I356" s="66" t="s">
        <v>134</v>
      </c>
      <c r="J356" s="66"/>
      <c r="K356" s="66" t="s">
        <v>135</v>
      </c>
      <c r="L356" s="67">
        <v>2021</v>
      </c>
      <c r="M356" s="66" t="s">
        <v>121</v>
      </c>
      <c r="N356" s="66" t="s">
        <v>24</v>
      </c>
      <c r="O356" s="66" t="s">
        <v>54</v>
      </c>
      <c r="P356" s="66" t="s">
        <v>25</v>
      </c>
      <c r="Q356" s="68">
        <v>85248</v>
      </c>
      <c r="R356" s="68">
        <v>76723</v>
      </c>
      <c r="S356" s="69">
        <v>46963</v>
      </c>
      <c r="T356" s="69">
        <v>427</v>
      </c>
      <c r="U356" s="74" t="s">
        <v>59</v>
      </c>
      <c r="V356" s="75" t="s">
        <v>56</v>
      </c>
      <c r="W356" s="68">
        <v>35998886</v>
      </c>
      <c r="X356" s="68">
        <f t="shared" si="357"/>
        <v>422.28422954204206</v>
      </c>
      <c r="Y356" s="68">
        <f t="shared" si="358"/>
        <v>469.20592260469482</v>
      </c>
      <c r="Z356" s="68">
        <f t="shared" si="359"/>
        <v>766.53718885079741</v>
      </c>
      <c r="AA356" s="68">
        <f t="shared" si="360"/>
        <v>84306.524590163928</v>
      </c>
      <c r="AB356" s="78" t="s">
        <v>57</v>
      </c>
      <c r="AC356" s="55"/>
      <c r="AD356" s="93">
        <f t="shared" ref="AD356" si="400">W356/AC354</f>
        <v>0.10665009359827786</v>
      </c>
    </row>
    <row r="357" spans="1:30" s="32" customFormat="1" ht="15.95">
      <c r="A357" s="65"/>
      <c r="B357" s="66" t="s">
        <v>48</v>
      </c>
      <c r="C357" s="66" t="s">
        <v>114</v>
      </c>
      <c r="D357" s="66"/>
      <c r="E357" s="66" t="s">
        <v>20</v>
      </c>
      <c r="F357" s="66" t="s">
        <v>21</v>
      </c>
      <c r="G357" s="66" t="s">
        <v>50</v>
      </c>
      <c r="H357" s="66"/>
      <c r="I357" s="66" t="s">
        <v>134</v>
      </c>
      <c r="J357" s="66"/>
      <c r="K357" s="66" t="s">
        <v>135</v>
      </c>
      <c r="L357" s="67">
        <v>2021</v>
      </c>
      <c r="M357" s="66" t="s">
        <v>121</v>
      </c>
      <c r="N357" s="66" t="s">
        <v>24</v>
      </c>
      <c r="O357" s="66" t="s">
        <v>54</v>
      </c>
      <c r="P357" s="66" t="s">
        <v>25</v>
      </c>
      <c r="Q357" s="68">
        <v>85248</v>
      </c>
      <c r="R357" s="68">
        <v>76723</v>
      </c>
      <c r="S357" s="69">
        <v>46963</v>
      </c>
      <c r="T357" s="69">
        <v>427</v>
      </c>
      <c r="U357" s="74" t="s">
        <v>60</v>
      </c>
      <c r="V357" s="75" t="s">
        <v>56</v>
      </c>
      <c r="W357" s="68">
        <v>22598818</v>
      </c>
      <c r="X357" s="68">
        <f t="shared" si="357"/>
        <v>265.09499343093091</v>
      </c>
      <c r="Y357" s="68">
        <f t="shared" si="358"/>
        <v>294.55076052813365</v>
      </c>
      <c r="Z357" s="68">
        <f t="shared" si="359"/>
        <v>481.20473564295298</v>
      </c>
      <c r="AA357" s="68">
        <f t="shared" si="360"/>
        <v>52924.632318501172</v>
      </c>
      <c r="AB357" s="78" t="s">
        <v>57</v>
      </c>
      <c r="AC357" s="55"/>
      <c r="AD357" s="93">
        <f t="shared" ref="AD357" si="401">W357/AC354</f>
        <v>6.6951128846332822E-2</v>
      </c>
    </row>
    <row r="358" spans="1:30" s="32" customFormat="1" ht="15.95">
      <c r="A358" s="65"/>
      <c r="B358" s="66" t="s">
        <v>48</v>
      </c>
      <c r="C358" s="66" t="s">
        <v>114</v>
      </c>
      <c r="D358" s="66"/>
      <c r="E358" s="66" t="s">
        <v>20</v>
      </c>
      <c r="F358" s="66" t="s">
        <v>21</v>
      </c>
      <c r="G358" s="66" t="s">
        <v>50</v>
      </c>
      <c r="H358" s="66"/>
      <c r="I358" s="66" t="s">
        <v>134</v>
      </c>
      <c r="J358" s="66"/>
      <c r="K358" s="66" t="s">
        <v>135</v>
      </c>
      <c r="L358" s="67">
        <v>2021</v>
      </c>
      <c r="M358" s="66" t="s">
        <v>121</v>
      </c>
      <c r="N358" s="66" t="s">
        <v>24</v>
      </c>
      <c r="O358" s="66" t="s">
        <v>54</v>
      </c>
      <c r="P358" s="66" t="s">
        <v>25</v>
      </c>
      <c r="Q358" s="68">
        <v>85248</v>
      </c>
      <c r="R358" s="68">
        <v>76723</v>
      </c>
      <c r="S358" s="69">
        <v>46963</v>
      </c>
      <c r="T358" s="69">
        <v>427</v>
      </c>
      <c r="U358" s="74" t="s">
        <v>61</v>
      </c>
      <c r="V358" s="75" t="s">
        <v>56</v>
      </c>
      <c r="W358" s="68">
        <v>26187479</v>
      </c>
      <c r="X358" s="68">
        <f t="shared" si="357"/>
        <v>307.19171124249249</v>
      </c>
      <c r="Y358" s="68">
        <f t="shared" si="358"/>
        <v>341.32501335974871</v>
      </c>
      <c r="Z358" s="68">
        <f t="shared" si="359"/>
        <v>557.61938121499907</v>
      </c>
      <c r="AA358" s="68">
        <f t="shared" si="360"/>
        <v>61328.990632318499</v>
      </c>
      <c r="AB358" s="78" t="s">
        <v>57</v>
      </c>
      <c r="AC358" s="55"/>
      <c r="AD358" s="93">
        <f t="shared" ref="AD358" si="402">W358/AC354</f>
        <v>7.758287538266978E-2</v>
      </c>
    </row>
    <row r="359" spans="1:30" s="32" customFormat="1" ht="15.95">
      <c r="A359" s="65"/>
      <c r="B359" s="66" t="s">
        <v>48</v>
      </c>
      <c r="C359" s="66" t="s">
        <v>114</v>
      </c>
      <c r="D359" s="66"/>
      <c r="E359" s="66" t="s">
        <v>20</v>
      </c>
      <c r="F359" s="66" t="s">
        <v>21</v>
      </c>
      <c r="G359" s="66" t="s">
        <v>50</v>
      </c>
      <c r="H359" s="66"/>
      <c r="I359" s="66" t="s">
        <v>134</v>
      </c>
      <c r="J359" s="66"/>
      <c r="K359" s="66" t="s">
        <v>135</v>
      </c>
      <c r="L359" s="67">
        <v>2021</v>
      </c>
      <c r="M359" s="66" t="s">
        <v>121</v>
      </c>
      <c r="N359" s="66" t="s">
        <v>24</v>
      </c>
      <c r="O359" s="66" t="s">
        <v>54</v>
      </c>
      <c r="P359" s="66" t="s">
        <v>25</v>
      </c>
      <c r="Q359" s="68">
        <v>85248</v>
      </c>
      <c r="R359" s="68">
        <v>76723</v>
      </c>
      <c r="S359" s="69">
        <v>46963</v>
      </c>
      <c r="T359" s="69">
        <v>427</v>
      </c>
      <c r="U359" s="74" t="s">
        <v>62</v>
      </c>
      <c r="V359" s="75" t="s">
        <v>56</v>
      </c>
      <c r="W359" s="68">
        <v>21345496</v>
      </c>
      <c r="X359" s="68">
        <f t="shared" si="357"/>
        <v>250.39292417417417</v>
      </c>
      <c r="Y359" s="68">
        <f t="shared" si="358"/>
        <v>278.21508543722223</v>
      </c>
      <c r="Z359" s="68">
        <f t="shared" si="359"/>
        <v>454.51730085386367</v>
      </c>
      <c r="AA359" s="68">
        <f t="shared" si="360"/>
        <v>49989.451990632318</v>
      </c>
      <c r="AB359" s="78" t="s">
        <v>57</v>
      </c>
      <c r="AC359" s="55"/>
      <c r="AD359" s="93">
        <f t="shared" ref="AD359" si="403">W359/AC354</f>
        <v>6.3238044263415977E-2</v>
      </c>
    </row>
    <row r="360" spans="1:30" s="32" customFormat="1" ht="15.95">
      <c r="A360" s="65"/>
      <c r="B360" s="66" t="s">
        <v>48</v>
      </c>
      <c r="C360" s="66" t="s">
        <v>114</v>
      </c>
      <c r="D360" s="66"/>
      <c r="E360" s="66" t="s">
        <v>20</v>
      </c>
      <c r="F360" s="66" t="s">
        <v>21</v>
      </c>
      <c r="G360" s="66" t="s">
        <v>50</v>
      </c>
      <c r="H360" s="66"/>
      <c r="I360" s="66" t="s">
        <v>134</v>
      </c>
      <c r="J360" s="66"/>
      <c r="K360" s="66" t="s">
        <v>135</v>
      </c>
      <c r="L360" s="67">
        <v>2021</v>
      </c>
      <c r="M360" s="66" t="s">
        <v>121</v>
      </c>
      <c r="N360" s="66" t="s">
        <v>24</v>
      </c>
      <c r="O360" s="66" t="s">
        <v>54</v>
      </c>
      <c r="P360" s="66" t="s">
        <v>25</v>
      </c>
      <c r="Q360" s="68">
        <v>85248</v>
      </c>
      <c r="R360" s="68">
        <v>76723</v>
      </c>
      <c r="S360" s="69">
        <v>46963</v>
      </c>
      <c r="T360" s="69">
        <v>427</v>
      </c>
      <c r="U360" s="74" t="s">
        <v>63</v>
      </c>
      <c r="V360" s="75" t="s">
        <v>56</v>
      </c>
      <c r="W360" s="68">
        <v>2947780</v>
      </c>
      <c r="X360" s="68">
        <f t="shared" si="357"/>
        <v>34.578875750750754</v>
      </c>
      <c r="Y360" s="68">
        <f t="shared" si="358"/>
        <v>38.421073211422915</v>
      </c>
      <c r="Z360" s="68">
        <f t="shared" si="359"/>
        <v>62.768136618188784</v>
      </c>
      <c r="AA360" s="68">
        <f t="shared" si="360"/>
        <v>6903.4660421545668</v>
      </c>
      <c r="AB360" s="78" t="s">
        <v>57</v>
      </c>
      <c r="AC360" s="55"/>
      <c r="AD360" s="93">
        <f t="shared" ref="AD360" si="404">W360/AC354</f>
        <v>8.7330761542768719E-3</v>
      </c>
    </row>
    <row r="361" spans="1:30" s="32" customFormat="1" ht="15.95">
      <c r="A361" s="65"/>
      <c r="B361" s="66" t="s">
        <v>48</v>
      </c>
      <c r="C361" s="66" t="s">
        <v>114</v>
      </c>
      <c r="D361" s="66"/>
      <c r="E361" s="66" t="s">
        <v>20</v>
      </c>
      <c r="F361" s="66" t="s">
        <v>21</v>
      </c>
      <c r="G361" s="66" t="s">
        <v>50</v>
      </c>
      <c r="H361" s="66"/>
      <c r="I361" s="66" t="s">
        <v>134</v>
      </c>
      <c r="J361" s="66"/>
      <c r="K361" s="66" t="s">
        <v>135</v>
      </c>
      <c r="L361" s="67">
        <v>2021</v>
      </c>
      <c r="M361" s="66" t="s">
        <v>121</v>
      </c>
      <c r="N361" s="66" t="s">
        <v>24</v>
      </c>
      <c r="O361" s="66" t="s">
        <v>54</v>
      </c>
      <c r="P361" s="66" t="s">
        <v>25</v>
      </c>
      <c r="Q361" s="68">
        <v>85248</v>
      </c>
      <c r="R361" s="68">
        <v>76723</v>
      </c>
      <c r="S361" s="69">
        <v>46963</v>
      </c>
      <c r="T361" s="69">
        <v>427</v>
      </c>
      <c r="U361" s="74" t="s">
        <v>64</v>
      </c>
      <c r="V361" s="75" t="s">
        <v>56</v>
      </c>
      <c r="W361" s="68">
        <v>1796924</v>
      </c>
      <c r="X361" s="68">
        <f t="shared" si="357"/>
        <v>21.078781906906908</v>
      </c>
      <c r="Y361" s="68">
        <f t="shared" si="358"/>
        <v>23.420929838509963</v>
      </c>
      <c r="Z361" s="68">
        <f t="shared" si="359"/>
        <v>38.262547111555904</v>
      </c>
      <c r="AA361" s="68">
        <f t="shared" si="360"/>
        <v>4208.2529274004683</v>
      </c>
      <c r="AB361" s="78" t="s">
        <v>57</v>
      </c>
      <c r="AC361" s="55"/>
      <c r="AD361" s="93">
        <f t="shared" ref="AD361" si="405">W361/AC354</f>
        <v>5.3235567564227362E-3</v>
      </c>
    </row>
    <row r="362" spans="1:30" s="32" customFormat="1" ht="15.95">
      <c r="A362" s="65"/>
      <c r="B362" s="66" t="s">
        <v>48</v>
      </c>
      <c r="C362" s="66" t="s">
        <v>114</v>
      </c>
      <c r="D362" s="66"/>
      <c r="E362" s="66" t="s">
        <v>20</v>
      </c>
      <c r="F362" s="66" t="s">
        <v>21</v>
      </c>
      <c r="G362" s="66" t="s">
        <v>50</v>
      </c>
      <c r="H362" s="66"/>
      <c r="I362" s="66" t="s">
        <v>134</v>
      </c>
      <c r="J362" s="66"/>
      <c r="K362" s="66" t="s">
        <v>135</v>
      </c>
      <c r="L362" s="67">
        <v>2021</v>
      </c>
      <c r="M362" s="66" t="s">
        <v>121</v>
      </c>
      <c r="N362" s="66" t="s">
        <v>24</v>
      </c>
      <c r="O362" s="66" t="s">
        <v>54</v>
      </c>
      <c r="P362" s="66" t="s">
        <v>25</v>
      </c>
      <c r="Q362" s="68">
        <v>85248</v>
      </c>
      <c r="R362" s="68">
        <v>76723</v>
      </c>
      <c r="S362" s="69">
        <v>46963</v>
      </c>
      <c r="T362" s="69">
        <v>427</v>
      </c>
      <c r="U362" s="74" t="s">
        <v>65</v>
      </c>
      <c r="V362" s="75" t="s">
        <v>56</v>
      </c>
      <c r="W362" s="68">
        <v>39027121</v>
      </c>
      <c r="X362" s="68">
        <f t="shared" si="357"/>
        <v>457.80688109984987</v>
      </c>
      <c r="Y362" s="68">
        <f t="shared" si="358"/>
        <v>508.67563833531017</v>
      </c>
      <c r="Z362" s="68">
        <f t="shared" si="359"/>
        <v>831.01848263526608</v>
      </c>
      <c r="AA362" s="68">
        <f t="shared" si="360"/>
        <v>91398.409836065577</v>
      </c>
      <c r="AB362" s="78" t="s">
        <v>57</v>
      </c>
      <c r="AC362" s="55"/>
      <c r="AD362" s="93">
        <f t="shared" ref="AD362" si="406">W362/AC354</f>
        <v>0.11562152527501311</v>
      </c>
    </row>
    <row r="363" spans="1:30" s="32" customFormat="1" ht="15.95">
      <c r="A363" s="65"/>
      <c r="B363" s="66" t="s">
        <v>48</v>
      </c>
      <c r="C363" s="66" t="s">
        <v>114</v>
      </c>
      <c r="D363" s="66"/>
      <c r="E363" s="66" t="s">
        <v>20</v>
      </c>
      <c r="F363" s="66" t="s">
        <v>21</v>
      </c>
      <c r="G363" s="66" t="s">
        <v>50</v>
      </c>
      <c r="H363" s="66"/>
      <c r="I363" s="66" t="s">
        <v>134</v>
      </c>
      <c r="J363" s="66"/>
      <c r="K363" s="66" t="s">
        <v>135</v>
      </c>
      <c r="L363" s="67">
        <v>2021</v>
      </c>
      <c r="M363" s="66" t="s">
        <v>121</v>
      </c>
      <c r="N363" s="66" t="s">
        <v>24</v>
      </c>
      <c r="O363" s="66" t="s">
        <v>54</v>
      </c>
      <c r="P363" s="66" t="s">
        <v>25</v>
      </c>
      <c r="Q363" s="68">
        <v>85248</v>
      </c>
      <c r="R363" s="68">
        <v>76723</v>
      </c>
      <c r="S363" s="69">
        <v>46963</v>
      </c>
      <c r="T363" s="69">
        <v>427</v>
      </c>
      <c r="U363" s="74" t="s">
        <v>66</v>
      </c>
      <c r="V363" s="75" t="s">
        <v>56</v>
      </c>
      <c r="W363" s="68">
        <v>36747717</v>
      </c>
      <c r="X363" s="68">
        <f t="shared" si="357"/>
        <v>431.06837697072075</v>
      </c>
      <c r="Y363" s="68">
        <f t="shared" si="358"/>
        <v>478.9661118569399</v>
      </c>
      <c r="Z363" s="68">
        <f t="shared" si="359"/>
        <v>782.48231586568147</v>
      </c>
      <c r="AA363" s="68">
        <f t="shared" si="360"/>
        <v>86060.227166276352</v>
      </c>
      <c r="AB363" s="78" t="s">
        <v>57</v>
      </c>
      <c r="AC363" s="55"/>
      <c r="AD363" s="93">
        <f t="shared" ref="AD363" si="407">W363/AC354</f>
        <v>0.10886857603240907</v>
      </c>
    </row>
    <row r="364" spans="1:30" s="32" customFormat="1" ht="15.95">
      <c r="A364" s="65"/>
      <c r="B364" s="66" t="s">
        <v>48</v>
      </c>
      <c r="C364" s="66" t="s">
        <v>114</v>
      </c>
      <c r="D364" s="66"/>
      <c r="E364" s="66" t="s">
        <v>20</v>
      </c>
      <c r="F364" s="66" t="s">
        <v>21</v>
      </c>
      <c r="G364" s="66" t="s">
        <v>50</v>
      </c>
      <c r="H364" s="66"/>
      <c r="I364" s="66" t="s">
        <v>134</v>
      </c>
      <c r="J364" s="66"/>
      <c r="K364" s="66" t="s">
        <v>135</v>
      </c>
      <c r="L364" s="67">
        <v>2021</v>
      </c>
      <c r="M364" s="66" t="s">
        <v>121</v>
      </c>
      <c r="N364" s="66" t="s">
        <v>24</v>
      </c>
      <c r="O364" s="66" t="s">
        <v>54</v>
      </c>
      <c r="P364" s="66" t="s">
        <v>25</v>
      </c>
      <c r="Q364" s="68">
        <v>85248</v>
      </c>
      <c r="R364" s="68">
        <v>76723</v>
      </c>
      <c r="S364" s="69">
        <v>46963</v>
      </c>
      <c r="T364" s="69">
        <v>427</v>
      </c>
      <c r="U364" s="74" t="s">
        <v>67</v>
      </c>
      <c r="V364" s="75" t="s">
        <v>56</v>
      </c>
      <c r="W364" s="68">
        <v>14040651</v>
      </c>
      <c r="X364" s="68">
        <f t="shared" si="357"/>
        <v>164.70358248873873</v>
      </c>
      <c r="Y364" s="68">
        <f t="shared" si="358"/>
        <v>183.00445759420253</v>
      </c>
      <c r="Z364" s="68">
        <f t="shared" si="359"/>
        <v>298.97261674083853</v>
      </c>
      <c r="AA364" s="68">
        <f t="shared" si="360"/>
        <v>32882.086651053862</v>
      </c>
      <c r="AB364" s="78" t="s">
        <v>57</v>
      </c>
      <c r="AC364" s="55"/>
      <c r="AD364" s="93">
        <f t="shared" ref="AD364" si="408">W364/AC354</f>
        <v>4.1596752280910962E-2</v>
      </c>
    </row>
    <row r="365" spans="1:30" s="32" customFormat="1" ht="15.95">
      <c r="A365" s="65"/>
      <c r="B365" s="66" t="s">
        <v>48</v>
      </c>
      <c r="C365" s="66" t="s">
        <v>114</v>
      </c>
      <c r="D365" s="66"/>
      <c r="E365" s="66" t="s">
        <v>20</v>
      </c>
      <c r="F365" s="66" t="s">
        <v>21</v>
      </c>
      <c r="G365" s="66" t="s">
        <v>50</v>
      </c>
      <c r="H365" s="66"/>
      <c r="I365" s="66" t="s">
        <v>134</v>
      </c>
      <c r="J365" s="66"/>
      <c r="K365" s="66" t="s">
        <v>135</v>
      </c>
      <c r="L365" s="67">
        <v>2021</v>
      </c>
      <c r="M365" s="66" t="s">
        <v>121</v>
      </c>
      <c r="N365" s="66" t="s">
        <v>24</v>
      </c>
      <c r="O365" s="66" t="s">
        <v>54</v>
      </c>
      <c r="P365" s="66" t="s">
        <v>25</v>
      </c>
      <c r="Q365" s="68">
        <v>85248</v>
      </c>
      <c r="R365" s="68">
        <v>76723</v>
      </c>
      <c r="S365" s="69">
        <v>46963</v>
      </c>
      <c r="T365" s="69">
        <v>427</v>
      </c>
      <c r="U365" s="74" t="s">
        <v>68</v>
      </c>
      <c r="V365" s="75" t="s">
        <v>56</v>
      </c>
      <c r="W365" s="68">
        <v>7147001</v>
      </c>
      <c r="X365" s="68">
        <f t="shared" si="357"/>
        <v>83.837755724474476</v>
      </c>
      <c r="Y365" s="68">
        <f t="shared" si="358"/>
        <v>93.153304745643425</v>
      </c>
      <c r="Z365" s="68">
        <f t="shared" si="359"/>
        <v>152.18365521793751</v>
      </c>
      <c r="AA365" s="68">
        <f t="shared" si="360"/>
        <v>16737.70725995316</v>
      </c>
      <c r="AB365" s="78" t="s">
        <v>57</v>
      </c>
      <c r="AC365" s="55"/>
      <c r="AD365" s="93">
        <f t="shared" ref="AD365" si="409">W365/AC354</f>
        <v>2.1173664251637827E-2</v>
      </c>
    </row>
    <row r="366" spans="1:30" s="32" customFormat="1" ht="15.95">
      <c r="A366" s="65"/>
      <c r="B366" s="66" t="s">
        <v>48</v>
      </c>
      <c r="C366" s="66" t="s">
        <v>114</v>
      </c>
      <c r="D366" s="66"/>
      <c r="E366" s="66" t="s">
        <v>20</v>
      </c>
      <c r="F366" s="66" t="s">
        <v>21</v>
      </c>
      <c r="G366" s="66" t="s">
        <v>50</v>
      </c>
      <c r="H366" s="66"/>
      <c r="I366" s="66" t="s">
        <v>134</v>
      </c>
      <c r="J366" s="66"/>
      <c r="K366" s="66" t="s">
        <v>135</v>
      </c>
      <c r="L366" s="67">
        <v>2021</v>
      </c>
      <c r="M366" s="66" t="s">
        <v>121</v>
      </c>
      <c r="N366" s="66" t="s">
        <v>24</v>
      </c>
      <c r="O366" s="66" t="s">
        <v>54</v>
      </c>
      <c r="P366" s="66" t="s">
        <v>25</v>
      </c>
      <c r="Q366" s="68">
        <v>85248</v>
      </c>
      <c r="R366" s="68">
        <v>76723</v>
      </c>
      <c r="S366" s="69">
        <v>46963</v>
      </c>
      <c r="T366" s="69">
        <v>427</v>
      </c>
      <c r="U366" s="74" t="s">
        <v>69</v>
      </c>
      <c r="V366" s="75" t="s">
        <v>56</v>
      </c>
      <c r="W366" s="68">
        <v>48080091</v>
      </c>
      <c r="X366" s="68">
        <f t="shared" si="357"/>
        <v>564.00256897522524</v>
      </c>
      <c r="Y366" s="68">
        <f t="shared" si="358"/>
        <v>626.6711546733053</v>
      </c>
      <c r="Z366" s="68">
        <f t="shared" si="359"/>
        <v>1023.7866192534549</v>
      </c>
      <c r="AA366" s="68">
        <f t="shared" si="360"/>
        <v>112599.74473067916</v>
      </c>
      <c r="AB366" s="78" t="s">
        <v>57</v>
      </c>
      <c r="AC366" s="55"/>
      <c r="AD366" s="93">
        <f t="shared" ref="AD366" si="410">W366/AC354</f>
        <v>0.14244180237587678</v>
      </c>
    </row>
    <row r="367" spans="1:30" s="55" customFormat="1" ht="15" customHeight="1">
      <c r="A367" s="57"/>
      <c r="B367" s="58" t="s">
        <v>48</v>
      </c>
      <c r="C367" s="58" t="s">
        <v>114</v>
      </c>
      <c r="D367" s="58"/>
      <c r="E367" s="58" t="s">
        <v>20</v>
      </c>
      <c r="F367" s="58" t="s">
        <v>21</v>
      </c>
      <c r="G367" s="58" t="s">
        <v>50</v>
      </c>
      <c r="H367" s="58"/>
      <c r="I367" s="58" t="s">
        <v>136</v>
      </c>
      <c r="J367" s="58"/>
      <c r="K367" s="58" t="s">
        <v>137</v>
      </c>
      <c r="L367" s="59">
        <v>2023</v>
      </c>
      <c r="M367" s="58" t="s">
        <v>138</v>
      </c>
      <c r="N367" s="58" t="s">
        <v>24</v>
      </c>
      <c r="O367" s="58" t="s">
        <v>54</v>
      </c>
      <c r="P367" s="58" t="s">
        <v>25</v>
      </c>
      <c r="Q367" s="60">
        <v>48913</v>
      </c>
      <c r="R367" s="60">
        <v>46883</v>
      </c>
      <c r="S367" s="61">
        <v>29781</v>
      </c>
      <c r="T367" s="61">
        <v>291</v>
      </c>
      <c r="U367" s="62" t="s">
        <v>55</v>
      </c>
      <c r="V367" s="63" t="s">
        <v>56</v>
      </c>
      <c r="W367" s="60">
        <v>10732013</v>
      </c>
      <c r="X367" s="60">
        <f t="shared" si="357"/>
        <v>219.41023858687873</v>
      </c>
      <c r="Y367" s="60">
        <f t="shared" si="358"/>
        <v>228.91054326728238</v>
      </c>
      <c r="Z367" s="60">
        <f t="shared" si="359"/>
        <v>360.36442698364732</v>
      </c>
      <c r="AA367" s="60">
        <f t="shared" si="360"/>
        <v>36879.769759450173</v>
      </c>
      <c r="AB367" s="77" t="s">
        <v>73</v>
      </c>
      <c r="AC367" s="92">
        <f t="shared" ref="AC367" si="411">SUM(W367:W379)</f>
        <v>190000000</v>
      </c>
      <c r="AD367" s="93">
        <f t="shared" ref="AD367" si="412">W367/AC367</f>
        <v>5.6484278947368419E-2</v>
      </c>
    </row>
    <row r="368" spans="1:30" s="55" customFormat="1" ht="15.95">
      <c r="A368" s="57"/>
      <c r="B368" s="58" t="s">
        <v>48</v>
      </c>
      <c r="C368" s="58" t="s">
        <v>114</v>
      </c>
      <c r="D368" s="58"/>
      <c r="E368" s="58" t="s">
        <v>20</v>
      </c>
      <c r="F368" s="58" t="s">
        <v>21</v>
      </c>
      <c r="G368" s="58" t="s">
        <v>50</v>
      </c>
      <c r="H368" s="58"/>
      <c r="I368" s="58" t="s">
        <v>136</v>
      </c>
      <c r="J368" s="58"/>
      <c r="K368" s="58" t="s">
        <v>137</v>
      </c>
      <c r="L368" s="59">
        <v>2023</v>
      </c>
      <c r="M368" s="58" t="s">
        <v>138</v>
      </c>
      <c r="N368" s="58" t="s">
        <v>24</v>
      </c>
      <c r="O368" s="58" t="s">
        <v>54</v>
      </c>
      <c r="P368" s="58" t="s">
        <v>25</v>
      </c>
      <c r="Q368" s="60">
        <v>48913</v>
      </c>
      <c r="R368" s="60">
        <v>46883</v>
      </c>
      <c r="S368" s="61">
        <v>29781</v>
      </c>
      <c r="T368" s="61">
        <v>291</v>
      </c>
      <c r="U368" s="62" t="s">
        <v>58</v>
      </c>
      <c r="V368" s="63" t="s">
        <v>56</v>
      </c>
      <c r="W368" s="60">
        <v>36989094</v>
      </c>
      <c r="X368" s="60">
        <f t="shared" si="357"/>
        <v>756.22214953079958</v>
      </c>
      <c r="Y368" s="60">
        <f t="shared" si="358"/>
        <v>788.96602179894626</v>
      </c>
      <c r="Z368" s="60">
        <f t="shared" si="359"/>
        <v>1242.0366676740202</v>
      </c>
      <c r="AA368" s="60">
        <f t="shared" si="360"/>
        <v>127110.28865979382</v>
      </c>
      <c r="AB368" s="77" t="s">
        <v>73</v>
      </c>
      <c r="AD368" s="93">
        <f t="shared" ref="AD368" si="413">W368/AC367</f>
        <v>0.19467944210526317</v>
      </c>
    </row>
    <row r="369" spans="1:30" s="55" customFormat="1" ht="15.95">
      <c r="A369" s="57"/>
      <c r="B369" s="58" t="s">
        <v>48</v>
      </c>
      <c r="C369" s="58" t="s">
        <v>114</v>
      </c>
      <c r="D369" s="58"/>
      <c r="E369" s="58" t="s">
        <v>20</v>
      </c>
      <c r="F369" s="58" t="s">
        <v>21</v>
      </c>
      <c r="G369" s="58" t="s">
        <v>50</v>
      </c>
      <c r="H369" s="58"/>
      <c r="I369" s="58" t="s">
        <v>136</v>
      </c>
      <c r="J369" s="58"/>
      <c r="K369" s="58" t="s">
        <v>137</v>
      </c>
      <c r="L369" s="59">
        <v>2023</v>
      </c>
      <c r="M369" s="58" t="s">
        <v>138</v>
      </c>
      <c r="N369" s="58" t="s">
        <v>24</v>
      </c>
      <c r="O369" s="58" t="s">
        <v>54</v>
      </c>
      <c r="P369" s="58" t="s">
        <v>25</v>
      </c>
      <c r="Q369" s="60">
        <v>48913</v>
      </c>
      <c r="R369" s="60">
        <v>46883</v>
      </c>
      <c r="S369" s="61">
        <v>29781</v>
      </c>
      <c r="T369" s="61">
        <v>291</v>
      </c>
      <c r="U369" s="62" t="s">
        <v>59</v>
      </c>
      <c r="V369" s="63" t="s">
        <v>56</v>
      </c>
      <c r="W369" s="60">
        <v>20420870</v>
      </c>
      <c r="X369" s="60">
        <f t="shared" si="357"/>
        <v>417.49371332774518</v>
      </c>
      <c r="Y369" s="60">
        <f t="shared" si="358"/>
        <v>435.57088923490392</v>
      </c>
      <c r="Z369" s="60">
        <f t="shared" si="359"/>
        <v>685.70128605486718</v>
      </c>
      <c r="AA369" s="60">
        <f t="shared" si="360"/>
        <v>70174.810996563567</v>
      </c>
      <c r="AB369" s="77" t="s">
        <v>73</v>
      </c>
      <c r="AD369" s="93">
        <f t="shared" ref="AD369" si="414">W369/AC367</f>
        <v>0.10747826315789474</v>
      </c>
    </row>
    <row r="370" spans="1:30" s="55" customFormat="1" ht="15.95">
      <c r="A370" s="57"/>
      <c r="B370" s="58" t="s">
        <v>48</v>
      </c>
      <c r="C370" s="58" t="s">
        <v>114</v>
      </c>
      <c r="D370" s="58"/>
      <c r="E370" s="58" t="s">
        <v>20</v>
      </c>
      <c r="F370" s="58" t="s">
        <v>21</v>
      </c>
      <c r="G370" s="58" t="s">
        <v>50</v>
      </c>
      <c r="H370" s="58"/>
      <c r="I370" s="58" t="s">
        <v>136</v>
      </c>
      <c r="J370" s="58"/>
      <c r="K370" s="58" t="s">
        <v>137</v>
      </c>
      <c r="L370" s="59">
        <v>2023</v>
      </c>
      <c r="M370" s="58" t="s">
        <v>138</v>
      </c>
      <c r="N370" s="58" t="s">
        <v>24</v>
      </c>
      <c r="O370" s="58" t="s">
        <v>54</v>
      </c>
      <c r="P370" s="58" t="s">
        <v>25</v>
      </c>
      <c r="Q370" s="60">
        <v>48913</v>
      </c>
      <c r="R370" s="60">
        <v>46883</v>
      </c>
      <c r="S370" s="61">
        <v>29781</v>
      </c>
      <c r="T370" s="61">
        <v>291</v>
      </c>
      <c r="U370" s="62" t="s">
        <v>60</v>
      </c>
      <c r="V370" s="63" t="s">
        <v>56</v>
      </c>
      <c r="W370" s="60">
        <v>10279721</v>
      </c>
      <c r="X370" s="60">
        <f t="shared" si="357"/>
        <v>210.16337170077483</v>
      </c>
      <c r="Y370" s="60">
        <f t="shared" si="358"/>
        <v>219.26329373120322</v>
      </c>
      <c r="Z370" s="60">
        <f t="shared" si="359"/>
        <v>345.17715993418625</v>
      </c>
      <c r="AA370" s="60">
        <f t="shared" si="360"/>
        <v>35325.501718213061</v>
      </c>
      <c r="AB370" s="77" t="s">
        <v>73</v>
      </c>
      <c r="AD370" s="93">
        <f t="shared" ref="AD370" si="415">W370/AC367</f>
        <v>5.4103794736842105E-2</v>
      </c>
    </row>
    <row r="371" spans="1:30" s="55" customFormat="1" ht="15.95">
      <c r="A371" s="57"/>
      <c r="B371" s="58" t="s">
        <v>48</v>
      </c>
      <c r="C371" s="58" t="s">
        <v>114</v>
      </c>
      <c r="D371" s="58"/>
      <c r="E371" s="58" t="s">
        <v>20</v>
      </c>
      <c r="F371" s="58" t="s">
        <v>21</v>
      </c>
      <c r="G371" s="58" t="s">
        <v>50</v>
      </c>
      <c r="H371" s="58"/>
      <c r="I371" s="58" t="s">
        <v>136</v>
      </c>
      <c r="J371" s="58"/>
      <c r="K371" s="58" t="s">
        <v>137</v>
      </c>
      <c r="L371" s="59">
        <v>2023</v>
      </c>
      <c r="M371" s="58" t="s">
        <v>138</v>
      </c>
      <c r="N371" s="58" t="s">
        <v>24</v>
      </c>
      <c r="O371" s="58" t="s">
        <v>54</v>
      </c>
      <c r="P371" s="58" t="s">
        <v>25</v>
      </c>
      <c r="Q371" s="60">
        <v>48913</v>
      </c>
      <c r="R371" s="60">
        <v>46883</v>
      </c>
      <c r="S371" s="61">
        <v>29781</v>
      </c>
      <c r="T371" s="61">
        <v>291</v>
      </c>
      <c r="U371" s="62" t="s">
        <v>61</v>
      </c>
      <c r="V371" s="63" t="s">
        <v>56</v>
      </c>
      <c r="W371" s="60">
        <v>18679931</v>
      </c>
      <c r="X371" s="60">
        <f t="shared" si="357"/>
        <v>381.90115102324535</v>
      </c>
      <c r="Y371" s="60">
        <f t="shared" si="358"/>
        <v>398.43719471876801</v>
      </c>
      <c r="Z371" s="60">
        <f t="shared" si="359"/>
        <v>627.24324233571735</v>
      </c>
      <c r="AA371" s="60">
        <f t="shared" si="360"/>
        <v>64192.202749140895</v>
      </c>
      <c r="AB371" s="77" t="s">
        <v>73</v>
      </c>
      <c r="AD371" s="93">
        <f t="shared" ref="AD371" si="416">W371/AC367</f>
        <v>9.8315426315789475E-2</v>
      </c>
    </row>
    <row r="372" spans="1:30" s="55" customFormat="1" ht="15.95">
      <c r="A372" s="57"/>
      <c r="B372" s="58" t="s">
        <v>48</v>
      </c>
      <c r="C372" s="58" t="s">
        <v>114</v>
      </c>
      <c r="D372" s="58"/>
      <c r="E372" s="58" t="s">
        <v>20</v>
      </c>
      <c r="F372" s="58" t="s">
        <v>21</v>
      </c>
      <c r="G372" s="58" t="s">
        <v>50</v>
      </c>
      <c r="H372" s="58"/>
      <c r="I372" s="58" t="s">
        <v>136</v>
      </c>
      <c r="J372" s="58"/>
      <c r="K372" s="58" t="s">
        <v>137</v>
      </c>
      <c r="L372" s="59">
        <v>2023</v>
      </c>
      <c r="M372" s="58" t="s">
        <v>138</v>
      </c>
      <c r="N372" s="58" t="s">
        <v>24</v>
      </c>
      <c r="O372" s="58" t="s">
        <v>54</v>
      </c>
      <c r="P372" s="58" t="s">
        <v>25</v>
      </c>
      <c r="Q372" s="60">
        <v>48913</v>
      </c>
      <c r="R372" s="60">
        <v>46883</v>
      </c>
      <c r="S372" s="61">
        <v>29781</v>
      </c>
      <c r="T372" s="61">
        <v>291</v>
      </c>
      <c r="U372" s="62" t="s">
        <v>62</v>
      </c>
      <c r="V372" s="63" t="s">
        <v>56</v>
      </c>
      <c r="W372" s="60">
        <v>11151357</v>
      </c>
      <c r="X372" s="60">
        <f t="shared" si="357"/>
        <v>227.98350131866783</v>
      </c>
      <c r="Y372" s="60">
        <f t="shared" si="358"/>
        <v>237.85502207623233</v>
      </c>
      <c r="Z372" s="60">
        <f t="shared" si="359"/>
        <v>374.44535106275811</v>
      </c>
      <c r="AA372" s="60">
        <f t="shared" si="360"/>
        <v>38320.81443298969</v>
      </c>
      <c r="AB372" s="77" t="s">
        <v>73</v>
      </c>
      <c r="AD372" s="93">
        <f t="shared" ref="AD372" si="417">W372/AC367</f>
        <v>5.8691352631578944E-2</v>
      </c>
    </row>
    <row r="373" spans="1:30" s="55" customFormat="1" ht="15.95">
      <c r="A373" s="57"/>
      <c r="B373" s="58" t="s">
        <v>48</v>
      </c>
      <c r="C373" s="58" t="s">
        <v>114</v>
      </c>
      <c r="D373" s="58"/>
      <c r="E373" s="58" t="s">
        <v>20</v>
      </c>
      <c r="F373" s="58" t="s">
        <v>21</v>
      </c>
      <c r="G373" s="58" t="s">
        <v>50</v>
      </c>
      <c r="H373" s="58"/>
      <c r="I373" s="58" t="s">
        <v>136</v>
      </c>
      <c r="J373" s="58"/>
      <c r="K373" s="58" t="s">
        <v>137</v>
      </c>
      <c r="L373" s="59">
        <v>2023</v>
      </c>
      <c r="M373" s="58" t="s">
        <v>138</v>
      </c>
      <c r="N373" s="58" t="s">
        <v>24</v>
      </c>
      <c r="O373" s="58" t="s">
        <v>54</v>
      </c>
      <c r="P373" s="58" t="s">
        <v>25</v>
      </c>
      <c r="Q373" s="60">
        <v>48913</v>
      </c>
      <c r="R373" s="60">
        <v>46883</v>
      </c>
      <c r="S373" s="61">
        <v>29781</v>
      </c>
      <c r="T373" s="61">
        <v>291</v>
      </c>
      <c r="U373" s="62" t="s">
        <v>63</v>
      </c>
      <c r="V373" s="63" t="s">
        <v>56</v>
      </c>
      <c r="W373" s="60">
        <v>4120887</v>
      </c>
      <c r="X373" s="60">
        <f t="shared" si="357"/>
        <v>84.249320221617978</v>
      </c>
      <c r="Y373" s="60">
        <f t="shared" si="358"/>
        <v>87.897254868502444</v>
      </c>
      <c r="Z373" s="60">
        <f t="shared" si="359"/>
        <v>138.37302306839931</v>
      </c>
      <c r="AA373" s="60">
        <f t="shared" si="360"/>
        <v>14161.123711340206</v>
      </c>
      <c r="AB373" s="77" t="s">
        <v>73</v>
      </c>
      <c r="AD373" s="93">
        <f t="shared" ref="AD373" si="418">W373/AC367</f>
        <v>2.1688878947368422E-2</v>
      </c>
    </row>
    <row r="374" spans="1:30" s="55" customFormat="1" ht="15.95">
      <c r="A374" s="57"/>
      <c r="B374" s="58" t="s">
        <v>48</v>
      </c>
      <c r="C374" s="58" t="s">
        <v>114</v>
      </c>
      <c r="D374" s="58"/>
      <c r="E374" s="58" t="s">
        <v>20</v>
      </c>
      <c r="F374" s="58" t="s">
        <v>21</v>
      </c>
      <c r="G374" s="58" t="s">
        <v>50</v>
      </c>
      <c r="H374" s="58"/>
      <c r="I374" s="58" t="s">
        <v>136</v>
      </c>
      <c r="J374" s="58"/>
      <c r="K374" s="58" t="s">
        <v>137</v>
      </c>
      <c r="L374" s="59">
        <v>2023</v>
      </c>
      <c r="M374" s="58" t="s">
        <v>138</v>
      </c>
      <c r="N374" s="58" t="s">
        <v>24</v>
      </c>
      <c r="O374" s="58" t="s">
        <v>54</v>
      </c>
      <c r="P374" s="58" t="s">
        <v>25</v>
      </c>
      <c r="Q374" s="60">
        <v>48913</v>
      </c>
      <c r="R374" s="60">
        <v>46883</v>
      </c>
      <c r="S374" s="61">
        <v>29781</v>
      </c>
      <c r="T374" s="61">
        <v>291</v>
      </c>
      <c r="U374" s="62" t="s">
        <v>64</v>
      </c>
      <c r="V374" s="63" t="s">
        <v>56</v>
      </c>
      <c r="W374" s="60">
        <v>463748</v>
      </c>
      <c r="X374" s="60">
        <f t="shared" si="357"/>
        <v>9.4810786498476887</v>
      </c>
      <c r="Y374" s="60">
        <f t="shared" si="358"/>
        <v>9.8916024998400278</v>
      </c>
      <c r="Z374" s="60">
        <f t="shared" si="359"/>
        <v>15.5719418421141</v>
      </c>
      <c r="AA374" s="60">
        <f t="shared" si="360"/>
        <v>1593.6357388316151</v>
      </c>
      <c r="AB374" s="77" t="s">
        <v>73</v>
      </c>
      <c r="AD374" s="93">
        <f t="shared" ref="AD374" si="419">W374/AC367</f>
        <v>2.4407789473684209E-3</v>
      </c>
    </row>
    <row r="375" spans="1:30" s="55" customFormat="1" ht="15.95">
      <c r="A375" s="57"/>
      <c r="B375" s="58" t="s">
        <v>48</v>
      </c>
      <c r="C375" s="58" t="s">
        <v>114</v>
      </c>
      <c r="D375" s="58"/>
      <c r="E375" s="58" t="s">
        <v>20</v>
      </c>
      <c r="F375" s="58" t="s">
        <v>21</v>
      </c>
      <c r="G375" s="58" t="s">
        <v>50</v>
      </c>
      <c r="H375" s="58"/>
      <c r="I375" s="58" t="s">
        <v>136</v>
      </c>
      <c r="J375" s="58"/>
      <c r="K375" s="58" t="s">
        <v>137</v>
      </c>
      <c r="L375" s="59">
        <v>2023</v>
      </c>
      <c r="M375" s="58" t="s">
        <v>138</v>
      </c>
      <c r="N375" s="58" t="s">
        <v>24</v>
      </c>
      <c r="O375" s="58" t="s">
        <v>54</v>
      </c>
      <c r="P375" s="58" t="s">
        <v>25</v>
      </c>
      <c r="Q375" s="60">
        <v>48913</v>
      </c>
      <c r="R375" s="60">
        <v>46883</v>
      </c>
      <c r="S375" s="61">
        <v>29781</v>
      </c>
      <c r="T375" s="61">
        <v>291</v>
      </c>
      <c r="U375" s="62" t="s">
        <v>65</v>
      </c>
      <c r="V375" s="63" t="s">
        <v>56</v>
      </c>
      <c r="W375" s="60">
        <v>28765315</v>
      </c>
      <c r="X375" s="60">
        <f t="shared" si="357"/>
        <v>588.091407192362</v>
      </c>
      <c r="Y375" s="60">
        <f t="shared" si="358"/>
        <v>613.55533988865898</v>
      </c>
      <c r="Z375" s="60">
        <f t="shared" si="359"/>
        <v>965.89486585406803</v>
      </c>
      <c r="AA375" s="60">
        <f t="shared" si="360"/>
        <v>98849.879725085906</v>
      </c>
      <c r="AB375" s="77" t="s">
        <v>73</v>
      </c>
      <c r="AD375" s="93">
        <f t="shared" ref="AD375" si="420">W375/AC367</f>
        <v>0.1513963947368421</v>
      </c>
    </row>
    <row r="376" spans="1:30" s="55" customFormat="1" ht="15.95">
      <c r="A376" s="57"/>
      <c r="B376" s="58" t="s">
        <v>48</v>
      </c>
      <c r="C376" s="58" t="s">
        <v>114</v>
      </c>
      <c r="D376" s="58"/>
      <c r="E376" s="58" t="s">
        <v>20</v>
      </c>
      <c r="F376" s="58" t="s">
        <v>21</v>
      </c>
      <c r="G376" s="58" t="s">
        <v>50</v>
      </c>
      <c r="H376" s="58"/>
      <c r="I376" s="58" t="s">
        <v>136</v>
      </c>
      <c r="J376" s="58"/>
      <c r="K376" s="58" t="s">
        <v>137</v>
      </c>
      <c r="L376" s="59">
        <v>2023</v>
      </c>
      <c r="M376" s="58" t="s">
        <v>138</v>
      </c>
      <c r="N376" s="58" t="s">
        <v>24</v>
      </c>
      <c r="O376" s="58" t="s">
        <v>54</v>
      </c>
      <c r="P376" s="58" t="s">
        <v>25</v>
      </c>
      <c r="Q376" s="60">
        <v>48913</v>
      </c>
      <c r="R376" s="60">
        <v>46883</v>
      </c>
      <c r="S376" s="61">
        <v>29781</v>
      </c>
      <c r="T376" s="61">
        <v>291</v>
      </c>
      <c r="U376" s="62" t="s">
        <v>66</v>
      </c>
      <c r="V376" s="63" t="s">
        <v>56</v>
      </c>
      <c r="W376" s="60">
        <v>19581851</v>
      </c>
      <c r="X376" s="60">
        <f t="shared" si="357"/>
        <v>400.34042074704064</v>
      </c>
      <c r="Y376" s="60">
        <f t="shared" si="358"/>
        <v>417.67487148859925</v>
      </c>
      <c r="Z376" s="60">
        <f t="shared" si="359"/>
        <v>657.52832342768875</v>
      </c>
      <c r="AA376" s="60">
        <f t="shared" si="360"/>
        <v>67291.584192439856</v>
      </c>
      <c r="AB376" s="77" t="s">
        <v>73</v>
      </c>
      <c r="AD376" s="93">
        <f t="shared" ref="AD376" si="421">W376/AC367</f>
        <v>0.10306237368421052</v>
      </c>
    </row>
    <row r="377" spans="1:30" s="55" customFormat="1" ht="15.95">
      <c r="A377" s="57"/>
      <c r="B377" s="58" t="s">
        <v>48</v>
      </c>
      <c r="C377" s="58" t="s">
        <v>114</v>
      </c>
      <c r="D377" s="58"/>
      <c r="E377" s="58" t="s">
        <v>20</v>
      </c>
      <c r="F377" s="58" t="s">
        <v>21</v>
      </c>
      <c r="G377" s="58" t="s">
        <v>50</v>
      </c>
      <c r="H377" s="58"/>
      <c r="I377" s="58" t="s">
        <v>136</v>
      </c>
      <c r="J377" s="58"/>
      <c r="K377" s="58" t="s">
        <v>137</v>
      </c>
      <c r="L377" s="59">
        <v>2023</v>
      </c>
      <c r="M377" s="58" t="s">
        <v>138</v>
      </c>
      <c r="N377" s="58" t="s">
        <v>24</v>
      </c>
      <c r="O377" s="58" t="s">
        <v>54</v>
      </c>
      <c r="P377" s="58" t="s">
        <v>25</v>
      </c>
      <c r="Q377" s="60">
        <v>48913</v>
      </c>
      <c r="R377" s="60">
        <v>46883</v>
      </c>
      <c r="S377" s="61">
        <v>29781</v>
      </c>
      <c r="T377" s="61">
        <v>291</v>
      </c>
      <c r="U377" s="62" t="s">
        <v>67</v>
      </c>
      <c r="V377" s="63" t="s">
        <v>56</v>
      </c>
      <c r="W377" s="60">
        <v>2752148</v>
      </c>
      <c r="X377" s="60">
        <f t="shared" si="357"/>
        <v>56.266186903277244</v>
      </c>
      <c r="Y377" s="60">
        <f t="shared" si="358"/>
        <v>58.702472111426317</v>
      </c>
      <c r="Z377" s="60">
        <f t="shared" si="359"/>
        <v>92.412880695745613</v>
      </c>
      <c r="AA377" s="60">
        <f t="shared" si="360"/>
        <v>9457.5532646048105</v>
      </c>
      <c r="AB377" s="77" t="s">
        <v>73</v>
      </c>
      <c r="AD377" s="93">
        <f t="shared" ref="AD377" si="422">W377/AC367</f>
        <v>1.448498947368421E-2</v>
      </c>
    </row>
    <row r="378" spans="1:30" s="55" customFormat="1" ht="15.95">
      <c r="A378" s="57"/>
      <c r="B378" s="58" t="s">
        <v>48</v>
      </c>
      <c r="C378" s="58" t="s">
        <v>114</v>
      </c>
      <c r="D378" s="58"/>
      <c r="E378" s="58" t="s">
        <v>20</v>
      </c>
      <c r="F378" s="58" t="s">
        <v>21</v>
      </c>
      <c r="G378" s="58" t="s">
        <v>50</v>
      </c>
      <c r="H378" s="58"/>
      <c r="I378" s="58" t="s">
        <v>136</v>
      </c>
      <c r="J378" s="58"/>
      <c r="K378" s="58" t="s">
        <v>137</v>
      </c>
      <c r="L378" s="59">
        <v>2023</v>
      </c>
      <c r="M378" s="58" t="s">
        <v>138</v>
      </c>
      <c r="N378" s="58" t="s">
        <v>24</v>
      </c>
      <c r="O378" s="58" t="s">
        <v>54</v>
      </c>
      <c r="P378" s="58" t="s">
        <v>25</v>
      </c>
      <c r="Q378" s="60">
        <v>48913</v>
      </c>
      <c r="R378" s="60">
        <v>46883</v>
      </c>
      <c r="S378" s="61">
        <v>29781</v>
      </c>
      <c r="T378" s="61">
        <v>291</v>
      </c>
      <c r="U378" s="62" t="s">
        <v>68</v>
      </c>
      <c r="V378" s="63" t="s">
        <v>56</v>
      </c>
      <c r="W378" s="60">
        <v>5678071</v>
      </c>
      <c r="X378" s="60">
        <f t="shared" si="357"/>
        <v>116.08511029787581</v>
      </c>
      <c r="Y378" s="60">
        <f t="shared" si="358"/>
        <v>121.11151163534757</v>
      </c>
      <c r="Z378" s="60">
        <f t="shared" si="359"/>
        <v>190.66085759376784</v>
      </c>
      <c r="AA378" s="60">
        <f t="shared" si="360"/>
        <v>19512.271477663231</v>
      </c>
      <c r="AB378" s="77" t="s">
        <v>73</v>
      </c>
      <c r="AD378" s="93">
        <f t="shared" ref="AD378" si="423">W378/AC367</f>
        <v>2.9884584210526317E-2</v>
      </c>
    </row>
    <row r="379" spans="1:30" s="55" customFormat="1" ht="15.95">
      <c r="A379" s="57"/>
      <c r="B379" s="58" t="s">
        <v>48</v>
      </c>
      <c r="C379" s="58" t="s">
        <v>114</v>
      </c>
      <c r="D379" s="58"/>
      <c r="E379" s="58" t="s">
        <v>20</v>
      </c>
      <c r="F379" s="58" t="s">
        <v>21</v>
      </c>
      <c r="G379" s="58" t="s">
        <v>50</v>
      </c>
      <c r="H379" s="58"/>
      <c r="I379" s="58" t="s">
        <v>136</v>
      </c>
      <c r="J379" s="58"/>
      <c r="K379" s="58" t="s">
        <v>137</v>
      </c>
      <c r="L379" s="59">
        <v>2023</v>
      </c>
      <c r="M379" s="58" t="s">
        <v>138</v>
      </c>
      <c r="N379" s="58" t="s">
        <v>24</v>
      </c>
      <c r="O379" s="58" t="s">
        <v>54</v>
      </c>
      <c r="P379" s="58" t="s">
        <v>25</v>
      </c>
      <c r="Q379" s="60">
        <v>48913</v>
      </c>
      <c r="R379" s="60">
        <v>46883</v>
      </c>
      <c r="S379" s="61">
        <v>29781</v>
      </c>
      <c r="T379" s="61">
        <v>291</v>
      </c>
      <c r="U379" s="62" t="s">
        <v>69</v>
      </c>
      <c r="V379" s="63" t="s">
        <v>56</v>
      </c>
      <c r="W379" s="60">
        <v>20384994</v>
      </c>
      <c r="X379" s="60">
        <f t="shared" si="357"/>
        <v>416.76024778688691</v>
      </c>
      <c r="Y379" s="60">
        <f t="shared" si="358"/>
        <v>434.80566516647826</v>
      </c>
      <c r="Z379" s="60">
        <f t="shared" si="359"/>
        <v>684.49662536516576</v>
      </c>
      <c r="AA379" s="60">
        <f t="shared" si="360"/>
        <v>70051.52577319587</v>
      </c>
      <c r="AB379" s="77" t="s">
        <v>73</v>
      </c>
      <c r="AD379" s="93">
        <f t="shared" ref="AD379" si="424">W379/AC367</f>
        <v>0.10728944210526316</v>
      </c>
    </row>
    <row r="380" spans="1:30" s="32" customFormat="1" ht="15" customHeight="1">
      <c r="A380" s="65"/>
      <c r="B380" s="66" t="s">
        <v>48</v>
      </c>
      <c r="C380" s="66" t="s">
        <v>114</v>
      </c>
      <c r="D380" s="66"/>
      <c r="E380" s="66" t="s">
        <v>20</v>
      </c>
      <c r="F380" s="66" t="s">
        <v>21</v>
      </c>
      <c r="G380" s="66" t="s">
        <v>50</v>
      </c>
      <c r="H380" s="66"/>
      <c r="I380" s="66" t="s">
        <v>139</v>
      </c>
      <c r="J380" s="66"/>
      <c r="K380" s="66" t="s">
        <v>140</v>
      </c>
      <c r="L380" s="67">
        <v>2023</v>
      </c>
      <c r="M380" s="66" t="s">
        <v>138</v>
      </c>
      <c r="N380" s="66" t="s">
        <v>24</v>
      </c>
      <c r="O380" s="66" t="s">
        <v>54</v>
      </c>
      <c r="P380" s="66" t="s">
        <v>25</v>
      </c>
      <c r="Q380" s="68">
        <v>49705</v>
      </c>
      <c r="R380" s="68">
        <v>46130</v>
      </c>
      <c r="S380" s="69">
        <v>30977</v>
      </c>
      <c r="T380" s="69">
        <v>304</v>
      </c>
      <c r="U380" s="74" t="s">
        <v>55</v>
      </c>
      <c r="V380" s="75" t="s">
        <v>56</v>
      </c>
      <c r="W380" s="68">
        <v>18086662</v>
      </c>
      <c r="X380" s="68">
        <f t="shared" si="357"/>
        <v>363.8801327834222</v>
      </c>
      <c r="Y380" s="68">
        <f t="shared" si="358"/>
        <v>392.08025146325599</v>
      </c>
      <c r="Z380" s="68">
        <f t="shared" si="359"/>
        <v>583.87390644671848</v>
      </c>
      <c r="AA380" s="68">
        <f t="shared" si="360"/>
        <v>59495.598684210527</v>
      </c>
      <c r="AB380" s="78" t="s">
        <v>73</v>
      </c>
      <c r="AC380" s="92">
        <f t="shared" ref="AC380" si="425">SUM(W380:W392)</f>
        <v>194049999</v>
      </c>
      <c r="AD380" s="93">
        <f t="shared" ref="AD380" si="426">W380/AC380</f>
        <v>9.32061947601453E-2</v>
      </c>
    </row>
    <row r="381" spans="1:30" s="32" customFormat="1" ht="15.95">
      <c r="A381" s="65"/>
      <c r="B381" s="66" t="s">
        <v>48</v>
      </c>
      <c r="C381" s="66" t="s">
        <v>114</v>
      </c>
      <c r="D381" s="66"/>
      <c r="E381" s="66" t="s">
        <v>20</v>
      </c>
      <c r="F381" s="66" t="s">
        <v>21</v>
      </c>
      <c r="G381" s="66" t="s">
        <v>50</v>
      </c>
      <c r="H381" s="66"/>
      <c r="I381" s="66" t="s">
        <v>139</v>
      </c>
      <c r="J381" s="66"/>
      <c r="K381" s="66" t="s">
        <v>140</v>
      </c>
      <c r="L381" s="67">
        <v>2023</v>
      </c>
      <c r="M381" s="66" t="s">
        <v>138</v>
      </c>
      <c r="N381" s="66" t="s">
        <v>24</v>
      </c>
      <c r="O381" s="66" t="s">
        <v>54</v>
      </c>
      <c r="P381" s="66" t="s">
        <v>25</v>
      </c>
      <c r="Q381" s="68">
        <v>49705</v>
      </c>
      <c r="R381" s="68">
        <v>46130</v>
      </c>
      <c r="S381" s="69">
        <v>30977</v>
      </c>
      <c r="T381" s="69">
        <v>304</v>
      </c>
      <c r="U381" s="74" t="s">
        <v>58</v>
      </c>
      <c r="V381" s="75" t="s">
        <v>56</v>
      </c>
      <c r="W381" s="68">
        <v>37927461</v>
      </c>
      <c r="X381" s="68">
        <f t="shared" si="357"/>
        <v>763.05122221104511</v>
      </c>
      <c r="Y381" s="68">
        <f t="shared" si="358"/>
        <v>822.18645133318887</v>
      </c>
      <c r="Z381" s="68">
        <f t="shared" si="359"/>
        <v>1224.374891048197</v>
      </c>
      <c r="AA381" s="68">
        <f t="shared" si="360"/>
        <v>124761.38486842105</v>
      </c>
      <c r="AB381" s="78" t="s">
        <v>73</v>
      </c>
      <c r="AC381" s="55"/>
      <c r="AD381" s="93">
        <f t="shared" ref="AD381" si="427">W381/AC380</f>
        <v>0.19545200306854935</v>
      </c>
    </row>
    <row r="382" spans="1:30" s="32" customFormat="1" ht="15.95">
      <c r="A382" s="65"/>
      <c r="B382" s="66" t="s">
        <v>48</v>
      </c>
      <c r="C382" s="66" t="s">
        <v>114</v>
      </c>
      <c r="D382" s="66"/>
      <c r="E382" s="66" t="s">
        <v>20</v>
      </c>
      <c r="F382" s="66" t="s">
        <v>21</v>
      </c>
      <c r="G382" s="66" t="s">
        <v>50</v>
      </c>
      <c r="H382" s="66"/>
      <c r="I382" s="66" t="s">
        <v>139</v>
      </c>
      <c r="J382" s="66"/>
      <c r="K382" s="66" t="s">
        <v>140</v>
      </c>
      <c r="L382" s="67">
        <v>2023</v>
      </c>
      <c r="M382" s="66" t="s">
        <v>138</v>
      </c>
      <c r="N382" s="66" t="s">
        <v>24</v>
      </c>
      <c r="O382" s="66" t="s">
        <v>54</v>
      </c>
      <c r="P382" s="66" t="s">
        <v>25</v>
      </c>
      <c r="Q382" s="68">
        <v>49705</v>
      </c>
      <c r="R382" s="68">
        <v>46130</v>
      </c>
      <c r="S382" s="69">
        <v>30977</v>
      </c>
      <c r="T382" s="69">
        <v>304</v>
      </c>
      <c r="U382" s="74" t="s">
        <v>59</v>
      </c>
      <c r="V382" s="75" t="s">
        <v>56</v>
      </c>
      <c r="W382" s="68">
        <v>12697740</v>
      </c>
      <c r="X382" s="68">
        <f t="shared" si="357"/>
        <v>255.46202595312343</v>
      </c>
      <c r="Y382" s="68">
        <f t="shared" si="358"/>
        <v>275.25991762410581</v>
      </c>
      <c r="Z382" s="68">
        <f t="shared" si="359"/>
        <v>409.90864189559994</v>
      </c>
      <c r="AA382" s="68">
        <f t="shared" si="360"/>
        <v>41768.881578947367</v>
      </c>
      <c r="AB382" s="78" t="s">
        <v>73</v>
      </c>
      <c r="AC382" s="55"/>
      <c r="AD382" s="93">
        <f t="shared" ref="AD382" si="428">W382/AC380</f>
        <v>6.5435403583794918E-2</v>
      </c>
    </row>
    <row r="383" spans="1:30" s="32" customFormat="1" ht="15.95">
      <c r="A383" s="65"/>
      <c r="B383" s="66" t="s">
        <v>48</v>
      </c>
      <c r="C383" s="66" t="s">
        <v>114</v>
      </c>
      <c r="D383" s="66"/>
      <c r="E383" s="66" t="s">
        <v>20</v>
      </c>
      <c r="F383" s="66" t="s">
        <v>21</v>
      </c>
      <c r="G383" s="66" t="s">
        <v>50</v>
      </c>
      <c r="H383" s="66"/>
      <c r="I383" s="66" t="s">
        <v>139</v>
      </c>
      <c r="J383" s="66"/>
      <c r="K383" s="66" t="s">
        <v>140</v>
      </c>
      <c r="L383" s="67">
        <v>2023</v>
      </c>
      <c r="M383" s="66" t="s">
        <v>138</v>
      </c>
      <c r="N383" s="66" t="s">
        <v>24</v>
      </c>
      <c r="O383" s="66" t="s">
        <v>54</v>
      </c>
      <c r="P383" s="66" t="s">
        <v>25</v>
      </c>
      <c r="Q383" s="68">
        <v>49705</v>
      </c>
      <c r="R383" s="68">
        <v>46130</v>
      </c>
      <c r="S383" s="69">
        <v>30977</v>
      </c>
      <c r="T383" s="69">
        <v>304</v>
      </c>
      <c r="U383" s="74" t="s">
        <v>60</v>
      </c>
      <c r="V383" s="75" t="s">
        <v>56</v>
      </c>
      <c r="W383" s="68">
        <v>11053526</v>
      </c>
      <c r="X383" s="68">
        <f t="shared" si="357"/>
        <v>222.38257720551252</v>
      </c>
      <c r="Y383" s="68">
        <f t="shared" si="358"/>
        <v>239.61686538044657</v>
      </c>
      <c r="Z383" s="68">
        <f t="shared" si="359"/>
        <v>356.83009975142846</v>
      </c>
      <c r="AA383" s="68">
        <f t="shared" si="360"/>
        <v>36360.28289473684</v>
      </c>
      <c r="AB383" s="78" t="s">
        <v>73</v>
      </c>
      <c r="AC383" s="55"/>
      <c r="AD383" s="93">
        <f t="shared" ref="AD383" si="429">W383/AC380</f>
        <v>5.6962257443763244E-2</v>
      </c>
    </row>
    <row r="384" spans="1:30" s="32" customFormat="1" ht="15.95">
      <c r="A384" s="65"/>
      <c r="B384" s="66" t="s">
        <v>48</v>
      </c>
      <c r="C384" s="66" t="s">
        <v>114</v>
      </c>
      <c r="D384" s="66"/>
      <c r="E384" s="66" t="s">
        <v>20</v>
      </c>
      <c r="F384" s="66" t="s">
        <v>21</v>
      </c>
      <c r="G384" s="66" t="s">
        <v>50</v>
      </c>
      <c r="H384" s="66"/>
      <c r="I384" s="66" t="s">
        <v>139</v>
      </c>
      <c r="J384" s="66"/>
      <c r="K384" s="66" t="s">
        <v>140</v>
      </c>
      <c r="L384" s="67">
        <v>2023</v>
      </c>
      <c r="M384" s="66" t="s">
        <v>138</v>
      </c>
      <c r="N384" s="66" t="s">
        <v>24</v>
      </c>
      <c r="O384" s="66" t="s">
        <v>54</v>
      </c>
      <c r="P384" s="66" t="s">
        <v>25</v>
      </c>
      <c r="Q384" s="68">
        <v>49705</v>
      </c>
      <c r="R384" s="68">
        <v>46130</v>
      </c>
      <c r="S384" s="69">
        <v>30977</v>
      </c>
      <c r="T384" s="69">
        <v>304</v>
      </c>
      <c r="U384" s="74" t="s">
        <v>61</v>
      </c>
      <c r="V384" s="75" t="s">
        <v>56</v>
      </c>
      <c r="W384" s="68">
        <v>21489666</v>
      </c>
      <c r="X384" s="68">
        <f t="shared" ref="X384:X408" si="430">W384/Q384</f>
        <v>432.34415048787849</v>
      </c>
      <c r="Y384" s="68">
        <f t="shared" ref="Y384:Y408" si="431">W384/R384</f>
        <v>465.85011922826794</v>
      </c>
      <c r="Z384" s="68">
        <f t="shared" ref="Z384:Z408" si="432">W384/S384</f>
        <v>693.72973496465124</v>
      </c>
      <c r="AA384" s="68">
        <f t="shared" ref="AA384:AA408" si="433">W384/T384</f>
        <v>70689.69078947368</v>
      </c>
      <c r="AB384" s="78" t="s">
        <v>73</v>
      </c>
      <c r="AC384" s="55"/>
      <c r="AD384" s="93">
        <f t="shared" ref="AD384" si="434">W384/AC380</f>
        <v>0.1107429328046531</v>
      </c>
    </row>
    <row r="385" spans="1:30" s="32" customFormat="1" ht="15.95">
      <c r="A385" s="65"/>
      <c r="B385" s="66" t="s">
        <v>48</v>
      </c>
      <c r="C385" s="66" t="s">
        <v>114</v>
      </c>
      <c r="D385" s="66"/>
      <c r="E385" s="66" t="s">
        <v>20</v>
      </c>
      <c r="F385" s="66" t="s">
        <v>21</v>
      </c>
      <c r="G385" s="66" t="s">
        <v>50</v>
      </c>
      <c r="H385" s="66"/>
      <c r="I385" s="66" t="s">
        <v>139</v>
      </c>
      <c r="J385" s="66"/>
      <c r="K385" s="66" t="s">
        <v>140</v>
      </c>
      <c r="L385" s="67">
        <v>2023</v>
      </c>
      <c r="M385" s="66" t="s">
        <v>138</v>
      </c>
      <c r="N385" s="66" t="s">
        <v>24</v>
      </c>
      <c r="O385" s="66" t="s">
        <v>54</v>
      </c>
      <c r="P385" s="66" t="s">
        <v>25</v>
      </c>
      <c r="Q385" s="68">
        <v>49705</v>
      </c>
      <c r="R385" s="68">
        <v>46130</v>
      </c>
      <c r="S385" s="69">
        <v>30977</v>
      </c>
      <c r="T385" s="69">
        <v>304</v>
      </c>
      <c r="U385" s="74" t="s">
        <v>62</v>
      </c>
      <c r="V385" s="75" t="s">
        <v>56</v>
      </c>
      <c r="W385" s="68">
        <v>12448637</v>
      </c>
      <c r="X385" s="68">
        <f t="shared" si="430"/>
        <v>250.45039734433155</v>
      </c>
      <c r="Y385" s="68">
        <f t="shared" si="431"/>
        <v>269.85989594623891</v>
      </c>
      <c r="Z385" s="68">
        <f t="shared" si="432"/>
        <v>401.86709494140814</v>
      </c>
      <c r="AA385" s="68">
        <f t="shared" si="433"/>
        <v>40949.463815789473</v>
      </c>
      <c r="AB385" s="78" t="s">
        <v>73</v>
      </c>
      <c r="AC385" s="55"/>
      <c r="AD385" s="93">
        <f t="shared" ref="AD385" si="435">W385/AC380</f>
        <v>6.4151698346568919E-2</v>
      </c>
    </row>
    <row r="386" spans="1:30" s="32" customFormat="1" ht="15.95">
      <c r="A386" s="65"/>
      <c r="B386" s="66" t="s">
        <v>48</v>
      </c>
      <c r="C386" s="66" t="s">
        <v>114</v>
      </c>
      <c r="D386" s="66"/>
      <c r="E386" s="66" t="s">
        <v>20</v>
      </c>
      <c r="F386" s="66" t="s">
        <v>21</v>
      </c>
      <c r="G386" s="66" t="s">
        <v>50</v>
      </c>
      <c r="H386" s="66"/>
      <c r="I386" s="66" t="s">
        <v>139</v>
      </c>
      <c r="J386" s="66"/>
      <c r="K386" s="66" t="s">
        <v>140</v>
      </c>
      <c r="L386" s="67">
        <v>2023</v>
      </c>
      <c r="M386" s="66" t="s">
        <v>138</v>
      </c>
      <c r="N386" s="66" t="s">
        <v>24</v>
      </c>
      <c r="O386" s="66" t="s">
        <v>54</v>
      </c>
      <c r="P386" s="66" t="s">
        <v>25</v>
      </c>
      <c r="Q386" s="68">
        <v>49705</v>
      </c>
      <c r="R386" s="68">
        <v>46130</v>
      </c>
      <c r="S386" s="69">
        <v>30977</v>
      </c>
      <c r="T386" s="69">
        <v>304</v>
      </c>
      <c r="U386" s="74" t="s">
        <v>63</v>
      </c>
      <c r="V386" s="75" t="s">
        <v>56</v>
      </c>
      <c r="W386" s="68">
        <v>4106234</v>
      </c>
      <c r="X386" s="68">
        <f t="shared" si="430"/>
        <v>82.612091338899504</v>
      </c>
      <c r="Y386" s="68">
        <f t="shared" si="431"/>
        <v>89.014394103620205</v>
      </c>
      <c r="Z386" s="68">
        <f t="shared" si="432"/>
        <v>132.55751041095007</v>
      </c>
      <c r="AA386" s="68">
        <f t="shared" si="433"/>
        <v>13507.348684210527</v>
      </c>
      <c r="AB386" s="78" t="s">
        <v>73</v>
      </c>
      <c r="AC386" s="55"/>
      <c r="AD386" s="93">
        <f t="shared" ref="AD386" si="436">W386/AC380</f>
        <v>2.1160700959343987E-2</v>
      </c>
    </row>
    <row r="387" spans="1:30" s="32" customFormat="1" ht="15.95">
      <c r="A387" s="65"/>
      <c r="B387" s="66" t="s">
        <v>48</v>
      </c>
      <c r="C387" s="66" t="s">
        <v>114</v>
      </c>
      <c r="D387" s="66"/>
      <c r="E387" s="66" t="s">
        <v>20</v>
      </c>
      <c r="F387" s="66" t="s">
        <v>21</v>
      </c>
      <c r="G387" s="66" t="s">
        <v>50</v>
      </c>
      <c r="H387" s="66"/>
      <c r="I387" s="66" t="s">
        <v>139</v>
      </c>
      <c r="J387" s="66"/>
      <c r="K387" s="66" t="s">
        <v>140</v>
      </c>
      <c r="L387" s="67">
        <v>2023</v>
      </c>
      <c r="M387" s="66" t="s">
        <v>138</v>
      </c>
      <c r="N387" s="66" t="s">
        <v>24</v>
      </c>
      <c r="O387" s="66" t="s">
        <v>54</v>
      </c>
      <c r="P387" s="66" t="s">
        <v>25</v>
      </c>
      <c r="Q387" s="68">
        <v>49705</v>
      </c>
      <c r="R387" s="68">
        <v>46130</v>
      </c>
      <c r="S387" s="69">
        <v>30977</v>
      </c>
      <c r="T387" s="69">
        <v>304</v>
      </c>
      <c r="U387" s="74" t="s">
        <v>64</v>
      </c>
      <c r="V387" s="75" t="s">
        <v>56</v>
      </c>
      <c r="W387" s="68">
        <v>57512</v>
      </c>
      <c r="X387" s="68">
        <f t="shared" si="430"/>
        <v>1.1570666934916005</v>
      </c>
      <c r="Y387" s="68">
        <f t="shared" si="431"/>
        <v>1.2467374810318665</v>
      </c>
      <c r="Z387" s="68">
        <f t="shared" si="432"/>
        <v>1.8566032863091972</v>
      </c>
      <c r="AA387" s="68">
        <f t="shared" si="433"/>
        <v>189.18421052631578</v>
      </c>
      <c r="AB387" s="78" t="s">
        <v>73</v>
      </c>
      <c r="AC387" s="55"/>
      <c r="AD387" s="93">
        <f t="shared" ref="AD387" si="437">W387/AC380</f>
        <v>2.9637722389269378E-4</v>
      </c>
    </row>
    <row r="388" spans="1:30" s="32" customFormat="1" ht="15.95">
      <c r="A388" s="65"/>
      <c r="B388" s="66" t="s">
        <v>48</v>
      </c>
      <c r="C388" s="66" t="s">
        <v>114</v>
      </c>
      <c r="D388" s="66"/>
      <c r="E388" s="66" t="s">
        <v>20</v>
      </c>
      <c r="F388" s="66" t="s">
        <v>21</v>
      </c>
      <c r="G388" s="66" t="s">
        <v>50</v>
      </c>
      <c r="H388" s="66"/>
      <c r="I388" s="66" t="s">
        <v>139</v>
      </c>
      <c r="J388" s="66"/>
      <c r="K388" s="66" t="s">
        <v>140</v>
      </c>
      <c r="L388" s="67">
        <v>2023</v>
      </c>
      <c r="M388" s="66" t="s">
        <v>138</v>
      </c>
      <c r="N388" s="66" t="s">
        <v>24</v>
      </c>
      <c r="O388" s="66" t="s">
        <v>54</v>
      </c>
      <c r="P388" s="66" t="s">
        <v>25</v>
      </c>
      <c r="Q388" s="68">
        <v>49705</v>
      </c>
      <c r="R388" s="68">
        <v>46130</v>
      </c>
      <c r="S388" s="69">
        <v>30977</v>
      </c>
      <c r="T388" s="69">
        <v>304</v>
      </c>
      <c r="U388" s="74" t="s">
        <v>65</v>
      </c>
      <c r="V388" s="75" t="s">
        <v>56</v>
      </c>
      <c r="W388" s="68">
        <v>26265026</v>
      </c>
      <c r="X388" s="68">
        <f t="shared" si="430"/>
        <v>528.4181873051001</v>
      </c>
      <c r="Y388" s="68">
        <f t="shared" si="431"/>
        <v>569.36973769781059</v>
      </c>
      <c r="Z388" s="68">
        <f t="shared" si="432"/>
        <v>847.887981405559</v>
      </c>
      <c r="AA388" s="68">
        <f t="shared" si="433"/>
        <v>86398.111842105267</v>
      </c>
      <c r="AB388" s="78" t="s">
        <v>73</v>
      </c>
      <c r="AC388" s="55"/>
      <c r="AD388" s="93">
        <f t="shared" ref="AD388" si="438">W388/AC380</f>
        <v>0.13535184815950449</v>
      </c>
    </row>
    <row r="389" spans="1:30" s="32" customFormat="1" ht="15.95">
      <c r="A389" s="65"/>
      <c r="B389" s="66" t="s">
        <v>48</v>
      </c>
      <c r="C389" s="66" t="s">
        <v>114</v>
      </c>
      <c r="D389" s="66"/>
      <c r="E389" s="66" t="s">
        <v>20</v>
      </c>
      <c r="F389" s="66" t="s">
        <v>21</v>
      </c>
      <c r="G389" s="66" t="s">
        <v>50</v>
      </c>
      <c r="H389" s="66"/>
      <c r="I389" s="66" t="s">
        <v>139</v>
      </c>
      <c r="J389" s="66"/>
      <c r="K389" s="66" t="s">
        <v>140</v>
      </c>
      <c r="L389" s="67">
        <v>2023</v>
      </c>
      <c r="M389" s="66" t="s">
        <v>138</v>
      </c>
      <c r="N389" s="66" t="s">
        <v>24</v>
      </c>
      <c r="O389" s="66" t="s">
        <v>54</v>
      </c>
      <c r="P389" s="66" t="s">
        <v>25</v>
      </c>
      <c r="Q389" s="68">
        <v>49705</v>
      </c>
      <c r="R389" s="68">
        <v>46130</v>
      </c>
      <c r="S389" s="69">
        <v>30977</v>
      </c>
      <c r="T389" s="69">
        <v>304</v>
      </c>
      <c r="U389" s="74" t="s">
        <v>66</v>
      </c>
      <c r="V389" s="75" t="s">
        <v>56</v>
      </c>
      <c r="W389" s="68">
        <v>20931120</v>
      </c>
      <c r="X389" s="68">
        <f t="shared" si="430"/>
        <v>421.10693089226436</v>
      </c>
      <c r="Y389" s="68">
        <f t="shared" si="431"/>
        <v>453.74203338391504</v>
      </c>
      <c r="Z389" s="68">
        <f t="shared" si="432"/>
        <v>675.69874422958969</v>
      </c>
      <c r="AA389" s="68">
        <f t="shared" si="433"/>
        <v>68852.368421052626</v>
      </c>
      <c r="AB389" s="78" t="s">
        <v>73</v>
      </c>
      <c r="AC389" s="55"/>
      <c r="AD389" s="93">
        <f t="shared" ref="AD389" si="439">W389/AC380</f>
        <v>0.10786457154271874</v>
      </c>
    </row>
    <row r="390" spans="1:30" s="32" customFormat="1" ht="15.95">
      <c r="A390" s="65"/>
      <c r="B390" s="66" t="s">
        <v>48</v>
      </c>
      <c r="C390" s="66" t="s">
        <v>114</v>
      </c>
      <c r="D390" s="66"/>
      <c r="E390" s="66" t="s">
        <v>20</v>
      </c>
      <c r="F390" s="66" t="s">
        <v>21</v>
      </c>
      <c r="G390" s="66" t="s">
        <v>50</v>
      </c>
      <c r="H390" s="66"/>
      <c r="I390" s="66" t="s">
        <v>139</v>
      </c>
      <c r="J390" s="66"/>
      <c r="K390" s="66" t="s">
        <v>140</v>
      </c>
      <c r="L390" s="67">
        <v>2023</v>
      </c>
      <c r="M390" s="66" t="s">
        <v>138</v>
      </c>
      <c r="N390" s="66" t="s">
        <v>24</v>
      </c>
      <c r="O390" s="66" t="s">
        <v>54</v>
      </c>
      <c r="P390" s="66" t="s">
        <v>25</v>
      </c>
      <c r="Q390" s="68">
        <v>49705</v>
      </c>
      <c r="R390" s="68">
        <v>46130</v>
      </c>
      <c r="S390" s="69">
        <v>30977</v>
      </c>
      <c r="T390" s="69">
        <v>304</v>
      </c>
      <c r="U390" s="74" t="s">
        <v>67</v>
      </c>
      <c r="V390" s="75" t="s">
        <v>56</v>
      </c>
      <c r="W390" s="68">
        <v>3304783</v>
      </c>
      <c r="X390" s="68">
        <f t="shared" si="430"/>
        <v>66.487938839150985</v>
      </c>
      <c r="Y390" s="68">
        <f t="shared" si="431"/>
        <v>71.640646000433563</v>
      </c>
      <c r="Z390" s="68">
        <f t="shared" si="432"/>
        <v>106.68505665493754</v>
      </c>
      <c r="AA390" s="68">
        <f t="shared" si="433"/>
        <v>10870.996710526315</v>
      </c>
      <c r="AB390" s="78" t="s">
        <v>73</v>
      </c>
      <c r="AC390" s="55"/>
      <c r="AD390" s="93">
        <f t="shared" ref="AD390" si="440">W390/AC380</f>
        <v>1.7030574681940608E-2</v>
      </c>
    </row>
    <row r="391" spans="1:30" s="32" customFormat="1" ht="15.95">
      <c r="A391" s="65"/>
      <c r="B391" s="66" t="s">
        <v>48</v>
      </c>
      <c r="C391" s="66" t="s">
        <v>114</v>
      </c>
      <c r="D391" s="66"/>
      <c r="E391" s="66" t="s">
        <v>20</v>
      </c>
      <c r="F391" s="66" t="s">
        <v>21</v>
      </c>
      <c r="G391" s="66" t="s">
        <v>50</v>
      </c>
      <c r="H391" s="66"/>
      <c r="I391" s="66" t="s">
        <v>139</v>
      </c>
      <c r="J391" s="66"/>
      <c r="K391" s="66" t="s">
        <v>140</v>
      </c>
      <c r="L391" s="67">
        <v>2023</v>
      </c>
      <c r="M391" s="66" t="s">
        <v>138</v>
      </c>
      <c r="N391" s="66" t="s">
        <v>24</v>
      </c>
      <c r="O391" s="66" t="s">
        <v>54</v>
      </c>
      <c r="P391" s="66" t="s">
        <v>25</v>
      </c>
      <c r="Q391" s="68">
        <v>49705</v>
      </c>
      <c r="R391" s="68">
        <v>46130</v>
      </c>
      <c r="S391" s="69">
        <v>30977</v>
      </c>
      <c r="T391" s="69">
        <v>304</v>
      </c>
      <c r="U391" s="74" t="s">
        <v>68</v>
      </c>
      <c r="V391" s="75" t="s">
        <v>56</v>
      </c>
      <c r="W391" s="68">
        <v>7594476</v>
      </c>
      <c r="X391" s="68">
        <f t="shared" si="430"/>
        <v>152.79098682225128</v>
      </c>
      <c r="Y391" s="68">
        <f t="shared" si="431"/>
        <v>164.63203988727508</v>
      </c>
      <c r="Z391" s="68">
        <f t="shared" si="432"/>
        <v>245.16499338218679</v>
      </c>
      <c r="AA391" s="68">
        <f t="shared" si="433"/>
        <v>24981.82894736842</v>
      </c>
      <c r="AB391" s="78" t="s">
        <v>73</v>
      </c>
      <c r="AC391" s="55"/>
      <c r="AD391" s="93">
        <f t="shared" ref="AD391" si="441">W391/AC380</f>
        <v>3.9136696929331083E-2</v>
      </c>
    </row>
    <row r="392" spans="1:30" s="32" customFormat="1" ht="15.95">
      <c r="A392" s="65"/>
      <c r="B392" s="66" t="s">
        <v>48</v>
      </c>
      <c r="C392" s="66" t="s">
        <v>114</v>
      </c>
      <c r="D392" s="66"/>
      <c r="E392" s="66" t="s">
        <v>20</v>
      </c>
      <c r="F392" s="66" t="s">
        <v>21</v>
      </c>
      <c r="G392" s="66" t="s">
        <v>50</v>
      </c>
      <c r="H392" s="66"/>
      <c r="I392" s="66" t="s">
        <v>139</v>
      </c>
      <c r="J392" s="66"/>
      <c r="K392" s="66" t="s">
        <v>140</v>
      </c>
      <c r="L392" s="67">
        <v>2023</v>
      </c>
      <c r="M392" s="66" t="s">
        <v>138</v>
      </c>
      <c r="N392" s="66" t="s">
        <v>24</v>
      </c>
      <c r="O392" s="66" t="s">
        <v>54</v>
      </c>
      <c r="P392" s="66" t="s">
        <v>25</v>
      </c>
      <c r="Q392" s="68">
        <v>49705</v>
      </c>
      <c r="R392" s="68">
        <v>46130</v>
      </c>
      <c r="S392" s="69">
        <v>30977</v>
      </c>
      <c r="T392" s="69">
        <v>304</v>
      </c>
      <c r="U392" s="74" t="s">
        <v>69</v>
      </c>
      <c r="V392" s="75" t="s">
        <v>56</v>
      </c>
      <c r="W392" s="68">
        <v>18087156</v>
      </c>
      <c r="X392" s="68">
        <f t="shared" si="430"/>
        <v>363.89007142138615</v>
      </c>
      <c r="Y392" s="68">
        <f t="shared" si="431"/>
        <v>392.09096032950356</v>
      </c>
      <c r="Z392" s="68">
        <f t="shared" si="432"/>
        <v>583.88985376246887</v>
      </c>
      <c r="AA392" s="68">
        <f t="shared" si="433"/>
        <v>59497.223684210527</v>
      </c>
      <c r="AB392" s="78" t="s">
        <v>73</v>
      </c>
      <c r="AC392" s="55"/>
      <c r="AD392" s="93">
        <f t="shared" ref="AD392" si="442">W392/AC380</f>
        <v>9.3208740495793557E-2</v>
      </c>
    </row>
    <row r="393" spans="1:30" s="55" customFormat="1" ht="15" customHeight="1">
      <c r="A393" s="57"/>
      <c r="B393" s="58" t="s">
        <v>48</v>
      </c>
      <c r="C393" s="58" t="s">
        <v>114</v>
      </c>
      <c r="D393" s="58"/>
      <c r="E393" s="58" t="s">
        <v>20</v>
      </c>
      <c r="F393" s="58" t="s">
        <v>21</v>
      </c>
      <c r="G393" s="58" t="s">
        <v>141</v>
      </c>
      <c r="H393" s="58"/>
      <c r="I393" s="58" t="s">
        <v>142</v>
      </c>
      <c r="J393" s="58"/>
      <c r="K393" s="58" t="s">
        <v>143</v>
      </c>
      <c r="L393" s="59">
        <v>2023</v>
      </c>
      <c r="M393" s="58" t="s">
        <v>144</v>
      </c>
      <c r="N393" s="58" t="s">
        <v>24</v>
      </c>
      <c r="O393" s="58" t="s">
        <v>54</v>
      </c>
      <c r="P393" s="58" t="s">
        <v>25</v>
      </c>
      <c r="Q393" s="60">
        <v>60087</v>
      </c>
      <c r="R393" s="60">
        <v>57083</v>
      </c>
      <c r="S393" s="61">
        <v>35537</v>
      </c>
      <c r="T393" s="61">
        <v>335</v>
      </c>
      <c r="U393" s="62" t="s">
        <v>55</v>
      </c>
      <c r="V393" s="63" t="s">
        <v>56</v>
      </c>
      <c r="W393" s="60">
        <v>14916063</v>
      </c>
      <c r="X393" s="60">
        <f t="shared" ref="X393:X405" si="443">W393/Q393</f>
        <v>248.2411004044136</v>
      </c>
      <c r="Y393" s="60">
        <f t="shared" ref="Y393:Y405" si="444">W393/R393</f>
        <v>261.30481929821485</v>
      </c>
      <c r="Z393" s="60">
        <f t="shared" ref="Z393:Z405" si="445">W393/S393</f>
        <v>419.73332020148013</v>
      </c>
      <c r="AA393" s="60">
        <f t="shared" ref="AA393:AA405" si="446">W393/T393</f>
        <v>44525.561194029848</v>
      </c>
      <c r="AB393" s="77" t="s">
        <v>73</v>
      </c>
      <c r="AC393" s="92">
        <f t="shared" ref="AC393" si="447">SUM(W393:W405)</f>
        <v>168097474</v>
      </c>
      <c r="AD393" s="93">
        <f t="shared" ref="AD393" si="448">W393/AC393</f>
        <v>8.8734605256471616E-2</v>
      </c>
    </row>
    <row r="394" spans="1:30" s="55" customFormat="1" ht="15.95">
      <c r="A394" s="57"/>
      <c r="B394" s="58" t="s">
        <v>48</v>
      </c>
      <c r="C394" s="58" t="s">
        <v>114</v>
      </c>
      <c r="D394" s="58"/>
      <c r="E394" s="58" t="s">
        <v>20</v>
      </c>
      <c r="F394" s="58" t="s">
        <v>21</v>
      </c>
      <c r="G394" s="58" t="s">
        <v>141</v>
      </c>
      <c r="H394" s="58"/>
      <c r="I394" s="58" t="s">
        <v>142</v>
      </c>
      <c r="J394" s="58"/>
      <c r="K394" s="58" t="s">
        <v>143</v>
      </c>
      <c r="L394" s="59">
        <v>2023</v>
      </c>
      <c r="M394" s="58" t="s">
        <v>144</v>
      </c>
      <c r="N394" s="58" t="s">
        <v>24</v>
      </c>
      <c r="O394" s="58" t="s">
        <v>54</v>
      </c>
      <c r="P394" s="58" t="s">
        <v>25</v>
      </c>
      <c r="Q394" s="60">
        <v>60087</v>
      </c>
      <c r="R394" s="60">
        <v>57083</v>
      </c>
      <c r="S394" s="61">
        <v>35537</v>
      </c>
      <c r="T394" s="61">
        <v>335</v>
      </c>
      <c r="U394" s="62" t="s">
        <v>58</v>
      </c>
      <c r="V394" s="63" t="s">
        <v>56</v>
      </c>
      <c r="W394" s="60">
        <v>30295871</v>
      </c>
      <c r="X394" s="60">
        <f t="shared" si="443"/>
        <v>504.20009319819593</v>
      </c>
      <c r="Y394" s="60">
        <f t="shared" si="444"/>
        <v>530.73368603612289</v>
      </c>
      <c r="Z394" s="60">
        <f t="shared" si="445"/>
        <v>852.51627880800288</v>
      </c>
      <c r="AA394" s="60">
        <f t="shared" si="446"/>
        <v>90435.435820895524</v>
      </c>
      <c r="AB394" s="77" t="s">
        <v>73</v>
      </c>
      <c r="AD394" s="93">
        <f t="shared" ref="AD394" si="449">W394/AC393</f>
        <v>0.1802279967633541</v>
      </c>
    </row>
    <row r="395" spans="1:30" s="55" customFormat="1" ht="15.95">
      <c r="A395" s="57"/>
      <c r="B395" s="58" t="s">
        <v>48</v>
      </c>
      <c r="C395" s="58" t="s">
        <v>114</v>
      </c>
      <c r="D395" s="58"/>
      <c r="E395" s="58" t="s">
        <v>20</v>
      </c>
      <c r="F395" s="58" t="s">
        <v>21</v>
      </c>
      <c r="G395" s="58" t="s">
        <v>141</v>
      </c>
      <c r="H395" s="58"/>
      <c r="I395" s="58" t="s">
        <v>142</v>
      </c>
      <c r="J395" s="58"/>
      <c r="K395" s="58" t="s">
        <v>143</v>
      </c>
      <c r="L395" s="59">
        <v>2023</v>
      </c>
      <c r="M395" s="58" t="s">
        <v>144</v>
      </c>
      <c r="N395" s="58" t="s">
        <v>24</v>
      </c>
      <c r="O395" s="58" t="s">
        <v>54</v>
      </c>
      <c r="P395" s="58" t="s">
        <v>25</v>
      </c>
      <c r="Q395" s="60">
        <v>60087</v>
      </c>
      <c r="R395" s="60">
        <v>57083</v>
      </c>
      <c r="S395" s="61">
        <v>35537</v>
      </c>
      <c r="T395" s="61">
        <v>335</v>
      </c>
      <c r="U395" s="62" t="s">
        <v>59</v>
      </c>
      <c r="V395" s="63" t="s">
        <v>56</v>
      </c>
      <c r="W395" s="60">
        <v>23031674</v>
      </c>
      <c r="X395" s="60">
        <f t="shared" si="443"/>
        <v>383.30544044468854</v>
      </c>
      <c r="Y395" s="60">
        <f t="shared" si="444"/>
        <v>403.47693709160347</v>
      </c>
      <c r="Z395" s="60">
        <f t="shared" si="445"/>
        <v>648.10406055660303</v>
      </c>
      <c r="AA395" s="60">
        <f t="shared" si="446"/>
        <v>68751.265671641784</v>
      </c>
      <c r="AB395" s="77" t="s">
        <v>73</v>
      </c>
      <c r="AD395" s="93">
        <f t="shared" ref="AD395" si="450">W395/AC393</f>
        <v>0.13701380188497062</v>
      </c>
    </row>
    <row r="396" spans="1:30" s="55" customFormat="1" ht="15.95">
      <c r="A396" s="57"/>
      <c r="B396" s="58" t="s">
        <v>48</v>
      </c>
      <c r="C396" s="58" t="s">
        <v>114</v>
      </c>
      <c r="D396" s="58"/>
      <c r="E396" s="58" t="s">
        <v>20</v>
      </c>
      <c r="F396" s="58" t="s">
        <v>21</v>
      </c>
      <c r="G396" s="58" t="s">
        <v>141</v>
      </c>
      <c r="H396" s="58"/>
      <c r="I396" s="58" t="s">
        <v>142</v>
      </c>
      <c r="J396" s="58"/>
      <c r="K396" s="58" t="s">
        <v>143</v>
      </c>
      <c r="L396" s="59">
        <v>2023</v>
      </c>
      <c r="M396" s="58" t="s">
        <v>144</v>
      </c>
      <c r="N396" s="58" t="s">
        <v>24</v>
      </c>
      <c r="O396" s="58" t="s">
        <v>54</v>
      </c>
      <c r="P396" s="58" t="s">
        <v>25</v>
      </c>
      <c r="Q396" s="60">
        <v>60087</v>
      </c>
      <c r="R396" s="60">
        <v>57083</v>
      </c>
      <c r="S396" s="61">
        <v>35537</v>
      </c>
      <c r="T396" s="61">
        <v>335</v>
      </c>
      <c r="U396" s="62" t="s">
        <v>60</v>
      </c>
      <c r="V396" s="63" t="s">
        <v>56</v>
      </c>
      <c r="W396" s="60">
        <v>9040854</v>
      </c>
      <c r="X396" s="60">
        <f t="shared" si="443"/>
        <v>150.46272904288782</v>
      </c>
      <c r="Y396" s="60">
        <f t="shared" si="444"/>
        <v>158.38084893926387</v>
      </c>
      <c r="Z396" s="60">
        <f t="shared" si="445"/>
        <v>254.40678729211808</v>
      </c>
      <c r="AA396" s="60">
        <f t="shared" si="446"/>
        <v>26987.623880597013</v>
      </c>
      <c r="AB396" s="77" t="s">
        <v>73</v>
      </c>
      <c r="AD396" s="93">
        <f t="shared" ref="AD396" si="451">W396/AC393</f>
        <v>5.3783401885027733E-2</v>
      </c>
    </row>
    <row r="397" spans="1:30" s="55" customFormat="1" ht="15.95">
      <c r="A397" s="57"/>
      <c r="B397" s="58" t="s">
        <v>48</v>
      </c>
      <c r="C397" s="58" t="s">
        <v>114</v>
      </c>
      <c r="D397" s="58"/>
      <c r="E397" s="58" t="s">
        <v>20</v>
      </c>
      <c r="F397" s="58" t="s">
        <v>21</v>
      </c>
      <c r="G397" s="58" t="s">
        <v>141</v>
      </c>
      <c r="H397" s="58"/>
      <c r="I397" s="58" t="s">
        <v>142</v>
      </c>
      <c r="J397" s="58"/>
      <c r="K397" s="58" t="s">
        <v>143</v>
      </c>
      <c r="L397" s="59">
        <v>2023</v>
      </c>
      <c r="M397" s="58" t="s">
        <v>144</v>
      </c>
      <c r="N397" s="58" t="s">
        <v>24</v>
      </c>
      <c r="O397" s="58" t="s">
        <v>54</v>
      </c>
      <c r="P397" s="58" t="s">
        <v>25</v>
      </c>
      <c r="Q397" s="60">
        <v>60087</v>
      </c>
      <c r="R397" s="60">
        <v>57083</v>
      </c>
      <c r="S397" s="61">
        <v>35537</v>
      </c>
      <c r="T397" s="61">
        <v>335</v>
      </c>
      <c r="U397" s="62" t="s">
        <v>61</v>
      </c>
      <c r="V397" s="63" t="s">
        <v>56</v>
      </c>
      <c r="W397" s="60">
        <v>20027349</v>
      </c>
      <c r="X397" s="60">
        <f t="shared" si="443"/>
        <v>333.3058565080633</v>
      </c>
      <c r="Y397" s="60">
        <f t="shared" si="444"/>
        <v>350.84611880945289</v>
      </c>
      <c r="Z397" s="60">
        <f t="shared" si="445"/>
        <v>563.5633002223035</v>
      </c>
      <c r="AA397" s="60">
        <f t="shared" si="446"/>
        <v>59783.131343283581</v>
      </c>
      <c r="AB397" s="77" t="s">
        <v>73</v>
      </c>
      <c r="AD397" s="93">
        <f t="shared" ref="AD397" si="452">W397/AC393</f>
        <v>0.11914128465725785</v>
      </c>
    </row>
    <row r="398" spans="1:30" s="55" customFormat="1" ht="15.95">
      <c r="A398" s="57"/>
      <c r="B398" s="58" t="s">
        <v>48</v>
      </c>
      <c r="C398" s="58" t="s">
        <v>114</v>
      </c>
      <c r="D398" s="58"/>
      <c r="E398" s="58" t="s">
        <v>20</v>
      </c>
      <c r="F398" s="58" t="s">
        <v>21</v>
      </c>
      <c r="G398" s="58" t="s">
        <v>141</v>
      </c>
      <c r="H398" s="58"/>
      <c r="I398" s="58" t="s">
        <v>142</v>
      </c>
      <c r="J398" s="58"/>
      <c r="K398" s="58" t="s">
        <v>143</v>
      </c>
      <c r="L398" s="59">
        <v>2023</v>
      </c>
      <c r="M398" s="58" t="s">
        <v>144</v>
      </c>
      <c r="N398" s="58" t="s">
        <v>24</v>
      </c>
      <c r="O398" s="58" t="s">
        <v>54</v>
      </c>
      <c r="P398" s="58" t="s">
        <v>25</v>
      </c>
      <c r="Q398" s="60">
        <v>60087</v>
      </c>
      <c r="R398" s="60">
        <v>57083</v>
      </c>
      <c r="S398" s="61">
        <v>35537</v>
      </c>
      <c r="T398" s="61">
        <v>335</v>
      </c>
      <c r="U398" s="62" t="s">
        <v>62</v>
      </c>
      <c r="V398" s="63" t="s">
        <v>56</v>
      </c>
      <c r="W398" s="60">
        <v>7325140</v>
      </c>
      <c r="X398" s="60">
        <f t="shared" si="443"/>
        <v>121.90889876345965</v>
      </c>
      <c r="Y398" s="60">
        <f t="shared" si="444"/>
        <v>128.32436977734176</v>
      </c>
      <c r="Z398" s="60">
        <f t="shared" si="445"/>
        <v>206.12713509862959</v>
      </c>
      <c r="AA398" s="60">
        <f t="shared" si="446"/>
        <v>21866.089552238805</v>
      </c>
      <c r="AB398" s="77" t="s">
        <v>73</v>
      </c>
      <c r="AD398" s="93">
        <f t="shared" ref="AD398" si="453">W398/AC393</f>
        <v>4.3576740480942622E-2</v>
      </c>
    </row>
    <row r="399" spans="1:30" s="55" customFormat="1" ht="15.95">
      <c r="A399" s="57"/>
      <c r="B399" s="58" t="s">
        <v>48</v>
      </c>
      <c r="C399" s="58" t="s">
        <v>114</v>
      </c>
      <c r="D399" s="58"/>
      <c r="E399" s="58" t="s">
        <v>20</v>
      </c>
      <c r="F399" s="58" t="s">
        <v>21</v>
      </c>
      <c r="G399" s="58" t="s">
        <v>141</v>
      </c>
      <c r="H399" s="58"/>
      <c r="I399" s="58" t="s">
        <v>142</v>
      </c>
      <c r="J399" s="58"/>
      <c r="K399" s="58" t="s">
        <v>143</v>
      </c>
      <c r="L399" s="59">
        <v>2023</v>
      </c>
      <c r="M399" s="58" t="s">
        <v>144</v>
      </c>
      <c r="N399" s="58" t="s">
        <v>24</v>
      </c>
      <c r="O399" s="58" t="s">
        <v>54</v>
      </c>
      <c r="P399" s="58" t="s">
        <v>25</v>
      </c>
      <c r="Q399" s="60">
        <v>60087</v>
      </c>
      <c r="R399" s="60">
        <v>57083</v>
      </c>
      <c r="S399" s="61">
        <v>35537</v>
      </c>
      <c r="T399" s="61">
        <v>335</v>
      </c>
      <c r="U399" s="62" t="s">
        <v>63</v>
      </c>
      <c r="V399" s="63" t="s">
        <v>56</v>
      </c>
      <c r="W399" s="60">
        <v>2977830</v>
      </c>
      <c r="X399" s="60">
        <f t="shared" si="443"/>
        <v>49.558639972040538</v>
      </c>
      <c r="Y399" s="60">
        <f t="shared" si="444"/>
        <v>52.166669586391748</v>
      </c>
      <c r="Z399" s="60">
        <f t="shared" si="445"/>
        <v>83.795199369671053</v>
      </c>
      <c r="AA399" s="60">
        <f t="shared" si="446"/>
        <v>8889.0447761194027</v>
      </c>
      <c r="AB399" s="77" t="s">
        <v>73</v>
      </c>
      <c r="AD399" s="93">
        <f t="shared" ref="AD399" si="454">W399/AC393</f>
        <v>1.7714900344070608E-2</v>
      </c>
    </row>
    <row r="400" spans="1:30" s="55" customFormat="1" ht="15.95">
      <c r="A400" s="57"/>
      <c r="B400" s="58" t="s">
        <v>48</v>
      </c>
      <c r="C400" s="58" t="s">
        <v>114</v>
      </c>
      <c r="D400" s="58"/>
      <c r="E400" s="58" t="s">
        <v>20</v>
      </c>
      <c r="F400" s="58" t="s">
        <v>21</v>
      </c>
      <c r="G400" s="58" t="s">
        <v>141</v>
      </c>
      <c r="H400" s="58"/>
      <c r="I400" s="58" t="s">
        <v>142</v>
      </c>
      <c r="J400" s="58"/>
      <c r="K400" s="58" t="s">
        <v>143</v>
      </c>
      <c r="L400" s="59">
        <v>2023</v>
      </c>
      <c r="M400" s="58" t="s">
        <v>144</v>
      </c>
      <c r="N400" s="58" t="s">
        <v>24</v>
      </c>
      <c r="O400" s="58" t="s">
        <v>54</v>
      </c>
      <c r="P400" s="58" t="s">
        <v>25</v>
      </c>
      <c r="Q400" s="60">
        <v>60087</v>
      </c>
      <c r="R400" s="60">
        <v>57083</v>
      </c>
      <c r="S400" s="61">
        <v>35537</v>
      </c>
      <c r="T400" s="61">
        <v>335</v>
      </c>
      <c r="U400" s="62" t="s">
        <v>64</v>
      </c>
      <c r="V400" s="63" t="s">
        <v>56</v>
      </c>
      <c r="W400" s="60">
        <v>0</v>
      </c>
      <c r="X400" s="60">
        <f t="shared" si="443"/>
        <v>0</v>
      </c>
      <c r="Y400" s="60">
        <f t="shared" si="444"/>
        <v>0</v>
      </c>
      <c r="Z400" s="60">
        <f t="shared" si="445"/>
        <v>0</v>
      </c>
      <c r="AA400" s="60">
        <f t="shared" si="446"/>
        <v>0</v>
      </c>
      <c r="AB400" s="77" t="s">
        <v>73</v>
      </c>
      <c r="AD400" s="93">
        <f t="shared" ref="AD400" si="455">W400/AC393</f>
        <v>0</v>
      </c>
    </row>
    <row r="401" spans="1:30" s="55" customFormat="1" ht="15.95">
      <c r="A401" s="57"/>
      <c r="B401" s="58" t="s">
        <v>48</v>
      </c>
      <c r="C401" s="58" t="s">
        <v>114</v>
      </c>
      <c r="D401" s="58"/>
      <c r="E401" s="58" t="s">
        <v>20</v>
      </c>
      <c r="F401" s="58" t="s">
        <v>21</v>
      </c>
      <c r="G401" s="58" t="s">
        <v>141</v>
      </c>
      <c r="H401" s="58"/>
      <c r="I401" s="58" t="s">
        <v>142</v>
      </c>
      <c r="J401" s="58"/>
      <c r="K401" s="58" t="s">
        <v>143</v>
      </c>
      <c r="L401" s="59">
        <v>2023</v>
      </c>
      <c r="M401" s="58" t="s">
        <v>144</v>
      </c>
      <c r="N401" s="58" t="s">
        <v>24</v>
      </c>
      <c r="O401" s="58" t="s">
        <v>54</v>
      </c>
      <c r="P401" s="58" t="s">
        <v>25</v>
      </c>
      <c r="Q401" s="60">
        <v>60087</v>
      </c>
      <c r="R401" s="60">
        <v>57083</v>
      </c>
      <c r="S401" s="61">
        <v>35537</v>
      </c>
      <c r="T401" s="61">
        <v>335</v>
      </c>
      <c r="U401" s="62" t="s">
        <v>65</v>
      </c>
      <c r="V401" s="63" t="s">
        <v>56</v>
      </c>
      <c r="W401" s="60">
        <v>22113912</v>
      </c>
      <c r="X401" s="60">
        <f t="shared" si="443"/>
        <v>368.03155424634281</v>
      </c>
      <c r="Y401" s="60">
        <f t="shared" si="444"/>
        <v>387.39926072561008</v>
      </c>
      <c r="Z401" s="60">
        <f t="shared" si="445"/>
        <v>622.27852660607255</v>
      </c>
      <c r="AA401" s="60">
        <f t="shared" si="446"/>
        <v>66011.677611940293</v>
      </c>
      <c r="AB401" s="77" t="s">
        <v>73</v>
      </c>
      <c r="AD401" s="93">
        <f t="shared" ref="AD401" si="456">W401/AC393</f>
        <v>0.13155410056905437</v>
      </c>
    </row>
    <row r="402" spans="1:30" s="55" customFormat="1" ht="15.95">
      <c r="A402" s="57"/>
      <c r="B402" s="58" t="s">
        <v>48</v>
      </c>
      <c r="C402" s="58" t="s">
        <v>114</v>
      </c>
      <c r="D402" s="58"/>
      <c r="E402" s="58" t="s">
        <v>20</v>
      </c>
      <c r="F402" s="58" t="s">
        <v>21</v>
      </c>
      <c r="G402" s="58" t="s">
        <v>141</v>
      </c>
      <c r="H402" s="58"/>
      <c r="I402" s="58" t="s">
        <v>142</v>
      </c>
      <c r="J402" s="58"/>
      <c r="K402" s="58" t="s">
        <v>143</v>
      </c>
      <c r="L402" s="59">
        <v>2023</v>
      </c>
      <c r="M402" s="58" t="s">
        <v>144</v>
      </c>
      <c r="N402" s="58" t="s">
        <v>24</v>
      </c>
      <c r="O402" s="58" t="s">
        <v>54</v>
      </c>
      <c r="P402" s="58" t="s">
        <v>25</v>
      </c>
      <c r="Q402" s="60">
        <v>60087</v>
      </c>
      <c r="R402" s="60">
        <v>57083</v>
      </c>
      <c r="S402" s="61">
        <v>35537</v>
      </c>
      <c r="T402" s="61">
        <v>335</v>
      </c>
      <c r="U402" s="62" t="s">
        <v>66</v>
      </c>
      <c r="V402" s="63" t="s">
        <v>56</v>
      </c>
      <c r="W402" s="60">
        <v>21266849</v>
      </c>
      <c r="X402" s="60">
        <f t="shared" si="443"/>
        <v>353.93427862932083</v>
      </c>
      <c r="Y402" s="60">
        <f t="shared" si="444"/>
        <v>372.56011421964507</v>
      </c>
      <c r="Z402" s="60">
        <f t="shared" si="445"/>
        <v>598.44244027351772</v>
      </c>
      <c r="AA402" s="60">
        <f t="shared" si="446"/>
        <v>63483.131343283581</v>
      </c>
      <c r="AB402" s="77" t="s">
        <v>73</v>
      </c>
      <c r="AD402" s="93">
        <f t="shared" ref="AD402" si="457">W402/AC393</f>
        <v>0.12651498261062508</v>
      </c>
    </row>
    <row r="403" spans="1:30" s="55" customFormat="1" ht="15.95">
      <c r="A403" s="57"/>
      <c r="B403" s="58" t="s">
        <v>48</v>
      </c>
      <c r="C403" s="58" t="s">
        <v>114</v>
      </c>
      <c r="D403" s="58"/>
      <c r="E403" s="58" t="s">
        <v>20</v>
      </c>
      <c r="F403" s="58" t="s">
        <v>21</v>
      </c>
      <c r="G403" s="58" t="s">
        <v>141</v>
      </c>
      <c r="H403" s="58"/>
      <c r="I403" s="58" t="s">
        <v>142</v>
      </c>
      <c r="J403" s="58"/>
      <c r="K403" s="58" t="s">
        <v>143</v>
      </c>
      <c r="L403" s="59">
        <v>2023</v>
      </c>
      <c r="M403" s="58" t="s">
        <v>144</v>
      </c>
      <c r="N403" s="58" t="s">
        <v>24</v>
      </c>
      <c r="O403" s="58" t="s">
        <v>54</v>
      </c>
      <c r="P403" s="58" t="s">
        <v>25</v>
      </c>
      <c r="Q403" s="60">
        <v>60087</v>
      </c>
      <c r="R403" s="60">
        <v>57083</v>
      </c>
      <c r="S403" s="61">
        <v>35537</v>
      </c>
      <c r="T403" s="61">
        <v>335</v>
      </c>
      <c r="U403" s="62" t="s">
        <v>67</v>
      </c>
      <c r="V403" s="63" t="s">
        <v>56</v>
      </c>
      <c r="W403" s="60">
        <v>2203500</v>
      </c>
      <c r="X403" s="60">
        <f t="shared" si="443"/>
        <v>36.671825852513855</v>
      </c>
      <c r="Y403" s="60">
        <f t="shared" si="444"/>
        <v>38.601685265315417</v>
      </c>
      <c r="Z403" s="60">
        <f t="shared" si="445"/>
        <v>62.005796775192053</v>
      </c>
      <c r="AA403" s="60">
        <f t="shared" si="446"/>
        <v>6577.6119402985078</v>
      </c>
      <c r="AB403" s="77" t="s">
        <v>73</v>
      </c>
      <c r="AD403" s="93">
        <f t="shared" ref="AD403" si="458">W403/AC393</f>
        <v>1.3108465865465652E-2</v>
      </c>
    </row>
    <row r="404" spans="1:30" s="55" customFormat="1" ht="15.95">
      <c r="A404" s="57"/>
      <c r="B404" s="58" t="s">
        <v>48</v>
      </c>
      <c r="C404" s="58" t="s">
        <v>114</v>
      </c>
      <c r="D404" s="58"/>
      <c r="E404" s="58" t="s">
        <v>20</v>
      </c>
      <c r="F404" s="58" t="s">
        <v>21</v>
      </c>
      <c r="G404" s="58" t="s">
        <v>141</v>
      </c>
      <c r="H404" s="58"/>
      <c r="I404" s="58" t="s">
        <v>142</v>
      </c>
      <c r="J404" s="58"/>
      <c r="K404" s="58" t="s">
        <v>143</v>
      </c>
      <c r="L404" s="59">
        <v>2023</v>
      </c>
      <c r="M404" s="58" t="s">
        <v>144</v>
      </c>
      <c r="N404" s="58" t="s">
        <v>24</v>
      </c>
      <c r="O404" s="58" t="s">
        <v>54</v>
      </c>
      <c r="P404" s="58" t="s">
        <v>25</v>
      </c>
      <c r="Q404" s="60">
        <v>60087</v>
      </c>
      <c r="R404" s="60">
        <v>57083</v>
      </c>
      <c r="S404" s="61">
        <v>35537</v>
      </c>
      <c r="T404" s="61">
        <v>335</v>
      </c>
      <c r="U404" s="62" t="s">
        <v>68</v>
      </c>
      <c r="V404" s="63" t="s">
        <v>56</v>
      </c>
      <c r="W404" s="60">
        <v>10393561</v>
      </c>
      <c r="X404" s="60">
        <f t="shared" si="443"/>
        <v>172.97520262286352</v>
      </c>
      <c r="Y404" s="60">
        <f t="shared" si="444"/>
        <v>182.0780442513533</v>
      </c>
      <c r="Z404" s="60">
        <f t="shared" si="445"/>
        <v>292.47153670821962</v>
      </c>
      <c r="AA404" s="60">
        <f t="shared" si="446"/>
        <v>31025.555223880598</v>
      </c>
      <c r="AB404" s="77" t="s">
        <v>73</v>
      </c>
      <c r="AD404" s="93">
        <f t="shared" ref="AD404" si="459">W404/AC393</f>
        <v>6.1830560285516249E-2</v>
      </c>
    </row>
    <row r="405" spans="1:30" s="55" customFormat="1" ht="15.95">
      <c r="A405" s="57"/>
      <c r="B405" s="58" t="s">
        <v>48</v>
      </c>
      <c r="C405" s="58" t="s">
        <v>114</v>
      </c>
      <c r="D405" s="58"/>
      <c r="E405" s="58" t="s">
        <v>20</v>
      </c>
      <c r="F405" s="58" t="s">
        <v>21</v>
      </c>
      <c r="G405" s="58" t="s">
        <v>141</v>
      </c>
      <c r="H405" s="58"/>
      <c r="I405" s="58" t="s">
        <v>142</v>
      </c>
      <c r="J405" s="58"/>
      <c r="K405" s="58" t="s">
        <v>143</v>
      </c>
      <c r="L405" s="59">
        <v>2023</v>
      </c>
      <c r="M405" s="58" t="s">
        <v>144</v>
      </c>
      <c r="N405" s="58" t="s">
        <v>24</v>
      </c>
      <c r="O405" s="58" t="s">
        <v>54</v>
      </c>
      <c r="P405" s="58" t="s">
        <v>25</v>
      </c>
      <c r="Q405" s="60">
        <v>60087</v>
      </c>
      <c r="R405" s="60">
        <v>57083</v>
      </c>
      <c r="S405" s="61">
        <v>35537</v>
      </c>
      <c r="T405" s="61">
        <v>335</v>
      </c>
      <c r="U405" s="62" t="s">
        <v>69</v>
      </c>
      <c r="V405" s="63" t="s">
        <v>56</v>
      </c>
      <c r="W405" s="60">
        <v>4504871</v>
      </c>
      <c r="X405" s="60">
        <f t="shared" si="443"/>
        <v>74.972473247124995</v>
      </c>
      <c r="Y405" s="60">
        <f t="shared" si="444"/>
        <v>78.917909009687648</v>
      </c>
      <c r="Z405" s="60">
        <f t="shared" si="445"/>
        <v>126.76565270000282</v>
      </c>
      <c r="AA405" s="60">
        <f t="shared" si="446"/>
        <v>13447.376119402985</v>
      </c>
      <c r="AB405" s="77" t="s">
        <v>73</v>
      </c>
      <c r="AD405" s="93">
        <f t="shared" ref="AD405" si="460">W405/AC393</f>
        <v>2.6799159397243529E-2</v>
      </c>
    </row>
    <row r="406" spans="1:30" s="32" customFormat="1" ht="15" customHeight="1">
      <c r="A406" s="65"/>
      <c r="B406" s="66" t="s">
        <v>48</v>
      </c>
      <c r="C406" s="66" t="s">
        <v>114</v>
      </c>
      <c r="D406" s="66"/>
      <c r="E406" s="66" t="s">
        <v>20</v>
      </c>
      <c r="F406" s="66" t="s">
        <v>21</v>
      </c>
      <c r="G406" s="66" t="s">
        <v>145</v>
      </c>
      <c r="H406" s="66"/>
      <c r="I406" s="66" t="s">
        <v>146</v>
      </c>
      <c r="J406" s="66"/>
      <c r="K406" s="66" t="s">
        <v>147</v>
      </c>
      <c r="L406" s="67">
        <v>2023</v>
      </c>
      <c r="M406" s="66" t="s">
        <v>148</v>
      </c>
      <c r="N406" s="66" t="s">
        <v>24</v>
      </c>
      <c r="O406" s="66" t="s">
        <v>54</v>
      </c>
      <c r="P406" s="66" t="s">
        <v>25</v>
      </c>
      <c r="Q406" s="68">
        <v>20722</v>
      </c>
      <c r="R406" s="68">
        <v>19686</v>
      </c>
      <c r="S406" s="69">
        <v>11217</v>
      </c>
      <c r="T406" s="69">
        <v>129</v>
      </c>
      <c r="U406" s="74" t="s">
        <v>55</v>
      </c>
      <c r="V406" s="75" t="s">
        <v>56</v>
      </c>
      <c r="W406" s="68">
        <v>7464521</v>
      </c>
      <c r="X406" s="68">
        <f t="shared" si="430"/>
        <v>360.22203455264935</v>
      </c>
      <c r="Y406" s="68">
        <f t="shared" si="431"/>
        <v>379.1791628568526</v>
      </c>
      <c r="Z406" s="68">
        <f t="shared" si="432"/>
        <v>665.46500846928768</v>
      </c>
      <c r="AA406" s="68">
        <f t="shared" si="433"/>
        <v>57864.503875968992</v>
      </c>
      <c r="AB406" s="78" t="s">
        <v>73</v>
      </c>
      <c r="AC406" s="92">
        <f t="shared" ref="AC406" si="461">SUM(W406:W418)</f>
        <v>98859657</v>
      </c>
      <c r="AD406" s="93">
        <f t="shared" ref="AD406" si="462">W406/AC406</f>
        <v>7.5506240123815113E-2</v>
      </c>
    </row>
    <row r="407" spans="1:30" s="32" customFormat="1" ht="15.95">
      <c r="A407" s="65"/>
      <c r="B407" s="66" t="s">
        <v>48</v>
      </c>
      <c r="C407" s="66" t="s">
        <v>114</v>
      </c>
      <c r="D407" s="66"/>
      <c r="E407" s="66" t="s">
        <v>20</v>
      </c>
      <c r="F407" s="66" t="s">
        <v>21</v>
      </c>
      <c r="G407" s="66" t="s">
        <v>145</v>
      </c>
      <c r="H407" s="66"/>
      <c r="I407" s="66" t="s">
        <v>146</v>
      </c>
      <c r="J407" s="66"/>
      <c r="K407" s="66" t="s">
        <v>147</v>
      </c>
      <c r="L407" s="67">
        <v>2023</v>
      </c>
      <c r="M407" s="66" t="s">
        <v>148</v>
      </c>
      <c r="N407" s="66" t="s">
        <v>24</v>
      </c>
      <c r="O407" s="66" t="s">
        <v>54</v>
      </c>
      <c r="P407" s="66" t="s">
        <v>25</v>
      </c>
      <c r="Q407" s="68">
        <v>20722</v>
      </c>
      <c r="R407" s="68">
        <v>19686</v>
      </c>
      <c r="S407" s="69">
        <v>11217</v>
      </c>
      <c r="T407" s="69">
        <v>129</v>
      </c>
      <c r="U407" s="74" t="s">
        <v>58</v>
      </c>
      <c r="V407" s="75" t="s">
        <v>56</v>
      </c>
      <c r="W407" s="68">
        <v>12262108</v>
      </c>
      <c r="X407" s="68">
        <f t="shared" si="430"/>
        <v>591.74346105588268</v>
      </c>
      <c r="Y407" s="68">
        <f t="shared" si="431"/>
        <v>622.88468962714614</v>
      </c>
      <c r="Z407" s="68">
        <f t="shared" si="432"/>
        <v>1093.1717928144781</v>
      </c>
      <c r="AA407" s="68">
        <f t="shared" si="433"/>
        <v>95055.100775193801</v>
      </c>
      <c r="AB407" s="78" t="s">
        <v>73</v>
      </c>
      <c r="AC407" s="55"/>
      <c r="AD407" s="93">
        <f t="shared" ref="AD407" si="463">W407/AC406</f>
        <v>0.12403551025874994</v>
      </c>
    </row>
    <row r="408" spans="1:30" s="32" customFormat="1" ht="15.95">
      <c r="A408" s="65"/>
      <c r="B408" s="66" t="s">
        <v>48</v>
      </c>
      <c r="C408" s="66" t="s">
        <v>114</v>
      </c>
      <c r="D408" s="66"/>
      <c r="E408" s="66" t="s">
        <v>20</v>
      </c>
      <c r="F408" s="66" t="s">
        <v>21</v>
      </c>
      <c r="G408" s="66" t="s">
        <v>145</v>
      </c>
      <c r="H408" s="66"/>
      <c r="I408" s="66" t="s">
        <v>146</v>
      </c>
      <c r="J408" s="66"/>
      <c r="K408" s="66" t="s">
        <v>147</v>
      </c>
      <c r="L408" s="67">
        <v>2023</v>
      </c>
      <c r="M408" s="66" t="s">
        <v>148</v>
      </c>
      <c r="N408" s="66" t="s">
        <v>24</v>
      </c>
      <c r="O408" s="66" t="s">
        <v>54</v>
      </c>
      <c r="P408" s="66" t="s">
        <v>25</v>
      </c>
      <c r="Q408" s="68">
        <v>20722</v>
      </c>
      <c r="R408" s="68">
        <v>19686</v>
      </c>
      <c r="S408" s="69">
        <v>11217</v>
      </c>
      <c r="T408" s="69">
        <v>129</v>
      </c>
      <c r="U408" s="74" t="s">
        <v>59</v>
      </c>
      <c r="V408" s="75" t="s">
        <v>56</v>
      </c>
      <c r="W408" s="68">
        <v>7723929</v>
      </c>
      <c r="X408" s="68">
        <f t="shared" si="430"/>
        <v>372.74051732458258</v>
      </c>
      <c r="Y408" s="68">
        <f t="shared" si="431"/>
        <v>392.35644620542519</v>
      </c>
      <c r="Z408" s="68">
        <f t="shared" si="432"/>
        <v>688.5913345814389</v>
      </c>
      <c r="AA408" s="68">
        <f t="shared" si="433"/>
        <v>59875.41860465116</v>
      </c>
      <c r="AB408" s="78" t="s">
        <v>73</v>
      </c>
      <c r="AC408" s="55"/>
      <c r="AD408" s="93">
        <f t="shared" ref="AD408" si="464">W408/AC406</f>
        <v>7.813024275412972E-2</v>
      </c>
    </row>
    <row r="409" spans="1:30" s="32" customFormat="1" ht="15.95">
      <c r="A409" s="65"/>
      <c r="B409" s="66" t="s">
        <v>48</v>
      </c>
      <c r="C409" s="66" t="s">
        <v>114</v>
      </c>
      <c r="D409" s="66"/>
      <c r="E409" s="66" t="s">
        <v>20</v>
      </c>
      <c r="F409" s="66" t="s">
        <v>21</v>
      </c>
      <c r="G409" s="66" t="s">
        <v>145</v>
      </c>
      <c r="H409" s="66"/>
      <c r="I409" s="66" t="s">
        <v>146</v>
      </c>
      <c r="J409" s="66"/>
      <c r="K409" s="66" t="s">
        <v>147</v>
      </c>
      <c r="L409" s="67">
        <v>2023</v>
      </c>
      <c r="M409" s="66" t="s">
        <v>148</v>
      </c>
      <c r="N409" s="66" t="s">
        <v>24</v>
      </c>
      <c r="O409" s="66" t="s">
        <v>54</v>
      </c>
      <c r="P409" s="66" t="s">
        <v>25</v>
      </c>
      <c r="Q409" s="68">
        <v>20722</v>
      </c>
      <c r="R409" s="68">
        <v>19686</v>
      </c>
      <c r="S409" s="69">
        <v>11217</v>
      </c>
      <c r="T409" s="69">
        <v>129</v>
      </c>
      <c r="U409" s="74" t="s">
        <v>60</v>
      </c>
      <c r="V409" s="75" t="s">
        <v>56</v>
      </c>
      <c r="W409" s="68">
        <v>5314072</v>
      </c>
      <c r="X409" s="68">
        <f t="shared" ref="X409:X550" si="465">W409/Q409</f>
        <v>256.44590290512497</v>
      </c>
      <c r="Y409" s="68">
        <f t="shared" ref="Y409:Y550" si="466">W409/R409</f>
        <v>269.94168444579907</v>
      </c>
      <c r="Z409" s="68">
        <f t="shared" ref="Z409:Z550" si="467">W409/S409</f>
        <v>473.75162699474015</v>
      </c>
      <c r="AA409" s="68">
        <f t="shared" ref="AA409:AA550" si="468">W409/T409</f>
        <v>41194.35658914729</v>
      </c>
      <c r="AB409" s="78" t="s">
        <v>73</v>
      </c>
      <c r="AC409" s="55"/>
      <c r="AD409" s="93">
        <f t="shared" ref="AD409" si="469">W409/AC406</f>
        <v>5.3753696515455238E-2</v>
      </c>
    </row>
    <row r="410" spans="1:30" s="32" customFormat="1" ht="15.95">
      <c r="A410" s="65"/>
      <c r="B410" s="66" t="s">
        <v>48</v>
      </c>
      <c r="C410" s="66" t="s">
        <v>114</v>
      </c>
      <c r="D410" s="66"/>
      <c r="E410" s="66" t="s">
        <v>20</v>
      </c>
      <c r="F410" s="66" t="s">
        <v>21</v>
      </c>
      <c r="G410" s="66" t="s">
        <v>145</v>
      </c>
      <c r="H410" s="66"/>
      <c r="I410" s="66" t="s">
        <v>146</v>
      </c>
      <c r="J410" s="66"/>
      <c r="K410" s="66" t="s">
        <v>147</v>
      </c>
      <c r="L410" s="67">
        <v>2023</v>
      </c>
      <c r="M410" s="66" t="s">
        <v>148</v>
      </c>
      <c r="N410" s="66" t="s">
        <v>24</v>
      </c>
      <c r="O410" s="66" t="s">
        <v>54</v>
      </c>
      <c r="P410" s="66" t="s">
        <v>25</v>
      </c>
      <c r="Q410" s="68">
        <v>20722</v>
      </c>
      <c r="R410" s="68">
        <v>19686</v>
      </c>
      <c r="S410" s="69">
        <v>11217</v>
      </c>
      <c r="T410" s="69">
        <v>129</v>
      </c>
      <c r="U410" s="74" t="s">
        <v>61</v>
      </c>
      <c r="V410" s="75" t="s">
        <v>56</v>
      </c>
      <c r="W410" s="68">
        <v>12399426</v>
      </c>
      <c r="X410" s="68">
        <f t="shared" si="465"/>
        <v>598.37013801756586</v>
      </c>
      <c r="Y410" s="68">
        <f t="shared" si="466"/>
        <v>629.86010362694299</v>
      </c>
      <c r="Z410" s="68">
        <f t="shared" si="467"/>
        <v>1105.4137469911741</v>
      </c>
      <c r="AA410" s="68">
        <f t="shared" si="468"/>
        <v>96119.58139534884</v>
      </c>
      <c r="AB410" s="78" t="s">
        <v>73</v>
      </c>
      <c r="AC410" s="55"/>
      <c r="AD410" s="93">
        <f t="shared" ref="AD410" si="470">W410/AC406</f>
        <v>0.12542452984638616</v>
      </c>
    </row>
    <row r="411" spans="1:30" s="32" customFormat="1" ht="15.95">
      <c r="A411" s="65"/>
      <c r="B411" s="66" t="s">
        <v>48</v>
      </c>
      <c r="C411" s="66" t="s">
        <v>114</v>
      </c>
      <c r="D411" s="66"/>
      <c r="E411" s="66" t="s">
        <v>20</v>
      </c>
      <c r="F411" s="66" t="s">
        <v>21</v>
      </c>
      <c r="G411" s="66" t="s">
        <v>145</v>
      </c>
      <c r="H411" s="66"/>
      <c r="I411" s="66" t="s">
        <v>146</v>
      </c>
      <c r="J411" s="66"/>
      <c r="K411" s="66" t="s">
        <v>147</v>
      </c>
      <c r="L411" s="67">
        <v>2023</v>
      </c>
      <c r="M411" s="66" t="s">
        <v>148</v>
      </c>
      <c r="N411" s="66" t="s">
        <v>24</v>
      </c>
      <c r="O411" s="66" t="s">
        <v>54</v>
      </c>
      <c r="P411" s="66" t="s">
        <v>25</v>
      </c>
      <c r="Q411" s="68">
        <v>20722</v>
      </c>
      <c r="R411" s="68">
        <v>19686</v>
      </c>
      <c r="S411" s="69">
        <v>11217</v>
      </c>
      <c r="T411" s="69">
        <v>129</v>
      </c>
      <c r="U411" s="74" t="s">
        <v>62</v>
      </c>
      <c r="V411" s="75" t="s">
        <v>56</v>
      </c>
      <c r="W411" s="68">
        <v>4958103</v>
      </c>
      <c r="X411" s="68">
        <f t="shared" si="465"/>
        <v>239.26759000096516</v>
      </c>
      <c r="Y411" s="68">
        <f t="shared" si="466"/>
        <v>251.85934166412679</v>
      </c>
      <c r="Z411" s="68">
        <f t="shared" si="467"/>
        <v>442.01684942497997</v>
      </c>
      <c r="AA411" s="68">
        <f t="shared" si="468"/>
        <v>38434.906976744183</v>
      </c>
      <c r="AB411" s="78" t="s">
        <v>73</v>
      </c>
      <c r="AC411" s="55"/>
      <c r="AD411" s="93">
        <f t="shared" ref="AD411" si="471">W411/AC406</f>
        <v>5.015294560449466E-2</v>
      </c>
    </row>
    <row r="412" spans="1:30" s="32" customFormat="1" ht="15.95">
      <c r="A412" s="65"/>
      <c r="B412" s="66" t="s">
        <v>48</v>
      </c>
      <c r="C412" s="66" t="s">
        <v>114</v>
      </c>
      <c r="D412" s="66"/>
      <c r="E412" s="66" t="s">
        <v>20</v>
      </c>
      <c r="F412" s="66" t="s">
        <v>21</v>
      </c>
      <c r="G412" s="66" t="s">
        <v>145</v>
      </c>
      <c r="H412" s="66"/>
      <c r="I412" s="66" t="s">
        <v>146</v>
      </c>
      <c r="J412" s="66"/>
      <c r="K412" s="66" t="s">
        <v>147</v>
      </c>
      <c r="L412" s="67">
        <v>2023</v>
      </c>
      <c r="M412" s="66" t="s">
        <v>148</v>
      </c>
      <c r="N412" s="66" t="s">
        <v>24</v>
      </c>
      <c r="O412" s="66" t="s">
        <v>54</v>
      </c>
      <c r="P412" s="66" t="s">
        <v>25</v>
      </c>
      <c r="Q412" s="68">
        <v>20722</v>
      </c>
      <c r="R412" s="68">
        <v>19686</v>
      </c>
      <c r="S412" s="69">
        <v>11217</v>
      </c>
      <c r="T412" s="69">
        <v>129</v>
      </c>
      <c r="U412" s="74" t="s">
        <v>63</v>
      </c>
      <c r="V412" s="75" t="s">
        <v>56</v>
      </c>
      <c r="W412" s="68">
        <v>1575750</v>
      </c>
      <c r="X412" s="68">
        <f t="shared" si="465"/>
        <v>76.042370427564904</v>
      </c>
      <c r="Y412" s="68">
        <f t="shared" si="466"/>
        <v>80.044193843340452</v>
      </c>
      <c r="Z412" s="68">
        <f t="shared" si="467"/>
        <v>140.47873763038245</v>
      </c>
      <c r="AA412" s="68">
        <f t="shared" si="468"/>
        <v>12215.116279069767</v>
      </c>
      <c r="AB412" s="78" t="s">
        <v>73</v>
      </c>
      <c r="AC412" s="55"/>
      <c r="AD412" s="93">
        <f t="shared" ref="AD412" si="472">W412/AC406</f>
        <v>1.5939262261450086E-2</v>
      </c>
    </row>
    <row r="413" spans="1:30" s="32" customFormat="1" ht="15.95">
      <c r="A413" s="65"/>
      <c r="B413" s="66" t="s">
        <v>48</v>
      </c>
      <c r="C413" s="66" t="s">
        <v>114</v>
      </c>
      <c r="D413" s="66"/>
      <c r="E413" s="66" t="s">
        <v>20</v>
      </c>
      <c r="F413" s="66" t="s">
        <v>21</v>
      </c>
      <c r="G413" s="66" t="s">
        <v>145</v>
      </c>
      <c r="H413" s="66"/>
      <c r="I413" s="66" t="s">
        <v>146</v>
      </c>
      <c r="J413" s="66"/>
      <c r="K413" s="66" t="s">
        <v>147</v>
      </c>
      <c r="L413" s="67">
        <v>2023</v>
      </c>
      <c r="M413" s="66" t="s">
        <v>148</v>
      </c>
      <c r="N413" s="66" t="s">
        <v>24</v>
      </c>
      <c r="O413" s="66" t="s">
        <v>54</v>
      </c>
      <c r="P413" s="66" t="s">
        <v>25</v>
      </c>
      <c r="Q413" s="68">
        <v>20722</v>
      </c>
      <c r="R413" s="68">
        <v>19686</v>
      </c>
      <c r="S413" s="69">
        <v>11217</v>
      </c>
      <c r="T413" s="69">
        <v>129</v>
      </c>
      <c r="U413" s="74" t="s">
        <v>64</v>
      </c>
      <c r="V413" s="75" t="s">
        <v>56</v>
      </c>
      <c r="W413" s="68">
        <v>1146909</v>
      </c>
      <c r="X413" s="68">
        <f t="shared" si="465"/>
        <v>55.347408551298138</v>
      </c>
      <c r="Y413" s="68">
        <f t="shared" si="466"/>
        <v>58.260134105455656</v>
      </c>
      <c r="Z413" s="68">
        <f t="shared" si="467"/>
        <v>102.24739235089596</v>
      </c>
      <c r="AA413" s="68">
        <f t="shared" si="468"/>
        <v>8890.7674418604656</v>
      </c>
      <c r="AB413" s="78" t="s">
        <v>73</v>
      </c>
      <c r="AC413" s="55"/>
      <c r="AD413" s="93">
        <f t="shared" ref="AD413" si="473">W413/AC406</f>
        <v>1.1601385588461023E-2</v>
      </c>
    </row>
    <row r="414" spans="1:30" s="32" customFormat="1" ht="15.95">
      <c r="A414" s="65"/>
      <c r="B414" s="66" t="s">
        <v>48</v>
      </c>
      <c r="C414" s="66" t="s">
        <v>114</v>
      </c>
      <c r="D414" s="66"/>
      <c r="E414" s="66" t="s">
        <v>20</v>
      </c>
      <c r="F414" s="66" t="s">
        <v>21</v>
      </c>
      <c r="G414" s="66" t="s">
        <v>145</v>
      </c>
      <c r="H414" s="66"/>
      <c r="I414" s="66" t="s">
        <v>146</v>
      </c>
      <c r="J414" s="66"/>
      <c r="K414" s="66" t="s">
        <v>147</v>
      </c>
      <c r="L414" s="67">
        <v>2023</v>
      </c>
      <c r="M414" s="66" t="s">
        <v>148</v>
      </c>
      <c r="N414" s="66" t="s">
        <v>24</v>
      </c>
      <c r="O414" s="66" t="s">
        <v>54</v>
      </c>
      <c r="P414" s="66" t="s">
        <v>25</v>
      </c>
      <c r="Q414" s="68">
        <v>20722</v>
      </c>
      <c r="R414" s="68">
        <v>19686</v>
      </c>
      <c r="S414" s="69">
        <v>11217</v>
      </c>
      <c r="T414" s="69">
        <v>129</v>
      </c>
      <c r="U414" s="74" t="s">
        <v>65</v>
      </c>
      <c r="V414" s="75" t="s">
        <v>56</v>
      </c>
      <c r="W414" s="68">
        <v>15400631</v>
      </c>
      <c r="X414" s="68">
        <f t="shared" si="465"/>
        <v>743.20195927034069</v>
      </c>
      <c r="Y414" s="68">
        <f t="shared" si="466"/>
        <v>782.31387788275936</v>
      </c>
      <c r="Z414" s="68">
        <f t="shared" si="467"/>
        <v>1372.972363377017</v>
      </c>
      <c r="AA414" s="68">
        <f t="shared" si="468"/>
        <v>119384.73643410853</v>
      </c>
      <c r="AB414" s="78" t="s">
        <v>73</v>
      </c>
      <c r="AC414" s="55"/>
      <c r="AD414" s="93">
        <f t="shared" ref="AD414" si="474">W414/AC406</f>
        <v>0.15578276788882647</v>
      </c>
    </row>
    <row r="415" spans="1:30" s="32" customFormat="1" ht="15.95">
      <c r="A415" s="65"/>
      <c r="B415" s="66" t="s">
        <v>48</v>
      </c>
      <c r="C415" s="66" t="s">
        <v>114</v>
      </c>
      <c r="D415" s="66"/>
      <c r="E415" s="66" t="s">
        <v>20</v>
      </c>
      <c r="F415" s="66" t="s">
        <v>21</v>
      </c>
      <c r="G415" s="66" t="s">
        <v>145</v>
      </c>
      <c r="H415" s="66"/>
      <c r="I415" s="66" t="s">
        <v>146</v>
      </c>
      <c r="J415" s="66"/>
      <c r="K415" s="66" t="s">
        <v>147</v>
      </c>
      <c r="L415" s="67">
        <v>2023</v>
      </c>
      <c r="M415" s="66" t="s">
        <v>148</v>
      </c>
      <c r="N415" s="66" t="s">
        <v>24</v>
      </c>
      <c r="O415" s="66" t="s">
        <v>54</v>
      </c>
      <c r="P415" s="66" t="s">
        <v>25</v>
      </c>
      <c r="Q415" s="68">
        <v>20722</v>
      </c>
      <c r="R415" s="68">
        <v>19686</v>
      </c>
      <c r="S415" s="69">
        <v>11217</v>
      </c>
      <c r="T415" s="69">
        <v>129</v>
      </c>
      <c r="U415" s="74" t="s">
        <v>66</v>
      </c>
      <c r="V415" s="75" t="s">
        <v>56</v>
      </c>
      <c r="W415" s="68">
        <v>17966632</v>
      </c>
      <c r="X415" s="68">
        <f t="shared" si="465"/>
        <v>867.03175369172857</v>
      </c>
      <c r="Y415" s="68">
        <f t="shared" si="466"/>
        <v>912.66036777405259</v>
      </c>
      <c r="Z415" s="68">
        <f t="shared" si="467"/>
        <v>1601.7323705090487</v>
      </c>
      <c r="AA415" s="68">
        <f t="shared" si="468"/>
        <v>139276.21705426357</v>
      </c>
      <c r="AB415" s="78" t="s">
        <v>73</v>
      </c>
      <c r="AC415" s="55"/>
      <c r="AD415" s="93">
        <f t="shared" ref="AD415" si="475">W415/AC406</f>
        <v>0.181738765288251</v>
      </c>
    </row>
    <row r="416" spans="1:30" s="32" customFormat="1" ht="15.95">
      <c r="A416" s="65"/>
      <c r="B416" s="66" t="s">
        <v>48</v>
      </c>
      <c r="C416" s="66" t="s">
        <v>114</v>
      </c>
      <c r="D416" s="66"/>
      <c r="E416" s="66" t="s">
        <v>20</v>
      </c>
      <c r="F416" s="66" t="s">
        <v>21</v>
      </c>
      <c r="G416" s="66" t="s">
        <v>145</v>
      </c>
      <c r="H416" s="66"/>
      <c r="I416" s="66" t="s">
        <v>146</v>
      </c>
      <c r="J416" s="66"/>
      <c r="K416" s="66" t="s">
        <v>147</v>
      </c>
      <c r="L416" s="67">
        <v>2023</v>
      </c>
      <c r="M416" s="66" t="s">
        <v>148</v>
      </c>
      <c r="N416" s="66" t="s">
        <v>24</v>
      </c>
      <c r="O416" s="66" t="s">
        <v>54</v>
      </c>
      <c r="P416" s="66" t="s">
        <v>25</v>
      </c>
      <c r="Q416" s="68">
        <v>20722</v>
      </c>
      <c r="R416" s="68">
        <v>19686</v>
      </c>
      <c r="S416" s="69">
        <v>11217</v>
      </c>
      <c r="T416" s="69">
        <v>129</v>
      </c>
      <c r="U416" s="74" t="s">
        <v>67</v>
      </c>
      <c r="V416" s="75" t="s">
        <v>56</v>
      </c>
      <c r="W416" s="68">
        <v>827349</v>
      </c>
      <c r="X416" s="68">
        <f t="shared" si="465"/>
        <v>39.926117170157319</v>
      </c>
      <c r="Y416" s="68">
        <f t="shared" si="466"/>
        <v>42.027278268820481</v>
      </c>
      <c r="Z416" s="68">
        <f t="shared" si="467"/>
        <v>73.758491575287508</v>
      </c>
      <c r="AA416" s="68">
        <f t="shared" si="468"/>
        <v>6413.5581395348836</v>
      </c>
      <c r="AB416" s="78" t="s">
        <v>73</v>
      </c>
      <c r="AC416" s="55"/>
      <c r="AD416" s="93">
        <f t="shared" ref="AD416" si="476">W416/AC406</f>
        <v>8.368924444073278E-3</v>
      </c>
    </row>
    <row r="417" spans="1:30" s="32" customFormat="1" ht="15.95">
      <c r="A417" s="65"/>
      <c r="B417" s="66" t="s">
        <v>48</v>
      </c>
      <c r="C417" s="66" t="s">
        <v>114</v>
      </c>
      <c r="D417" s="66"/>
      <c r="E417" s="66" t="s">
        <v>20</v>
      </c>
      <c r="F417" s="66" t="s">
        <v>21</v>
      </c>
      <c r="G417" s="66" t="s">
        <v>145</v>
      </c>
      <c r="H417" s="66"/>
      <c r="I417" s="66" t="s">
        <v>146</v>
      </c>
      <c r="J417" s="66"/>
      <c r="K417" s="66" t="s">
        <v>147</v>
      </c>
      <c r="L417" s="67">
        <v>2023</v>
      </c>
      <c r="M417" s="66" t="s">
        <v>148</v>
      </c>
      <c r="N417" s="66" t="s">
        <v>24</v>
      </c>
      <c r="O417" s="66" t="s">
        <v>54</v>
      </c>
      <c r="P417" s="66" t="s">
        <v>25</v>
      </c>
      <c r="Q417" s="68">
        <v>20722</v>
      </c>
      <c r="R417" s="68">
        <v>19686</v>
      </c>
      <c r="S417" s="69">
        <v>11217</v>
      </c>
      <c r="T417" s="69">
        <v>129</v>
      </c>
      <c r="U417" s="74" t="s">
        <v>68</v>
      </c>
      <c r="V417" s="75" t="s">
        <v>56</v>
      </c>
      <c r="W417" s="68">
        <v>4070227</v>
      </c>
      <c r="X417" s="68">
        <f t="shared" si="465"/>
        <v>196.42056751278835</v>
      </c>
      <c r="Y417" s="68">
        <f t="shared" si="466"/>
        <v>206.75744183683835</v>
      </c>
      <c r="Z417" s="68">
        <f t="shared" si="467"/>
        <v>362.86235178746546</v>
      </c>
      <c r="AA417" s="68">
        <f t="shared" si="468"/>
        <v>31552.147286821706</v>
      </c>
      <c r="AB417" s="78" t="s">
        <v>73</v>
      </c>
      <c r="AC417" s="55"/>
      <c r="AD417" s="93">
        <f t="shared" ref="AD417" si="477">W417/AC406</f>
        <v>4.1171769390217487E-2</v>
      </c>
    </row>
    <row r="418" spans="1:30" s="32" customFormat="1" ht="15.95">
      <c r="A418" s="65"/>
      <c r="B418" s="66" t="s">
        <v>48</v>
      </c>
      <c r="C418" s="66" t="s">
        <v>114</v>
      </c>
      <c r="D418" s="66"/>
      <c r="E418" s="66" t="s">
        <v>20</v>
      </c>
      <c r="F418" s="66" t="s">
        <v>21</v>
      </c>
      <c r="G418" s="66" t="s">
        <v>145</v>
      </c>
      <c r="H418" s="66"/>
      <c r="I418" s="66" t="s">
        <v>146</v>
      </c>
      <c r="J418" s="66"/>
      <c r="K418" s="66" t="s">
        <v>147</v>
      </c>
      <c r="L418" s="67">
        <v>2023</v>
      </c>
      <c r="M418" s="66" t="s">
        <v>148</v>
      </c>
      <c r="N418" s="66" t="s">
        <v>24</v>
      </c>
      <c r="O418" s="66" t="s">
        <v>54</v>
      </c>
      <c r="P418" s="66" t="s">
        <v>25</v>
      </c>
      <c r="Q418" s="68">
        <v>20722</v>
      </c>
      <c r="R418" s="68">
        <v>19686</v>
      </c>
      <c r="S418" s="69">
        <v>11217</v>
      </c>
      <c r="T418" s="69">
        <v>129</v>
      </c>
      <c r="U418" s="74" t="s">
        <v>69</v>
      </c>
      <c r="V418" s="75" t="s">
        <v>56</v>
      </c>
      <c r="W418" s="68">
        <v>7750000</v>
      </c>
      <c r="X418" s="68">
        <f t="shared" si="465"/>
        <v>373.99864877907538</v>
      </c>
      <c r="Y418" s="68">
        <f t="shared" si="466"/>
        <v>393.68078837752716</v>
      </c>
      <c r="Z418" s="68">
        <f t="shared" si="467"/>
        <v>690.9155745743069</v>
      </c>
      <c r="AA418" s="68">
        <f t="shared" si="468"/>
        <v>60077.519379844962</v>
      </c>
      <c r="AB418" s="78" t="s">
        <v>73</v>
      </c>
      <c r="AC418" s="55"/>
      <c r="AD418" s="93">
        <f t="shared" ref="AD418" si="478">W418/AC406</f>
        <v>7.8393960035689783E-2</v>
      </c>
    </row>
    <row r="419" spans="1:30" s="55" customFormat="1" ht="15" customHeight="1">
      <c r="A419" s="57"/>
      <c r="B419" s="58" t="s">
        <v>48</v>
      </c>
      <c r="C419" s="58" t="s">
        <v>114</v>
      </c>
      <c r="D419" s="58"/>
      <c r="E419" s="58" t="s">
        <v>20</v>
      </c>
      <c r="F419" s="58" t="s">
        <v>21</v>
      </c>
      <c r="G419" s="58" t="s">
        <v>145</v>
      </c>
      <c r="H419" s="58"/>
      <c r="I419" s="58" t="s">
        <v>149</v>
      </c>
      <c r="J419" s="58"/>
      <c r="K419" s="58" t="s">
        <v>150</v>
      </c>
      <c r="L419" s="59">
        <v>2023</v>
      </c>
      <c r="M419" s="58" t="s">
        <v>148</v>
      </c>
      <c r="N419" s="58" t="s">
        <v>24</v>
      </c>
      <c r="O419" s="58" t="s">
        <v>54</v>
      </c>
      <c r="P419" s="58" t="s">
        <v>25</v>
      </c>
      <c r="Q419" s="60">
        <v>20615</v>
      </c>
      <c r="R419" s="60">
        <v>19585</v>
      </c>
      <c r="S419" s="61">
        <v>11615</v>
      </c>
      <c r="T419" s="61">
        <v>129</v>
      </c>
      <c r="U419" s="62" t="s">
        <v>55</v>
      </c>
      <c r="V419" s="63" t="s">
        <v>56</v>
      </c>
      <c r="W419" s="60">
        <v>12630237</v>
      </c>
      <c r="X419" s="60">
        <f t="shared" ref="X419:X450" si="479">W419/Q419</f>
        <v>612.67218045112782</v>
      </c>
      <c r="Y419" s="60">
        <f t="shared" ref="Y419:Y450" si="480">W419/R419</f>
        <v>644.89338779678326</v>
      </c>
      <c r="Z419" s="60">
        <f t="shared" ref="Z419:Z450" si="481">W419/S419</f>
        <v>1087.4074042186828</v>
      </c>
      <c r="AA419" s="60">
        <f t="shared" ref="AA419:AA450" si="482">W419/T419</f>
        <v>97908.813953488367</v>
      </c>
      <c r="AB419" s="77" t="s">
        <v>73</v>
      </c>
      <c r="AC419" s="92">
        <f t="shared" ref="AC419" si="483">SUM(W419:W431)</f>
        <v>103059656</v>
      </c>
      <c r="AD419" s="93">
        <f t="shared" ref="AD419" si="484">W419/AC419</f>
        <v>0.12255267958588956</v>
      </c>
    </row>
    <row r="420" spans="1:30" s="55" customFormat="1" ht="15.95">
      <c r="A420" s="57"/>
      <c r="B420" s="58" t="s">
        <v>48</v>
      </c>
      <c r="C420" s="58" t="s">
        <v>114</v>
      </c>
      <c r="D420" s="58"/>
      <c r="E420" s="58" t="s">
        <v>20</v>
      </c>
      <c r="F420" s="58" t="s">
        <v>21</v>
      </c>
      <c r="G420" s="58" t="s">
        <v>145</v>
      </c>
      <c r="H420" s="58"/>
      <c r="I420" s="58" t="s">
        <v>149</v>
      </c>
      <c r="J420" s="58"/>
      <c r="K420" s="58" t="s">
        <v>150</v>
      </c>
      <c r="L420" s="59">
        <v>2023</v>
      </c>
      <c r="M420" s="58" t="s">
        <v>148</v>
      </c>
      <c r="N420" s="58" t="s">
        <v>24</v>
      </c>
      <c r="O420" s="58" t="s">
        <v>54</v>
      </c>
      <c r="P420" s="58" t="s">
        <v>25</v>
      </c>
      <c r="Q420" s="60">
        <v>20615</v>
      </c>
      <c r="R420" s="60">
        <v>19585</v>
      </c>
      <c r="S420" s="61">
        <v>11615</v>
      </c>
      <c r="T420" s="61">
        <v>129</v>
      </c>
      <c r="U420" s="62" t="s">
        <v>58</v>
      </c>
      <c r="V420" s="63" t="s">
        <v>56</v>
      </c>
      <c r="W420" s="60">
        <v>12292077</v>
      </c>
      <c r="X420" s="60">
        <f t="shared" si="479"/>
        <v>596.26859083191846</v>
      </c>
      <c r="Y420" s="60">
        <f t="shared" si="480"/>
        <v>627.62711258616287</v>
      </c>
      <c r="Z420" s="60">
        <f t="shared" si="481"/>
        <v>1058.2933275936289</v>
      </c>
      <c r="AA420" s="60">
        <f t="shared" si="482"/>
        <v>95287.41860465116</v>
      </c>
      <c r="AB420" s="77" t="s">
        <v>73</v>
      </c>
      <c r="AD420" s="93">
        <f t="shared" ref="AD420" si="485">W420/AC419</f>
        <v>0.11927147321353372</v>
      </c>
    </row>
    <row r="421" spans="1:30" s="55" customFormat="1" ht="15.95">
      <c r="A421" s="57"/>
      <c r="B421" s="58" t="s">
        <v>48</v>
      </c>
      <c r="C421" s="58" t="s">
        <v>114</v>
      </c>
      <c r="D421" s="58"/>
      <c r="E421" s="58" t="s">
        <v>20</v>
      </c>
      <c r="F421" s="58" t="s">
        <v>21</v>
      </c>
      <c r="G421" s="58" t="s">
        <v>145</v>
      </c>
      <c r="H421" s="58"/>
      <c r="I421" s="58" t="s">
        <v>149</v>
      </c>
      <c r="J421" s="58"/>
      <c r="K421" s="58" t="s">
        <v>150</v>
      </c>
      <c r="L421" s="59">
        <v>2023</v>
      </c>
      <c r="M421" s="58" t="s">
        <v>148</v>
      </c>
      <c r="N421" s="58" t="s">
        <v>24</v>
      </c>
      <c r="O421" s="58" t="s">
        <v>54</v>
      </c>
      <c r="P421" s="58" t="s">
        <v>25</v>
      </c>
      <c r="Q421" s="60">
        <v>20615</v>
      </c>
      <c r="R421" s="60">
        <v>19585</v>
      </c>
      <c r="S421" s="61">
        <v>11615</v>
      </c>
      <c r="T421" s="61">
        <v>129</v>
      </c>
      <c r="U421" s="62" t="s">
        <v>59</v>
      </c>
      <c r="V421" s="63" t="s">
        <v>56</v>
      </c>
      <c r="W421" s="60">
        <v>7048346</v>
      </c>
      <c r="X421" s="60">
        <f t="shared" si="479"/>
        <v>341.90375939849622</v>
      </c>
      <c r="Y421" s="60">
        <f t="shared" si="480"/>
        <v>359.88491192238956</v>
      </c>
      <c r="Z421" s="60">
        <f t="shared" si="481"/>
        <v>606.83133878605247</v>
      </c>
      <c r="AA421" s="60">
        <f t="shared" si="482"/>
        <v>54638.34108527132</v>
      </c>
      <c r="AB421" s="77" t="s">
        <v>73</v>
      </c>
      <c r="AD421" s="93">
        <f t="shared" ref="AD421" si="486">W421/AC419</f>
        <v>6.8390932723470368E-2</v>
      </c>
    </row>
    <row r="422" spans="1:30" s="55" customFormat="1" ht="15.95">
      <c r="A422" s="57"/>
      <c r="B422" s="58" t="s">
        <v>48</v>
      </c>
      <c r="C422" s="58" t="s">
        <v>114</v>
      </c>
      <c r="D422" s="58"/>
      <c r="E422" s="58" t="s">
        <v>20</v>
      </c>
      <c r="F422" s="58" t="s">
        <v>21</v>
      </c>
      <c r="G422" s="58" t="s">
        <v>145</v>
      </c>
      <c r="H422" s="58"/>
      <c r="I422" s="58" t="s">
        <v>149</v>
      </c>
      <c r="J422" s="58"/>
      <c r="K422" s="58" t="s">
        <v>150</v>
      </c>
      <c r="L422" s="59">
        <v>2023</v>
      </c>
      <c r="M422" s="58" t="s">
        <v>148</v>
      </c>
      <c r="N422" s="58" t="s">
        <v>24</v>
      </c>
      <c r="O422" s="58" t="s">
        <v>54</v>
      </c>
      <c r="P422" s="58" t="s">
        <v>25</v>
      </c>
      <c r="Q422" s="60">
        <v>20615</v>
      </c>
      <c r="R422" s="60">
        <v>19585</v>
      </c>
      <c r="S422" s="61">
        <v>11615</v>
      </c>
      <c r="T422" s="61">
        <v>129</v>
      </c>
      <c r="U422" s="62" t="s">
        <v>60</v>
      </c>
      <c r="V422" s="63" t="s">
        <v>56</v>
      </c>
      <c r="W422" s="60">
        <v>5491087</v>
      </c>
      <c r="X422" s="60">
        <f t="shared" si="479"/>
        <v>266.36366723259761</v>
      </c>
      <c r="Y422" s="60">
        <f t="shared" si="480"/>
        <v>280.37207046208835</v>
      </c>
      <c r="Z422" s="60">
        <f t="shared" si="481"/>
        <v>472.75824365045202</v>
      </c>
      <c r="AA422" s="60">
        <f t="shared" si="482"/>
        <v>42566.56589147287</v>
      </c>
      <c r="AB422" s="77" t="s">
        <v>73</v>
      </c>
      <c r="AD422" s="93">
        <f t="shared" ref="AD422" si="487">W422/AC419</f>
        <v>5.3280664938373169E-2</v>
      </c>
    </row>
    <row r="423" spans="1:30" s="55" customFormat="1" ht="15.95">
      <c r="A423" s="57"/>
      <c r="B423" s="58" t="s">
        <v>48</v>
      </c>
      <c r="C423" s="58" t="s">
        <v>114</v>
      </c>
      <c r="D423" s="58"/>
      <c r="E423" s="58" t="s">
        <v>20</v>
      </c>
      <c r="F423" s="58" t="s">
        <v>21</v>
      </c>
      <c r="G423" s="58" t="s">
        <v>145</v>
      </c>
      <c r="H423" s="58"/>
      <c r="I423" s="58" t="s">
        <v>149</v>
      </c>
      <c r="J423" s="58"/>
      <c r="K423" s="58" t="s">
        <v>150</v>
      </c>
      <c r="L423" s="59">
        <v>2023</v>
      </c>
      <c r="M423" s="58" t="s">
        <v>148</v>
      </c>
      <c r="N423" s="58" t="s">
        <v>24</v>
      </c>
      <c r="O423" s="58" t="s">
        <v>54</v>
      </c>
      <c r="P423" s="58" t="s">
        <v>25</v>
      </c>
      <c r="Q423" s="60">
        <v>20615</v>
      </c>
      <c r="R423" s="60">
        <v>19585</v>
      </c>
      <c r="S423" s="61">
        <v>11615</v>
      </c>
      <c r="T423" s="61">
        <v>129</v>
      </c>
      <c r="U423" s="62" t="s">
        <v>61</v>
      </c>
      <c r="V423" s="63" t="s">
        <v>56</v>
      </c>
      <c r="W423" s="60">
        <v>11202161</v>
      </c>
      <c r="X423" s="60">
        <f t="shared" si="479"/>
        <v>543.39854474896924</v>
      </c>
      <c r="Y423" s="60">
        <f t="shared" si="480"/>
        <v>571.97656369670665</v>
      </c>
      <c r="Z423" s="60">
        <f t="shared" si="481"/>
        <v>964.45639259578127</v>
      </c>
      <c r="AA423" s="60">
        <f t="shared" si="482"/>
        <v>86838.457364341084</v>
      </c>
      <c r="AB423" s="77" t="s">
        <v>73</v>
      </c>
      <c r="AD423" s="93">
        <f t="shared" ref="AD423" si="488">W423/AC419</f>
        <v>0.10869588968936593</v>
      </c>
    </row>
    <row r="424" spans="1:30" s="55" customFormat="1" ht="15.95">
      <c r="A424" s="57"/>
      <c r="B424" s="58" t="s">
        <v>48</v>
      </c>
      <c r="C424" s="58" t="s">
        <v>114</v>
      </c>
      <c r="D424" s="58"/>
      <c r="E424" s="58" t="s">
        <v>20</v>
      </c>
      <c r="F424" s="58" t="s">
        <v>21</v>
      </c>
      <c r="G424" s="58" t="s">
        <v>145</v>
      </c>
      <c r="H424" s="58"/>
      <c r="I424" s="58" t="s">
        <v>149</v>
      </c>
      <c r="J424" s="58"/>
      <c r="K424" s="58" t="s">
        <v>150</v>
      </c>
      <c r="L424" s="59">
        <v>2023</v>
      </c>
      <c r="M424" s="58" t="s">
        <v>148</v>
      </c>
      <c r="N424" s="58" t="s">
        <v>24</v>
      </c>
      <c r="O424" s="58" t="s">
        <v>54</v>
      </c>
      <c r="P424" s="58" t="s">
        <v>25</v>
      </c>
      <c r="Q424" s="60">
        <v>20615</v>
      </c>
      <c r="R424" s="60">
        <v>19585</v>
      </c>
      <c r="S424" s="61">
        <v>11615</v>
      </c>
      <c r="T424" s="61">
        <v>129</v>
      </c>
      <c r="U424" s="62" t="s">
        <v>62</v>
      </c>
      <c r="V424" s="63" t="s">
        <v>56</v>
      </c>
      <c r="W424" s="60">
        <v>5365142</v>
      </c>
      <c r="X424" s="60">
        <f t="shared" si="479"/>
        <v>260.25428086344897</v>
      </c>
      <c r="Y424" s="60">
        <f t="shared" si="480"/>
        <v>273.9413837120245</v>
      </c>
      <c r="Z424" s="60">
        <f t="shared" si="481"/>
        <v>461.91493758071459</v>
      </c>
      <c r="AA424" s="60">
        <f t="shared" si="482"/>
        <v>41590.248062015504</v>
      </c>
      <c r="AB424" s="77" t="s">
        <v>73</v>
      </c>
      <c r="AD424" s="93">
        <f t="shared" ref="AD424" si="489">W424/AC419</f>
        <v>5.2058605745782811E-2</v>
      </c>
    </row>
    <row r="425" spans="1:30" s="55" customFormat="1" ht="15.95">
      <c r="A425" s="57"/>
      <c r="B425" s="58" t="s">
        <v>48</v>
      </c>
      <c r="C425" s="58" t="s">
        <v>114</v>
      </c>
      <c r="D425" s="58"/>
      <c r="E425" s="58" t="s">
        <v>20</v>
      </c>
      <c r="F425" s="58" t="s">
        <v>21</v>
      </c>
      <c r="G425" s="58" t="s">
        <v>145</v>
      </c>
      <c r="H425" s="58"/>
      <c r="I425" s="58" t="s">
        <v>149</v>
      </c>
      <c r="J425" s="58"/>
      <c r="K425" s="58" t="s">
        <v>150</v>
      </c>
      <c r="L425" s="59">
        <v>2023</v>
      </c>
      <c r="M425" s="58" t="s">
        <v>148</v>
      </c>
      <c r="N425" s="58" t="s">
        <v>24</v>
      </c>
      <c r="O425" s="58" t="s">
        <v>54</v>
      </c>
      <c r="P425" s="58" t="s">
        <v>25</v>
      </c>
      <c r="Q425" s="60">
        <v>20615</v>
      </c>
      <c r="R425" s="60">
        <v>19585</v>
      </c>
      <c r="S425" s="61">
        <v>11615</v>
      </c>
      <c r="T425" s="61">
        <v>129</v>
      </c>
      <c r="U425" s="62" t="s">
        <v>63</v>
      </c>
      <c r="V425" s="63" t="s">
        <v>56</v>
      </c>
      <c r="W425" s="60">
        <v>1575750</v>
      </c>
      <c r="X425" s="60">
        <f t="shared" si="479"/>
        <v>76.437060392917772</v>
      </c>
      <c r="Y425" s="60">
        <f t="shared" si="480"/>
        <v>80.456982384477911</v>
      </c>
      <c r="Z425" s="60">
        <f t="shared" si="481"/>
        <v>135.66508824795523</v>
      </c>
      <c r="AA425" s="60">
        <f t="shared" si="482"/>
        <v>12215.116279069767</v>
      </c>
      <c r="AB425" s="77" t="s">
        <v>73</v>
      </c>
      <c r="AD425" s="93">
        <f t="shared" ref="AD425" si="490">W425/AC419</f>
        <v>1.5289688139459731E-2</v>
      </c>
    </row>
    <row r="426" spans="1:30" s="55" customFormat="1" ht="15.95">
      <c r="A426" s="57"/>
      <c r="B426" s="58" t="s">
        <v>48</v>
      </c>
      <c r="C426" s="58" t="s">
        <v>114</v>
      </c>
      <c r="D426" s="58"/>
      <c r="E426" s="58" t="s">
        <v>20</v>
      </c>
      <c r="F426" s="58" t="s">
        <v>21</v>
      </c>
      <c r="G426" s="58" t="s">
        <v>145</v>
      </c>
      <c r="H426" s="58"/>
      <c r="I426" s="58" t="s">
        <v>149</v>
      </c>
      <c r="J426" s="58"/>
      <c r="K426" s="58" t="s">
        <v>150</v>
      </c>
      <c r="L426" s="59">
        <v>2023</v>
      </c>
      <c r="M426" s="58" t="s">
        <v>148</v>
      </c>
      <c r="N426" s="58" t="s">
        <v>24</v>
      </c>
      <c r="O426" s="58" t="s">
        <v>54</v>
      </c>
      <c r="P426" s="58" t="s">
        <v>25</v>
      </c>
      <c r="Q426" s="60">
        <v>20615</v>
      </c>
      <c r="R426" s="60">
        <v>19585</v>
      </c>
      <c r="S426" s="61">
        <v>11615</v>
      </c>
      <c r="T426" s="61">
        <v>129</v>
      </c>
      <c r="U426" s="62" t="s">
        <v>64</v>
      </c>
      <c r="V426" s="63" t="s">
        <v>56</v>
      </c>
      <c r="W426" s="60">
        <v>1158553</v>
      </c>
      <c r="X426" s="60">
        <f t="shared" si="479"/>
        <v>56.199514916323068</v>
      </c>
      <c r="Y426" s="60">
        <f t="shared" si="480"/>
        <v>59.155118713300993</v>
      </c>
      <c r="Z426" s="60">
        <f t="shared" si="481"/>
        <v>99.746276366767106</v>
      </c>
      <c r="AA426" s="60">
        <f t="shared" si="482"/>
        <v>8981.0310077519389</v>
      </c>
      <c r="AB426" s="77" t="s">
        <v>73</v>
      </c>
      <c r="AD426" s="93">
        <f t="shared" ref="AD426" si="491">W426/AC419</f>
        <v>1.1241576432197678E-2</v>
      </c>
    </row>
    <row r="427" spans="1:30" s="55" customFormat="1" ht="15.95">
      <c r="A427" s="57"/>
      <c r="B427" s="58" t="s">
        <v>48</v>
      </c>
      <c r="C427" s="58" t="s">
        <v>114</v>
      </c>
      <c r="D427" s="58"/>
      <c r="E427" s="58" t="s">
        <v>20</v>
      </c>
      <c r="F427" s="58" t="s">
        <v>21</v>
      </c>
      <c r="G427" s="58" t="s">
        <v>145</v>
      </c>
      <c r="H427" s="58"/>
      <c r="I427" s="58" t="s">
        <v>149</v>
      </c>
      <c r="J427" s="58"/>
      <c r="K427" s="58" t="s">
        <v>150</v>
      </c>
      <c r="L427" s="59">
        <v>2023</v>
      </c>
      <c r="M427" s="58" t="s">
        <v>148</v>
      </c>
      <c r="N427" s="58" t="s">
        <v>24</v>
      </c>
      <c r="O427" s="58" t="s">
        <v>54</v>
      </c>
      <c r="P427" s="58" t="s">
        <v>25</v>
      </c>
      <c r="Q427" s="60">
        <v>20615</v>
      </c>
      <c r="R427" s="60">
        <v>19585</v>
      </c>
      <c r="S427" s="61">
        <v>11615</v>
      </c>
      <c r="T427" s="61">
        <v>129</v>
      </c>
      <c r="U427" s="62" t="s">
        <v>65</v>
      </c>
      <c r="V427" s="63" t="s">
        <v>56</v>
      </c>
      <c r="W427" s="60">
        <v>15319182</v>
      </c>
      <c r="X427" s="60">
        <f t="shared" si="479"/>
        <v>743.10851321853022</v>
      </c>
      <c r="Y427" s="60">
        <f t="shared" si="480"/>
        <v>782.18953280571861</v>
      </c>
      <c r="Z427" s="60">
        <f t="shared" si="481"/>
        <v>1318.9136461472235</v>
      </c>
      <c r="AA427" s="60">
        <f t="shared" si="482"/>
        <v>118753.3488372093</v>
      </c>
      <c r="AB427" s="77" t="s">
        <v>73</v>
      </c>
      <c r="AD427" s="93">
        <f t="shared" ref="AD427" si="492">W427/AC419</f>
        <v>0.14864383013271459</v>
      </c>
    </row>
    <row r="428" spans="1:30" s="55" customFormat="1" ht="15.95">
      <c r="A428" s="57"/>
      <c r="B428" s="58" t="s">
        <v>48</v>
      </c>
      <c r="C428" s="58" t="s">
        <v>114</v>
      </c>
      <c r="D428" s="58"/>
      <c r="E428" s="58" t="s">
        <v>20</v>
      </c>
      <c r="F428" s="58" t="s">
        <v>21</v>
      </c>
      <c r="G428" s="58" t="s">
        <v>145</v>
      </c>
      <c r="H428" s="58"/>
      <c r="I428" s="58" t="s">
        <v>149</v>
      </c>
      <c r="J428" s="58"/>
      <c r="K428" s="58" t="s">
        <v>150</v>
      </c>
      <c r="L428" s="59">
        <v>2023</v>
      </c>
      <c r="M428" s="58" t="s">
        <v>148</v>
      </c>
      <c r="N428" s="58" t="s">
        <v>24</v>
      </c>
      <c r="O428" s="58" t="s">
        <v>54</v>
      </c>
      <c r="P428" s="58" t="s">
        <v>25</v>
      </c>
      <c r="Q428" s="60">
        <v>20615</v>
      </c>
      <c r="R428" s="60">
        <v>19585</v>
      </c>
      <c r="S428" s="61">
        <v>11615</v>
      </c>
      <c r="T428" s="61">
        <v>129</v>
      </c>
      <c r="U428" s="62" t="s">
        <v>66</v>
      </c>
      <c r="V428" s="63" t="s">
        <v>56</v>
      </c>
      <c r="W428" s="60">
        <v>18002650</v>
      </c>
      <c r="X428" s="60">
        <f t="shared" si="479"/>
        <v>873.27916565607563</v>
      </c>
      <c r="Y428" s="60">
        <f t="shared" si="480"/>
        <v>919.20602501914732</v>
      </c>
      <c r="Z428" s="60">
        <f t="shared" si="481"/>
        <v>1549.9483426603531</v>
      </c>
      <c r="AA428" s="60">
        <f t="shared" si="482"/>
        <v>139555.42635658916</v>
      </c>
      <c r="AB428" s="77" t="s">
        <v>73</v>
      </c>
      <c r="AD428" s="93">
        <f t="shared" ref="AD428" si="493">W428/AC419</f>
        <v>0.17468183670242407</v>
      </c>
    </row>
    <row r="429" spans="1:30" s="55" customFormat="1" ht="15.95">
      <c r="A429" s="57"/>
      <c r="B429" s="58" t="s">
        <v>48</v>
      </c>
      <c r="C429" s="58" t="s">
        <v>114</v>
      </c>
      <c r="D429" s="58"/>
      <c r="E429" s="58" t="s">
        <v>20</v>
      </c>
      <c r="F429" s="58" t="s">
        <v>21</v>
      </c>
      <c r="G429" s="58" t="s">
        <v>145</v>
      </c>
      <c r="H429" s="58"/>
      <c r="I429" s="58" t="s">
        <v>149</v>
      </c>
      <c r="J429" s="58"/>
      <c r="K429" s="58" t="s">
        <v>150</v>
      </c>
      <c r="L429" s="59">
        <v>2023</v>
      </c>
      <c r="M429" s="58" t="s">
        <v>148</v>
      </c>
      <c r="N429" s="58" t="s">
        <v>24</v>
      </c>
      <c r="O429" s="58" t="s">
        <v>54</v>
      </c>
      <c r="P429" s="58" t="s">
        <v>25</v>
      </c>
      <c r="Q429" s="60">
        <v>20615</v>
      </c>
      <c r="R429" s="60">
        <v>19585</v>
      </c>
      <c r="S429" s="61">
        <v>11615</v>
      </c>
      <c r="T429" s="61">
        <v>129</v>
      </c>
      <c r="U429" s="62" t="s">
        <v>67</v>
      </c>
      <c r="V429" s="63" t="s">
        <v>56</v>
      </c>
      <c r="W429" s="60">
        <v>827349</v>
      </c>
      <c r="X429" s="60">
        <f t="shared" si="479"/>
        <v>40.13334950278923</v>
      </c>
      <c r="Y429" s="60">
        <f t="shared" si="480"/>
        <v>42.244013275465917</v>
      </c>
      <c r="Z429" s="60">
        <f t="shared" si="481"/>
        <v>71.231080499354277</v>
      </c>
      <c r="AA429" s="60">
        <f t="shared" si="482"/>
        <v>6413.5581395348836</v>
      </c>
      <c r="AB429" s="77" t="s">
        <v>73</v>
      </c>
      <c r="AD429" s="93">
        <f t="shared" ref="AD429" si="494">W429/AC419</f>
        <v>8.0278649484333622E-3</v>
      </c>
    </row>
    <row r="430" spans="1:30" s="55" customFormat="1" ht="15.95">
      <c r="A430" s="57"/>
      <c r="B430" s="58" t="s">
        <v>48</v>
      </c>
      <c r="C430" s="58" t="s">
        <v>114</v>
      </c>
      <c r="D430" s="58"/>
      <c r="E430" s="58" t="s">
        <v>20</v>
      </c>
      <c r="F430" s="58" t="s">
        <v>21</v>
      </c>
      <c r="G430" s="58" t="s">
        <v>145</v>
      </c>
      <c r="H430" s="58"/>
      <c r="I430" s="58" t="s">
        <v>149</v>
      </c>
      <c r="J430" s="58"/>
      <c r="K430" s="58" t="s">
        <v>150</v>
      </c>
      <c r="L430" s="59">
        <v>2023</v>
      </c>
      <c r="M430" s="58" t="s">
        <v>148</v>
      </c>
      <c r="N430" s="58" t="s">
        <v>24</v>
      </c>
      <c r="O430" s="58" t="s">
        <v>54</v>
      </c>
      <c r="P430" s="58" t="s">
        <v>25</v>
      </c>
      <c r="Q430" s="60">
        <v>20615</v>
      </c>
      <c r="R430" s="60">
        <v>19585</v>
      </c>
      <c r="S430" s="61">
        <v>11615</v>
      </c>
      <c r="T430" s="61">
        <v>129</v>
      </c>
      <c r="U430" s="62" t="s">
        <v>68</v>
      </c>
      <c r="V430" s="63" t="s">
        <v>56</v>
      </c>
      <c r="W430" s="60">
        <v>4397122</v>
      </c>
      <c r="X430" s="60">
        <f t="shared" si="479"/>
        <v>213.29721076885764</v>
      </c>
      <c r="Y430" s="60">
        <f t="shared" si="480"/>
        <v>224.51478172070463</v>
      </c>
      <c r="Z430" s="60">
        <f t="shared" si="481"/>
        <v>378.57270770555317</v>
      </c>
      <c r="AA430" s="60">
        <f t="shared" si="482"/>
        <v>34086.217054263565</v>
      </c>
      <c r="AB430" s="77" t="s">
        <v>73</v>
      </c>
      <c r="AD430" s="93">
        <f t="shared" ref="AD430" si="495">W430/AC419</f>
        <v>4.2665793489549395E-2</v>
      </c>
    </row>
    <row r="431" spans="1:30" s="55" customFormat="1" ht="15.95">
      <c r="A431" s="57"/>
      <c r="B431" s="58" t="s">
        <v>48</v>
      </c>
      <c r="C431" s="58" t="s">
        <v>114</v>
      </c>
      <c r="D431" s="58"/>
      <c r="E431" s="58" t="s">
        <v>20</v>
      </c>
      <c r="F431" s="58" t="s">
        <v>21</v>
      </c>
      <c r="G431" s="58" t="s">
        <v>145</v>
      </c>
      <c r="H431" s="58"/>
      <c r="I431" s="58" t="s">
        <v>149</v>
      </c>
      <c r="J431" s="58"/>
      <c r="K431" s="58" t="s">
        <v>150</v>
      </c>
      <c r="L431" s="59">
        <v>2023</v>
      </c>
      <c r="M431" s="58" t="s">
        <v>148</v>
      </c>
      <c r="N431" s="58" t="s">
        <v>24</v>
      </c>
      <c r="O431" s="58" t="s">
        <v>54</v>
      </c>
      <c r="P431" s="58" t="s">
        <v>25</v>
      </c>
      <c r="Q431" s="60">
        <v>20615</v>
      </c>
      <c r="R431" s="60">
        <v>19585</v>
      </c>
      <c r="S431" s="61">
        <v>11615</v>
      </c>
      <c r="T431" s="61">
        <v>129</v>
      </c>
      <c r="U431" s="62" t="s">
        <v>69</v>
      </c>
      <c r="V431" s="63" t="s">
        <v>56</v>
      </c>
      <c r="W431" s="60">
        <v>7750000</v>
      </c>
      <c r="X431" s="60">
        <f t="shared" si="479"/>
        <v>375.93984962406017</v>
      </c>
      <c r="Y431" s="60">
        <f t="shared" si="480"/>
        <v>395.71100331886646</v>
      </c>
      <c r="Z431" s="60">
        <f t="shared" si="481"/>
        <v>667.24063710718895</v>
      </c>
      <c r="AA431" s="60">
        <f t="shared" si="482"/>
        <v>60077.519379844962</v>
      </c>
      <c r="AB431" s="77" t="s">
        <v>73</v>
      </c>
      <c r="AD431" s="93">
        <f t="shared" ref="AD431" si="496">W431/AC419</f>
        <v>7.5199164258805601E-2</v>
      </c>
    </row>
    <row r="432" spans="1:30" s="32" customFormat="1" ht="15" customHeight="1">
      <c r="A432" s="65"/>
      <c r="B432" s="66" t="s">
        <v>48</v>
      </c>
      <c r="C432" s="66" t="s">
        <v>114</v>
      </c>
      <c r="D432" s="66"/>
      <c r="E432" s="66" t="s">
        <v>20</v>
      </c>
      <c r="F432" s="66" t="s">
        <v>21</v>
      </c>
      <c r="G432" s="66" t="s">
        <v>145</v>
      </c>
      <c r="H432" s="66"/>
      <c r="I432" s="66" t="s">
        <v>151</v>
      </c>
      <c r="J432" s="66"/>
      <c r="K432" s="66" t="s">
        <v>152</v>
      </c>
      <c r="L432" s="67">
        <v>2023</v>
      </c>
      <c r="M432" s="66" t="s">
        <v>148</v>
      </c>
      <c r="N432" s="66" t="s">
        <v>24</v>
      </c>
      <c r="O432" s="66" t="s">
        <v>54</v>
      </c>
      <c r="P432" s="66" t="s">
        <v>25</v>
      </c>
      <c r="Q432" s="68">
        <v>29992</v>
      </c>
      <c r="R432" s="68">
        <v>28492</v>
      </c>
      <c r="S432" s="69">
        <v>17820</v>
      </c>
      <c r="T432" s="69">
        <v>160</v>
      </c>
      <c r="U432" s="74" t="s">
        <v>55</v>
      </c>
      <c r="V432" s="75" t="s">
        <v>56</v>
      </c>
      <c r="W432" s="68">
        <v>15836975</v>
      </c>
      <c r="X432" s="68">
        <f t="shared" si="479"/>
        <v>528.03997732728726</v>
      </c>
      <c r="Y432" s="68">
        <f t="shared" si="480"/>
        <v>555.83935841639754</v>
      </c>
      <c r="Z432" s="68">
        <f t="shared" si="481"/>
        <v>888.71913580246917</v>
      </c>
      <c r="AA432" s="68">
        <f t="shared" si="482"/>
        <v>98981.09375</v>
      </c>
      <c r="AB432" s="78" t="s">
        <v>73</v>
      </c>
      <c r="AC432" s="92">
        <f t="shared" ref="AC432" si="497">SUM(W432:W444)</f>
        <v>146053469</v>
      </c>
      <c r="AD432" s="93">
        <f t="shared" ref="AD432" si="498">W432/AC432</f>
        <v>0.10843272062233592</v>
      </c>
    </row>
    <row r="433" spans="1:30" s="32" customFormat="1" ht="15.95">
      <c r="A433" s="65"/>
      <c r="B433" s="66" t="s">
        <v>48</v>
      </c>
      <c r="C433" s="66" t="s">
        <v>114</v>
      </c>
      <c r="D433" s="66"/>
      <c r="E433" s="66" t="s">
        <v>20</v>
      </c>
      <c r="F433" s="66" t="s">
        <v>21</v>
      </c>
      <c r="G433" s="66" t="s">
        <v>145</v>
      </c>
      <c r="H433" s="66"/>
      <c r="I433" s="66" t="s">
        <v>151</v>
      </c>
      <c r="J433" s="66"/>
      <c r="K433" s="66" t="s">
        <v>152</v>
      </c>
      <c r="L433" s="67">
        <v>2023</v>
      </c>
      <c r="M433" s="66" t="s">
        <v>148</v>
      </c>
      <c r="N433" s="66" t="s">
        <v>24</v>
      </c>
      <c r="O433" s="66" t="s">
        <v>54</v>
      </c>
      <c r="P433" s="66" t="s">
        <v>25</v>
      </c>
      <c r="Q433" s="68">
        <v>29992</v>
      </c>
      <c r="R433" s="68">
        <v>28492</v>
      </c>
      <c r="S433" s="69">
        <v>17820</v>
      </c>
      <c r="T433" s="69">
        <v>160</v>
      </c>
      <c r="U433" s="74" t="s">
        <v>58</v>
      </c>
      <c r="V433" s="75" t="s">
        <v>56</v>
      </c>
      <c r="W433" s="68">
        <v>19494838</v>
      </c>
      <c r="X433" s="68">
        <f t="shared" si="479"/>
        <v>650.0012670045345</v>
      </c>
      <c r="Y433" s="68">
        <f t="shared" si="480"/>
        <v>684.22146567457537</v>
      </c>
      <c r="Z433" s="68">
        <f t="shared" si="481"/>
        <v>1093.9864197530865</v>
      </c>
      <c r="AA433" s="68">
        <f t="shared" si="482"/>
        <v>121842.7375</v>
      </c>
      <c r="AB433" s="78" t="s">
        <v>73</v>
      </c>
      <c r="AC433" s="55"/>
      <c r="AD433" s="93">
        <f t="shared" ref="AD433" si="499">W433/AC432</f>
        <v>0.13347740477153611</v>
      </c>
    </row>
    <row r="434" spans="1:30" s="32" customFormat="1" ht="15.95">
      <c r="A434" s="65"/>
      <c r="B434" s="66" t="s">
        <v>48</v>
      </c>
      <c r="C434" s="66" t="s">
        <v>114</v>
      </c>
      <c r="D434" s="66"/>
      <c r="E434" s="66" t="s">
        <v>20</v>
      </c>
      <c r="F434" s="66" t="s">
        <v>21</v>
      </c>
      <c r="G434" s="66" t="s">
        <v>145</v>
      </c>
      <c r="H434" s="66"/>
      <c r="I434" s="66" t="s">
        <v>151</v>
      </c>
      <c r="J434" s="66"/>
      <c r="K434" s="66" t="s">
        <v>152</v>
      </c>
      <c r="L434" s="67">
        <v>2023</v>
      </c>
      <c r="M434" s="66" t="s">
        <v>148</v>
      </c>
      <c r="N434" s="66" t="s">
        <v>24</v>
      </c>
      <c r="O434" s="66" t="s">
        <v>54</v>
      </c>
      <c r="P434" s="66" t="s">
        <v>25</v>
      </c>
      <c r="Q434" s="68">
        <v>29992</v>
      </c>
      <c r="R434" s="68">
        <v>28492</v>
      </c>
      <c r="S434" s="69">
        <v>17820</v>
      </c>
      <c r="T434" s="69">
        <v>160</v>
      </c>
      <c r="U434" s="74" t="s">
        <v>59</v>
      </c>
      <c r="V434" s="75" t="s">
        <v>56</v>
      </c>
      <c r="W434" s="68">
        <v>8446809</v>
      </c>
      <c r="X434" s="68">
        <f t="shared" si="479"/>
        <v>281.6354027740731</v>
      </c>
      <c r="Y434" s="68">
        <f t="shared" si="480"/>
        <v>296.46248069633583</v>
      </c>
      <c r="Z434" s="68">
        <f t="shared" si="481"/>
        <v>474.00723905723908</v>
      </c>
      <c r="AA434" s="68">
        <f t="shared" si="482"/>
        <v>52792.556250000001</v>
      </c>
      <c r="AB434" s="78" t="s">
        <v>73</v>
      </c>
      <c r="AC434" s="55"/>
      <c r="AD434" s="93">
        <f t="shared" ref="AD434" si="500">W434/AC432</f>
        <v>5.7833675966984389E-2</v>
      </c>
    </row>
    <row r="435" spans="1:30" s="32" customFormat="1" ht="15.95">
      <c r="A435" s="65"/>
      <c r="B435" s="66" t="s">
        <v>48</v>
      </c>
      <c r="C435" s="66" t="s">
        <v>114</v>
      </c>
      <c r="D435" s="66"/>
      <c r="E435" s="66" t="s">
        <v>20</v>
      </c>
      <c r="F435" s="66" t="s">
        <v>21</v>
      </c>
      <c r="G435" s="66" t="s">
        <v>145</v>
      </c>
      <c r="H435" s="66"/>
      <c r="I435" s="66" t="s">
        <v>151</v>
      </c>
      <c r="J435" s="66"/>
      <c r="K435" s="66" t="s">
        <v>152</v>
      </c>
      <c r="L435" s="67">
        <v>2023</v>
      </c>
      <c r="M435" s="66" t="s">
        <v>148</v>
      </c>
      <c r="N435" s="66" t="s">
        <v>24</v>
      </c>
      <c r="O435" s="66" t="s">
        <v>54</v>
      </c>
      <c r="P435" s="66" t="s">
        <v>25</v>
      </c>
      <c r="Q435" s="68">
        <v>29992</v>
      </c>
      <c r="R435" s="68">
        <v>28492</v>
      </c>
      <c r="S435" s="69">
        <v>17820</v>
      </c>
      <c r="T435" s="69">
        <v>160</v>
      </c>
      <c r="U435" s="74" t="s">
        <v>60</v>
      </c>
      <c r="V435" s="75" t="s">
        <v>56</v>
      </c>
      <c r="W435" s="68">
        <v>7831247</v>
      </c>
      <c r="X435" s="68">
        <f t="shared" si="479"/>
        <v>261.1111963190184</v>
      </c>
      <c r="Y435" s="68">
        <f t="shared" si="480"/>
        <v>274.85774954373159</v>
      </c>
      <c r="Z435" s="68">
        <f t="shared" si="481"/>
        <v>439.46391694725025</v>
      </c>
      <c r="AA435" s="68">
        <f t="shared" si="482"/>
        <v>48945.293749999997</v>
      </c>
      <c r="AB435" s="78" t="s">
        <v>73</v>
      </c>
      <c r="AC435" s="55"/>
      <c r="AD435" s="93">
        <f t="shared" ref="AD435" si="501">W435/AC432</f>
        <v>5.3619041393669326E-2</v>
      </c>
    </row>
    <row r="436" spans="1:30" s="32" customFormat="1" ht="15.95">
      <c r="A436" s="65"/>
      <c r="B436" s="66" t="s">
        <v>48</v>
      </c>
      <c r="C436" s="66" t="s">
        <v>114</v>
      </c>
      <c r="D436" s="66"/>
      <c r="E436" s="66" t="s">
        <v>20</v>
      </c>
      <c r="F436" s="66" t="s">
        <v>21</v>
      </c>
      <c r="G436" s="66" t="s">
        <v>145</v>
      </c>
      <c r="H436" s="66"/>
      <c r="I436" s="66" t="s">
        <v>151</v>
      </c>
      <c r="J436" s="66"/>
      <c r="K436" s="66" t="s">
        <v>152</v>
      </c>
      <c r="L436" s="67">
        <v>2023</v>
      </c>
      <c r="M436" s="66" t="s">
        <v>148</v>
      </c>
      <c r="N436" s="66" t="s">
        <v>24</v>
      </c>
      <c r="O436" s="66" t="s">
        <v>54</v>
      </c>
      <c r="P436" s="66" t="s">
        <v>25</v>
      </c>
      <c r="Q436" s="68">
        <v>29992</v>
      </c>
      <c r="R436" s="68">
        <v>28492</v>
      </c>
      <c r="S436" s="69">
        <v>17820</v>
      </c>
      <c r="T436" s="69">
        <v>160</v>
      </c>
      <c r="U436" s="74" t="s">
        <v>61</v>
      </c>
      <c r="V436" s="75" t="s">
        <v>56</v>
      </c>
      <c r="W436" s="68">
        <v>17381784</v>
      </c>
      <c r="X436" s="68">
        <f t="shared" si="479"/>
        <v>579.54734595892239</v>
      </c>
      <c r="Y436" s="68">
        <f t="shared" si="480"/>
        <v>610.0584023585568</v>
      </c>
      <c r="Z436" s="68">
        <f t="shared" si="481"/>
        <v>975.4087542087542</v>
      </c>
      <c r="AA436" s="68">
        <f t="shared" si="482"/>
        <v>108636.15</v>
      </c>
      <c r="AB436" s="78" t="s">
        <v>73</v>
      </c>
      <c r="AC436" s="55"/>
      <c r="AD436" s="93">
        <f t="shared" ref="AD436" si="502">W436/AC432</f>
        <v>0.11900973060763111</v>
      </c>
    </row>
    <row r="437" spans="1:30" s="32" customFormat="1" ht="15.95">
      <c r="A437" s="65"/>
      <c r="B437" s="66" t="s">
        <v>48</v>
      </c>
      <c r="C437" s="66" t="s">
        <v>114</v>
      </c>
      <c r="D437" s="66"/>
      <c r="E437" s="66" t="s">
        <v>20</v>
      </c>
      <c r="F437" s="66" t="s">
        <v>21</v>
      </c>
      <c r="G437" s="66" t="s">
        <v>145</v>
      </c>
      <c r="H437" s="66"/>
      <c r="I437" s="66" t="s">
        <v>151</v>
      </c>
      <c r="J437" s="66"/>
      <c r="K437" s="66" t="s">
        <v>152</v>
      </c>
      <c r="L437" s="67">
        <v>2023</v>
      </c>
      <c r="M437" s="66" t="s">
        <v>148</v>
      </c>
      <c r="N437" s="66" t="s">
        <v>24</v>
      </c>
      <c r="O437" s="66" t="s">
        <v>54</v>
      </c>
      <c r="P437" s="66" t="s">
        <v>25</v>
      </c>
      <c r="Q437" s="68">
        <v>29992</v>
      </c>
      <c r="R437" s="68">
        <v>28492</v>
      </c>
      <c r="S437" s="69">
        <v>17820</v>
      </c>
      <c r="T437" s="69">
        <v>160</v>
      </c>
      <c r="U437" s="74" t="s">
        <v>62</v>
      </c>
      <c r="V437" s="75" t="s">
        <v>56</v>
      </c>
      <c r="W437" s="68">
        <v>9561458</v>
      </c>
      <c r="X437" s="68">
        <f t="shared" si="479"/>
        <v>318.80028007468661</v>
      </c>
      <c r="Y437" s="68">
        <f t="shared" si="480"/>
        <v>335.58395339042539</v>
      </c>
      <c r="Z437" s="68">
        <f t="shared" si="481"/>
        <v>536.55768799102134</v>
      </c>
      <c r="AA437" s="68">
        <f t="shared" si="482"/>
        <v>59759.112500000003</v>
      </c>
      <c r="AB437" s="78" t="s">
        <v>73</v>
      </c>
      <c r="AC437" s="55"/>
      <c r="AD437" s="93">
        <f t="shared" ref="AD437" si="503">W437/AC432</f>
        <v>6.5465463199645052E-2</v>
      </c>
    </row>
    <row r="438" spans="1:30" s="32" customFormat="1" ht="15.95">
      <c r="A438" s="65"/>
      <c r="B438" s="66" t="s">
        <v>48</v>
      </c>
      <c r="C438" s="66" t="s">
        <v>114</v>
      </c>
      <c r="D438" s="66"/>
      <c r="E438" s="66" t="s">
        <v>20</v>
      </c>
      <c r="F438" s="66" t="s">
        <v>21</v>
      </c>
      <c r="G438" s="66" t="s">
        <v>145</v>
      </c>
      <c r="H438" s="66"/>
      <c r="I438" s="66" t="s">
        <v>151</v>
      </c>
      <c r="J438" s="66"/>
      <c r="K438" s="66" t="s">
        <v>152</v>
      </c>
      <c r="L438" s="67">
        <v>2023</v>
      </c>
      <c r="M438" s="66" t="s">
        <v>148</v>
      </c>
      <c r="N438" s="66" t="s">
        <v>24</v>
      </c>
      <c r="O438" s="66" t="s">
        <v>54</v>
      </c>
      <c r="P438" s="66" t="s">
        <v>25</v>
      </c>
      <c r="Q438" s="68">
        <v>29992</v>
      </c>
      <c r="R438" s="68">
        <v>28492</v>
      </c>
      <c r="S438" s="69">
        <v>17820</v>
      </c>
      <c r="T438" s="69">
        <v>160</v>
      </c>
      <c r="U438" s="74" t="s">
        <v>63</v>
      </c>
      <c r="V438" s="75" t="s">
        <v>56</v>
      </c>
      <c r="W438" s="68">
        <v>2025103</v>
      </c>
      <c r="X438" s="68">
        <f t="shared" si="479"/>
        <v>67.521439050413449</v>
      </c>
      <c r="Y438" s="68">
        <f t="shared" si="480"/>
        <v>71.076196827179558</v>
      </c>
      <c r="Z438" s="68">
        <f t="shared" si="481"/>
        <v>113.64214365881033</v>
      </c>
      <c r="AA438" s="68">
        <f t="shared" si="482"/>
        <v>12656.893749999999</v>
      </c>
      <c r="AB438" s="78" t="s">
        <v>73</v>
      </c>
      <c r="AC438" s="55"/>
      <c r="AD438" s="93">
        <f t="shared" ref="AD438" si="504">W438/AC432</f>
        <v>1.3865490589614136E-2</v>
      </c>
    </row>
    <row r="439" spans="1:30" s="32" customFormat="1" ht="15.95">
      <c r="A439" s="65"/>
      <c r="B439" s="66" t="s">
        <v>48</v>
      </c>
      <c r="C439" s="66" t="s">
        <v>114</v>
      </c>
      <c r="D439" s="66"/>
      <c r="E439" s="66" t="s">
        <v>20</v>
      </c>
      <c r="F439" s="66" t="s">
        <v>21</v>
      </c>
      <c r="G439" s="66" t="s">
        <v>145</v>
      </c>
      <c r="H439" s="66"/>
      <c r="I439" s="66" t="s">
        <v>151</v>
      </c>
      <c r="J439" s="66"/>
      <c r="K439" s="66" t="s">
        <v>152</v>
      </c>
      <c r="L439" s="67">
        <v>2023</v>
      </c>
      <c r="M439" s="66" t="s">
        <v>148</v>
      </c>
      <c r="N439" s="66" t="s">
        <v>24</v>
      </c>
      <c r="O439" s="66" t="s">
        <v>54</v>
      </c>
      <c r="P439" s="66" t="s">
        <v>25</v>
      </c>
      <c r="Q439" s="68">
        <v>29992</v>
      </c>
      <c r="R439" s="68">
        <v>28492</v>
      </c>
      <c r="S439" s="69">
        <v>17820</v>
      </c>
      <c r="T439" s="69">
        <v>160</v>
      </c>
      <c r="U439" s="74" t="s">
        <v>64</v>
      </c>
      <c r="V439" s="75" t="s">
        <v>56</v>
      </c>
      <c r="W439" s="68">
        <v>0</v>
      </c>
      <c r="X439" s="68">
        <f t="shared" si="479"/>
        <v>0</v>
      </c>
      <c r="Y439" s="68">
        <f t="shared" si="480"/>
        <v>0</v>
      </c>
      <c r="Z439" s="68">
        <f t="shared" si="481"/>
        <v>0</v>
      </c>
      <c r="AA439" s="68">
        <f t="shared" si="482"/>
        <v>0</v>
      </c>
      <c r="AB439" s="78" t="s">
        <v>73</v>
      </c>
      <c r="AC439" s="55"/>
      <c r="AD439" s="93">
        <f t="shared" ref="AD439" si="505">W439/AC432</f>
        <v>0</v>
      </c>
    </row>
    <row r="440" spans="1:30" s="32" customFormat="1" ht="15.95">
      <c r="A440" s="65"/>
      <c r="B440" s="66" t="s">
        <v>48</v>
      </c>
      <c r="C440" s="66" t="s">
        <v>114</v>
      </c>
      <c r="D440" s="66"/>
      <c r="E440" s="66" t="s">
        <v>20</v>
      </c>
      <c r="F440" s="66" t="s">
        <v>21</v>
      </c>
      <c r="G440" s="66" t="s">
        <v>145</v>
      </c>
      <c r="H440" s="66"/>
      <c r="I440" s="66" t="s">
        <v>151</v>
      </c>
      <c r="J440" s="66"/>
      <c r="K440" s="66" t="s">
        <v>152</v>
      </c>
      <c r="L440" s="67">
        <v>2023</v>
      </c>
      <c r="M440" s="66" t="s">
        <v>148</v>
      </c>
      <c r="N440" s="66" t="s">
        <v>24</v>
      </c>
      <c r="O440" s="66" t="s">
        <v>54</v>
      </c>
      <c r="P440" s="66" t="s">
        <v>25</v>
      </c>
      <c r="Q440" s="68">
        <v>29992</v>
      </c>
      <c r="R440" s="68">
        <v>28492</v>
      </c>
      <c r="S440" s="69">
        <v>17820</v>
      </c>
      <c r="T440" s="69">
        <v>160</v>
      </c>
      <c r="U440" s="74" t="s">
        <v>65</v>
      </c>
      <c r="V440" s="75" t="s">
        <v>56</v>
      </c>
      <c r="W440" s="68">
        <v>20747489</v>
      </c>
      <c r="X440" s="68">
        <f t="shared" si="479"/>
        <v>691.76743798346229</v>
      </c>
      <c r="Y440" s="68">
        <f t="shared" si="480"/>
        <v>728.18647339604104</v>
      </c>
      <c r="Z440" s="68">
        <f t="shared" si="481"/>
        <v>1164.281088664422</v>
      </c>
      <c r="AA440" s="68">
        <f t="shared" si="482"/>
        <v>129671.80624999999</v>
      </c>
      <c r="AB440" s="78" t="s">
        <v>73</v>
      </c>
      <c r="AC440" s="55"/>
      <c r="AD440" s="93">
        <f t="shared" ref="AD440" si="506">W440/AC432</f>
        <v>0.14205406514514216</v>
      </c>
    </row>
    <row r="441" spans="1:30" s="32" customFormat="1" ht="15.95">
      <c r="A441" s="65"/>
      <c r="B441" s="66" t="s">
        <v>48</v>
      </c>
      <c r="C441" s="66" t="s">
        <v>114</v>
      </c>
      <c r="D441" s="66"/>
      <c r="E441" s="66" t="s">
        <v>20</v>
      </c>
      <c r="F441" s="66" t="s">
        <v>21</v>
      </c>
      <c r="G441" s="66" t="s">
        <v>145</v>
      </c>
      <c r="H441" s="66"/>
      <c r="I441" s="66" t="s">
        <v>151</v>
      </c>
      <c r="J441" s="66"/>
      <c r="K441" s="66" t="s">
        <v>152</v>
      </c>
      <c r="L441" s="67">
        <v>2023</v>
      </c>
      <c r="M441" s="66" t="s">
        <v>148</v>
      </c>
      <c r="N441" s="66" t="s">
        <v>24</v>
      </c>
      <c r="O441" s="66" t="s">
        <v>54</v>
      </c>
      <c r="P441" s="66" t="s">
        <v>25</v>
      </c>
      <c r="Q441" s="68">
        <v>29992</v>
      </c>
      <c r="R441" s="68">
        <v>28492</v>
      </c>
      <c r="S441" s="69">
        <v>17820</v>
      </c>
      <c r="T441" s="69">
        <v>160</v>
      </c>
      <c r="U441" s="74" t="s">
        <v>66</v>
      </c>
      <c r="V441" s="75" t="s">
        <v>56</v>
      </c>
      <c r="W441" s="68">
        <v>26182408</v>
      </c>
      <c r="X441" s="68">
        <f t="shared" si="479"/>
        <v>872.97972792744736</v>
      </c>
      <c r="Y441" s="68">
        <f t="shared" si="480"/>
        <v>918.93893022602833</v>
      </c>
      <c r="Z441" s="68">
        <f t="shared" si="481"/>
        <v>1469.2709315375982</v>
      </c>
      <c r="AA441" s="68">
        <f t="shared" si="482"/>
        <v>163640.04999999999</v>
      </c>
      <c r="AB441" s="78" t="s">
        <v>73</v>
      </c>
      <c r="AC441" s="55"/>
      <c r="AD441" s="93">
        <f t="shared" ref="AD441" si="507">W441/AC432</f>
        <v>0.17926590980184112</v>
      </c>
    </row>
    <row r="442" spans="1:30" s="32" customFormat="1" ht="15.95">
      <c r="A442" s="65"/>
      <c r="B442" s="66" t="s">
        <v>48</v>
      </c>
      <c r="C442" s="66" t="s">
        <v>114</v>
      </c>
      <c r="D442" s="66"/>
      <c r="E442" s="66" t="s">
        <v>20</v>
      </c>
      <c r="F442" s="66" t="s">
        <v>21</v>
      </c>
      <c r="G442" s="66" t="s">
        <v>145</v>
      </c>
      <c r="H442" s="66"/>
      <c r="I442" s="66" t="s">
        <v>151</v>
      </c>
      <c r="J442" s="66"/>
      <c r="K442" s="66" t="s">
        <v>152</v>
      </c>
      <c r="L442" s="67">
        <v>2023</v>
      </c>
      <c r="M442" s="66" t="s">
        <v>148</v>
      </c>
      <c r="N442" s="66" t="s">
        <v>24</v>
      </c>
      <c r="O442" s="66" t="s">
        <v>54</v>
      </c>
      <c r="P442" s="66" t="s">
        <v>25</v>
      </c>
      <c r="Q442" s="68">
        <v>29992</v>
      </c>
      <c r="R442" s="68">
        <v>28492</v>
      </c>
      <c r="S442" s="69">
        <v>17820</v>
      </c>
      <c r="T442" s="69">
        <v>160</v>
      </c>
      <c r="U442" s="74" t="s">
        <v>67</v>
      </c>
      <c r="V442" s="75" t="s">
        <v>56</v>
      </c>
      <c r="W442" s="68">
        <v>1686825</v>
      </c>
      <c r="X442" s="68">
        <f t="shared" si="479"/>
        <v>56.242497999466522</v>
      </c>
      <c r="Y442" s="68">
        <f t="shared" si="480"/>
        <v>59.203460620525057</v>
      </c>
      <c r="Z442" s="68">
        <f t="shared" si="481"/>
        <v>94.659090909090907</v>
      </c>
      <c r="AA442" s="68">
        <f t="shared" si="482"/>
        <v>10542.65625</v>
      </c>
      <c r="AB442" s="78" t="s">
        <v>73</v>
      </c>
      <c r="AC442" s="55"/>
      <c r="AD442" s="93">
        <f t="shared" ref="AD442" si="508">W442/AC432</f>
        <v>1.1549366211904217E-2</v>
      </c>
    </row>
    <row r="443" spans="1:30" s="32" customFormat="1" ht="15.95">
      <c r="A443" s="65"/>
      <c r="B443" s="66" t="s">
        <v>48</v>
      </c>
      <c r="C443" s="66" t="s">
        <v>114</v>
      </c>
      <c r="D443" s="66"/>
      <c r="E443" s="66" t="s">
        <v>20</v>
      </c>
      <c r="F443" s="66" t="s">
        <v>21</v>
      </c>
      <c r="G443" s="66" t="s">
        <v>145</v>
      </c>
      <c r="H443" s="66"/>
      <c r="I443" s="66" t="s">
        <v>151</v>
      </c>
      <c r="J443" s="66"/>
      <c r="K443" s="66" t="s">
        <v>152</v>
      </c>
      <c r="L443" s="67">
        <v>2023</v>
      </c>
      <c r="M443" s="66" t="s">
        <v>148</v>
      </c>
      <c r="N443" s="66" t="s">
        <v>24</v>
      </c>
      <c r="O443" s="66" t="s">
        <v>54</v>
      </c>
      <c r="P443" s="66" t="s">
        <v>25</v>
      </c>
      <c r="Q443" s="68">
        <v>29992</v>
      </c>
      <c r="R443" s="68">
        <v>28492</v>
      </c>
      <c r="S443" s="69">
        <v>17820</v>
      </c>
      <c r="T443" s="69">
        <v>160</v>
      </c>
      <c r="U443" s="74" t="s">
        <v>68</v>
      </c>
      <c r="V443" s="75" t="s">
        <v>56</v>
      </c>
      <c r="W443" s="68">
        <v>7312723</v>
      </c>
      <c r="X443" s="68">
        <f t="shared" si="479"/>
        <v>243.82245265404109</v>
      </c>
      <c r="Y443" s="68">
        <f t="shared" si="480"/>
        <v>256.65881650989752</v>
      </c>
      <c r="Z443" s="68">
        <f t="shared" si="481"/>
        <v>410.36604938271603</v>
      </c>
      <c r="AA443" s="68">
        <f t="shared" si="482"/>
        <v>45704.518750000003</v>
      </c>
      <c r="AB443" s="78" t="s">
        <v>73</v>
      </c>
      <c r="AC443" s="55"/>
      <c r="AD443" s="93">
        <f t="shared" ref="AD443" si="509">W443/AC432</f>
        <v>5.0068807335209548E-2</v>
      </c>
    </row>
    <row r="444" spans="1:30" s="32" customFormat="1" ht="15.95">
      <c r="A444" s="65"/>
      <c r="B444" s="66" t="s">
        <v>48</v>
      </c>
      <c r="C444" s="66" t="s">
        <v>114</v>
      </c>
      <c r="D444" s="66"/>
      <c r="E444" s="66" t="s">
        <v>20</v>
      </c>
      <c r="F444" s="66" t="s">
        <v>21</v>
      </c>
      <c r="G444" s="66" t="s">
        <v>145</v>
      </c>
      <c r="H444" s="66"/>
      <c r="I444" s="66" t="s">
        <v>151</v>
      </c>
      <c r="J444" s="66"/>
      <c r="K444" s="66" t="s">
        <v>152</v>
      </c>
      <c r="L444" s="67">
        <v>2023</v>
      </c>
      <c r="M444" s="66" t="s">
        <v>148</v>
      </c>
      <c r="N444" s="66" t="s">
        <v>24</v>
      </c>
      <c r="O444" s="66" t="s">
        <v>54</v>
      </c>
      <c r="P444" s="66" t="s">
        <v>25</v>
      </c>
      <c r="Q444" s="68">
        <v>29992</v>
      </c>
      <c r="R444" s="68">
        <v>28492</v>
      </c>
      <c r="S444" s="69">
        <v>17820</v>
      </c>
      <c r="T444" s="69">
        <v>160</v>
      </c>
      <c r="U444" s="74" t="s">
        <v>69</v>
      </c>
      <c r="V444" s="75" t="s">
        <v>56</v>
      </c>
      <c r="W444" s="68">
        <v>9545810</v>
      </c>
      <c r="X444" s="68">
        <f t="shared" si="479"/>
        <v>318.2785409442518</v>
      </c>
      <c r="Y444" s="68">
        <f t="shared" si="480"/>
        <v>335.03474659553558</v>
      </c>
      <c r="Z444" s="68">
        <f t="shared" si="481"/>
        <v>535.67957351290681</v>
      </c>
      <c r="AA444" s="68">
        <f t="shared" si="482"/>
        <v>59661.3125</v>
      </c>
      <c r="AB444" s="78" t="s">
        <v>73</v>
      </c>
      <c r="AC444" s="55"/>
      <c r="AD444" s="93">
        <f t="shared" ref="AD444" si="510">W444/AC432</f>
        <v>6.5358324354486921E-2</v>
      </c>
    </row>
    <row r="445" spans="1:30" s="55" customFormat="1" ht="15" customHeight="1">
      <c r="A445" s="57"/>
      <c r="B445" s="58" t="s">
        <v>48</v>
      </c>
      <c r="C445" s="58" t="s">
        <v>114</v>
      </c>
      <c r="D445" s="58"/>
      <c r="E445" s="58" t="s">
        <v>20</v>
      </c>
      <c r="F445" s="58" t="s">
        <v>21</v>
      </c>
      <c r="G445" s="58" t="s">
        <v>145</v>
      </c>
      <c r="H445" s="58"/>
      <c r="I445" s="58" t="s">
        <v>153</v>
      </c>
      <c r="J445" s="58"/>
      <c r="K445" s="58" t="s">
        <v>154</v>
      </c>
      <c r="L445" s="59">
        <v>2023</v>
      </c>
      <c r="M445" s="58" t="s">
        <v>96</v>
      </c>
      <c r="N445" s="58" t="s">
        <v>24</v>
      </c>
      <c r="O445" s="58" t="s">
        <v>54</v>
      </c>
      <c r="P445" s="58" t="s">
        <v>25</v>
      </c>
      <c r="Q445" s="60">
        <v>45453</v>
      </c>
      <c r="R445" s="60">
        <v>43180</v>
      </c>
      <c r="S445" s="61">
        <v>28495</v>
      </c>
      <c r="T445" s="61">
        <v>213</v>
      </c>
      <c r="U445" s="62" t="s">
        <v>55</v>
      </c>
      <c r="V445" s="63" t="s">
        <v>56</v>
      </c>
      <c r="W445" s="60">
        <v>46317537</v>
      </c>
      <c r="X445" s="60">
        <f t="shared" si="479"/>
        <v>1019.0204606956637</v>
      </c>
      <c r="Y445" s="60">
        <f t="shared" si="480"/>
        <v>1072.661811023622</v>
      </c>
      <c r="Z445" s="60">
        <f t="shared" si="481"/>
        <v>1625.4619055974733</v>
      </c>
      <c r="AA445" s="60">
        <f t="shared" si="482"/>
        <v>217453.22535211267</v>
      </c>
      <c r="AB445" s="77" t="s">
        <v>73</v>
      </c>
      <c r="AC445" s="92">
        <f t="shared" ref="AC445" si="511">SUM(W445:W457)</f>
        <v>248378357</v>
      </c>
      <c r="AD445" s="93">
        <f t="shared" ref="AD445" si="512">W445/AC445</f>
        <v>0.18647976240538541</v>
      </c>
    </row>
    <row r="446" spans="1:30" s="55" customFormat="1" ht="15.95">
      <c r="A446" s="57"/>
      <c r="B446" s="58" t="s">
        <v>48</v>
      </c>
      <c r="C446" s="58" t="s">
        <v>114</v>
      </c>
      <c r="D446" s="58"/>
      <c r="E446" s="58" t="s">
        <v>20</v>
      </c>
      <c r="F446" s="58" t="s">
        <v>21</v>
      </c>
      <c r="G446" s="58" t="s">
        <v>145</v>
      </c>
      <c r="H446" s="58"/>
      <c r="I446" s="58" t="s">
        <v>153</v>
      </c>
      <c r="J446" s="58"/>
      <c r="K446" s="58" t="s">
        <v>154</v>
      </c>
      <c r="L446" s="59">
        <v>2023</v>
      </c>
      <c r="M446" s="58" t="s">
        <v>96</v>
      </c>
      <c r="N446" s="58" t="s">
        <v>24</v>
      </c>
      <c r="O446" s="58" t="s">
        <v>54</v>
      </c>
      <c r="P446" s="58" t="s">
        <v>25</v>
      </c>
      <c r="Q446" s="60">
        <v>45453</v>
      </c>
      <c r="R446" s="60">
        <v>43180</v>
      </c>
      <c r="S446" s="61">
        <v>28495</v>
      </c>
      <c r="T446" s="61">
        <v>213</v>
      </c>
      <c r="U446" s="62" t="s">
        <v>58</v>
      </c>
      <c r="V446" s="63" t="s">
        <v>56</v>
      </c>
      <c r="W446" s="60">
        <v>14189097</v>
      </c>
      <c r="X446" s="60">
        <f t="shared" si="479"/>
        <v>312.17074780542538</v>
      </c>
      <c r="Y446" s="60">
        <f t="shared" si="480"/>
        <v>328.60345067160722</v>
      </c>
      <c r="Z446" s="60">
        <f t="shared" si="481"/>
        <v>497.95041235304438</v>
      </c>
      <c r="AA446" s="60">
        <f t="shared" si="482"/>
        <v>66615.478873239437</v>
      </c>
      <c r="AB446" s="77" t="s">
        <v>73</v>
      </c>
      <c r="AD446" s="93">
        <f t="shared" ref="AD446" si="513">W446/AC445</f>
        <v>5.7126946048684908E-2</v>
      </c>
    </row>
    <row r="447" spans="1:30" s="55" customFormat="1" ht="15.95">
      <c r="A447" s="57"/>
      <c r="B447" s="58" t="s">
        <v>48</v>
      </c>
      <c r="C447" s="58" t="s">
        <v>114</v>
      </c>
      <c r="D447" s="58"/>
      <c r="E447" s="58" t="s">
        <v>20</v>
      </c>
      <c r="F447" s="58" t="s">
        <v>21</v>
      </c>
      <c r="G447" s="58" t="s">
        <v>145</v>
      </c>
      <c r="H447" s="58"/>
      <c r="I447" s="58" t="s">
        <v>153</v>
      </c>
      <c r="J447" s="58"/>
      <c r="K447" s="58" t="s">
        <v>154</v>
      </c>
      <c r="L447" s="59">
        <v>2023</v>
      </c>
      <c r="M447" s="58" t="s">
        <v>96</v>
      </c>
      <c r="N447" s="58" t="s">
        <v>24</v>
      </c>
      <c r="O447" s="58" t="s">
        <v>54</v>
      </c>
      <c r="P447" s="58" t="s">
        <v>25</v>
      </c>
      <c r="Q447" s="60">
        <v>45453</v>
      </c>
      <c r="R447" s="60">
        <v>43180</v>
      </c>
      <c r="S447" s="61">
        <v>28495</v>
      </c>
      <c r="T447" s="61">
        <v>213</v>
      </c>
      <c r="U447" s="62" t="s">
        <v>59</v>
      </c>
      <c r="V447" s="63" t="s">
        <v>56</v>
      </c>
      <c r="W447" s="60">
        <v>17326634</v>
      </c>
      <c r="X447" s="60">
        <f t="shared" si="479"/>
        <v>381.19890876289793</v>
      </c>
      <c r="Y447" s="60">
        <f t="shared" si="480"/>
        <v>401.2652616952293</v>
      </c>
      <c r="Z447" s="60">
        <f t="shared" si="481"/>
        <v>608.05874714862261</v>
      </c>
      <c r="AA447" s="60">
        <f t="shared" si="482"/>
        <v>81345.699530516431</v>
      </c>
      <c r="AB447" s="77" t="s">
        <v>73</v>
      </c>
      <c r="AD447" s="93">
        <f t="shared" ref="AD447" si="514">W447/AC445</f>
        <v>6.9759032990140926E-2</v>
      </c>
    </row>
    <row r="448" spans="1:30" s="55" customFormat="1" ht="15.95">
      <c r="A448" s="57"/>
      <c r="B448" s="58" t="s">
        <v>48</v>
      </c>
      <c r="C448" s="58" t="s">
        <v>114</v>
      </c>
      <c r="D448" s="58"/>
      <c r="E448" s="58" t="s">
        <v>20</v>
      </c>
      <c r="F448" s="58" t="s">
        <v>21</v>
      </c>
      <c r="G448" s="58" t="s">
        <v>145</v>
      </c>
      <c r="H448" s="58"/>
      <c r="I448" s="58" t="s">
        <v>153</v>
      </c>
      <c r="J448" s="58"/>
      <c r="K448" s="58" t="s">
        <v>154</v>
      </c>
      <c r="L448" s="59">
        <v>2023</v>
      </c>
      <c r="M448" s="58" t="s">
        <v>96</v>
      </c>
      <c r="N448" s="58" t="s">
        <v>24</v>
      </c>
      <c r="O448" s="58" t="s">
        <v>54</v>
      </c>
      <c r="P448" s="58" t="s">
        <v>25</v>
      </c>
      <c r="Q448" s="60">
        <v>45453</v>
      </c>
      <c r="R448" s="60">
        <v>43180</v>
      </c>
      <c r="S448" s="61">
        <v>28495</v>
      </c>
      <c r="T448" s="61">
        <v>213</v>
      </c>
      <c r="U448" s="62" t="s">
        <v>60</v>
      </c>
      <c r="V448" s="63" t="s">
        <v>56</v>
      </c>
      <c r="W448" s="60">
        <v>9053837</v>
      </c>
      <c r="X448" s="60">
        <f t="shared" si="479"/>
        <v>199.19118650034102</v>
      </c>
      <c r="Y448" s="60">
        <f t="shared" si="480"/>
        <v>209.67663270032423</v>
      </c>
      <c r="Z448" s="60">
        <f t="shared" si="481"/>
        <v>317.73423407615371</v>
      </c>
      <c r="AA448" s="60">
        <f t="shared" si="482"/>
        <v>42506.276995305161</v>
      </c>
      <c r="AB448" s="77" t="s">
        <v>73</v>
      </c>
      <c r="AD448" s="93">
        <f t="shared" ref="AD448" si="515">W448/AC445</f>
        <v>3.6451795194055496E-2</v>
      </c>
    </row>
    <row r="449" spans="1:30" s="55" customFormat="1" ht="15.95">
      <c r="A449" s="57"/>
      <c r="B449" s="58" t="s">
        <v>48</v>
      </c>
      <c r="C449" s="58" t="s">
        <v>114</v>
      </c>
      <c r="D449" s="58"/>
      <c r="E449" s="58" t="s">
        <v>20</v>
      </c>
      <c r="F449" s="58" t="s">
        <v>21</v>
      </c>
      <c r="G449" s="58" t="s">
        <v>145</v>
      </c>
      <c r="H449" s="58"/>
      <c r="I449" s="58" t="s">
        <v>153</v>
      </c>
      <c r="J449" s="58"/>
      <c r="K449" s="58" t="s">
        <v>154</v>
      </c>
      <c r="L449" s="59">
        <v>2023</v>
      </c>
      <c r="M449" s="58" t="s">
        <v>96</v>
      </c>
      <c r="N449" s="58" t="s">
        <v>24</v>
      </c>
      <c r="O449" s="58" t="s">
        <v>54</v>
      </c>
      <c r="P449" s="58" t="s">
        <v>25</v>
      </c>
      <c r="Q449" s="60">
        <v>45453</v>
      </c>
      <c r="R449" s="60">
        <v>43180</v>
      </c>
      <c r="S449" s="61">
        <v>28495</v>
      </c>
      <c r="T449" s="61">
        <v>213</v>
      </c>
      <c r="U449" s="62" t="s">
        <v>61</v>
      </c>
      <c r="V449" s="63" t="s">
        <v>56</v>
      </c>
      <c r="W449" s="60">
        <v>37865530</v>
      </c>
      <c r="X449" s="60">
        <f t="shared" si="479"/>
        <v>833.06998437946891</v>
      </c>
      <c r="Y449" s="60">
        <f t="shared" si="480"/>
        <v>876.92288096340894</v>
      </c>
      <c r="Z449" s="60">
        <f t="shared" si="481"/>
        <v>1328.8482189857871</v>
      </c>
      <c r="AA449" s="60">
        <f t="shared" si="482"/>
        <v>177772.44131455399</v>
      </c>
      <c r="AB449" s="77" t="s">
        <v>73</v>
      </c>
      <c r="AD449" s="93">
        <f t="shared" ref="AD449" si="516">W449/AC445</f>
        <v>0.15245100441662074</v>
      </c>
    </row>
    <row r="450" spans="1:30" s="55" customFormat="1" ht="15.95">
      <c r="A450" s="57"/>
      <c r="B450" s="58" t="s">
        <v>48</v>
      </c>
      <c r="C450" s="58" t="s">
        <v>114</v>
      </c>
      <c r="D450" s="58"/>
      <c r="E450" s="58" t="s">
        <v>20</v>
      </c>
      <c r="F450" s="58" t="s">
        <v>21</v>
      </c>
      <c r="G450" s="58" t="s">
        <v>145</v>
      </c>
      <c r="H450" s="58"/>
      <c r="I450" s="58" t="s">
        <v>153</v>
      </c>
      <c r="J450" s="58"/>
      <c r="K450" s="58" t="s">
        <v>154</v>
      </c>
      <c r="L450" s="59">
        <v>2023</v>
      </c>
      <c r="M450" s="58" t="s">
        <v>96</v>
      </c>
      <c r="N450" s="58" t="s">
        <v>24</v>
      </c>
      <c r="O450" s="58" t="s">
        <v>54</v>
      </c>
      <c r="P450" s="58" t="s">
        <v>25</v>
      </c>
      <c r="Q450" s="60">
        <v>45453</v>
      </c>
      <c r="R450" s="60">
        <v>43180</v>
      </c>
      <c r="S450" s="61">
        <v>28495</v>
      </c>
      <c r="T450" s="61">
        <v>213</v>
      </c>
      <c r="U450" s="62" t="s">
        <v>62</v>
      </c>
      <c r="V450" s="63" t="s">
        <v>56</v>
      </c>
      <c r="W450" s="60">
        <v>23646880</v>
      </c>
      <c r="X450" s="60">
        <f t="shared" si="479"/>
        <v>520.24904846764787</v>
      </c>
      <c r="Y450" s="60">
        <f t="shared" si="480"/>
        <v>547.63501621120895</v>
      </c>
      <c r="Z450" s="60">
        <f t="shared" si="481"/>
        <v>829.86067731180913</v>
      </c>
      <c r="AA450" s="60">
        <f t="shared" si="482"/>
        <v>111018.21596244132</v>
      </c>
      <c r="AB450" s="77" t="s">
        <v>73</v>
      </c>
      <c r="AD450" s="93">
        <f t="shared" ref="AD450" si="517">W450/AC445</f>
        <v>9.5205074570969966E-2</v>
      </c>
    </row>
    <row r="451" spans="1:30" s="55" customFormat="1" ht="15.95">
      <c r="A451" s="57"/>
      <c r="B451" s="58" t="s">
        <v>48</v>
      </c>
      <c r="C451" s="58" t="s">
        <v>114</v>
      </c>
      <c r="D451" s="58"/>
      <c r="E451" s="58" t="s">
        <v>20</v>
      </c>
      <c r="F451" s="58" t="s">
        <v>21</v>
      </c>
      <c r="G451" s="58" t="s">
        <v>145</v>
      </c>
      <c r="H451" s="58"/>
      <c r="I451" s="58" t="s">
        <v>153</v>
      </c>
      <c r="J451" s="58"/>
      <c r="K451" s="58" t="s">
        <v>154</v>
      </c>
      <c r="L451" s="59">
        <v>2023</v>
      </c>
      <c r="M451" s="58" t="s">
        <v>96</v>
      </c>
      <c r="N451" s="58" t="s">
        <v>24</v>
      </c>
      <c r="O451" s="58" t="s">
        <v>54</v>
      </c>
      <c r="P451" s="58" t="s">
        <v>25</v>
      </c>
      <c r="Q451" s="60">
        <v>45453</v>
      </c>
      <c r="R451" s="60">
        <v>43180</v>
      </c>
      <c r="S451" s="61">
        <v>28495</v>
      </c>
      <c r="T451" s="61">
        <v>213</v>
      </c>
      <c r="U451" s="62" t="s">
        <v>63</v>
      </c>
      <c r="V451" s="63" t="s">
        <v>56</v>
      </c>
      <c r="W451" s="60">
        <v>485101</v>
      </c>
      <c r="X451" s="60">
        <f t="shared" ref="X451:X470" si="518">W451/Q451</f>
        <v>10.672584867885508</v>
      </c>
      <c r="Y451" s="60">
        <f t="shared" ref="Y451:Y470" si="519">W451/R451</f>
        <v>11.234390921723019</v>
      </c>
      <c r="Z451" s="60">
        <f t="shared" ref="Z451:Z470" si="520">W451/S451</f>
        <v>17.024074399017373</v>
      </c>
      <c r="AA451" s="60">
        <f t="shared" ref="AA451:AA470" si="521">W451/T451</f>
        <v>2277.4694835680752</v>
      </c>
      <c r="AB451" s="77" t="s">
        <v>73</v>
      </c>
      <c r="AD451" s="93">
        <f t="shared" ref="AD451" si="522">W451/AC445</f>
        <v>1.9530727469946184E-3</v>
      </c>
    </row>
    <row r="452" spans="1:30" s="55" customFormat="1" ht="15.95">
      <c r="A452" s="57"/>
      <c r="B452" s="58" t="s">
        <v>48</v>
      </c>
      <c r="C452" s="58" t="s">
        <v>114</v>
      </c>
      <c r="D452" s="58"/>
      <c r="E452" s="58" t="s">
        <v>20</v>
      </c>
      <c r="F452" s="58" t="s">
        <v>21</v>
      </c>
      <c r="G452" s="58" t="s">
        <v>145</v>
      </c>
      <c r="H452" s="58"/>
      <c r="I452" s="58" t="s">
        <v>153</v>
      </c>
      <c r="J452" s="58"/>
      <c r="K452" s="58" t="s">
        <v>154</v>
      </c>
      <c r="L452" s="59">
        <v>2023</v>
      </c>
      <c r="M452" s="58" t="s">
        <v>96</v>
      </c>
      <c r="N452" s="58" t="s">
        <v>24</v>
      </c>
      <c r="O452" s="58" t="s">
        <v>54</v>
      </c>
      <c r="P452" s="58" t="s">
        <v>25</v>
      </c>
      <c r="Q452" s="60">
        <v>45453</v>
      </c>
      <c r="R452" s="60">
        <v>43180</v>
      </c>
      <c r="S452" s="61">
        <v>28495</v>
      </c>
      <c r="T452" s="61">
        <v>213</v>
      </c>
      <c r="U452" s="62" t="s">
        <v>64</v>
      </c>
      <c r="V452" s="63" t="s">
        <v>56</v>
      </c>
      <c r="W452" s="60">
        <v>0</v>
      </c>
      <c r="X452" s="60">
        <f t="shared" si="518"/>
        <v>0</v>
      </c>
      <c r="Y452" s="60">
        <f t="shared" si="519"/>
        <v>0</v>
      </c>
      <c r="Z452" s="60">
        <f t="shared" si="520"/>
        <v>0</v>
      </c>
      <c r="AA452" s="60">
        <f t="shared" si="521"/>
        <v>0</v>
      </c>
      <c r="AB452" s="77" t="s">
        <v>73</v>
      </c>
      <c r="AD452" s="93">
        <f t="shared" ref="AD452" si="523">W452/AC445</f>
        <v>0</v>
      </c>
    </row>
    <row r="453" spans="1:30" s="55" customFormat="1" ht="15.95">
      <c r="A453" s="57"/>
      <c r="B453" s="58" t="s">
        <v>48</v>
      </c>
      <c r="C453" s="58" t="s">
        <v>114</v>
      </c>
      <c r="D453" s="58"/>
      <c r="E453" s="58" t="s">
        <v>20</v>
      </c>
      <c r="F453" s="58" t="s">
        <v>21</v>
      </c>
      <c r="G453" s="58" t="s">
        <v>145</v>
      </c>
      <c r="H453" s="58"/>
      <c r="I453" s="58" t="s">
        <v>153</v>
      </c>
      <c r="J453" s="58"/>
      <c r="K453" s="58" t="s">
        <v>154</v>
      </c>
      <c r="L453" s="59">
        <v>2023</v>
      </c>
      <c r="M453" s="58" t="s">
        <v>96</v>
      </c>
      <c r="N453" s="58" t="s">
        <v>24</v>
      </c>
      <c r="O453" s="58" t="s">
        <v>54</v>
      </c>
      <c r="P453" s="58" t="s">
        <v>25</v>
      </c>
      <c r="Q453" s="60">
        <v>45453</v>
      </c>
      <c r="R453" s="60">
        <v>43180</v>
      </c>
      <c r="S453" s="61">
        <v>28495</v>
      </c>
      <c r="T453" s="61">
        <v>213</v>
      </c>
      <c r="U453" s="62" t="s">
        <v>65</v>
      </c>
      <c r="V453" s="63" t="s">
        <v>56</v>
      </c>
      <c r="W453" s="60">
        <v>33673705</v>
      </c>
      <c r="X453" s="60">
        <f t="shared" si="518"/>
        <v>740.84669878775878</v>
      </c>
      <c r="Y453" s="60">
        <f t="shared" si="519"/>
        <v>779.84495136637327</v>
      </c>
      <c r="Z453" s="60">
        <f t="shared" si="520"/>
        <v>1181.7408317248639</v>
      </c>
      <c r="AA453" s="60">
        <f t="shared" si="521"/>
        <v>158092.5117370892</v>
      </c>
      <c r="AB453" s="77" t="s">
        <v>73</v>
      </c>
      <c r="AD453" s="93">
        <f t="shared" ref="AD453" si="524">W453/AC445</f>
        <v>0.13557423201732507</v>
      </c>
    </row>
    <row r="454" spans="1:30" s="55" customFormat="1" ht="15.95">
      <c r="A454" s="57"/>
      <c r="B454" s="58" t="s">
        <v>48</v>
      </c>
      <c r="C454" s="58" t="s">
        <v>114</v>
      </c>
      <c r="D454" s="58"/>
      <c r="E454" s="58" t="s">
        <v>20</v>
      </c>
      <c r="F454" s="58" t="s">
        <v>21</v>
      </c>
      <c r="G454" s="58" t="s">
        <v>145</v>
      </c>
      <c r="H454" s="58"/>
      <c r="I454" s="58" t="s">
        <v>153</v>
      </c>
      <c r="J454" s="58"/>
      <c r="K454" s="58" t="s">
        <v>154</v>
      </c>
      <c r="L454" s="59">
        <v>2023</v>
      </c>
      <c r="M454" s="58" t="s">
        <v>96</v>
      </c>
      <c r="N454" s="58" t="s">
        <v>24</v>
      </c>
      <c r="O454" s="58" t="s">
        <v>54</v>
      </c>
      <c r="P454" s="58" t="s">
        <v>25</v>
      </c>
      <c r="Q454" s="60">
        <v>45453</v>
      </c>
      <c r="R454" s="60">
        <v>43180</v>
      </c>
      <c r="S454" s="61">
        <v>28495</v>
      </c>
      <c r="T454" s="61">
        <v>213</v>
      </c>
      <c r="U454" s="62" t="s">
        <v>66</v>
      </c>
      <c r="V454" s="63" t="s">
        <v>56</v>
      </c>
      <c r="W454" s="60">
        <v>28845582</v>
      </c>
      <c r="X454" s="60">
        <f t="shared" si="518"/>
        <v>634.62438122896174</v>
      </c>
      <c r="Y454" s="60">
        <f t="shared" si="519"/>
        <v>668.03107920333491</v>
      </c>
      <c r="Z454" s="60">
        <f t="shared" si="520"/>
        <v>1012.3032812774171</v>
      </c>
      <c r="AA454" s="60">
        <f t="shared" si="521"/>
        <v>135425.2676056338</v>
      </c>
      <c r="AB454" s="77" t="s">
        <v>73</v>
      </c>
      <c r="AD454" s="93">
        <f t="shared" ref="AD454" si="525">W454/AC445</f>
        <v>0.11613565025715988</v>
      </c>
    </row>
    <row r="455" spans="1:30" s="55" customFormat="1" ht="15.95">
      <c r="A455" s="57"/>
      <c r="B455" s="58" t="s">
        <v>48</v>
      </c>
      <c r="C455" s="58" t="s">
        <v>114</v>
      </c>
      <c r="D455" s="58"/>
      <c r="E455" s="58" t="s">
        <v>20</v>
      </c>
      <c r="F455" s="58" t="s">
        <v>21</v>
      </c>
      <c r="G455" s="58" t="s">
        <v>145</v>
      </c>
      <c r="H455" s="58"/>
      <c r="I455" s="58" t="s">
        <v>153</v>
      </c>
      <c r="J455" s="58"/>
      <c r="K455" s="58" t="s">
        <v>154</v>
      </c>
      <c r="L455" s="59">
        <v>2023</v>
      </c>
      <c r="M455" s="58" t="s">
        <v>96</v>
      </c>
      <c r="N455" s="58" t="s">
        <v>24</v>
      </c>
      <c r="O455" s="58" t="s">
        <v>54</v>
      </c>
      <c r="P455" s="58" t="s">
        <v>25</v>
      </c>
      <c r="Q455" s="60">
        <v>45453</v>
      </c>
      <c r="R455" s="60">
        <v>43180</v>
      </c>
      <c r="S455" s="61">
        <v>28495</v>
      </c>
      <c r="T455" s="61">
        <v>213</v>
      </c>
      <c r="U455" s="62" t="s">
        <v>67</v>
      </c>
      <c r="V455" s="63" t="s">
        <v>56</v>
      </c>
      <c r="W455" s="60">
        <v>0</v>
      </c>
      <c r="X455" s="60">
        <f t="shared" si="518"/>
        <v>0</v>
      </c>
      <c r="Y455" s="60">
        <f t="shared" si="519"/>
        <v>0</v>
      </c>
      <c r="Z455" s="60">
        <f t="shared" si="520"/>
        <v>0</v>
      </c>
      <c r="AA455" s="60">
        <f t="shared" si="521"/>
        <v>0</v>
      </c>
      <c r="AB455" s="77" t="s">
        <v>73</v>
      </c>
      <c r="AD455" s="93">
        <f t="shared" ref="AD455" si="526">W455/AC445</f>
        <v>0</v>
      </c>
    </row>
    <row r="456" spans="1:30" s="55" customFormat="1" ht="15.95">
      <c r="A456" s="57"/>
      <c r="B456" s="58" t="s">
        <v>48</v>
      </c>
      <c r="C456" s="58" t="s">
        <v>114</v>
      </c>
      <c r="D456" s="58"/>
      <c r="E456" s="58" t="s">
        <v>20</v>
      </c>
      <c r="F456" s="58" t="s">
        <v>21</v>
      </c>
      <c r="G456" s="58" t="s">
        <v>145</v>
      </c>
      <c r="H456" s="58"/>
      <c r="I456" s="58" t="s">
        <v>153</v>
      </c>
      <c r="J456" s="58"/>
      <c r="K456" s="58" t="s">
        <v>154</v>
      </c>
      <c r="L456" s="59">
        <v>2023</v>
      </c>
      <c r="M456" s="58" t="s">
        <v>96</v>
      </c>
      <c r="N456" s="58" t="s">
        <v>24</v>
      </c>
      <c r="O456" s="58" t="s">
        <v>54</v>
      </c>
      <c r="P456" s="58" t="s">
        <v>25</v>
      </c>
      <c r="Q456" s="60">
        <v>45453</v>
      </c>
      <c r="R456" s="60">
        <v>43180</v>
      </c>
      <c r="S456" s="61">
        <v>28495</v>
      </c>
      <c r="T456" s="61">
        <v>213</v>
      </c>
      <c r="U456" s="62" t="s">
        <v>68</v>
      </c>
      <c r="V456" s="63" t="s">
        <v>56</v>
      </c>
      <c r="W456" s="60">
        <v>13053637</v>
      </c>
      <c r="X456" s="60">
        <f t="shared" si="518"/>
        <v>287.18977845246741</v>
      </c>
      <c r="Y456" s="60">
        <f t="shared" si="519"/>
        <v>302.30748031496063</v>
      </c>
      <c r="Z456" s="60">
        <f t="shared" si="520"/>
        <v>458.10271977539918</v>
      </c>
      <c r="AA456" s="60">
        <f t="shared" si="521"/>
        <v>61284.680751173706</v>
      </c>
      <c r="AB456" s="77" t="s">
        <v>73</v>
      </c>
      <c r="AD456" s="93">
        <f t="shared" ref="AD456" si="527">W456/AC445</f>
        <v>5.2555452728113503E-2</v>
      </c>
    </row>
    <row r="457" spans="1:30" s="55" customFormat="1" ht="15.95">
      <c r="A457" s="57"/>
      <c r="B457" s="58" t="s">
        <v>48</v>
      </c>
      <c r="C457" s="58" t="s">
        <v>114</v>
      </c>
      <c r="D457" s="58"/>
      <c r="E457" s="58" t="s">
        <v>20</v>
      </c>
      <c r="F457" s="58" t="s">
        <v>21</v>
      </c>
      <c r="G457" s="58" t="s">
        <v>145</v>
      </c>
      <c r="H457" s="58"/>
      <c r="I457" s="58" t="s">
        <v>153</v>
      </c>
      <c r="J457" s="58"/>
      <c r="K457" s="58" t="s">
        <v>154</v>
      </c>
      <c r="L457" s="59">
        <v>2023</v>
      </c>
      <c r="M457" s="58" t="s">
        <v>96</v>
      </c>
      <c r="N457" s="58" t="s">
        <v>24</v>
      </c>
      <c r="O457" s="58" t="s">
        <v>54</v>
      </c>
      <c r="P457" s="58" t="s">
        <v>25</v>
      </c>
      <c r="Q457" s="60">
        <v>45453</v>
      </c>
      <c r="R457" s="60">
        <v>43180</v>
      </c>
      <c r="S457" s="61">
        <v>28495</v>
      </c>
      <c r="T457" s="61">
        <v>213</v>
      </c>
      <c r="U457" s="62" t="s">
        <v>69</v>
      </c>
      <c r="V457" s="63" t="s">
        <v>56</v>
      </c>
      <c r="W457" s="60">
        <v>23920817</v>
      </c>
      <c r="X457" s="60">
        <f t="shared" si="518"/>
        <v>526.27586737949093</v>
      </c>
      <c r="Y457" s="60">
        <f t="shared" si="519"/>
        <v>553.97908754052798</v>
      </c>
      <c r="Z457" s="60">
        <f t="shared" si="520"/>
        <v>839.47418845411471</v>
      </c>
      <c r="AA457" s="60">
        <f t="shared" si="521"/>
        <v>112304.30516431924</v>
      </c>
      <c r="AB457" s="77" t="s">
        <v>73</v>
      </c>
      <c r="AD457" s="93">
        <f t="shared" ref="AD457" si="528">W457/AC445</f>
        <v>9.6307976624549457E-2</v>
      </c>
    </row>
    <row r="458" spans="1:30" s="32" customFormat="1" ht="15" customHeight="1">
      <c r="A458" s="65"/>
      <c r="B458" s="66" t="s">
        <v>48</v>
      </c>
      <c r="C458" s="66" t="s">
        <v>114</v>
      </c>
      <c r="D458" s="66"/>
      <c r="E458" s="66" t="s">
        <v>20</v>
      </c>
      <c r="F458" s="66" t="s">
        <v>21</v>
      </c>
      <c r="G458" s="66" t="s">
        <v>145</v>
      </c>
      <c r="H458" s="66"/>
      <c r="I458" s="66" t="s">
        <v>155</v>
      </c>
      <c r="J458" s="66"/>
      <c r="K458" s="66" t="s">
        <v>156</v>
      </c>
      <c r="L458" s="67">
        <v>2023</v>
      </c>
      <c r="M458" s="66" t="s">
        <v>96</v>
      </c>
      <c r="N458" s="66" t="s">
        <v>24</v>
      </c>
      <c r="O458" s="66" t="s">
        <v>54</v>
      </c>
      <c r="P458" s="66" t="s">
        <v>25</v>
      </c>
      <c r="Q458" s="68">
        <v>42549</v>
      </c>
      <c r="R458" s="68">
        <v>40422</v>
      </c>
      <c r="S458" s="69">
        <v>28496</v>
      </c>
      <c r="T458" s="69">
        <v>213</v>
      </c>
      <c r="U458" s="74" t="s">
        <v>55</v>
      </c>
      <c r="V458" s="75" t="s">
        <v>56</v>
      </c>
      <c r="W458" s="68">
        <v>30565223</v>
      </c>
      <c r="X458" s="68">
        <f t="shared" si="518"/>
        <v>718.35349831958445</v>
      </c>
      <c r="Y458" s="68">
        <f t="shared" si="519"/>
        <v>756.15315917074861</v>
      </c>
      <c r="Z458" s="68">
        <f t="shared" si="520"/>
        <v>1072.6145072992701</v>
      </c>
      <c r="AA458" s="68">
        <f t="shared" si="521"/>
        <v>143498.69953051643</v>
      </c>
      <c r="AB458" s="78" t="s">
        <v>73</v>
      </c>
      <c r="AC458" s="92">
        <f t="shared" ref="AC458" si="529">SUM(W458:W470)</f>
        <v>247287376</v>
      </c>
      <c r="AD458" s="93">
        <f t="shared" ref="AD458" si="530">W458/AC458</f>
        <v>0.12360203539059754</v>
      </c>
    </row>
    <row r="459" spans="1:30" s="32" customFormat="1" ht="15.95">
      <c r="A459" s="65"/>
      <c r="B459" s="66" t="s">
        <v>48</v>
      </c>
      <c r="C459" s="66" t="s">
        <v>114</v>
      </c>
      <c r="D459" s="66"/>
      <c r="E459" s="66" t="s">
        <v>20</v>
      </c>
      <c r="F459" s="66" t="s">
        <v>21</v>
      </c>
      <c r="G459" s="66" t="s">
        <v>145</v>
      </c>
      <c r="H459" s="66"/>
      <c r="I459" s="66" t="s">
        <v>155</v>
      </c>
      <c r="J459" s="66"/>
      <c r="K459" s="66" t="s">
        <v>156</v>
      </c>
      <c r="L459" s="67">
        <v>2023</v>
      </c>
      <c r="M459" s="66" t="s">
        <v>96</v>
      </c>
      <c r="N459" s="66" t="s">
        <v>24</v>
      </c>
      <c r="O459" s="66" t="s">
        <v>54</v>
      </c>
      <c r="P459" s="66" t="s">
        <v>25</v>
      </c>
      <c r="Q459" s="68">
        <v>42549</v>
      </c>
      <c r="R459" s="68">
        <v>40422</v>
      </c>
      <c r="S459" s="69">
        <v>28496</v>
      </c>
      <c r="T459" s="69">
        <v>213</v>
      </c>
      <c r="U459" s="74" t="s">
        <v>58</v>
      </c>
      <c r="V459" s="75" t="s">
        <v>56</v>
      </c>
      <c r="W459" s="68">
        <v>32542107</v>
      </c>
      <c r="X459" s="68">
        <f t="shared" si="518"/>
        <v>764.81484876260311</v>
      </c>
      <c r="Y459" s="68">
        <f t="shared" si="519"/>
        <v>805.0592993914205</v>
      </c>
      <c r="Z459" s="68">
        <f t="shared" si="520"/>
        <v>1141.988594890511</v>
      </c>
      <c r="AA459" s="68">
        <f t="shared" si="521"/>
        <v>152779.84507042254</v>
      </c>
      <c r="AB459" s="78" t="s">
        <v>73</v>
      </c>
      <c r="AC459" s="55"/>
      <c r="AD459" s="93">
        <f t="shared" ref="AD459" si="531">W459/AC458</f>
        <v>0.13159631327075913</v>
      </c>
    </row>
    <row r="460" spans="1:30" s="32" customFormat="1" ht="15.95">
      <c r="A460" s="65"/>
      <c r="B460" s="66" t="s">
        <v>48</v>
      </c>
      <c r="C460" s="66" t="s">
        <v>114</v>
      </c>
      <c r="D460" s="66"/>
      <c r="E460" s="66" t="s">
        <v>20</v>
      </c>
      <c r="F460" s="66" t="s">
        <v>21</v>
      </c>
      <c r="G460" s="66" t="s">
        <v>145</v>
      </c>
      <c r="H460" s="66"/>
      <c r="I460" s="66" t="s">
        <v>155</v>
      </c>
      <c r="J460" s="66"/>
      <c r="K460" s="66" t="s">
        <v>156</v>
      </c>
      <c r="L460" s="67">
        <v>2023</v>
      </c>
      <c r="M460" s="66" t="s">
        <v>96</v>
      </c>
      <c r="N460" s="66" t="s">
        <v>24</v>
      </c>
      <c r="O460" s="66" t="s">
        <v>54</v>
      </c>
      <c r="P460" s="66" t="s">
        <v>25</v>
      </c>
      <c r="Q460" s="68">
        <v>42549</v>
      </c>
      <c r="R460" s="68">
        <v>40422</v>
      </c>
      <c r="S460" s="69">
        <v>28496</v>
      </c>
      <c r="T460" s="69">
        <v>213</v>
      </c>
      <c r="U460" s="74" t="s">
        <v>59</v>
      </c>
      <c r="V460" s="75" t="s">
        <v>56</v>
      </c>
      <c r="W460" s="68">
        <v>34410883</v>
      </c>
      <c r="X460" s="68">
        <f t="shared" si="518"/>
        <v>808.73541093797735</v>
      </c>
      <c r="Y460" s="68">
        <f t="shared" si="519"/>
        <v>851.29095542031564</v>
      </c>
      <c r="Z460" s="68">
        <f t="shared" si="520"/>
        <v>1207.5688868613138</v>
      </c>
      <c r="AA460" s="68">
        <f t="shared" si="521"/>
        <v>161553.44131455399</v>
      </c>
      <c r="AB460" s="78" t="s">
        <v>73</v>
      </c>
      <c r="AC460" s="55"/>
      <c r="AD460" s="93">
        <f t="shared" ref="AD460" si="532">W460/AC458</f>
        <v>0.13915341557912767</v>
      </c>
    </row>
    <row r="461" spans="1:30" s="32" customFormat="1" ht="15.95">
      <c r="A461" s="65"/>
      <c r="B461" s="66" t="s">
        <v>48</v>
      </c>
      <c r="C461" s="66" t="s">
        <v>114</v>
      </c>
      <c r="D461" s="66"/>
      <c r="E461" s="66" t="s">
        <v>20</v>
      </c>
      <c r="F461" s="66" t="s">
        <v>21</v>
      </c>
      <c r="G461" s="66" t="s">
        <v>145</v>
      </c>
      <c r="H461" s="66"/>
      <c r="I461" s="66" t="s">
        <v>155</v>
      </c>
      <c r="J461" s="66"/>
      <c r="K461" s="66" t="s">
        <v>156</v>
      </c>
      <c r="L461" s="67">
        <v>2023</v>
      </c>
      <c r="M461" s="66" t="s">
        <v>96</v>
      </c>
      <c r="N461" s="66" t="s">
        <v>24</v>
      </c>
      <c r="O461" s="66" t="s">
        <v>54</v>
      </c>
      <c r="P461" s="66" t="s">
        <v>25</v>
      </c>
      <c r="Q461" s="68">
        <v>42549</v>
      </c>
      <c r="R461" s="68">
        <v>40422</v>
      </c>
      <c r="S461" s="69">
        <v>28496</v>
      </c>
      <c r="T461" s="69">
        <v>213</v>
      </c>
      <c r="U461" s="74" t="s">
        <v>60</v>
      </c>
      <c r="V461" s="75" t="s">
        <v>56</v>
      </c>
      <c r="W461" s="68">
        <v>12501253</v>
      </c>
      <c r="X461" s="68">
        <f t="shared" si="518"/>
        <v>293.80838562598416</v>
      </c>
      <c r="Y461" s="68">
        <f t="shared" si="519"/>
        <v>309.26854188313297</v>
      </c>
      <c r="Z461" s="68">
        <f t="shared" si="520"/>
        <v>438.70202835485685</v>
      </c>
      <c r="AA461" s="68">
        <f t="shared" si="521"/>
        <v>58691.328638497653</v>
      </c>
      <c r="AB461" s="78" t="s">
        <v>73</v>
      </c>
      <c r="AC461" s="55"/>
      <c r="AD461" s="93">
        <f t="shared" ref="AD461" si="533">W461/AC458</f>
        <v>5.0553543016284015E-2</v>
      </c>
    </row>
    <row r="462" spans="1:30" s="32" customFormat="1" ht="15.95">
      <c r="A462" s="65"/>
      <c r="B462" s="66" t="s">
        <v>48</v>
      </c>
      <c r="C462" s="66" t="s">
        <v>114</v>
      </c>
      <c r="D462" s="66"/>
      <c r="E462" s="66" t="s">
        <v>20</v>
      </c>
      <c r="F462" s="66" t="s">
        <v>21</v>
      </c>
      <c r="G462" s="66" t="s">
        <v>145</v>
      </c>
      <c r="H462" s="66"/>
      <c r="I462" s="66" t="s">
        <v>155</v>
      </c>
      <c r="J462" s="66"/>
      <c r="K462" s="66" t="s">
        <v>156</v>
      </c>
      <c r="L462" s="67">
        <v>2023</v>
      </c>
      <c r="M462" s="66" t="s">
        <v>96</v>
      </c>
      <c r="N462" s="66" t="s">
        <v>24</v>
      </c>
      <c r="O462" s="66" t="s">
        <v>54</v>
      </c>
      <c r="P462" s="66" t="s">
        <v>25</v>
      </c>
      <c r="Q462" s="68">
        <v>42549</v>
      </c>
      <c r="R462" s="68">
        <v>40422</v>
      </c>
      <c r="S462" s="69">
        <v>28496</v>
      </c>
      <c r="T462" s="69">
        <v>213</v>
      </c>
      <c r="U462" s="74" t="s">
        <v>61</v>
      </c>
      <c r="V462" s="75" t="s">
        <v>56</v>
      </c>
      <c r="W462" s="68">
        <v>26209182</v>
      </c>
      <c r="X462" s="68">
        <f t="shared" si="518"/>
        <v>615.97645068039196</v>
      </c>
      <c r="Y462" s="68">
        <f t="shared" si="519"/>
        <v>648.38904556924444</v>
      </c>
      <c r="Z462" s="68">
        <f t="shared" si="520"/>
        <v>919.74950870297585</v>
      </c>
      <c r="AA462" s="68">
        <f t="shared" si="521"/>
        <v>123047.80281690141</v>
      </c>
      <c r="AB462" s="78" t="s">
        <v>73</v>
      </c>
      <c r="AC462" s="55"/>
      <c r="AD462" s="93">
        <f t="shared" ref="AD462" si="534">W462/AC458</f>
        <v>0.10598673666220633</v>
      </c>
    </row>
    <row r="463" spans="1:30" s="32" customFormat="1" ht="15.95">
      <c r="A463" s="65"/>
      <c r="B463" s="66" t="s">
        <v>48</v>
      </c>
      <c r="C463" s="66" t="s">
        <v>114</v>
      </c>
      <c r="D463" s="66"/>
      <c r="E463" s="66" t="s">
        <v>20</v>
      </c>
      <c r="F463" s="66" t="s">
        <v>21</v>
      </c>
      <c r="G463" s="66" t="s">
        <v>145</v>
      </c>
      <c r="H463" s="66"/>
      <c r="I463" s="66" t="s">
        <v>155</v>
      </c>
      <c r="J463" s="66"/>
      <c r="K463" s="66" t="s">
        <v>156</v>
      </c>
      <c r="L463" s="67">
        <v>2023</v>
      </c>
      <c r="M463" s="66" t="s">
        <v>96</v>
      </c>
      <c r="N463" s="66" t="s">
        <v>24</v>
      </c>
      <c r="O463" s="66" t="s">
        <v>54</v>
      </c>
      <c r="P463" s="66" t="s">
        <v>25</v>
      </c>
      <c r="Q463" s="68">
        <v>42549</v>
      </c>
      <c r="R463" s="68">
        <v>40422</v>
      </c>
      <c r="S463" s="69">
        <v>28496</v>
      </c>
      <c r="T463" s="69">
        <v>213</v>
      </c>
      <c r="U463" s="74" t="s">
        <v>62</v>
      </c>
      <c r="V463" s="75" t="s">
        <v>56</v>
      </c>
      <c r="W463" s="68">
        <v>13216789</v>
      </c>
      <c r="X463" s="68">
        <f t="shared" si="518"/>
        <v>310.62513807610048</v>
      </c>
      <c r="Y463" s="68">
        <f t="shared" si="519"/>
        <v>326.97018950076693</v>
      </c>
      <c r="Z463" s="68">
        <f t="shared" si="520"/>
        <v>463.81207888826503</v>
      </c>
      <c r="AA463" s="68">
        <f t="shared" si="521"/>
        <v>62050.652582159622</v>
      </c>
      <c r="AB463" s="78" t="s">
        <v>73</v>
      </c>
      <c r="AC463" s="55"/>
      <c r="AD463" s="93">
        <f t="shared" ref="AD463" si="535">W463/AC458</f>
        <v>5.3447083364255521E-2</v>
      </c>
    </row>
    <row r="464" spans="1:30" s="32" customFormat="1" ht="15.95">
      <c r="A464" s="65"/>
      <c r="B464" s="66" t="s">
        <v>48</v>
      </c>
      <c r="C464" s="66" t="s">
        <v>114</v>
      </c>
      <c r="D464" s="66"/>
      <c r="E464" s="66" t="s">
        <v>20</v>
      </c>
      <c r="F464" s="66" t="s">
        <v>21</v>
      </c>
      <c r="G464" s="66" t="s">
        <v>145</v>
      </c>
      <c r="H464" s="66"/>
      <c r="I464" s="66" t="s">
        <v>155</v>
      </c>
      <c r="J464" s="66"/>
      <c r="K464" s="66" t="s">
        <v>156</v>
      </c>
      <c r="L464" s="67">
        <v>2023</v>
      </c>
      <c r="M464" s="66" t="s">
        <v>96</v>
      </c>
      <c r="N464" s="66" t="s">
        <v>24</v>
      </c>
      <c r="O464" s="66" t="s">
        <v>54</v>
      </c>
      <c r="P464" s="66" t="s">
        <v>25</v>
      </c>
      <c r="Q464" s="68">
        <v>42549</v>
      </c>
      <c r="R464" s="68">
        <v>40422</v>
      </c>
      <c r="S464" s="69">
        <v>28496</v>
      </c>
      <c r="T464" s="69">
        <v>213</v>
      </c>
      <c r="U464" s="74" t="s">
        <v>63</v>
      </c>
      <c r="V464" s="75" t="s">
        <v>56</v>
      </c>
      <c r="W464" s="68">
        <v>3033852</v>
      </c>
      <c r="X464" s="68">
        <f t="shared" si="518"/>
        <v>71.302545300712126</v>
      </c>
      <c r="Y464" s="68">
        <f t="shared" si="519"/>
        <v>75.054475285735492</v>
      </c>
      <c r="Z464" s="68">
        <f t="shared" si="520"/>
        <v>106.46588994946659</v>
      </c>
      <c r="AA464" s="68">
        <f t="shared" si="521"/>
        <v>14243.43661971831</v>
      </c>
      <c r="AB464" s="78" t="s">
        <v>73</v>
      </c>
      <c r="AC464" s="55"/>
      <c r="AD464" s="93">
        <f t="shared" ref="AD464" si="536">W464/AC458</f>
        <v>1.2268527609755542E-2</v>
      </c>
    </row>
    <row r="465" spans="1:30" s="32" customFormat="1" ht="15.95">
      <c r="A465" s="65"/>
      <c r="B465" s="66" t="s">
        <v>48</v>
      </c>
      <c r="C465" s="66" t="s">
        <v>114</v>
      </c>
      <c r="D465" s="66"/>
      <c r="E465" s="66" t="s">
        <v>20</v>
      </c>
      <c r="F465" s="66" t="s">
        <v>21</v>
      </c>
      <c r="G465" s="66" t="s">
        <v>145</v>
      </c>
      <c r="H465" s="66"/>
      <c r="I465" s="66" t="s">
        <v>155</v>
      </c>
      <c r="J465" s="66"/>
      <c r="K465" s="66" t="s">
        <v>156</v>
      </c>
      <c r="L465" s="67">
        <v>2023</v>
      </c>
      <c r="M465" s="66" t="s">
        <v>96</v>
      </c>
      <c r="N465" s="66" t="s">
        <v>24</v>
      </c>
      <c r="O465" s="66" t="s">
        <v>54</v>
      </c>
      <c r="P465" s="66" t="s">
        <v>25</v>
      </c>
      <c r="Q465" s="68">
        <v>42549</v>
      </c>
      <c r="R465" s="68">
        <v>40422</v>
      </c>
      <c r="S465" s="69">
        <v>28496</v>
      </c>
      <c r="T465" s="69">
        <v>213</v>
      </c>
      <c r="U465" s="74" t="s">
        <v>64</v>
      </c>
      <c r="V465" s="75" t="s">
        <v>56</v>
      </c>
      <c r="W465" s="68">
        <v>0</v>
      </c>
      <c r="X465" s="68">
        <f t="shared" si="518"/>
        <v>0</v>
      </c>
      <c r="Y465" s="68">
        <f t="shared" si="519"/>
        <v>0</v>
      </c>
      <c r="Z465" s="68">
        <f t="shared" si="520"/>
        <v>0</v>
      </c>
      <c r="AA465" s="68">
        <f t="shared" si="521"/>
        <v>0</v>
      </c>
      <c r="AB465" s="78" t="s">
        <v>73</v>
      </c>
      <c r="AC465" s="55"/>
      <c r="AD465" s="93">
        <f t="shared" ref="AD465" si="537">W465/AC458</f>
        <v>0</v>
      </c>
    </row>
    <row r="466" spans="1:30" s="32" customFormat="1" ht="15.95">
      <c r="A466" s="65"/>
      <c r="B466" s="66" t="s">
        <v>48</v>
      </c>
      <c r="C466" s="66" t="s">
        <v>114</v>
      </c>
      <c r="D466" s="66"/>
      <c r="E466" s="66" t="s">
        <v>20</v>
      </c>
      <c r="F466" s="66" t="s">
        <v>21</v>
      </c>
      <c r="G466" s="66" t="s">
        <v>145</v>
      </c>
      <c r="H466" s="66"/>
      <c r="I466" s="66" t="s">
        <v>155</v>
      </c>
      <c r="J466" s="66"/>
      <c r="K466" s="66" t="s">
        <v>156</v>
      </c>
      <c r="L466" s="67">
        <v>2023</v>
      </c>
      <c r="M466" s="66" t="s">
        <v>96</v>
      </c>
      <c r="N466" s="66" t="s">
        <v>24</v>
      </c>
      <c r="O466" s="66" t="s">
        <v>54</v>
      </c>
      <c r="P466" s="66" t="s">
        <v>25</v>
      </c>
      <c r="Q466" s="68">
        <v>42549</v>
      </c>
      <c r="R466" s="68">
        <v>40422</v>
      </c>
      <c r="S466" s="69">
        <v>28496</v>
      </c>
      <c r="T466" s="69">
        <v>213</v>
      </c>
      <c r="U466" s="74" t="s">
        <v>65</v>
      </c>
      <c r="V466" s="75" t="s">
        <v>56</v>
      </c>
      <c r="W466" s="68">
        <v>31688860</v>
      </c>
      <c r="X466" s="68">
        <f t="shared" si="518"/>
        <v>744.76156901454794</v>
      </c>
      <c r="Y466" s="68">
        <f t="shared" si="519"/>
        <v>783.95081886101627</v>
      </c>
      <c r="Z466" s="68">
        <f t="shared" si="520"/>
        <v>1112.0459011791129</v>
      </c>
      <c r="AA466" s="68">
        <f t="shared" si="521"/>
        <v>148773.99061032865</v>
      </c>
      <c r="AB466" s="78" t="s">
        <v>73</v>
      </c>
      <c r="AC466" s="55"/>
      <c r="AD466" s="93">
        <f t="shared" ref="AD466" si="538">W466/AC458</f>
        <v>0.12814588642810459</v>
      </c>
    </row>
    <row r="467" spans="1:30" s="32" customFormat="1" ht="15.95">
      <c r="A467" s="65"/>
      <c r="B467" s="66" t="s">
        <v>48</v>
      </c>
      <c r="C467" s="66" t="s">
        <v>114</v>
      </c>
      <c r="D467" s="66"/>
      <c r="E467" s="66" t="s">
        <v>20</v>
      </c>
      <c r="F467" s="66" t="s">
        <v>21</v>
      </c>
      <c r="G467" s="66" t="s">
        <v>145</v>
      </c>
      <c r="H467" s="66"/>
      <c r="I467" s="66" t="s">
        <v>155</v>
      </c>
      <c r="J467" s="66"/>
      <c r="K467" s="66" t="s">
        <v>156</v>
      </c>
      <c r="L467" s="67">
        <v>2023</v>
      </c>
      <c r="M467" s="66" t="s">
        <v>96</v>
      </c>
      <c r="N467" s="66" t="s">
        <v>24</v>
      </c>
      <c r="O467" s="66" t="s">
        <v>54</v>
      </c>
      <c r="P467" s="66" t="s">
        <v>25</v>
      </c>
      <c r="Q467" s="68">
        <v>42549</v>
      </c>
      <c r="R467" s="68">
        <v>40422</v>
      </c>
      <c r="S467" s="69">
        <v>28496</v>
      </c>
      <c r="T467" s="69">
        <v>213</v>
      </c>
      <c r="U467" s="74" t="s">
        <v>66</v>
      </c>
      <c r="V467" s="75" t="s">
        <v>56</v>
      </c>
      <c r="W467" s="68">
        <v>27769292</v>
      </c>
      <c r="X467" s="68">
        <f t="shared" si="518"/>
        <v>652.64264730075911</v>
      </c>
      <c r="Y467" s="68">
        <f t="shared" si="519"/>
        <v>686.98461233981493</v>
      </c>
      <c r="Z467" s="68">
        <f t="shared" si="520"/>
        <v>974.49789444132512</v>
      </c>
      <c r="AA467" s="68">
        <f t="shared" si="521"/>
        <v>130372.26291079812</v>
      </c>
      <c r="AB467" s="78" t="s">
        <v>73</v>
      </c>
      <c r="AC467" s="55"/>
      <c r="AD467" s="93">
        <f t="shared" ref="AD467" si="539">W467/AC458</f>
        <v>0.1122956312982188</v>
      </c>
    </row>
    <row r="468" spans="1:30" s="32" customFormat="1" ht="15.95">
      <c r="A468" s="65"/>
      <c r="B468" s="66" t="s">
        <v>48</v>
      </c>
      <c r="C468" s="66" t="s">
        <v>114</v>
      </c>
      <c r="D468" s="66"/>
      <c r="E468" s="66" t="s">
        <v>20</v>
      </c>
      <c r="F468" s="66" t="s">
        <v>21</v>
      </c>
      <c r="G468" s="66" t="s">
        <v>145</v>
      </c>
      <c r="H468" s="66"/>
      <c r="I468" s="66" t="s">
        <v>155</v>
      </c>
      <c r="J468" s="66"/>
      <c r="K468" s="66" t="s">
        <v>156</v>
      </c>
      <c r="L468" s="67">
        <v>2023</v>
      </c>
      <c r="M468" s="66" t="s">
        <v>96</v>
      </c>
      <c r="N468" s="66" t="s">
        <v>24</v>
      </c>
      <c r="O468" s="66" t="s">
        <v>54</v>
      </c>
      <c r="P468" s="66" t="s">
        <v>25</v>
      </c>
      <c r="Q468" s="68">
        <v>42549</v>
      </c>
      <c r="R468" s="68">
        <v>40422</v>
      </c>
      <c r="S468" s="69">
        <v>28496</v>
      </c>
      <c r="T468" s="69">
        <v>213</v>
      </c>
      <c r="U468" s="74" t="s">
        <v>67</v>
      </c>
      <c r="V468" s="75" t="s">
        <v>56</v>
      </c>
      <c r="W468" s="68">
        <v>3317573</v>
      </c>
      <c r="X468" s="68">
        <f t="shared" si="518"/>
        <v>77.970645608592449</v>
      </c>
      <c r="Y468" s="68">
        <f t="shared" si="519"/>
        <v>82.073450101429913</v>
      </c>
      <c r="Z468" s="68">
        <f t="shared" si="520"/>
        <v>116.42241016282988</v>
      </c>
      <c r="AA468" s="68">
        <f t="shared" si="521"/>
        <v>15575.460093896714</v>
      </c>
      <c r="AB468" s="78" t="s">
        <v>73</v>
      </c>
      <c r="AC468" s="55"/>
      <c r="AD468" s="93">
        <f t="shared" ref="AD468" si="540">W468/AC458</f>
        <v>1.3415860743332082E-2</v>
      </c>
    </row>
    <row r="469" spans="1:30" s="32" customFormat="1" ht="15.95">
      <c r="A469" s="65"/>
      <c r="B469" s="66" t="s">
        <v>48</v>
      </c>
      <c r="C469" s="66" t="s">
        <v>114</v>
      </c>
      <c r="D469" s="66"/>
      <c r="E469" s="66" t="s">
        <v>20</v>
      </c>
      <c r="F469" s="66" t="s">
        <v>21</v>
      </c>
      <c r="G469" s="66" t="s">
        <v>145</v>
      </c>
      <c r="H469" s="66"/>
      <c r="I469" s="66" t="s">
        <v>155</v>
      </c>
      <c r="J469" s="66"/>
      <c r="K469" s="66" t="s">
        <v>156</v>
      </c>
      <c r="L469" s="67">
        <v>2023</v>
      </c>
      <c r="M469" s="66" t="s">
        <v>96</v>
      </c>
      <c r="N469" s="66" t="s">
        <v>24</v>
      </c>
      <c r="O469" s="66" t="s">
        <v>54</v>
      </c>
      <c r="P469" s="66" t="s">
        <v>25</v>
      </c>
      <c r="Q469" s="68">
        <v>42549</v>
      </c>
      <c r="R469" s="68">
        <v>40422</v>
      </c>
      <c r="S469" s="69">
        <v>28496</v>
      </c>
      <c r="T469" s="69">
        <v>213</v>
      </c>
      <c r="U469" s="74" t="s">
        <v>68</v>
      </c>
      <c r="V469" s="75" t="s">
        <v>56</v>
      </c>
      <c r="W469" s="68">
        <v>9774712</v>
      </c>
      <c r="X469" s="68">
        <f t="shared" si="518"/>
        <v>229.72836024348399</v>
      </c>
      <c r="Y469" s="68">
        <f t="shared" si="519"/>
        <v>241.8166345059621</v>
      </c>
      <c r="Z469" s="68">
        <f t="shared" si="520"/>
        <v>343.02049410443573</v>
      </c>
      <c r="AA469" s="68">
        <f t="shared" si="521"/>
        <v>45890.666666666664</v>
      </c>
      <c r="AB469" s="78" t="s">
        <v>73</v>
      </c>
      <c r="AC469" s="55"/>
      <c r="AD469" s="93">
        <f t="shared" ref="AD469" si="541">W469/AC458</f>
        <v>3.952774362408213E-2</v>
      </c>
    </row>
    <row r="470" spans="1:30" s="32" customFormat="1" ht="15.95">
      <c r="A470" s="65"/>
      <c r="B470" s="66" t="s">
        <v>48</v>
      </c>
      <c r="C470" s="66" t="s">
        <v>114</v>
      </c>
      <c r="D470" s="66"/>
      <c r="E470" s="66" t="s">
        <v>20</v>
      </c>
      <c r="F470" s="66" t="s">
        <v>21</v>
      </c>
      <c r="G470" s="66" t="s">
        <v>145</v>
      </c>
      <c r="H470" s="66"/>
      <c r="I470" s="66" t="s">
        <v>155</v>
      </c>
      <c r="J470" s="66"/>
      <c r="K470" s="66" t="s">
        <v>156</v>
      </c>
      <c r="L470" s="67">
        <v>2023</v>
      </c>
      <c r="M470" s="66" t="s">
        <v>96</v>
      </c>
      <c r="N470" s="66" t="s">
        <v>24</v>
      </c>
      <c r="O470" s="66" t="s">
        <v>54</v>
      </c>
      <c r="P470" s="66" t="s">
        <v>25</v>
      </c>
      <c r="Q470" s="68">
        <v>42549</v>
      </c>
      <c r="R470" s="68">
        <v>40422</v>
      </c>
      <c r="S470" s="69">
        <v>28496</v>
      </c>
      <c r="T470" s="69">
        <v>213</v>
      </c>
      <c r="U470" s="74" t="s">
        <v>69</v>
      </c>
      <c r="V470" s="75" t="s">
        <v>56</v>
      </c>
      <c r="W470" s="68">
        <v>22257650</v>
      </c>
      <c r="X470" s="68">
        <f t="shared" si="518"/>
        <v>523.10630097064563</v>
      </c>
      <c r="Y470" s="68">
        <f t="shared" si="519"/>
        <v>550.63208153975563</v>
      </c>
      <c r="Z470" s="68">
        <f t="shared" si="520"/>
        <v>781.07980067377878</v>
      </c>
      <c r="AA470" s="68">
        <f t="shared" si="521"/>
        <v>104496.00938967137</v>
      </c>
      <c r="AB470" s="78" t="s">
        <v>73</v>
      </c>
      <c r="AC470" s="55"/>
      <c r="AD470" s="93">
        <f t="shared" ref="AD470" si="542">W470/AC458</f>
        <v>9.0007223013276669E-2</v>
      </c>
    </row>
    <row r="471" spans="1:30" s="55" customFormat="1" ht="15" customHeight="1">
      <c r="A471" s="57"/>
      <c r="B471" s="58" t="s">
        <v>48</v>
      </c>
      <c r="C471" s="58" t="s">
        <v>114</v>
      </c>
      <c r="D471" s="58"/>
      <c r="E471" s="58" t="s">
        <v>20</v>
      </c>
      <c r="F471" s="58" t="s">
        <v>21</v>
      </c>
      <c r="G471" s="58" t="s">
        <v>145</v>
      </c>
      <c r="H471" s="58"/>
      <c r="I471" s="58" t="s">
        <v>157</v>
      </c>
      <c r="J471" s="58"/>
      <c r="K471" s="58" t="s">
        <v>158</v>
      </c>
      <c r="L471" s="59">
        <v>2024</v>
      </c>
      <c r="M471" s="58" t="s">
        <v>133</v>
      </c>
      <c r="N471" s="58" t="s">
        <v>24</v>
      </c>
      <c r="O471" s="58" t="s">
        <v>54</v>
      </c>
      <c r="P471" s="58" t="s">
        <v>25</v>
      </c>
      <c r="Q471" s="60">
        <v>45109</v>
      </c>
      <c r="R471" s="60">
        <v>42854</v>
      </c>
      <c r="S471" s="61">
        <v>28308</v>
      </c>
      <c r="T471" s="61">
        <v>217</v>
      </c>
      <c r="U471" s="62" t="s">
        <v>55</v>
      </c>
      <c r="V471" s="63" t="s">
        <v>56</v>
      </c>
      <c r="W471" s="60">
        <v>31659890</v>
      </c>
      <c r="X471" s="60">
        <f t="shared" si="465"/>
        <v>701.85306701545142</v>
      </c>
      <c r="Y471" s="60">
        <f t="shared" si="466"/>
        <v>738.78494422924348</v>
      </c>
      <c r="Z471" s="60">
        <f t="shared" si="467"/>
        <v>1118.4078705666243</v>
      </c>
      <c r="AA471" s="60">
        <f t="shared" si="468"/>
        <v>145898.11059907835</v>
      </c>
      <c r="AB471" s="77" t="s">
        <v>73</v>
      </c>
      <c r="AC471" s="92">
        <f t="shared" ref="AC471" si="543">SUM(W471:W483)</f>
        <v>254072476</v>
      </c>
      <c r="AD471" s="93">
        <f t="shared" ref="AD471" si="544">W471/AC471</f>
        <v>0.12460968027091608</v>
      </c>
    </row>
    <row r="472" spans="1:30" s="55" customFormat="1" ht="15.95">
      <c r="A472" s="57"/>
      <c r="B472" s="58" t="s">
        <v>48</v>
      </c>
      <c r="C472" s="58" t="s">
        <v>114</v>
      </c>
      <c r="D472" s="58"/>
      <c r="E472" s="58" t="s">
        <v>20</v>
      </c>
      <c r="F472" s="58" t="s">
        <v>21</v>
      </c>
      <c r="G472" s="58" t="s">
        <v>145</v>
      </c>
      <c r="H472" s="58"/>
      <c r="I472" s="58" t="s">
        <v>157</v>
      </c>
      <c r="J472" s="58"/>
      <c r="K472" s="58" t="s">
        <v>158</v>
      </c>
      <c r="L472" s="59">
        <v>2024</v>
      </c>
      <c r="M472" s="58" t="s">
        <v>133</v>
      </c>
      <c r="N472" s="58" t="s">
        <v>24</v>
      </c>
      <c r="O472" s="58" t="s">
        <v>54</v>
      </c>
      <c r="P472" s="58" t="s">
        <v>25</v>
      </c>
      <c r="Q472" s="60">
        <v>45109</v>
      </c>
      <c r="R472" s="60">
        <v>42854</v>
      </c>
      <c r="S472" s="61">
        <v>28308</v>
      </c>
      <c r="T472" s="61">
        <v>217</v>
      </c>
      <c r="U472" s="62" t="s">
        <v>58</v>
      </c>
      <c r="V472" s="63" t="s">
        <v>56</v>
      </c>
      <c r="W472" s="60">
        <v>37608560</v>
      </c>
      <c r="X472" s="60">
        <f t="shared" si="465"/>
        <v>833.72630738876944</v>
      </c>
      <c r="Y472" s="60">
        <f t="shared" si="466"/>
        <v>877.59742381107947</v>
      </c>
      <c r="Z472" s="60">
        <f t="shared" si="467"/>
        <v>1328.5488201215205</v>
      </c>
      <c r="AA472" s="60">
        <f t="shared" si="468"/>
        <v>173311.33640552996</v>
      </c>
      <c r="AB472" s="77" t="s">
        <v>73</v>
      </c>
      <c r="AD472" s="93">
        <f t="shared" ref="AD472" si="545">W472/AC471</f>
        <v>0.14802296018872976</v>
      </c>
    </row>
    <row r="473" spans="1:30" s="55" customFormat="1" ht="15.95">
      <c r="A473" s="57"/>
      <c r="B473" s="58" t="s">
        <v>48</v>
      </c>
      <c r="C473" s="58" t="s">
        <v>114</v>
      </c>
      <c r="D473" s="58"/>
      <c r="E473" s="58" t="s">
        <v>20</v>
      </c>
      <c r="F473" s="58" t="s">
        <v>21</v>
      </c>
      <c r="G473" s="58" t="s">
        <v>145</v>
      </c>
      <c r="H473" s="58"/>
      <c r="I473" s="58" t="s">
        <v>157</v>
      </c>
      <c r="J473" s="58"/>
      <c r="K473" s="58" t="s">
        <v>158</v>
      </c>
      <c r="L473" s="59">
        <v>2024</v>
      </c>
      <c r="M473" s="58" t="s">
        <v>133</v>
      </c>
      <c r="N473" s="58" t="s">
        <v>24</v>
      </c>
      <c r="O473" s="58" t="s">
        <v>54</v>
      </c>
      <c r="P473" s="58" t="s">
        <v>25</v>
      </c>
      <c r="Q473" s="60">
        <v>45109</v>
      </c>
      <c r="R473" s="60">
        <v>42854</v>
      </c>
      <c r="S473" s="61">
        <v>28308</v>
      </c>
      <c r="T473" s="61">
        <v>217</v>
      </c>
      <c r="U473" s="62" t="s">
        <v>59</v>
      </c>
      <c r="V473" s="63" t="s">
        <v>56</v>
      </c>
      <c r="W473" s="60">
        <v>32912953</v>
      </c>
      <c r="X473" s="60">
        <f t="shared" si="465"/>
        <v>729.63162561794763</v>
      </c>
      <c r="Y473" s="60">
        <f t="shared" si="466"/>
        <v>768.02522518318005</v>
      </c>
      <c r="Z473" s="60">
        <f t="shared" si="467"/>
        <v>1162.6732019217181</v>
      </c>
      <c r="AA473" s="60">
        <f t="shared" si="468"/>
        <v>151672.59447004608</v>
      </c>
      <c r="AB473" s="77" t="s">
        <v>73</v>
      </c>
      <c r="AD473" s="93">
        <f t="shared" ref="AD473" si="546">W473/AC471</f>
        <v>0.12954159190387865</v>
      </c>
    </row>
    <row r="474" spans="1:30" s="55" customFormat="1" ht="15.95">
      <c r="A474" s="57"/>
      <c r="B474" s="58" t="s">
        <v>48</v>
      </c>
      <c r="C474" s="58" t="s">
        <v>114</v>
      </c>
      <c r="D474" s="58"/>
      <c r="E474" s="58" t="s">
        <v>20</v>
      </c>
      <c r="F474" s="58" t="s">
        <v>21</v>
      </c>
      <c r="G474" s="58" t="s">
        <v>145</v>
      </c>
      <c r="H474" s="58"/>
      <c r="I474" s="58" t="s">
        <v>157</v>
      </c>
      <c r="J474" s="58"/>
      <c r="K474" s="58" t="s">
        <v>158</v>
      </c>
      <c r="L474" s="59">
        <v>2024</v>
      </c>
      <c r="M474" s="58" t="s">
        <v>133</v>
      </c>
      <c r="N474" s="58" t="s">
        <v>24</v>
      </c>
      <c r="O474" s="58" t="s">
        <v>54</v>
      </c>
      <c r="P474" s="58" t="s">
        <v>25</v>
      </c>
      <c r="Q474" s="60">
        <v>45109</v>
      </c>
      <c r="R474" s="60">
        <v>42854</v>
      </c>
      <c r="S474" s="61">
        <v>28308</v>
      </c>
      <c r="T474" s="61">
        <v>217</v>
      </c>
      <c r="U474" s="62" t="s">
        <v>60</v>
      </c>
      <c r="V474" s="63" t="s">
        <v>56</v>
      </c>
      <c r="W474" s="60">
        <v>11001777</v>
      </c>
      <c r="X474" s="60">
        <f t="shared" si="465"/>
        <v>243.89316987740807</v>
      </c>
      <c r="Y474" s="60">
        <f t="shared" si="466"/>
        <v>256.7269566434872</v>
      </c>
      <c r="Z474" s="60">
        <f t="shared" si="467"/>
        <v>388.64550657058078</v>
      </c>
      <c r="AA474" s="60">
        <f t="shared" si="468"/>
        <v>50699.433179723499</v>
      </c>
      <c r="AB474" s="77" t="s">
        <v>73</v>
      </c>
      <c r="AD474" s="93">
        <f t="shared" ref="AD474" si="547">W474/AC471</f>
        <v>4.3301727023748925E-2</v>
      </c>
    </row>
    <row r="475" spans="1:30" s="55" customFormat="1" ht="15.95">
      <c r="A475" s="57"/>
      <c r="B475" s="58" t="s">
        <v>48</v>
      </c>
      <c r="C475" s="58" t="s">
        <v>114</v>
      </c>
      <c r="D475" s="58"/>
      <c r="E475" s="58" t="s">
        <v>20</v>
      </c>
      <c r="F475" s="58" t="s">
        <v>21</v>
      </c>
      <c r="G475" s="58" t="s">
        <v>145</v>
      </c>
      <c r="H475" s="58"/>
      <c r="I475" s="58" t="s">
        <v>157</v>
      </c>
      <c r="J475" s="58"/>
      <c r="K475" s="58" t="s">
        <v>158</v>
      </c>
      <c r="L475" s="59">
        <v>2024</v>
      </c>
      <c r="M475" s="58" t="s">
        <v>133</v>
      </c>
      <c r="N475" s="58" t="s">
        <v>24</v>
      </c>
      <c r="O475" s="58" t="s">
        <v>54</v>
      </c>
      <c r="P475" s="58" t="s">
        <v>25</v>
      </c>
      <c r="Q475" s="60">
        <v>45109</v>
      </c>
      <c r="R475" s="60">
        <v>42854</v>
      </c>
      <c r="S475" s="61">
        <v>28308</v>
      </c>
      <c r="T475" s="61">
        <v>217</v>
      </c>
      <c r="U475" s="62" t="s">
        <v>61</v>
      </c>
      <c r="V475" s="63" t="s">
        <v>56</v>
      </c>
      <c r="W475" s="60">
        <v>27837987</v>
      </c>
      <c r="X475" s="60">
        <f t="shared" si="465"/>
        <v>617.12711432308413</v>
      </c>
      <c r="Y475" s="60">
        <f t="shared" si="466"/>
        <v>649.60066738227465</v>
      </c>
      <c r="Z475" s="60">
        <f t="shared" si="467"/>
        <v>983.39646036456122</v>
      </c>
      <c r="AA475" s="60">
        <f t="shared" si="468"/>
        <v>128285.65437788019</v>
      </c>
      <c r="AB475" s="77" t="s">
        <v>73</v>
      </c>
      <c r="AD475" s="93">
        <f t="shared" ref="AD475" si="548">W475/AC471</f>
        <v>0.10956711029178934</v>
      </c>
    </row>
    <row r="476" spans="1:30" s="55" customFormat="1" ht="15.95">
      <c r="A476" s="57"/>
      <c r="B476" s="58" t="s">
        <v>48</v>
      </c>
      <c r="C476" s="58" t="s">
        <v>114</v>
      </c>
      <c r="D476" s="58"/>
      <c r="E476" s="58" t="s">
        <v>20</v>
      </c>
      <c r="F476" s="58" t="s">
        <v>21</v>
      </c>
      <c r="G476" s="58" t="s">
        <v>145</v>
      </c>
      <c r="H476" s="58"/>
      <c r="I476" s="58" t="s">
        <v>157</v>
      </c>
      <c r="J476" s="58"/>
      <c r="K476" s="58" t="s">
        <v>158</v>
      </c>
      <c r="L476" s="59">
        <v>2024</v>
      </c>
      <c r="M476" s="58" t="s">
        <v>133</v>
      </c>
      <c r="N476" s="58" t="s">
        <v>24</v>
      </c>
      <c r="O476" s="58" t="s">
        <v>54</v>
      </c>
      <c r="P476" s="58" t="s">
        <v>25</v>
      </c>
      <c r="Q476" s="60">
        <v>45109</v>
      </c>
      <c r="R476" s="60">
        <v>42854</v>
      </c>
      <c r="S476" s="61">
        <v>28308</v>
      </c>
      <c r="T476" s="61">
        <v>217</v>
      </c>
      <c r="U476" s="62" t="s">
        <v>62</v>
      </c>
      <c r="V476" s="63" t="s">
        <v>56</v>
      </c>
      <c r="W476" s="60">
        <v>14289228</v>
      </c>
      <c r="X476" s="60">
        <f t="shared" si="465"/>
        <v>316.77110997805318</v>
      </c>
      <c r="Y476" s="60">
        <f t="shared" si="466"/>
        <v>333.43977224996502</v>
      </c>
      <c r="Z476" s="60">
        <f t="shared" si="467"/>
        <v>504.77702416278083</v>
      </c>
      <c r="AA476" s="60">
        <f t="shared" si="468"/>
        <v>65848.976958525353</v>
      </c>
      <c r="AB476" s="77" t="s">
        <v>73</v>
      </c>
      <c r="AD476" s="93">
        <f t="shared" ref="AD476" si="549">W476/AC471</f>
        <v>5.6240755492145481E-2</v>
      </c>
    </row>
    <row r="477" spans="1:30" s="55" customFormat="1" ht="15.95">
      <c r="A477" s="57"/>
      <c r="B477" s="58" t="s">
        <v>48</v>
      </c>
      <c r="C477" s="58" t="s">
        <v>114</v>
      </c>
      <c r="D477" s="58"/>
      <c r="E477" s="58" t="s">
        <v>20</v>
      </c>
      <c r="F477" s="58" t="s">
        <v>21</v>
      </c>
      <c r="G477" s="58" t="s">
        <v>145</v>
      </c>
      <c r="H477" s="58"/>
      <c r="I477" s="58" t="s">
        <v>157</v>
      </c>
      <c r="J477" s="58"/>
      <c r="K477" s="58" t="s">
        <v>158</v>
      </c>
      <c r="L477" s="59">
        <v>2024</v>
      </c>
      <c r="M477" s="58" t="s">
        <v>133</v>
      </c>
      <c r="N477" s="58" t="s">
        <v>24</v>
      </c>
      <c r="O477" s="58" t="s">
        <v>54</v>
      </c>
      <c r="P477" s="58" t="s">
        <v>25</v>
      </c>
      <c r="Q477" s="60">
        <v>45109</v>
      </c>
      <c r="R477" s="60">
        <v>42854</v>
      </c>
      <c r="S477" s="61">
        <v>28308</v>
      </c>
      <c r="T477" s="61">
        <v>217</v>
      </c>
      <c r="U477" s="62" t="s">
        <v>63</v>
      </c>
      <c r="V477" s="63" t="s">
        <v>56</v>
      </c>
      <c r="W477" s="60">
        <v>2645509</v>
      </c>
      <c r="X477" s="60">
        <f t="shared" si="465"/>
        <v>58.647032742911613</v>
      </c>
      <c r="Y477" s="60">
        <f t="shared" si="466"/>
        <v>61.733070425164513</v>
      </c>
      <c r="Z477" s="60">
        <f t="shared" si="467"/>
        <v>93.454465168856856</v>
      </c>
      <c r="AA477" s="60">
        <f t="shared" si="468"/>
        <v>12191.285714285714</v>
      </c>
      <c r="AB477" s="77" t="s">
        <v>73</v>
      </c>
      <c r="AD477" s="93">
        <f t="shared" ref="AD477" si="550">W477/AC471</f>
        <v>1.0412418698985718E-2</v>
      </c>
    </row>
    <row r="478" spans="1:30" s="55" customFormat="1" ht="15.95">
      <c r="A478" s="57"/>
      <c r="B478" s="58" t="s">
        <v>48</v>
      </c>
      <c r="C478" s="58" t="s">
        <v>114</v>
      </c>
      <c r="D478" s="58"/>
      <c r="E478" s="58" t="s">
        <v>20</v>
      </c>
      <c r="F478" s="58" t="s">
        <v>21</v>
      </c>
      <c r="G478" s="58" t="s">
        <v>145</v>
      </c>
      <c r="H478" s="58"/>
      <c r="I478" s="58" t="s">
        <v>157</v>
      </c>
      <c r="J478" s="58"/>
      <c r="K478" s="58" t="s">
        <v>158</v>
      </c>
      <c r="L478" s="59">
        <v>2024</v>
      </c>
      <c r="M478" s="58" t="s">
        <v>133</v>
      </c>
      <c r="N478" s="58" t="s">
        <v>24</v>
      </c>
      <c r="O478" s="58" t="s">
        <v>54</v>
      </c>
      <c r="P478" s="58" t="s">
        <v>25</v>
      </c>
      <c r="Q478" s="60">
        <v>45109</v>
      </c>
      <c r="R478" s="60">
        <v>42854</v>
      </c>
      <c r="S478" s="61">
        <v>28308</v>
      </c>
      <c r="T478" s="61">
        <v>217</v>
      </c>
      <c r="U478" s="62" t="s">
        <v>64</v>
      </c>
      <c r="V478" s="63" t="s">
        <v>56</v>
      </c>
      <c r="W478" s="60">
        <v>0</v>
      </c>
      <c r="X478" s="60">
        <f t="shared" si="465"/>
        <v>0</v>
      </c>
      <c r="Y478" s="60">
        <f t="shared" si="466"/>
        <v>0</v>
      </c>
      <c r="Z478" s="60">
        <f t="shared" si="467"/>
        <v>0</v>
      </c>
      <c r="AA478" s="60">
        <f t="shared" si="468"/>
        <v>0</v>
      </c>
      <c r="AB478" s="77" t="s">
        <v>73</v>
      </c>
      <c r="AD478" s="93">
        <f t="shared" ref="AD478" si="551">W478/AC471</f>
        <v>0</v>
      </c>
    </row>
    <row r="479" spans="1:30" s="55" customFormat="1" ht="15.95">
      <c r="A479" s="57"/>
      <c r="B479" s="58" t="s">
        <v>48</v>
      </c>
      <c r="C479" s="58" t="s">
        <v>114</v>
      </c>
      <c r="D479" s="58"/>
      <c r="E479" s="58" t="s">
        <v>20</v>
      </c>
      <c r="F479" s="58" t="s">
        <v>21</v>
      </c>
      <c r="G479" s="58" t="s">
        <v>145</v>
      </c>
      <c r="H479" s="58"/>
      <c r="I479" s="58" t="s">
        <v>157</v>
      </c>
      <c r="J479" s="58"/>
      <c r="K479" s="58" t="s">
        <v>158</v>
      </c>
      <c r="L479" s="59">
        <v>2024</v>
      </c>
      <c r="M479" s="58" t="s">
        <v>133</v>
      </c>
      <c r="N479" s="58" t="s">
        <v>24</v>
      </c>
      <c r="O479" s="58" t="s">
        <v>54</v>
      </c>
      <c r="P479" s="58" t="s">
        <v>25</v>
      </c>
      <c r="Q479" s="60">
        <v>45109</v>
      </c>
      <c r="R479" s="60">
        <v>42854</v>
      </c>
      <c r="S479" s="61">
        <v>28308</v>
      </c>
      <c r="T479" s="61">
        <v>217</v>
      </c>
      <c r="U479" s="62" t="s">
        <v>65</v>
      </c>
      <c r="V479" s="63" t="s">
        <v>56</v>
      </c>
      <c r="W479" s="60">
        <v>36969444</v>
      </c>
      <c r="X479" s="60">
        <f t="shared" si="465"/>
        <v>819.5580482830477</v>
      </c>
      <c r="Y479" s="60">
        <f t="shared" si="466"/>
        <v>862.68362346572087</v>
      </c>
      <c r="Z479" s="60">
        <f t="shared" si="467"/>
        <v>1305.9715981348029</v>
      </c>
      <c r="AA479" s="60">
        <f t="shared" si="468"/>
        <v>170366.10138248847</v>
      </c>
      <c r="AB479" s="77" t="s">
        <v>73</v>
      </c>
      <c r="AD479" s="93">
        <f t="shared" ref="AD479" si="552">W479/AC471</f>
        <v>0.14550747322980392</v>
      </c>
    </row>
    <row r="480" spans="1:30" s="55" customFormat="1" ht="15.95">
      <c r="A480" s="57"/>
      <c r="B480" s="58" t="s">
        <v>48</v>
      </c>
      <c r="C480" s="58" t="s">
        <v>114</v>
      </c>
      <c r="D480" s="58"/>
      <c r="E480" s="58" t="s">
        <v>20</v>
      </c>
      <c r="F480" s="58" t="s">
        <v>21</v>
      </c>
      <c r="G480" s="58" t="s">
        <v>145</v>
      </c>
      <c r="H480" s="58"/>
      <c r="I480" s="58" t="s">
        <v>157</v>
      </c>
      <c r="J480" s="58"/>
      <c r="K480" s="58" t="s">
        <v>158</v>
      </c>
      <c r="L480" s="59">
        <v>2024</v>
      </c>
      <c r="M480" s="58" t="s">
        <v>133</v>
      </c>
      <c r="N480" s="58" t="s">
        <v>24</v>
      </c>
      <c r="O480" s="58" t="s">
        <v>54</v>
      </c>
      <c r="P480" s="58" t="s">
        <v>25</v>
      </c>
      <c r="Q480" s="60">
        <v>45109</v>
      </c>
      <c r="R480" s="60">
        <v>42854</v>
      </c>
      <c r="S480" s="61">
        <v>28308</v>
      </c>
      <c r="T480" s="61">
        <v>217</v>
      </c>
      <c r="U480" s="62" t="s">
        <v>66</v>
      </c>
      <c r="V480" s="63" t="s">
        <v>56</v>
      </c>
      <c r="W480" s="60">
        <v>33044376</v>
      </c>
      <c r="X480" s="60">
        <f t="shared" si="465"/>
        <v>732.54507969584779</v>
      </c>
      <c r="Y480" s="60">
        <f t="shared" si="466"/>
        <v>771.09198674569473</v>
      </c>
      <c r="Z480" s="60">
        <f t="shared" si="467"/>
        <v>1167.3158117846544</v>
      </c>
      <c r="AA480" s="60">
        <f t="shared" si="468"/>
        <v>152278.23041474653</v>
      </c>
      <c r="AB480" s="77" t="s">
        <v>73</v>
      </c>
      <c r="AD480" s="93">
        <f t="shared" ref="AD480" si="553">W480/AC471</f>
        <v>0.13005885769381803</v>
      </c>
    </row>
    <row r="481" spans="1:30" s="55" customFormat="1" ht="15.95">
      <c r="A481" s="57"/>
      <c r="B481" s="58" t="s">
        <v>48</v>
      </c>
      <c r="C481" s="58" t="s">
        <v>114</v>
      </c>
      <c r="D481" s="58"/>
      <c r="E481" s="58" t="s">
        <v>20</v>
      </c>
      <c r="F481" s="58" t="s">
        <v>21</v>
      </c>
      <c r="G481" s="58" t="s">
        <v>145</v>
      </c>
      <c r="H481" s="58"/>
      <c r="I481" s="58" t="s">
        <v>157</v>
      </c>
      <c r="J481" s="58"/>
      <c r="K481" s="58" t="s">
        <v>158</v>
      </c>
      <c r="L481" s="59">
        <v>2024</v>
      </c>
      <c r="M481" s="58" t="s">
        <v>133</v>
      </c>
      <c r="N481" s="58" t="s">
        <v>24</v>
      </c>
      <c r="O481" s="58" t="s">
        <v>54</v>
      </c>
      <c r="P481" s="58" t="s">
        <v>25</v>
      </c>
      <c r="Q481" s="60">
        <v>45109</v>
      </c>
      <c r="R481" s="60">
        <v>42854</v>
      </c>
      <c r="S481" s="61">
        <v>28308</v>
      </c>
      <c r="T481" s="61">
        <v>217</v>
      </c>
      <c r="U481" s="62" t="s">
        <v>67</v>
      </c>
      <c r="V481" s="63" t="s">
        <v>56</v>
      </c>
      <c r="W481" s="60">
        <v>2703278</v>
      </c>
      <c r="X481" s="60">
        <f t="shared" si="465"/>
        <v>59.927686271032385</v>
      </c>
      <c r="Y481" s="60">
        <f t="shared" si="466"/>
        <v>63.081112614925097</v>
      </c>
      <c r="Z481" s="60">
        <f t="shared" si="467"/>
        <v>95.495195704394519</v>
      </c>
      <c r="AA481" s="60">
        <f t="shared" si="468"/>
        <v>12457.502304147465</v>
      </c>
      <c r="AB481" s="77" t="s">
        <v>73</v>
      </c>
      <c r="AD481" s="93">
        <f t="shared" ref="AD481" si="554">W481/AC471</f>
        <v>1.0639790828818467E-2</v>
      </c>
    </row>
    <row r="482" spans="1:30" s="55" customFormat="1" ht="15.95">
      <c r="A482" s="57"/>
      <c r="B482" s="58" t="s">
        <v>48</v>
      </c>
      <c r="C482" s="58" t="s">
        <v>114</v>
      </c>
      <c r="D482" s="58"/>
      <c r="E482" s="58" t="s">
        <v>20</v>
      </c>
      <c r="F482" s="58" t="s">
        <v>21</v>
      </c>
      <c r="G482" s="58" t="s">
        <v>145</v>
      </c>
      <c r="H482" s="58"/>
      <c r="I482" s="58" t="s">
        <v>157</v>
      </c>
      <c r="J482" s="58"/>
      <c r="K482" s="58" t="s">
        <v>158</v>
      </c>
      <c r="L482" s="59">
        <v>2024</v>
      </c>
      <c r="M482" s="58" t="s">
        <v>133</v>
      </c>
      <c r="N482" s="58" t="s">
        <v>24</v>
      </c>
      <c r="O482" s="58" t="s">
        <v>54</v>
      </c>
      <c r="P482" s="58" t="s">
        <v>25</v>
      </c>
      <c r="Q482" s="60">
        <v>45109</v>
      </c>
      <c r="R482" s="60">
        <v>42854</v>
      </c>
      <c r="S482" s="61">
        <v>28308</v>
      </c>
      <c r="T482" s="61">
        <v>217</v>
      </c>
      <c r="U482" s="62" t="s">
        <v>68</v>
      </c>
      <c r="V482" s="63" t="s">
        <v>56</v>
      </c>
      <c r="W482" s="60">
        <v>7599474</v>
      </c>
      <c r="X482" s="60">
        <f t="shared" si="465"/>
        <v>168.46913032875923</v>
      </c>
      <c r="Y482" s="60">
        <f t="shared" si="466"/>
        <v>177.33406449806319</v>
      </c>
      <c r="Z482" s="60">
        <f t="shared" si="467"/>
        <v>268.45676133955067</v>
      </c>
      <c r="AA482" s="60">
        <f t="shared" si="468"/>
        <v>35020.617511520737</v>
      </c>
      <c r="AB482" s="77" t="s">
        <v>73</v>
      </c>
      <c r="AD482" s="93">
        <f t="shared" ref="AD482" si="555">W482/AC471</f>
        <v>2.991065431266943E-2</v>
      </c>
    </row>
    <row r="483" spans="1:30" s="55" customFormat="1" ht="15.95">
      <c r="A483" s="57"/>
      <c r="B483" s="58" t="s">
        <v>48</v>
      </c>
      <c r="C483" s="58" t="s">
        <v>114</v>
      </c>
      <c r="D483" s="58"/>
      <c r="E483" s="58" t="s">
        <v>20</v>
      </c>
      <c r="F483" s="58" t="s">
        <v>21</v>
      </c>
      <c r="G483" s="58" t="s">
        <v>145</v>
      </c>
      <c r="H483" s="58"/>
      <c r="I483" s="58" t="s">
        <v>157</v>
      </c>
      <c r="J483" s="58"/>
      <c r="K483" s="58" t="s">
        <v>158</v>
      </c>
      <c r="L483" s="59">
        <v>2024</v>
      </c>
      <c r="M483" s="58" t="s">
        <v>133</v>
      </c>
      <c r="N483" s="58" t="s">
        <v>24</v>
      </c>
      <c r="O483" s="58" t="s">
        <v>54</v>
      </c>
      <c r="P483" s="58" t="s">
        <v>25</v>
      </c>
      <c r="Q483" s="60">
        <v>45109</v>
      </c>
      <c r="R483" s="60">
        <v>42854</v>
      </c>
      <c r="S483" s="61">
        <v>28308</v>
      </c>
      <c r="T483" s="61">
        <v>217</v>
      </c>
      <c r="U483" s="62" t="s">
        <v>69</v>
      </c>
      <c r="V483" s="63" t="s">
        <v>56</v>
      </c>
      <c r="W483" s="60">
        <v>15800000</v>
      </c>
      <c r="X483" s="60">
        <f t="shared" si="465"/>
        <v>350.2626970227671</v>
      </c>
      <c r="Y483" s="60">
        <f t="shared" si="466"/>
        <v>368.69370420497501</v>
      </c>
      <c r="Z483" s="60">
        <f t="shared" si="467"/>
        <v>558.14610710753141</v>
      </c>
      <c r="AA483" s="60">
        <f t="shared" si="468"/>
        <v>72811.059907834104</v>
      </c>
      <c r="AB483" s="77" t="s">
        <v>73</v>
      </c>
      <c r="AD483" s="93">
        <f t="shared" ref="AD483" si="556">W483/AC471</f>
        <v>6.2186980064696189E-2</v>
      </c>
    </row>
    <row r="484" spans="1:30" s="32" customFormat="1" ht="15" customHeight="1">
      <c r="A484" s="65"/>
      <c r="B484" s="66" t="s">
        <v>48</v>
      </c>
      <c r="C484" s="66" t="s">
        <v>114</v>
      </c>
      <c r="D484" s="66"/>
      <c r="E484" s="66" t="s">
        <v>20</v>
      </c>
      <c r="F484" s="66" t="s">
        <v>159</v>
      </c>
      <c r="G484" s="66" t="s">
        <v>160</v>
      </c>
      <c r="H484" s="66"/>
      <c r="I484" s="66" t="s">
        <v>161</v>
      </c>
      <c r="J484" s="66"/>
      <c r="K484" s="66" t="s">
        <v>162</v>
      </c>
      <c r="L484" s="67">
        <v>2024</v>
      </c>
      <c r="M484" s="66" t="s">
        <v>53</v>
      </c>
      <c r="N484" s="66" t="s">
        <v>24</v>
      </c>
      <c r="O484" s="66" t="s">
        <v>54</v>
      </c>
      <c r="P484" s="66" t="s">
        <v>25</v>
      </c>
      <c r="Q484" s="80">
        <v>313548</v>
      </c>
      <c r="R484" s="80">
        <v>280221</v>
      </c>
      <c r="S484" s="80">
        <v>213367</v>
      </c>
      <c r="T484" s="81">
        <v>984</v>
      </c>
      <c r="U484" s="82" t="s">
        <v>55</v>
      </c>
      <c r="V484" s="83" t="s">
        <v>56</v>
      </c>
      <c r="W484" s="80">
        <v>145864793</v>
      </c>
      <c r="X484" s="68">
        <f t="shared" si="465"/>
        <v>465.20721867146341</v>
      </c>
      <c r="Y484" s="68">
        <f t="shared" si="466"/>
        <v>520.53483857383992</v>
      </c>
      <c r="Z484" s="68">
        <f t="shared" si="467"/>
        <v>683.6333313024038</v>
      </c>
      <c r="AA484" s="68">
        <f t="shared" si="468"/>
        <v>148236.57825203252</v>
      </c>
      <c r="AB484" s="78" t="s">
        <v>73</v>
      </c>
      <c r="AC484" s="92">
        <f t="shared" ref="AC484" si="557">SUM(W484:W496)</f>
        <v>1214455500</v>
      </c>
      <c r="AD484" s="93">
        <f t="shared" ref="AD484" si="558">W484/AC484</f>
        <v>0.12010715337037874</v>
      </c>
    </row>
    <row r="485" spans="1:30" s="32" customFormat="1" ht="15.95">
      <c r="A485" s="65"/>
      <c r="B485" s="66" t="s">
        <v>48</v>
      </c>
      <c r="C485" s="66" t="s">
        <v>114</v>
      </c>
      <c r="D485" s="66"/>
      <c r="E485" s="66" t="s">
        <v>20</v>
      </c>
      <c r="F485" s="66" t="s">
        <v>159</v>
      </c>
      <c r="G485" s="66" t="s">
        <v>160</v>
      </c>
      <c r="H485" s="66"/>
      <c r="I485" s="66" t="s">
        <v>161</v>
      </c>
      <c r="J485" s="66"/>
      <c r="K485" s="66" t="s">
        <v>162</v>
      </c>
      <c r="L485" s="67">
        <v>2024</v>
      </c>
      <c r="M485" s="66" t="s">
        <v>53</v>
      </c>
      <c r="N485" s="66" t="s">
        <v>24</v>
      </c>
      <c r="O485" s="66" t="s">
        <v>54</v>
      </c>
      <c r="P485" s="66" t="s">
        <v>25</v>
      </c>
      <c r="Q485" s="80">
        <v>313548</v>
      </c>
      <c r="R485" s="80">
        <v>280221</v>
      </c>
      <c r="S485" s="80">
        <v>213367</v>
      </c>
      <c r="T485" s="81">
        <v>984</v>
      </c>
      <c r="U485" s="82" t="s">
        <v>58</v>
      </c>
      <c r="V485" s="83" t="s">
        <v>56</v>
      </c>
      <c r="W485" s="80">
        <v>240984035</v>
      </c>
      <c r="X485" s="68">
        <f t="shared" si="465"/>
        <v>768.57143084950314</v>
      </c>
      <c r="Y485" s="68">
        <f t="shared" si="466"/>
        <v>859.97849911319997</v>
      </c>
      <c r="Z485" s="68">
        <f t="shared" si="467"/>
        <v>1129.4344251922744</v>
      </c>
      <c r="AA485" s="68">
        <f t="shared" si="468"/>
        <v>244902.47459349592</v>
      </c>
      <c r="AB485" s="78" t="s">
        <v>73</v>
      </c>
      <c r="AC485" s="55"/>
      <c r="AD485" s="93">
        <f t="shared" ref="AD485" si="559">W485/AC484</f>
        <v>0.19842969544787767</v>
      </c>
    </row>
    <row r="486" spans="1:30" s="32" customFormat="1" ht="15.95">
      <c r="A486" s="65"/>
      <c r="B486" s="66" t="s">
        <v>48</v>
      </c>
      <c r="C486" s="66" t="s">
        <v>114</v>
      </c>
      <c r="D486" s="66"/>
      <c r="E486" s="66" t="s">
        <v>20</v>
      </c>
      <c r="F486" s="66" t="s">
        <v>159</v>
      </c>
      <c r="G486" s="66" t="s">
        <v>160</v>
      </c>
      <c r="H486" s="66"/>
      <c r="I486" s="66" t="s">
        <v>161</v>
      </c>
      <c r="J486" s="66"/>
      <c r="K486" s="66" t="s">
        <v>162</v>
      </c>
      <c r="L486" s="67">
        <v>2024</v>
      </c>
      <c r="M486" s="66" t="s">
        <v>53</v>
      </c>
      <c r="N486" s="66" t="s">
        <v>24</v>
      </c>
      <c r="O486" s="66" t="s">
        <v>54</v>
      </c>
      <c r="P486" s="66" t="s">
        <v>25</v>
      </c>
      <c r="Q486" s="80">
        <v>313548</v>
      </c>
      <c r="R486" s="80">
        <v>280221</v>
      </c>
      <c r="S486" s="80">
        <v>213367</v>
      </c>
      <c r="T486" s="81">
        <v>984</v>
      </c>
      <c r="U486" s="82" t="s">
        <v>59</v>
      </c>
      <c r="V486" s="83" t="s">
        <v>56</v>
      </c>
      <c r="W486" s="80">
        <v>90300523</v>
      </c>
      <c r="X486" s="68">
        <f t="shared" si="465"/>
        <v>287.99585071504202</v>
      </c>
      <c r="Y486" s="68">
        <f t="shared" si="466"/>
        <v>322.2475224911766</v>
      </c>
      <c r="Z486" s="68">
        <f t="shared" si="467"/>
        <v>423.21691264347345</v>
      </c>
      <c r="AA486" s="68">
        <f t="shared" si="468"/>
        <v>91768.824186991871</v>
      </c>
      <c r="AB486" s="78" t="s">
        <v>73</v>
      </c>
      <c r="AC486" s="55"/>
      <c r="AD486" s="93">
        <f t="shared" ref="AD486" si="560">W486/AC484</f>
        <v>7.4354740046053566E-2</v>
      </c>
    </row>
    <row r="487" spans="1:30" s="32" customFormat="1" ht="15.95">
      <c r="A487" s="65"/>
      <c r="B487" s="66" t="s">
        <v>48</v>
      </c>
      <c r="C487" s="66" t="s">
        <v>114</v>
      </c>
      <c r="D487" s="66"/>
      <c r="E487" s="66" t="s">
        <v>20</v>
      </c>
      <c r="F487" s="66" t="s">
        <v>159</v>
      </c>
      <c r="G487" s="66" t="s">
        <v>160</v>
      </c>
      <c r="H487" s="66"/>
      <c r="I487" s="66" t="s">
        <v>161</v>
      </c>
      <c r="J487" s="66"/>
      <c r="K487" s="66" t="s">
        <v>162</v>
      </c>
      <c r="L487" s="67">
        <v>2024</v>
      </c>
      <c r="M487" s="66" t="s">
        <v>53</v>
      </c>
      <c r="N487" s="66" t="s">
        <v>24</v>
      </c>
      <c r="O487" s="66" t="s">
        <v>54</v>
      </c>
      <c r="P487" s="66" t="s">
        <v>25</v>
      </c>
      <c r="Q487" s="80">
        <v>313548</v>
      </c>
      <c r="R487" s="80">
        <v>280221</v>
      </c>
      <c r="S487" s="80">
        <v>213367</v>
      </c>
      <c r="T487" s="81">
        <v>984</v>
      </c>
      <c r="U487" s="82" t="s">
        <v>60</v>
      </c>
      <c r="V487" s="83" t="s">
        <v>56</v>
      </c>
      <c r="W487" s="80">
        <v>69924753</v>
      </c>
      <c r="X487" s="68">
        <f t="shared" si="465"/>
        <v>223.01131884113437</v>
      </c>
      <c r="Y487" s="68">
        <f t="shared" si="466"/>
        <v>249.53430685066431</v>
      </c>
      <c r="Z487" s="68">
        <f t="shared" si="467"/>
        <v>327.72056128642197</v>
      </c>
      <c r="AA487" s="68">
        <f t="shared" si="468"/>
        <v>71061.740853658543</v>
      </c>
      <c r="AB487" s="78" t="s">
        <v>73</v>
      </c>
      <c r="AC487" s="55"/>
      <c r="AD487" s="93">
        <f t="shared" ref="AD487" si="561">W487/AC484</f>
        <v>5.7577040080925158E-2</v>
      </c>
    </row>
    <row r="488" spans="1:30" s="32" customFormat="1" ht="15.95">
      <c r="A488" s="65"/>
      <c r="B488" s="66" t="s">
        <v>48</v>
      </c>
      <c r="C488" s="66" t="s">
        <v>114</v>
      </c>
      <c r="D488" s="66"/>
      <c r="E488" s="66" t="s">
        <v>20</v>
      </c>
      <c r="F488" s="66" t="s">
        <v>159</v>
      </c>
      <c r="G488" s="66" t="s">
        <v>160</v>
      </c>
      <c r="H488" s="66"/>
      <c r="I488" s="66" t="s">
        <v>161</v>
      </c>
      <c r="J488" s="66"/>
      <c r="K488" s="66" t="s">
        <v>162</v>
      </c>
      <c r="L488" s="67">
        <v>2024</v>
      </c>
      <c r="M488" s="66" t="s">
        <v>53</v>
      </c>
      <c r="N488" s="66" t="s">
        <v>24</v>
      </c>
      <c r="O488" s="66" t="s">
        <v>54</v>
      </c>
      <c r="P488" s="66" t="s">
        <v>25</v>
      </c>
      <c r="Q488" s="80">
        <v>313548</v>
      </c>
      <c r="R488" s="80">
        <v>280221</v>
      </c>
      <c r="S488" s="80">
        <v>213367</v>
      </c>
      <c r="T488" s="81">
        <v>984</v>
      </c>
      <c r="U488" s="82" t="s">
        <v>61</v>
      </c>
      <c r="V488" s="83" t="s">
        <v>56</v>
      </c>
      <c r="W488" s="80">
        <v>132275601</v>
      </c>
      <c r="X488" s="68">
        <f t="shared" si="465"/>
        <v>421.86714952734508</v>
      </c>
      <c r="Y488" s="68">
        <f t="shared" si="466"/>
        <v>472.04028605993125</v>
      </c>
      <c r="Z488" s="68">
        <f t="shared" si="467"/>
        <v>619.94404476793511</v>
      </c>
      <c r="AA488" s="68">
        <f t="shared" si="468"/>
        <v>134426.42378048779</v>
      </c>
      <c r="AB488" s="78" t="s">
        <v>73</v>
      </c>
      <c r="AC488" s="55"/>
      <c r="AD488" s="93">
        <f t="shared" ref="AD488" si="562">W488/AC484</f>
        <v>0.10891761863650005</v>
      </c>
    </row>
    <row r="489" spans="1:30" s="32" customFormat="1" ht="15.95">
      <c r="A489" s="65"/>
      <c r="B489" s="66" t="s">
        <v>48</v>
      </c>
      <c r="C489" s="66" t="s">
        <v>114</v>
      </c>
      <c r="D489" s="66"/>
      <c r="E489" s="66" t="s">
        <v>20</v>
      </c>
      <c r="F489" s="66" t="s">
        <v>159</v>
      </c>
      <c r="G489" s="66" t="s">
        <v>160</v>
      </c>
      <c r="H489" s="66"/>
      <c r="I489" s="66" t="s">
        <v>161</v>
      </c>
      <c r="J489" s="66"/>
      <c r="K489" s="66" t="s">
        <v>162</v>
      </c>
      <c r="L489" s="67">
        <v>2024</v>
      </c>
      <c r="M489" s="66" t="s">
        <v>53</v>
      </c>
      <c r="N489" s="66" t="s">
        <v>24</v>
      </c>
      <c r="O489" s="66" t="s">
        <v>54</v>
      </c>
      <c r="P489" s="66" t="s">
        <v>25</v>
      </c>
      <c r="Q489" s="80">
        <v>313548</v>
      </c>
      <c r="R489" s="80">
        <v>280221</v>
      </c>
      <c r="S489" s="80">
        <v>213367</v>
      </c>
      <c r="T489" s="81">
        <v>984</v>
      </c>
      <c r="U489" s="82" t="s">
        <v>62</v>
      </c>
      <c r="V489" s="83" t="s">
        <v>56</v>
      </c>
      <c r="W489" s="80">
        <v>53549754</v>
      </c>
      <c r="X489" s="68">
        <f t="shared" si="465"/>
        <v>170.78646331662137</v>
      </c>
      <c r="Y489" s="68">
        <f t="shared" si="466"/>
        <v>191.09829027803056</v>
      </c>
      <c r="Z489" s="68">
        <f t="shared" si="467"/>
        <v>250.97486490413232</v>
      </c>
      <c r="AA489" s="68">
        <f t="shared" si="468"/>
        <v>54420.481707317071</v>
      </c>
      <c r="AB489" s="78" t="s">
        <v>73</v>
      </c>
      <c r="AC489" s="55"/>
      <c r="AD489" s="93">
        <f t="shared" ref="AD489" si="563">W489/AC484</f>
        <v>4.4093632084502066E-2</v>
      </c>
    </row>
    <row r="490" spans="1:30" s="32" customFormat="1" ht="15.95">
      <c r="A490" s="65"/>
      <c r="B490" s="66" t="s">
        <v>48</v>
      </c>
      <c r="C490" s="66" t="s">
        <v>114</v>
      </c>
      <c r="D490" s="66"/>
      <c r="E490" s="66" t="s">
        <v>20</v>
      </c>
      <c r="F490" s="66" t="s">
        <v>159</v>
      </c>
      <c r="G490" s="66" t="s">
        <v>160</v>
      </c>
      <c r="H490" s="66"/>
      <c r="I490" s="66" t="s">
        <v>161</v>
      </c>
      <c r="J490" s="66"/>
      <c r="K490" s="66" t="s">
        <v>162</v>
      </c>
      <c r="L490" s="67">
        <v>2024</v>
      </c>
      <c r="M490" s="66" t="s">
        <v>53</v>
      </c>
      <c r="N490" s="66" t="s">
        <v>24</v>
      </c>
      <c r="O490" s="66" t="s">
        <v>54</v>
      </c>
      <c r="P490" s="66" t="s">
        <v>25</v>
      </c>
      <c r="Q490" s="80">
        <v>313548</v>
      </c>
      <c r="R490" s="80">
        <v>280221</v>
      </c>
      <c r="S490" s="80">
        <v>213367</v>
      </c>
      <c r="T490" s="81">
        <v>984</v>
      </c>
      <c r="U490" s="82" t="s">
        <v>63</v>
      </c>
      <c r="V490" s="83" t="s">
        <v>56</v>
      </c>
      <c r="W490" s="80">
        <v>17360086</v>
      </c>
      <c r="X490" s="68">
        <f t="shared" si="465"/>
        <v>55.366597777692732</v>
      </c>
      <c r="Y490" s="68">
        <f t="shared" si="466"/>
        <v>61.951409780137823</v>
      </c>
      <c r="Z490" s="68">
        <f t="shared" si="467"/>
        <v>81.36256309551149</v>
      </c>
      <c r="AA490" s="68">
        <f t="shared" si="468"/>
        <v>17642.363821138213</v>
      </c>
      <c r="AB490" s="78" t="s">
        <v>73</v>
      </c>
      <c r="AC490" s="55"/>
      <c r="AD490" s="93">
        <f t="shared" ref="AD490" si="564">W490/AC484</f>
        <v>1.4294542698353296E-2</v>
      </c>
    </row>
    <row r="491" spans="1:30" s="32" customFormat="1" ht="15.95">
      <c r="A491" s="65"/>
      <c r="B491" s="66" t="s">
        <v>48</v>
      </c>
      <c r="C491" s="66" t="s">
        <v>114</v>
      </c>
      <c r="D491" s="66"/>
      <c r="E491" s="66" t="s">
        <v>20</v>
      </c>
      <c r="F491" s="66" t="s">
        <v>159</v>
      </c>
      <c r="G491" s="66" t="s">
        <v>160</v>
      </c>
      <c r="H491" s="66"/>
      <c r="I491" s="66" t="s">
        <v>161</v>
      </c>
      <c r="J491" s="66"/>
      <c r="K491" s="66" t="s">
        <v>162</v>
      </c>
      <c r="L491" s="67">
        <v>2024</v>
      </c>
      <c r="M491" s="66" t="s">
        <v>53</v>
      </c>
      <c r="N491" s="66" t="s">
        <v>24</v>
      </c>
      <c r="O491" s="66" t="s">
        <v>54</v>
      </c>
      <c r="P491" s="66" t="s">
        <v>25</v>
      </c>
      <c r="Q491" s="80">
        <v>313548</v>
      </c>
      <c r="R491" s="80">
        <v>280221</v>
      </c>
      <c r="S491" s="80">
        <v>213367</v>
      </c>
      <c r="T491" s="81">
        <v>984</v>
      </c>
      <c r="U491" s="82" t="s">
        <v>64</v>
      </c>
      <c r="V491" s="83" t="s">
        <v>56</v>
      </c>
      <c r="W491" s="80">
        <v>1081588</v>
      </c>
      <c r="X491" s="68">
        <f t="shared" si="465"/>
        <v>3.4495133121563524</v>
      </c>
      <c r="Y491" s="68">
        <f t="shared" si="466"/>
        <v>3.8597678261086785</v>
      </c>
      <c r="Z491" s="68">
        <f t="shared" si="467"/>
        <v>5.0691437757478894</v>
      </c>
      <c r="AA491" s="68">
        <f t="shared" si="468"/>
        <v>1099.1747967479675</v>
      </c>
      <c r="AB491" s="78" t="s">
        <v>73</v>
      </c>
      <c r="AC491" s="55"/>
      <c r="AD491" s="93">
        <f t="shared" ref="AD491" si="565">W491/AC484</f>
        <v>8.9059500327513027E-4</v>
      </c>
    </row>
    <row r="492" spans="1:30" s="32" customFormat="1" ht="15.95">
      <c r="A492" s="65"/>
      <c r="B492" s="66" t="s">
        <v>48</v>
      </c>
      <c r="C492" s="66" t="s">
        <v>114</v>
      </c>
      <c r="D492" s="66"/>
      <c r="E492" s="66" t="s">
        <v>20</v>
      </c>
      <c r="F492" s="66" t="s">
        <v>159</v>
      </c>
      <c r="G492" s="66" t="s">
        <v>160</v>
      </c>
      <c r="H492" s="66"/>
      <c r="I492" s="66" t="s">
        <v>161</v>
      </c>
      <c r="J492" s="66"/>
      <c r="K492" s="66" t="s">
        <v>162</v>
      </c>
      <c r="L492" s="67">
        <v>2024</v>
      </c>
      <c r="M492" s="66" t="s">
        <v>53</v>
      </c>
      <c r="N492" s="66" t="s">
        <v>24</v>
      </c>
      <c r="O492" s="66" t="s">
        <v>54</v>
      </c>
      <c r="P492" s="66" t="s">
        <v>25</v>
      </c>
      <c r="Q492" s="80">
        <v>313548</v>
      </c>
      <c r="R492" s="80">
        <v>280221</v>
      </c>
      <c r="S492" s="80">
        <v>213367</v>
      </c>
      <c r="T492" s="81">
        <v>984</v>
      </c>
      <c r="U492" s="82" t="s">
        <v>65</v>
      </c>
      <c r="V492" s="83" t="s">
        <v>56</v>
      </c>
      <c r="W492" s="80">
        <v>152958790</v>
      </c>
      <c r="X492" s="68">
        <f t="shared" si="465"/>
        <v>487.83213415489814</v>
      </c>
      <c r="Y492" s="68">
        <f t="shared" si="466"/>
        <v>545.85056080736274</v>
      </c>
      <c r="Z492" s="68">
        <f t="shared" si="467"/>
        <v>716.88119531136488</v>
      </c>
      <c r="AA492" s="68">
        <f t="shared" si="468"/>
        <v>155445.92479674798</v>
      </c>
      <c r="AB492" s="78" t="s">
        <v>73</v>
      </c>
      <c r="AC492" s="55"/>
      <c r="AD492" s="93">
        <f t="shared" ref="AD492" si="566">W492/AC484</f>
        <v>0.12594845179588712</v>
      </c>
    </row>
    <row r="493" spans="1:30" s="32" customFormat="1" ht="15.95">
      <c r="A493" s="65"/>
      <c r="B493" s="66" t="s">
        <v>48</v>
      </c>
      <c r="C493" s="66" t="s">
        <v>114</v>
      </c>
      <c r="D493" s="66"/>
      <c r="E493" s="66" t="s">
        <v>20</v>
      </c>
      <c r="F493" s="66" t="s">
        <v>159</v>
      </c>
      <c r="G493" s="66" t="s">
        <v>160</v>
      </c>
      <c r="H493" s="66"/>
      <c r="I493" s="66" t="s">
        <v>161</v>
      </c>
      <c r="J493" s="66"/>
      <c r="K493" s="66" t="s">
        <v>162</v>
      </c>
      <c r="L493" s="67">
        <v>2024</v>
      </c>
      <c r="M493" s="66" t="s">
        <v>53</v>
      </c>
      <c r="N493" s="66" t="s">
        <v>24</v>
      </c>
      <c r="O493" s="66" t="s">
        <v>54</v>
      </c>
      <c r="P493" s="66" t="s">
        <v>25</v>
      </c>
      <c r="Q493" s="80">
        <v>313548</v>
      </c>
      <c r="R493" s="80">
        <v>280221</v>
      </c>
      <c r="S493" s="80">
        <v>213367</v>
      </c>
      <c r="T493" s="81">
        <v>984</v>
      </c>
      <c r="U493" s="82" t="s">
        <v>66</v>
      </c>
      <c r="V493" s="83" t="s">
        <v>56</v>
      </c>
      <c r="W493" s="80">
        <v>134749173</v>
      </c>
      <c r="X493" s="68">
        <f t="shared" si="465"/>
        <v>429.75612346434997</v>
      </c>
      <c r="Y493" s="68">
        <f t="shared" si="466"/>
        <v>480.86750457674481</v>
      </c>
      <c r="Z493" s="68">
        <f t="shared" si="467"/>
        <v>631.53708399143261</v>
      </c>
      <c r="AA493" s="68">
        <f t="shared" si="468"/>
        <v>136940.21646341463</v>
      </c>
      <c r="AB493" s="78" t="s">
        <v>73</v>
      </c>
      <c r="AC493" s="55"/>
      <c r="AD493" s="93">
        <f t="shared" ref="AD493" si="567">W493/AC484</f>
        <v>0.11095439314161779</v>
      </c>
    </row>
    <row r="494" spans="1:30" s="32" customFormat="1" ht="15.95">
      <c r="A494" s="65"/>
      <c r="B494" s="66" t="s">
        <v>48</v>
      </c>
      <c r="C494" s="66" t="s">
        <v>114</v>
      </c>
      <c r="D494" s="66"/>
      <c r="E494" s="66" t="s">
        <v>20</v>
      </c>
      <c r="F494" s="66" t="s">
        <v>159</v>
      </c>
      <c r="G494" s="66" t="s">
        <v>160</v>
      </c>
      <c r="H494" s="66"/>
      <c r="I494" s="66" t="s">
        <v>161</v>
      </c>
      <c r="J494" s="66"/>
      <c r="K494" s="66" t="s">
        <v>162</v>
      </c>
      <c r="L494" s="67">
        <v>2024</v>
      </c>
      <c r="M494" s="66" t="s">
        <v>53</v>
      </c>
      <c r="N494" s="66" t="s">
        <v>24</v>
      </c>
      <c r="O494" s="66" t="s">
        <v>54</v>
      </c>
      <c r="P494" s="66" t="s">
        <v>25</v>
      </c>
      <c r="Q494" s="80">
        <v>313548</v>
      </c>
      <c r="R494" s="80">
        <v>280221</v>
      </c>
      <c r="S494" s="80">
        <v>213367</v>
      </c>
      <c r="T494" s="81">
        <v>984</v>
      </c>
      <c r="U494" s="82" t="s">
        <v>67</v>
      </c>
      <c r="V494" s="83" t="s">
        <v>56</v>
      </c>
      <c r="W494" s="80">
        <v>11669066</v>
      </c>
      <c r="X494" s="68">
        <f t="shared" si="465"/>
        <v>37.216202941814331</v>
      </c>
      <c r="Y494" s="68">
        <f t="shared" si="466"/>
        <v>41.642367988123659</v>
      </c>
      <c r="Z494" s="68">
        <f t="shared" si="467"/>
        <v>54.690116091054378</v>
      </c>
      <c r="AA494" s="68">
        <f t="shared" si="468"/>
        <v>11858.806910569107</v>
      </c>
      <c r="AB494" s="78" t="s">
        <v>73</v>
      </c>
      <c r="AC494" s="55"/>
      <c r="AD494" s="93">
        <f t="shared" ref="AD494" si="568">W494/AC484</f>
        <v>9.6084755678573653E-3</v>
      </c>
    </row>
    <row r="495" spans="1:30" s="32" customFormat="1" ht="15.95">
      <c r="A495" s="65"/>
      <c r="B495" s="66" t="s">
        <v>48</v>
      </c>
      <c r="C495" s="66" t="s">
        <v>114</v>
      </c>
      <c r="D495" s="66"/>
      <c r="E495" s="66" t="s">
        <v>20</v>
      </c>
      <c r="F495" s="66" t="s">
        <v>159</v>
      </c>
      <c r="G495" s="66" t="s">
        <v>160</v>
      </c>
      <c r="H495" s="66"/>
      <c r="I495" s="66" t="s">
        <v>161</v>
      </c>
      <c r="J495" s="66"/>
      <c r="K495" s="66" t="s">
        <v>162</v>
      </c>
      <c r="L495" s="67">
        <v>2024</v>
      </c>
      <c r="M495" s="66" t="s">
        <v>53</v>
      </c>
      <c r="N495" s="66" t="s">
        <v>24</v>
      </c>
      <c r="O495" s="66" t="s">
        <v>54</v>
      </c>
      <c r="P495" s="66" t="s">
        <v>25</v>
      </c>
      <c r="Q495" s="80">
        <v>313548</v>
      </c>
      <c r="R495" s="80">
        <v>280221</v>
      </c>
      <c r="S495" s="80">
        <v>213367</v>
      </c>
      <c r="T495" s="81">
        <v>984</v>
      </c>
      <c r="U495" s="82" t="s">
        <v>68</v>
      </c>
      <c r="V495" s="83" t="s">
        <v>56</v>
      </c>
      <c r="W495" s="80">
        <v>45513407</v>
      </c>
      <c r="X495" s="68">
        <f t="shared" si="465"/>
        <v>145.15610687996735</v>
      </c>
      <c r="Y495" s="68">
        <f t="shared" si="466"/>
        <v>162.41968660450144</v>
      </c>
      <c r="Z495" s="68">
        <f t="shared" si="467"/>
        <v>213.31043225990899</v>
      </c>
      <c r="AA495" s="68">
        <f t="shared" si="468"/>
        <v>46253.46239837398</v>
      </c>
      <c r="AB495" s="78" t="s">
        <v>73</v>
      </c>
      <c r="AC495" s="55"/>
      <c r="AD495" s="93">
        <f t="shared" ref="AD495" si="569">W495/AC484</f>
        <v>3.7476389213108259E-2</v>
      </c>
    </row>
    <row r="496" spans="1:30" s="32" customFormat="1" ht="15.95">
      <c r="A496" s="65"/>
      <c r="B496" s="66" t="s">
        <v>48</v>
      </c>
      <c r="C496" s="66" t="s">
        <v>114</v>
      </c>
      <c r="D496" s="66"/>
      <c r="E496" s="66" t="s">
        <v>20</v>
      </c>
      <c r="F496" s="66" t="s">
        <v>159</v>
      </c>
      <c r="G496" s="66" t="s">
        <v>160</v>
      </c>
      <c r="H496" s="66"/>
      <c r="I496" s="66" t="s">
        <v>161</v>
      </c>
      <c r="J496" s="66"/>
      <c r="K496" s="66" t="s">
        <v>162</v>
      </c>
      <c r="L496" s="67">
        <v>2024</v>
      </c>
      <c r="M496" s="66" t="s">
        <v>53</v>
      </c>
      <c r="N496" s="66" t="s">
        <v>24</v>
      </c>
      <c r="O496" s="66" t="s">
        <v>54</v>
      </c>
      <c r="P496" s="66" t="s">
        <v>25</v>
      </c>
      <c r="Q496" s="80">
        <v>313548</v>
      </c>
      <c r="R496" s="80">
        <v>280221</v>
      </c>
      <c r="S496" s="80">
        <v>213367</v>
      </c>
      <c r="T496" s="81">
        <v>984</v>
      </c>
      <c r="U496" s="82" t="s">
        <v>69</v>
      </c>
      <c r="V496" s="83" t="s">
        <v>56</v>
      </c>
      <c r="W496" s="80">
        <v>118223931</v>
      </c>
      <c r="X496" s="68">
        <f t="shared" si="465"/>
        <v>377.05209728653983</v>
      </c>
      <c r="Y496" s="68">
        <f t="shared" si="466"/>
        <v>421.89532904386181</v>
      </c>
      <c r="Z496" s="68">
        <f t="shared" si="467"/>
        <v>554.08723467077857</v>
      </c>
      <c r="AA496" s="68">
        <f t="shared" si="468"/>
        <v>120146.27134146342</v>
      </c>
      <c r="AB496" s="78" t="s">
        <v>73</v>
      </c>
      <c r="AC496" s="55"/>
      <c r="AD496" s="93">
        <f t="shared" ref="AD496" si="570">W496/AC484</f>
        <v>9.7347272913663782E-2</v>
      </c>
    </row>
    <row r="497" spans="1:30" s="55" customFormat="1" ht="15" customHeight="1">
      <c r="A497" s="57"/>
      <c r="B497" s="58" t="s">
        <v>48</v>
      </c>
      <c r="C497" s="58" t="s">
        <v>114</v>
      </c>
      <c r="D497" s="58"/>
      <c r="E497" s="58" t="s">
        <v>20</v>
      </c>
      <c r="F497" s="58" t="s">
        <v>21</v>
      </c>
      <c r="G497" s="58" t="s">
        <v>163</v>
      </c>
      <c r="H497" s="58"/>
      <c r="I497" s="58" t="s">
        <v>164</v>
      </c>
      <c r="J497" s="58"/>
      <c r="K497" s="58" t="s">
        <v>165</v>
      </c>
      <c r="L497" s="59">
        <v>2024</v>
      </c>
      <c r="M497" s="58" t="s">
        <v>166</v>
      </c>
      <c r="N497" s="58" t="s">
        <v>24</v>
      </c>
      <c r="O497" s="58" t="s">
        <v>54</v>
      </c>
      <c r="P497" s="58" t="s">
        <v>25</v>
      </c>
      <c r="Q497" s="60">
        <v>113906</v>
      </c>
      <c r="R497" s="60">
        <v>108211</v>
      </c>
      <c r="S497" s="61">
        <v>65631</v>
      </c>
      <c r="T497" s="61">
        <v>76</v>
      </c>
      <c r="U497" s="62" t="s">
        <v>55</v>
      </c>
      <c r="V497" s="63" t="s">
        <v>56</v>
      </c>
      <c r="W497" s="60">
        <v>65511236</v>
      </c>
      <c r="X497" s="60">
        <f t="shared" si="465"/>
        <v>575.13419837409799</v>
      </c>
      <c r="Y497" s="60">
        <f t="shared" si="466"/>
        <v>605.40274094130916</v>
      </c>
      <c r="Z497" s="60">
        <f t="shared" si="467"/>
        <v>998.17519160152972</v>
      </c>
      <c r="AA497" s="60">
        <f t="shared" si="468"/>
        <v>861989.94736842101</v>
      </c>
      <c r="AB497" s="77" t="s">
        <v>73</v>
      </c>
      <c r="AC497" s="92">
        <f t="shared" ref="AC497" si="571">SUM(W497:W509)</f>
        <v>1820768104</v>
      </c>
      <c r="AD497" s="93">
        <f t="shared" ref="AD497" si="572">W497/AC497</f>
        <v>3.597999979024237E-2</v>
      </c>
    </row>
    <row r="498" spans="1:30" s="55" customFormat="1" ht="15.95">
      <c r="A498" s="57"/>
      <c r="B498" s="58" t="s">
        <v>48</v>
      </c>
      <c r="C498" s="58" t="s">
        <v>114</v>
      </c>
      <c r="D498" s="58"/>
      <c r="E498" s="58" t="s">
        <v>20</v>
      </c>
      <c r="F498" s="58" t="s">
        <v>21</v>
      </c>
      <c r="G498" s="58" t="s">
        <v>163</v>
      </c>
      <c r="H498" s="58"/>
      <c r="I498" s="58" t="s">
        <v>164</v>
      </c>
      <c r="J498" s="58"/>
      <c r="K498" s="58" t="s">
        <v>165</v>
      </c>
      <c r="L498" s="59">
        <v>2024</v>
      </c>
      <c r="M498" s="58" t="s">
        <v>166</v>
      </c>
      <c r="N498" s="58" t="s">
        <v>24</v>
      </c>
      <c r="O498" s="58" t="s">
        <v>54</v>
      </c>
      <c r="P498" s="58" t="s">
        <v>25</v>
      </c>
      <c r="Q498" s="60">
        <v>113906</v>
      </c>
      <c r="R498" s="60">
        <v>108211</v>
      </c>
      <c r="S498" s="61">
        <v>65631</v>
      </c>
      <c r="T498" s="61">
        <v>76</v>
      </c>
      <c r="U498" s="62" t="s">
        <v>58</v>
      </c>
      <c r="V498" s="63" t="s">
        <v>56</v>
      </c>
      <c r="W498" s="60">
        <v>245734739</v>
      </c>
      <c r="X498" s="60">
        <f t="shared" si="465"/>
        <v>2157.3467508296317</v>
      </c>
      <c r="Y498" s="60">
        <f t="shared" si="466"/>
        <v>2270.8850209313287</v>
      </c>
      <c r="Z498" s="60">
        <f t="shared" si="467"/>
        <v>3744.1870305191146</v>
      </c>
      <c r="AA498" s="60">
        <f t="shared" si="468"/>
        <v>3233351.8289473685</v>
      </c>
      <c r="AB498" s="77" t="s">
        <v>73</v>
      </c>
      <c r="AD498" s="93">
        <f t="shared" ref="AD498" si="573">W498/AC497</f>
        <v>0.13496212859844781</v>
      </c>
    </row>
    <row r="499" spans="1:30" s="55" customFormat="1" ht="15.95">
      <c r="A499" s="57"/>
      <c r="B499" s="58" t="s">
        <v>48</v>
      </c>
      <c r="C499" s="58" t="s">
        <v>114</v>
      </c>
      <c r="D499" s="58"/>
      <c r="E499" s="58" t="s">
        <v>20</v>
      </c>
      <c r="F499" s="58" t="s">
        <v>21</v>
      </c>
      <c r="G499" s="58" t="s">
        <v>163</v>
      </c>
      <c r="H499" s="58"/>
      <c r="I499" s="58" t="s">
        <v>164</v>
      </c>
      <c r="J499" s="58"/>
      <c r="K499" s="58" t="s">
        <v>165</v>
      </c>
      <c r="L499" s="59">
        <v>2024</v>
      </c>
      <c r="M499" s="58" t="s">
        <v>166</v>
      </c>
      <c r="N499" s="58" t="s">
        <v>24</v>
      </c>
      <c r="O499" s="58" t="s">
        <v>54</v>
      </c>
      <c r="P499" s="58" t="s">
        <v>25</v>
      </c>
      <c r="Q499" s="60">
        <v>113906</v>
      </c>
      <c r="R499" s="60">
        <v>108211</v>
      </c>
      <c r="S499" s="61">
        <v>65631</v>
      </c>
      <c r="T499" s="61">
        <v>76</v>
      </c>
      <c r="U499" s="62" t="s">
        <v>59</v>
      </c>
      <c r="V499" s="63" t="s">
        <v>56</v>
      </c>
      <c r="W499" s="60">
        <v>297566550</v>
      </c>
      <c r="X499" s="60">
        <f t="shared" si="465"/>
        <v>2612.3869682018508</v>
      </c>
      <c r="Y499" s="60">
        <f t="shared" si="466"/>
        <v>2749.873395495837</v>
      </c>
      <c r="Z499" s="60">
        <f t="shared" si="467"/>
        <v>4533.9328975636517</v>
      </c>
      <c r="AA499" s="60">
        <f t="shared" si="468"/>
        <v>3915349.3421052634</v>
      </c>
      <c r="AB499" s="77" t="s">
        <v>73</v>
      </c>
      <c r="AD499" s="93">
        <f t="shared" ref="AD499" si="574">W499/AC497</f>
        <v>0.16342913155512967</v>
      </c>
    </row>
    <row r="500" spans="1:30" s="55" customFormat="1" ht="15.95">
      <c r="A500" s="57"/>
      <c r="B500" s="58" t="s">
        <v>48</v>
      </c>
      <c r="C500" s="58" t="s">
        <v>114</v>
      </c>
      <c r="D500" s="58"/>
      <c r="E500" s="58" t="s">
        <v>20</v>
      </c>
      <c r="F500" s="58" t="s">
        <v>21</v>
      </c>
      <c r="G500" s="58" t="s">
        <v>163</v>
      </c>
      <c r="H500" s="58"/>
      <c r="I500" s="58" t="s">
        <v>164</v>
      </c>
      <c r="J500" s="58"/>
      <c r="K500" s="58" t="s">
        <v>165</v>
      </c>
      <c r="L500" s="59">
        <v>2024</v>
      </c>
      <c r="M500" s="58" t="s">
        <v>166</v>
      </c>
      <c r="N500" s="58" t="s">
        <v>24</v>
      </c>
      <c r="O500" s="58" t="s">
        <v>54</v>
      </c>
      <c r="P500" s="58" t="s">
        <v>25</v>
      </c>
      <c r="Q500" s="60">
        <v>113906</v>
      </c>
      <c r="R500" s="60">
        <v>108211</v>
      </c>
      <c r="S500" s="61">
        <v>65631</v>
      </c>
      <c r="T500" s="61">
        <v>76</v>
      </c>
      <c r="U500" s="62" t="s">
        <v>60</v>
      </c>
      <c r="V500" s="63" t="s">
        <v>56</v>
      </c>
      <c r="W500" s="60">
        <v>77604402</v>
      </c>
      <c r="X500" s="60">
        <f t="shared" si="465"/>
        <v>681.30214387301805</v>
      </c>
      <c r="Y500" s="60">
        <f t="shared" si="466"/>
        <v>717.15816321815714</v>
      </c>
      <c r="Z500" s="60">
        <f t="shared" si="467"/>
        <v>1182.4351602139234</v>
      </c>
      <c r="AA500" s="60">
        <f t="shared" si="468"/>
        <v>1021110.552631579</v>
      </c>
      <c r="AB500" s="77" t="s">
        <v>73</v>
      </c>
      <c r="AD500" s="93">
        <f t="shared" ref="AD500" si="575">W500/AC497</f>
        <v>4.2621793423068446E-2</v>
      </c>
    </row>
    <row r="501" spans="1:30" s="55" customFormat="1" ht="15.95">
      <c r="A501" s="57"/>
      <c r="B501" s="58" t="s">
        <v>48</v>
      </c>
      <c r="C501" s="58" t="s">
        <v>114</v>
      </c>
      <c r="D501" s="58"/>
      <c r="E501" s="58" t="s">
        <v>20</v>
      </c>
      <c r="F501" s="58" t="s">
        <v>21</v>
      </c>
      <c r="G501" s="58" t="s">
        <v>163</v>
      </c>
      <c r="H501" s="58"/>
      <c r="I501" s="58" t="s">
        <v>164</v>
      </c>
      <c r="J501" s="58"/>
      <c r="K501" s="58" t="s">
        <v>165</v>
      </c>
      <c r="L501" s="59">
        <v>2024</v>
      </c>
      <c r="M501" s="58" t="s">
        <v>166</v>
      </c>
      <c r="N501" s="58" t="s">
        <v>24</v>
      </c>
      <c r="O501" s="58" t="s">
        <v>54</v>
      </c>
      <c r="P501" s="58" t="s">
        <v>25</v>
      </c>
      <c r="Q501" s="60">
        <v>113906</v>
      </c>
      <c r="R501" s="60">
        <v>108211</v>
      </c>
      <c r="S501" s="61">
        <v>65631</v>
      </c>
      <c r="T501" s="61">
        <v>76</v>
      </c>
      <c r="U501" s="62" t="s">
        <v>61</v>
      </c>
      <c r="V501" s="63" t="s">
        <v>56</v>
      </c>
      <c r="W501" s="60">
        <v>226736641</v>
      </c>
      <c r="X501" s="60">
        <f t="shared" si="465"/>
        <v>1990.5592418309834</v>
      </c>
      <c r="Y501" s="60">
        <f t="shared" si="466"/>
        <v>2095.3197087172284</v>
      </c>
      <c r="Z501" s="60">
        <f t="shared" si="467"/>
        <v>3454.7186695311666</v>
      </c>
      <c r="AA501" s="60">
        <f t="shared" si="468"/>
        <v>2983376.8552631577</v>
      </c>
      <c r="AB501" s="77" t="s">
        <v>73</v>
      </c>
      <c r="AD501" s="93">
        <f t="shared" ref="AD501" si="576">W501/AC497</f>
        <v>0.12452801677593535</v>
      </c>
    </row>
    <row r="502" spans="1:30" s="55" customFormat="1" ht="15.95">
      <c r="A502" s="57"/>
      <c r="B502" s="58" t="s">
        <v>48</v>
      </c>
      <c r="C502" s="58" t="s">
        <v>114</v>
      </c>
      <c r="D502" s="58"/>
      <c r="E502" s="58" t="s">
        <v>20</v>
      </c>
      <c r="F502" s="58" t="s">
        <v>21</v>
      </c>
      <c r="G502" s="58" t="s">
        <v>163</v>
      </c>
      <c r="H502" s="58"/>
      <c r="I502" s="58" t="s">
        <v>164</v>
      </c>
      <c r="J502" s="58"/>
      <c r="K502" s="58" t="s">
        <v>165</v>
      </c>
      <c r="L502" s="59">
        <v>2024</v>
      </c>
      <c r="M502" s="58" t="s">
        <v>166</v>
      </c>
      <c r="N502" s="58" t="s">
        <v>24</v>
      </c>
      <c r="O502" s="58" t="s">
        <v>54</v>
      </c>
      <c r="P502" s="58" t="s">
        <v>25</v>
      </c>
      <c r="Q502" s="60">
        <v>113906</v>
      </c>
      <c r="R502" s="60">
        <v>108211</v>
      </c>
      <c r="S502" s="61">
        <v>65631</v>
      </c>
      <c r="T502" s="61">
        <v>76</v>
      </c>
      <c r="U502" s="62" t="s">
        <v>62</v>
      </c>
      <c r="V502" s="63" t="s">
        <v>56</v>
      </c>
      <c r="W502" s="60">
        <v>118189095</v>
      </c>
      <c r="X502" s="60">
        <f t="shared" si="465"/>
        <v>1037.6020139413201</v>
      </c>
      <c r="Y502" s="60">
        <f t="shared" si="466"/>
        <v>1092.2096182458345</v>
      </c>
      <c r="Z502" s="60">
        <f t="shared" si="467"/>
        <v>1800.8120400420532</v>
      </c>
      <c r="AA502" s="60">
        <f t="shared" si="468"/>
        <v>1555119.6710526317</v>
      </c>
      <c r="AB502" s="77" t="s">
        <v>73</v>
      </c>
      <c r="AD502" s="93">
        <f t="shared" ref="AD502" si="577">W502/AC497</f>
        <v>6.4911668180233015E-2</v>
      </c>
    </row>
    <row r="503" spans="1:30" s="55" customFormat="1" ht="15.95">
      <c r="A503" s="57"/>
      <c r="B503" s="58" t="s">
        <v>48</v>
      </c>
      <c r="C503" s="58" t="s">
        <v>114</v>
      </c>
      <c r="D503" s="58"/>
      <c r="E503" s="58" t="s">
        <v>20</v>
      </c>
      <c r="F503" s="58" t="s">
        <v>21</v>
      </c>
      <c r="G503" s="58" t="s">
        <v>163</v>
      </c>
      <c r="H503" s="58"/>
      <c r="I503" s="58" t="s">
        <v>164</v>
      </c>
      <c r="J503" s="58"/>
      <c r="K503" s="58" t="s">
        <v>165</v>
      </c>
      <c r="L503" s="59">
        <v>2024</v>
      </c>
      <c r="M503" s="58" t="s">
        <v>166</v>
      </c>
      <c r="N503" s="58" t="s">
        <v>24</v>
      </c>
      <c r="O503" s="58" t="s">
        <v>54</v>
      </c>
      <c r="P503" s="58" t="s">
        <v>25</v>
      </c>
      <c r="Q503" s="60">
        <v>113906</v>
      </c>
      <c r="R503" s="60">
        <v>108211</v>
      </c>
      <c r="S503" s="61">
        <v>65631</v>
      </c>
      <c r="T503" s="61">
        <v>76</v>
      </c>
      <c r="U503" s="62" t="s">
        <v>63</v>
      </c>
      <c r="V503" s="63" t="s">
        <v>56</v>
      </c>
      <c r="W503" s="60">
        <v>33545811</v>
      </c>
      <c r="X503" s="60">
        <f t="shared" si="465"/>
        <v>294.50433690938144</v>
      </c>
      <c r="Y503" s="60">
        <f t="shared" si="466"/>
        <v>310.00370572307804</v>
      </c>
      <c r="Z503" s="60">
        <f t="shared" si="467"/>
        <v>511.12753119714768</v>
      </c>
      <c r="AA503" s="60">
        <f t="shared" si="468"/>
        <v>441392.25</v>
      </c>
      <c r="AB503" s="77" t="s">
        <v>73</v>
      </c>
      <c r="AD503" s="93">
        <f t="shared" ref="AD503" si="578">W503/AC497</f>
        <v>1.8423988714600197E-2</v>
      </c>
    </row>
    <row r="504" spans="1:30" s="55" customFormat="1" ht="15.95">
      <c r="A504" s="57"/>
      <c r="B504" s="58" t="s">
        <v>48</v>
      </c>
      <c r="C504" s="58" t="s">
        <v>114</v>
      </c>
      <c r="D504" s="58"/>
      <c r="E504" s="58" t="s">
        <v>20</v>
      </c>
      <c r="F504" s="58" t="s">
        <v>21</v>
      </c>
      <c r="G504" s="58" t="s">
        <v>163</v>
      </c>
      <c r="H504" s="58"/>
      <c r="I504" s="58" t="s">
        <v>164</v>
      </c>
      <c r="J504" s="58"/>
      <c r="K504" s="58" t="s">
        <v>165</v>
      </c>
      <c r="L504" s="59">
        <v>2024</v>
      </c>
      <c r="M504" s="58" t="s">
        <v>166</v>
      </c>
      <c r="N504" s="58" t="s">
        <v>24</v>
      </c>
      <c r="O504" s="58" t="s">
        <v>54</v>
      </c>
      <c r="P504" s="58" t="s">
        <v>25</v>
      </c>
      <c r="Q504" s="60">
        <v>113906</v>
      </c>
      <c r="R504" s="60">
        <v>108211</v>
      </c>
      <c r="S504" s="61">
        <v>65631</v>
      </c>
      <c r="T504" s="61">
        <v>76</v>
      </c>
      <c r="U504" s="62" t="s">
        <v>64</v>
      </c>
      <c r="V504" s="63" t="s">
        <v>56</v>
      </c>
      <c r="W504" s="60">
        <v>8898048</v>
      </c>
      <c r="X504" s="60">
        <f t="shared" si="465"/>
        <v>78.117465278387442</v>
      </c>
      <c r="Y504" s="60">
        <f t="shared" si="466"/>
        <v>82.228682851096465</v>
      </c>
      <c r="Z504" s="60">
        <f t="shared" si="467"/>
        <v>135.57690725419391</v>
      </c>
      <c r="AA504" s="60">
        <f t="shared" si="468"/>
        <v>117079.57894736843</v>
      </c>
      <c r="AB504" s="77" t="s">
        <v>73</v>
      </c>
      <c r="AD504" s="93">
        <f t="shared" ref="AD504" si="579">W504/AC497</f>
        <v>4.8869748873852197E-3</v>
      </c>
    </row>
    <row r="505" spans="1:30" s="55" customFormat="1" ht="15.95">
      <c r="A505" s="57"/>
      <c r="B505" s="58" t="s">
        <v>48</v>
      </c>
      <c r="C505" s="58" t="s">
        <v>114</v>
      </c>
      <c r="D505" s="58"/>
      <c r="E505" s="58" t="s">
        <v>20</v>
      </c>
      <c r="F505" s="58" t="s">
        <v>21</v>
      </c>
      <c r="G505" s="58" t="s">
        <v>163</v>
      </c>
      <c r="H505" s="58"/>
      <c r="I505" s="58" t="s">
        <v>164</v>
      </c>
      <c r="J505" s="58"/>
      <c r="K505" s="58" t="s">
        <v>165</v>
      </c>
      <c r="L505" s="59">
        <v>2024</v>
      </c>
      <c r="M505" s="58" t="s">
        <v>166</v>
      </c>
      <c r="N505" s="58" t="s">
        <v>24</v>
      </c>
      <c r="O505" s="58" t="s">
        <v>54</v>
      </c>
      <c r="P505" s="58" t="s">
        <v>25</v>
      </c>
      <c r="Q505" s="60">
        <v>113906</v>
      </c>
      <c r="R505" s="60">
        <v>108211</v>
      </c>
      <c r="S505" s="61">
        <v>65631</v>
      </c>
      <c r="T505" s="61">
        <v>76</v>
      </c>
      <c r="U505" s="62" t="s">
        <v>65</v>
      </c>
      <c r="V505" s="63" t="s">
        <v>56</v>
      </c>
      <c r="W505" s="60">
        <v>163839288</v>
      </c>
      <c r="X505" s="60">
        <f t="shared" si="465"/>
        <v>1438.3727635067512</v>
      </c>
      <c r="Y505" s="60">
        <f t="shared" si="466"/>
        <v>1514.0723955974902</v>
      </c>
      <c r="Z505" s="60">
        <f t="shared" si="467"/>
        <v>2496.370434703113</v>
      </c>
      <c r="AA505" s="60">
        <f t="shared" si="468"/>
        <v>2155780.1052631577</v>
      </c>
      <c r="AB505" s="77" t="s">
        <v>73</v>
      </c>
      <c r="AD505" s="93">
        <f t="shared" ref="AD505" si="580">W505/AC497</f>
        <v>8.9983610565269434E-2</v>
      </c>
    </row>
    <row r="506" spans="1:30" s="55" customFormat="1" ht="15.95">
      <c r="A506" s="57"/>
      <c r="B506" s="58" t="s">
        <v>48</v>
      </c>
      <c r="C506" s="58" t="s">
        <v>114</v>
      </c>
      <c r="D506" s="58"/>
      <c r="E506" s="58" t="s">
        <v>20</v>
      </c>
      <c r="F506" s="58" t="s">
        <v>21</v>
      </c>
      <c r="G506" s="58" t="s">
        <v>163</v>
      </c>
      <c r="H506" s="58"/>
      <c r="I506" s="58" t="s">
        <v>164</v>
      </c>
      <c r="J506" s="58"/>
      <c r="K506" s="58" t="s">
        <v>165</v>
      </c>
      <c r="L506" s="59">
        <v>2024</v>
      </c>
      <c r="M506" s="58" t="s">
        <v>166</v>
      </c>
      <c r="N506" s="58" t="s">
        <v>24</v>
      </c>
      <c r="O506" s="58" t="s">
        <v>54</v>
      </c>
      <c r="P506" s="58" t="s">
        <v>25</v>
      </c>
      <c r="Q506" s="60">
        <v>113906</v>
      </c>
      <c r="R506" s="60">
        <v>108211</v>
      </c>
      <c r="S506" s="61">
        <v>65631</v>
      </c>
      <c r="T506" s="61">
        <v>76</v>
      </c>
      <c r="U506" s="62" t="s">
        <v>66</v>
      </c>
      <c r="V506" s="63" t="s">
        <v>56</v>
      </c>
      <c r="W506" s="60">
        <v>148181837</v>
      </c>
      <c r="X506" s="60">
        <f t="shared" si="465"/>
        <v>1300.9133583832283</v>
      </c>
      <c r="Y506" s="60">
        <f t="shared" si="466"/>
        <v>1369.3786860855182</v>
      </c>
      <c r="Z506" s="60">
        <f t="shared" si="467"/>
        <v>2257.8025171031982</v>
      </c>
      <c r="AA506" s="60">
        <f t="shared" si="468"/>
        <v>1949761.0131578948</v>
      </c>
      <c r="AB506" s="77" t="s">
        <v>73</v>
      </c>
      <c r="AD506" s="93">
        <f t="shared" ref="AD506" si="581">W506/AC497</f>
        <v>8.1384244745095771E-2</v>
      </c>
    </row>
    <row r="507" spans="1:30" s="55" customFormat="1" ht="15.95">
      <c r="A507" s="57"/>
      <c r="B507" s="58" t="s">
        <v>48</v>
      </c>
      <c r="C507" s="58" t="s">
        <v>114</v>
      </c>
      <c r="D507" s="58"/>
      <c r="E507" s="58" t="s">
        <v>20</v>
      </c>
      <c r="F507" s="58" t="s">
        <v>21</v>
      </c>
      <c r="G507" s="58" t="s">
        <v>163</v>
      </c>
      <c r="H507" s="58"/>
      <c r="I507" s="58" t="s">
        <v>164</v>
      </c>
      <c r="J507" s="58"/>
      <c r="K507" s="58" t="s">
        <v>165</v>
      </c>
      <c r="L507" s="59">
        <v>2024</v>
      </c>
      <c r="M507" s="58" t="s">
        <v>166</v>
      </c>
      <c r="N507" s="58" t="s">
        <v>24</v>
      </c>
      <c r="O507" s="58" t="s">
        <v>54</v>
      </c>
      <c r="P507" s="58" t="s">
        <v>25</v>
      </c>
      <c r="Q507" s="60">
        <v>113906</v>
      </c>
      <c r="R507" s="60">
        <v>108211</v>
      </c>
      <c r="S507" s="61">
        <v>65631</v>
      </c>
      <c r="T507" s="61">
        <v>76</v>
      </c>
      <c r="U507" s="62" t="s">
        <v>67</v>
      </c>
      <c r="V507" s="63" t="s">
        <v>56</v>
      </c>
      <c r="W507" s="60">
        <v>33952644</v>
      </c>
      <c r="X507" s="60">
        <f t="shared" si="465"/>
        <v>298.07599248503152</v>
      </c>
      <c r="Y507" s="60">
        <f t="shared" si="466"/>
        <v>313.76333274805705</v>
      </c>
      <c r="Z507" s="60">
        <f t="shared" si="467"/>
        <v>517.32632445033596</v>
      </c>
      <c r="AA507" s="60">
        <f t="shared" si="468"/>
        <v>446745.31578947371</v>
      </c>
      <c r="AB507" s="77" t="s">
        <v>73</v>
      </c>
      <c r="AD507" s="93">
        <f t="shared" ref="AD507" si="582">W507/AC497</f>
        <v>1.8647429030314341E-2</v>
      </c>
    </row>
    <row r="508" spans="1:30" s="55" customFormat="1" ht="15.95">
      <c r="A508" s="57"/>
      <c r="B508" s="58" t="s">
        <v>48</v>
      </c>
      <c r="C508" s="58" t="s">
        <v>114</v>
      </c>
      <c r="D508" s="58"/>
      <c r="E508" s="58" t="s">
        <v>20</v>
      </c>
      <c r="F508" s="58" t="s">
        <v>21</v>
      </c>
      <c r="G508" s="58" t="s">
        <v>163</v>
      </c>
      <c r="H508" s="58"/>
      <c r="I508" s="58" t="s">
        <v>164</v>
      </c>
      <c r="J508" s="58"/>
      <c r="K508" s="58" t="s">
        <v>165</v>
      </c>
      <c r="L508" s="59">
        <v>2024</v>
      </c>
      <c r="M508" s="58" t="s">
        <v>166</v>
      </c>
      <c r="N508" s="58" t="s">
        <v>24</v>
      </c>
      <c r="O508" s="58" t="s">
        <v>54</v>
      </c>
      <c r="P508" s="58" t="s">
        <v>25</v>
      </c>
      <c r="Q508" s="60">
        <v>113906</v>
      </c>
      <c r="R508" s="60">
        <v>108211</v>
      </c>
      <c r="S508" s="61">
        <v>65631</v>
      </c>
      <c r="T508" s="61">
        <v>76</v>
      </c>
      <c r="U508" s="62" t="s">
        <v>68</v>
      </c>
      <c r="V508" s="63" t="s">
        <v>56</v>
      </c>
      <c r="W508" s="60">
        <v>115783379</v>
      </c>
      <c r="X508" s="60">
        <f t="shared" si="465"/>
        <v>1016.4818271206083</v>
      </c>
      <c r="Y508" s="60">
        <f t="shared" si="466"/>
        <v>1069.9779042796019</v>
      </c>
      <c r="Z508" s="60">
        <f t="shared" si="467"/>
        <v>1764.1568618488213</v>
      </c>
      <c r="AA508" s="60">
        <f t="shared" si="468"/>
        <v>1523465.5131578948</v>
      </c>
      <c r="AB508" s="77" t="s">
        <v>73</v>
      </c>
      <c r="AD508" s="93">
        <f t="shared" ref="AD508" si="583">W508/AC497</f>
        <v>6.3590403822232161E-2</v>
      </c>
    </row>
    <row r="509" spans="1:30" s="55" customFormat="1" ht="15.95">
      <c r="A509" s="57"/>
      <c r="B509" s="58" t="s">
        <v>48</v>
      </c>
      <c r="C509" s="58" t="s">
        <v>114</v>
      </c>
      <c r="D509" s="58"/>
      <c r="E509" s="58" t="s">
        <v>20</v>
      </c>
      <c r="F509" s="58" t="s">
        <v>21</v>
      </c>
      <c r="G509" s="58" t="s">
        <v>163</v>
      </c>
      <c r="H509" s="58"/>
      <c r="I509" s="58" t="s">
        <v>164</v>
      </c>
      <c r="J509" s="58"/>
      <c r="K509" s="58" t="s">
        <v>165</v>
      </c>
      <c r="L509" s="59">
        <v>2024</v>
      </c>
      <c r="M509" s="58" t="s">
        <v>166</v>
      </c>
      <c r="N509" s="58" t="s">
        <v>24</v>
      </c>
      <c r="O509" s="58" t="s">
        <v>54</v>
      </c>
      <c r="P509" s="58" t="s">
        <v>25</v>
      </c>
      <c r="Q509" s="60">
        <v>113906</v>
      </c>
      <c r="R509" s="60">
        <v>108211</v>
      </c>
      <c r="S509" s="61">
        <v>65631</v>
      </c>
      <c r="T509" s="61">
        <v>76</v>
      </c>
      <c r="U509" s="62" t="s">
        <v>69</v>
      </c>
      <c r="V509" s="63" t="s">
        <v>56</v>
      </c>
      <c r="W509" s="60">
        <v>285224434</v>
      </c>
      <c r="X509" s="60">
        <f t="shared" si="465"/>
        <v>2504.0334486330835</v>
      </c>
      <c r="Y509" s="60">
        <f t="shared" si="466"/>
        <v>2635.8173753130459</v>
      </c>
      <c r="Z509" s="60">
        <f t="shared" si="467"/>
        <v>4345.8797519464888</v>
      </c>
      <c r="AA509" s="60">
        <f t="shared" si="468"/>
        <v>3752953.0789473685</v>
      </c>
      <c r="AB509" s="77" t="s">
        <v>73</v>
      </c>
      <c r="AD509" s="93">
        <f t="shared" ref="AD509" si="584">W509/AC497</f>
        <v>0.15665060991204621</v>
      </c>
    </row>
    <row r="510" spans="1:30" s="32" customFormat="1" ht="15" customHeight="1">
      <c r="A510" s="65" t="s">
        <v>167</v>
      </c>
      <c r="B510" s="66" t="s">
        <v>48</v>
      </c>
      <c r="C510" s="66" t="s">
        <v>114</v>
      </c>
      <c r="D510" s="66"/>
      <c r="E510" s="66" t="s">
        <v>20</v>
      </c>
      <c r="F510" s="66" t="s">
        <v>21</v>
      </c>
      <c r="G510" s="66" t="s">
        <v>168</v>
      </c>
      <c r="H510" s="66"/>
      <c r="I510" s="66" t="s">
        <v>169</v>
      </c>
      <c r="J510" s="66"/>
      <c r="K510" s="66" t="s">
        <v>170</v>
      </c>
      <c r="L510" s="67">
        <v>2024</v>
      </c>
      <c r="M510" s="66" t="s">
        <v>171</v>
      </c>
      <c r="N510" s="66" t="s">
        <v>24</v>
      </c>
      <c r="O510" s="66" t="s">
        <v>54</v>
      </c>
      <c r="P510" s="66" t="s">
        <v>25</v>
      </c>
      <c r="Q510" s="80">
        <v>23646</v>
      </c>
      <c r="R510" s="80">
        <v>19796</v>
      </c>
      <c r="S510" s="80">
        <v>10849</v>
      </c>
      <c r="T510" s="81">
        <v>38</v>
      </c>
      <c r="U510" s="82" t="s">
        <v>55</v>
      </c>
      <c r="V510" s="83" t="s">
        <v>56</v>
      </c>
      <c r="W510" s="80">
        <f>10088544+13000000</f>
        <v>23088544</v>
      </c>
      <c r="X510" s="68">
        <f t="shared" ref="X510:X535" si="585">W510/Q510</f>
        <v>976.42493444980119</v>
      </c>
      <c r="Y510" s="68">
        <f t="shared" ref="Y510:Y535" si="586">W510/R510</f>
        <v>1166.3237017579308</v>
      </c>
      <c r="Z510" s="68">
        <f t="shared" ref="Z510:Z535" si="587">W510/S510</f>
        <v>2128.1725504654805</v>
      </c>
      <c r="AA510" s="68">
        <f t="shared" ref="AA510:AA535" si="588">W510/T510</f>
        <v>607593.26315789472</v>
      </c>
      <c r="AB510" s="78" t="s">
        <v>73</v>
      </c>
      <c r="AC510" s="92">
        <f t="shared" ref="AC510" si="589">SUM(W510:W522)</f>
        <v>149314146</v>
      </c>
      <c r="AD510" s="93">
        <f t="shared" ref="AD510" si="590">W510/AC510</f>
        <v>0.15463065368233764</v>
      </c>
    </row>
    <row r="511" spans="1:30" s="32" customFormat="1" ht="15.95">
      <c r="A511" s="65" t="s">
        <v>167</v>
      </c>
      <c r="B511" s="66" t="s">
        <v>48</v>
      </c>
      <c r="C511" s="66" t="s">
        <v>114</v>
      </c>
      <c r="D511" s="66"/>
      <c r="E511" s="66" t="s">
        <v>20</v>
      </c>
      <c r="F511" s="66" t="s">
        <v>21</v>
      </c>
      <c r="G511" s="66" t="s">
        <v>168</v>
      </c>
      <c r="H511" s="66"/>
      <c r="I511" s="66" t="s">
        <v>169</v>
      </c>
      <c r="J511" s="66"/>
      <c r="K511" s="66" t="s">
        <v>170</v>
      </c>
      <c r="L511" s="67">
        <v>2024</v>
      </c>
      <c r="M511" s="66" t="s">
        <v>171</v>
      </c>
      <c r="N511" s="66" t="s">
        <v>24</v>
      </c>
      <c r="O511" s="66" t="s">
        <v>54</v>
      </c>
      <c r="P511" s="66" t="s">
        <v>25</v>
      </c>
      <c r="Q511" s="80">
        <v>23646</v>
      </c>
      <c r="R511" s="80">
        <v>19796</v>
      </c>
      <c r="S511" s="80">
        <v>10849</v>
      </c>
      <c r="T511" s="81">
        <v>38</v>
      </c>
      <c r="U511" s="82" t="s">
        <v>58</v>
      </c>
      <c r="V511" s="83" t="s">
        <v>56</v>
      </c>
      <c r="W511" s="80">
        <v>15598171</v>
      </c>
      <c r="X511" s="68">
        <f t="shared" si="585"/>
        <v>659.6536834982661</v>
      </c>
      <c r="Y511" s="68">
        <f t="shared" si="586"/>
        <v>787.94559506971109</v>
      </c>
      <c r="Z511" s="68">
        <f t="shared" si="587"/>
        <v>1437.7519587058714</v>
      </c>
      <c r="AA511" s="68">
        <f t="shared" si="588"/>
        <v>410478.18421052629</v>
      </c>
      <c r="AB511" s="78" t="s">
        <v>73</v>
      </c>
      <c r="AC511" s="55"/>
      <c r="AD511" s="93">
        <f t="shared" ref="AD511" si="591">W511/AC510</f>
        <v>0.10446546035899372</v>
      </c>
    </row>
    <row r="512" spans="1:30" s="32" customFormat="1" ht="15.95">
      <c r="A512" s="65" t="s">
        <v>167</v>
      </c>
      <c r="B512" s="66" t="s">
        <v>48</v>
      </c>
      <c r="C512" s="66" t="s">
        <v>114</v>
      </c>
      <c r="D512" s="66"/>
      <c r="E512" s="66" t="s">
        <v>20</v>
      </c>
      <c r="F512" s="66" t="s">
        <v>21</v>
      </c>
      <c r="G512" s="66" t="s">
        <v>168</v>
      </c>
      <c r="H512" s="66"/>
      <c r="I512" s="66" t="s">
        <v>169</v>
      </c>
      <c r="J512" s="66"/>
      <c r="K512" s="66" t="s">
        <v>170</v>
      </c>
      <c r="L512" s="67">
        <v>2024</v>
      </c>
      <c r="M512" s="66" t="s">
        <v>171</v>
      </c>
      <c r="N512" s="66" t="s">
        <v>24</v>
      </c>
      <c r="O512" s="66" t="s">
        <v>54</v>
      </c>
      <c r="P512" s="66" t="s">
        <v>25</v>
      </c>
      <c r="Q512" s="80">
        <v>23646</v>
      </c>
      <c r="R512" s="80">
        <v>19796</v>
      </c>
      <c r="S512" s="80">
        <v>10849</v>
      </c>
      <c r="T512" s="81">
        <v>38</v>
      </c>
      <c r="U512" s="82" t="s">
        <v>59</v>
      </c>
      <c r="V512" s="83" t="s">
        <v>56</v>
      </c>
      <c r="W512" s="80">
        <v>15833511</v>
      </c>
      <c r="X512" s="68">
        <f t="shared" si="585"/>
        <v>669.60631819335197</v>
      </c>
      <c r="Y512" s="68">
        <f t="shared" si="586"/>
        <v>799.83385532430793</v>
      </c>
      <c r="Z512" s="68">
        <f t="shared" si="587"/>
        <v>1459.4442805788551</v>
      </c>
      <c r="AA512" s="68">
        <f t="shared" si="588"/>
        <v>416671.34210526315</v>
      </c>
      <c r="AB512" s="78" t="s">
        <v>73</v>
      </c>
      <c r="AC512" s="55"/>
      <c r="AD512" s="93">
        <f t="shared" ref="AD512" si="592">W512/AC510</f>
        <v>0.10604160037187635</v>
      </c>
    </row>
    <row r="513" spans="1:30" s="32" customFormat="1" ht="15.95">
      <c r="A513" s="65" t="s">
        <v>167</v>
      </c>
      <c r="B513" s="66" t="s">
        <v>48</v>
      </c>
      <c r="C513" s="66" t="s">
        <v>114</v>
      </c>
      <c r="D513" s="66"/>
      <c r="E513" s="66" t="s">
        <v>20</v>
      </c>
      <c r="F513" s="66" t="s">
        <v>21</v>
      </c>
      <c r="G513" s="66" t="s">
        <v>168</v>
      </c>
      <c r="H513" s="66"/>
      <c r="I513" s="66" t="s">
        <v>169</v>
      </c>
      <c r="J513" s="66"/>
      <c r="K513" s="66" t="s">
        <v>170</v>
      </c>
      <c r="L513" s="67">
        <v>2024</v>
      </c>
      <c r="M513" s="66" t="s">
        <v>171</v>
      </c>
      <c r="N513" s="66" t="s">
        <v>24</v>
      </c>
      <c r="O513" s="66" t="s">
        <v>54</v>
      </c>
      <c r="P513" s="66" t="s">
        <v>25</v>
      </c>
      <c r="Q513" s="80">
        <v>23646</v>
      </c>
      <c r="R513" s="80">
        <v>19796</v>
      </c>
      <c r="S513" s="80">
        <v>10849</v>
      </c>
      <c r="T513" s="81">
        <v>38</v>
      </c>
      <c r="U513" s="82" t="s">
        <v>60</v>
      </c>
      <c r="V513" s="83" t="s">
        <v>56</v>
      </c>
      <c r="W513" s="80">
        <v>6701885</v>
      </c>
      <c r="X513" s="68">
        <f t="shared" si="585"/>
        <v>283.42573796836672</v>
      </c>
      <c r="Y513" s="68">
        <f t="shared" si="586"/>
        <v>338.54743382501516</v>
      </c>
      <c r="Z513" s="68">
        <f t="shared" si="587"/>
        <v>617.74218822011244</v>
      </c>
      <c r="AA513" s="68">
        <f t="shared" si="588"/>
        <v>176365.39473684211</v>
      </c>
      <c r="AB513" s="78" t="s">
        <v>73</v>
      </c>
      <c r="AC513" s="55"/>
      <c r="AD513" s="93">
        <f t="shared" ref="AD513" si="593">W513/AC510</f>
        <v>4.4884461248567833E-2</v>
      </c>
    </row>
    <row r="514" spans="1:30" s="32" customFormat="1" ht="15.95">
      <c r="A514" s="65" t="s">
        <v>167</v>
      </c>
      <c r="B514" s="66" t="s">
        <v>48</v>
      </c>
      <c r="C514" s="66" t="s">
        <v>114</v>
      </c>
      <c r="D514" s="66"/>
      <c r="E514" s="66" t="s">
        <v>20</v>
      </c>
      <c r="F514" s="66" t="s">
        <v>21</v>
      </c>
      <c r="G514" s="66" t="s">
        <v>168</v>
      </c>
      <c r="H514" s="66"/>
      <c r="I514" s="66" t="s">
        <v>169</v>
      </c>
      <c r="J514" s="66"/>
      <c r="K514" s="66" t="s">
        <v>170</v>
      </c>
      <c r="L514" s="67">
        <v>2024</v>
      </c>
      <c r="M514" s="66" t="s">
        <v>171</v>
      </c>
      <c r="N514" s="66" t="s">
        <v>24</v>
      </c>
      <c r="O514" s="66" t="s">
        <v>54</v>
      </c>
      <c r="P514" s="66" t="s">
        <v>25</v>
      </c>
      <c r="Q514" s="80">
        <v>23646</v>
      </c>
      <c r="R514" s="80">
        <v>19796</v>
      </c>
      <c r="S514" s="80">
        <v>10849</v>
      </c>
      <c r="T514" s="81">
        <v>38</v>
      </c>
      <c r="U514" s="82" t="s">
        <v>61</v>
      </c>
      <c r="V514" s="83" t="s">
        <v>56</v>
      </c>
      <c r="W514" s="80">
        <v>20746667</v>
      </c>
      <c r="X514" s="68">
        <f t="shared" si="585"/>
        <v>877.38590036369783</v>
      </c>
      <c r="Y514" s="68">
        <f t="shared" si="586"/>
        <v>1048.0231865023236</v>
      </c>
      <c r="Z514" s="68">
        <f t="shared" si="587"/>
        <v>1912.3114572771683</v>
      </c>
      <c r="AA514" s="68">
        <f t="shared" si="588"/>
        <v>545964.92105263157</v>
      </c>
      <c r="AB514" s="78" t="s">
        <v>73</v>
      </c>
      <c r="AC514" s="55"/>
      <c r="AD514" s="93">
        <f t="shared" ref="AD514" si="594">W514/AC510</f>
        <v>0.13894642641561905</v>
      </c>
    </row>
    <row r="515" spans="1:30" s="32" customFormat="1" ht="15.95">
      <c r="A515" s="65" t="s">
        <v>167</v>
      </c>
      <c r="B515" s="66" t="s">
        <v>48</v>
      </c>
      <c r="C515" s="66" t="s">
        <v>114</v>
      </c>
      <c r="D515" s="66"/>
      <c r="E515" s="66" t="s">
        <v>20</v>
      </c>
      <c r="F515" s="66" t="s">
        <v>21</v>
      </c>
      <c r="G515" s="66" t="s">
        <v>168</v>
      </c>
      <c r="H515" s="66"/>
      <c r="I515" s="66" t="s">
        <v>169</v>
      </c>
      <c r="J515" s="66"/>
      <c r="K515" s="66" t="s">
        <v>170</v>
      </c>
      <c r="L515" s="67">
        <v>2024</v>
      </c>
      <c r="M515" s="66" t="s">
        <v>171</v>
      </c>
      <c r="N515" s="66" t="s">
        <v>24</v>
      </c>
      <c r="O515" s="66" t="s">
        <v>54</v>
      </c>
      <c r="P515" s="66" t="s">
        <v>25</v>
      </c>
      <c r="Q515" s="80">
        <v>23646</v>
      </c>
      <c r="R515" s="80">
        <v>19796</v>
      </c>
      <c r="S515" s="80">
        <v>10849</v>
      </c>
      <c r="T515" s="81">
        <v>38</v>
      </c>
      <c r="U515" s="82" t="s">
        <v>62</v>
      </c>
      <c r="V515" s="83" t="s">
        <v>56</v>
      </c>
      <c r="W515" s="80">
        <v>10065881</v>
      </c>
      <c r="X515" s="68">
        <f t="shared" si="585"/>
        <v>425.69064535227943</v>
      </c>
      <c r="Y515" s="68">
        <f t="shared" si="586"/>
        <v>508.48055162659125</v>
      </c>
      <c r="Z515" s="68">
        <f t="shared" si="587"/>
        <v>927.81648078163892</v>
      </c>
      <c r="AA515" s="68">
        <f t="shared" si="588"/>
        <v>264891.60526315792</v>
      </c>
      <c r="AB515" s="78" t="s">
        <v>73</v>
      </c>
      <c r="AC515" s="55"/>
      <c r="AD515" s="93">
        <f t="shared" ref="AD515" si="595">W515/AC510</f>
        <v>6.7414114935901659E-2</v>
      </c>
    </row>
    <row r="516" spans="1:30" s="32" customFormat="1" ht="15.95">
      <c r="A516" s="65" t="s">
        <v>167</v>
      </c>
      <c r="B516" s="66" t="s">
        <v>48</v>
      </c>
      <c r="C516" s="66" t="s">
        <v>114</v>
      </c>
      <c r="D516" s="66"/>
      <c r="E516" s="66" t="s">
        <v>20</v>
      </c>
      <c r="F516" s="66" t="s">
        <v>21</v>
      </c>
      <c r="G516" s="66" t="s">
        <v>168</v>
      </c>
      <c r="H516" s="66"/>
      <c r="I516" s="66" t="s">
        <v>169</v>
      </c>
      <c r="J516" s="66"/>
      <c r="K516" s="66" t="s">
        <v>170</v>
      </c>
      <c r="L516" s="67">
        <v>2024</v>
      </c>
      <c r="M516" s="66" t="s">
        <v>171</v>
      </c>
      <c r="N516" s="66" t="s">
        <v>24</v>
      </c>
      <c r="O516" s="66" t="s">
        <v>54</v>
      </c>
      <c r="P516" s="66" t="s">
        <v>25</v>
      </c>
      <c r="Q516" s="80">
        <v>23646</v>
      </c>
      <c r="R516" s="80">
        <v>19796</v>
      </c>
      <c r="S516" s="80">
        <v>10849</v>
      </c>
      <c r="T516" s="81">
        <v>38</v>
      </c>
      <c r="U516" s="82" t="s">
        <v>63</v>
      </c>
      <c r="V516" s="83" t="s">
        <v>56</v>
      </c>
      <c r="W516" s="80">
        <v>2524122</v>
      </c>
      <c r="X516" s="68">
        <f t="shared" si="585"/>
        <v>106.74625729510277</v>
      </c>
      <c r="Y516" s="68">
        <f t="shared" si="586"/>
        <v>127.50666801374015</v>
      </c>
      <c r="Z516" s="68">
        <f t="shared" si="587"/>
        <v>232.65941561434232</v>
      </c>
      <c r="AA516" s="68">
        <f t="shared" si="588"/>
        <v>66424.263157894733</v>
      </c>
      <c r="AB516" s="78" t="s">
        <v>73</v>
      </c>
      <c r="AC516" s="55"/>
      <c r="AD516" s="93">
        <f t="shared" ref="AD516" si="596">W516/AC510</f>
        <v>1.6904774715719165E-2</v>
      </c>
    </row>
    <row r="517" spans="1:30" s="32" customFormat="1" ht="15.95">
      <c r="A517" s="65" t="s">
        <v>167</v>
      </c>
      <c r="B517" s="66" t="s">
        <v>48</v>
      </c>
      <c r="C517" s="66" t="s">
        <v>114</v>
      </c>
      <c r="D517" s="66"/>
      <c r="E517" s="66" t="s">
        <v>20</v>
      </c>
      <c r="F517" s="66" t="s">
        <v>21</v>
      </c>
      <c r="G517" s="66" t="s">
        <v>168</v>
      </c>
      <c r="H517" s="66"/>
      <c r="I517" s="66" t="s">
        <v>169</v>
      </c>
      <c r="J517" s="66"/>
      <c r="K517" s="66" t="s">
        <v>170</v>
      </c>
      <c r="L517" s="67">
        <v>2024</v>
      </c>
      <c r="M517" s="66" t="s">
        <v>171</v>
      </c>
      <c r="N517" s="66" t="s">
        <v>24</v>
      </c>
      <c r="O517" s="66" t="s">
        <v>54</v>
      </c>
      <c r="P517" s="66" t="s">
        <v>25</v>
      </c>
      <c r="Q517" s="80">
        <v>23646</v>
      </c>
      <c r="R517" s="80">
        <v>19796</v>
      </c>
      <c r="S517" s="80">
        <v>10849</v>
      </c>
      <c r="T517" s="81">
        <v>38</v>
      </c>
      <c r="U517" s="82" t="s">
        <v>64</v>
      </c>
      <c r="V517" s="83" t="s">
        <v>56</v>
      </c>
      <c r="W517" s="80">
        <v>543045</v>
      </c>
      <c r="X517" s="68">
        <f t="shared" si="585"/>
        <v>22.965617863486425</v>
      </c>
      <c r="Y517" s="68">
        <f t="shared" si="586"/>
        <v>27.432056981208326</v>
      </c>
      <c r="Z517" s="68">
        <f t="shared" si="587"/>
        <v>50.05484376440225</v>
      </c>
      <c r="AA517" s="68">
        <f t="shared" si="588"/>
        <v>14290.657894736842</v>
      </c>
      <c r="AB517" s="78" t="s">
        <v>73</v>
      </c>
      <c r="AC517" s="55"/>
      <c r="AD517" s="93">
        <f t="shared" ref="AD517" si="597">W517/AC510</f>
        <v>3.6369293502840649E-3</v>
      </c>
    </row>
    <row r="518" spans="1:30" s="32" customFormat="1" ht="15.95">
      <c r="A518" s="65" t="s">
        <v>167</v>
      </c>
      <c r="B518" s="66" t="s">
        <v>48</v>
      </c>
      <c r="C518" s="66" t="s">
        <v>114</v>
      </c>
      <c r="D518" s="66"/>
      <c r="E518" s="66" t="s">
        <v>20</v>
      </c>
      <c r="F518" s="66" t="s">
        <v>21</v>
      </c>
      <c r="G518" s="66" t="s">
        <v>168</v>
      </c>
      <c r="H518" s="66"/>
      <c r="I518" s="66" t="s">
        <v>169</v>
      </c>
      <c r="J518" s="66"/>
      <c r="K518" s="66" t="s">
        <v>170</v>
      </c>
      <c r="L518" s="67">
        <v>2024</v>
      </c>
      <c r="M518" s="66" t="s">
        <v>171</v>
      </c>
      <c r="N518" s="66" t="s">
        <v>24</v>
      </c>
      <c r="O518" s="66" t="s">
        <v>54</v>
      </c>
      <c r="P518" s="66" t="s">
        <v>25</v>
      </c>
      <c r="Q518" s="80">
        <v>23646</v>
      </c>
      <c r="R518" s="80">
        <v>19796</v>
      </c>
      <c r="S518" s="80">
        <v>10849</v>
      </c>
      <c r="T518" s="81">
        <v>38</v>
      </c>
      <c r="U518" s="82" t="s">
        <v>65</v>
      </c>
      <c r="V518" s="83" t="s">
        <v>56</v>
      </c>
      <c r="W518" s="80">
        <v>14324357</v>
      </c>
      <c r="X518" s="68">
        <f t="shared" si="585"/>
        <v>605.7835151822718</v>
      </c>
      <c r="Y518" s="68">
        <f t="shared" si="586"/>
        <v>723.5985552636896</v>
      </c>
      <c r="Z518" s="68">
        <f t="shared" si="587"/>
        <v>1320.3389252465665</v>
      </c>
      <c r="AA518" s="68">
        <f t="shared" si="588"/>
        <v>376956.76315789472</v>
      </c>
      <c r="AB518" s="78" t="s">
        <v>73</v>
      </c>
      <c r="AC518" s="55"/>
      <c r="AD518" s="93">
        <f t="shared" ref="AD518" si="598">W518/AC510</f>
        <v>9.5934359762537169E-2</v>
      </c>
    </row>
    <row r="519" spans="1:30" s="32" customFormat="1" ht="15.95">
      <c r="A519" s="65" t="s">
        <v>167</v>
      </c>
      <c r="B519" s="66" t="s">
        <v>48</v>
      </c>
      <c r="C519" s="66" t="s">
        <v>114</v>
      </c>
      <c r="D519" s="66"/>
      <c r="E519" s="66" t="s">
        <v>20</v>
      </c>
      <c r="F519" s="66" t="s">
        <v>21</v>
      </c>
      <c r="G519" s="66" t="s">
        <v>168</v>
      </c>
      <c r="H519" s="66"/>
      <c r="I519" s="66" t="s">
        <v>169</v>
      </c>
      <c r="J519" s="66"/>
      <c r="K519" s="66" t="s">
        <v>170</v>
      </c>
      <c r="L519" s="67">
        <v>2024</v>
      </c>
      <c r="M519" s="66" t="s">
        <v>171</v>
      </c>
      <c r="N519" s="66" t="s">
        <v>24</v>
      </c>
      <c r="O519" s="66" t="s">
        <v>54</v>
      </c>
      <c r="P519" s="66" t="s">
        <v>25</v>
      </c>
      <c r="Q519" s="80">
        <v>23646</v>
      </c>
      <c r="R519" s="80">
        <v>19796</v>
      </c>
      <c r="S519" s="80">
        <v>10849</v>
      </c>
      <c r="T519" s="81">
        <v>38</v>
      </c>
      <c r="U519" s="82" t="s">
        <v>66</v>
      </c>
      <c r="V519" s="83" t="s">
        <v>56</v>
      </c>
      <c r="W519" s="80">
        <v>12872949</v>
      </c>
      <c r="X519" s="68">
        <f t="shared" si="585"/>
        <v>544.4028165440244</v>
      </c>
      <c r="Y519" s="68">
        <f t="shared" si="586"/>
        <v>650.28030915336433</v>
      </c>
      <c r="Z519" s="68">
        <f t="shared" si="587"/>
        <v>1186.5562724675085</v>
      </c>
      <c r="AA519" s="68">
        <f t="shared" si="588"/>
        <v>338761.81578947371</v>
      </c>
      <c r="AB519" s="78" t="s">
        <v>73</v>
      </c>
      <c r="AC519" s="55"/>
      <c r="AD519" s="93">
        <f t="shared" ref="AD519" si="599">W519/AC510</f>
        <v>8.6213860808606838E-2</v>
      </c>
    </row>
    <row r="520" spans="1:30" s="32" customFormat="1" ht="15.95">
      <c r="A520" s="65" t="s">
        <v>167</v>
      </c>
      <c r="B520" s="66" t="s">
        <v>48</v>
      </c>
      <c r="C520" s="66" t="s">
        <v>114</v>
      </c>
      <c r="D520" s="66"/>
      <c r="E520" s="66" t="s">
        <v>20</v>
      </c>
      <c r="F520" s="66" t="s">
        <v>21</v>
      </c>
      <c r="G520" s="66" t="s">
        <v>168</v>
      </c>
      <c r="H520" s="66"/>
      <c r="I520" s="66" t="s">
        <v>169</v>
      </c>
      <c r="J520" s="66"/>
      <c r="K520" s="66" t="s">
        <v>170</v>
      </c>
      <c r="L520" s="67">
        <v>2024</v>
      </c>
      <c r="M520" s="66" t="s">
        <v>171</v>
      </c>
      <c r="N520" s="66" t="s">
        <v>24</v>
      </c>
      <c r="O520" s="66" t="s">
        <v>54</v>
      </c>
      <c r="P520" s="66" t="s">
        <v>25</v>
      </c>
      <c r="Q520" s="80">
        <v>23646</v>
      </c>
      <c r="R520" s="80">
        <v>19796</v>
      </c>
      <c r="S520" s="80">
        <v>10849</v>
      </c>
      <c r="T520" s="81">
        <v>38</v>
      </c>
      <c r="U520" s="82" t="s">
        <v>67</v>
      </c>
      <c r="V520" s="83" t="s">
        <v>56</v>
      </c>
      <c r="W520" s="80">
        <v>1943099</v>
      </c>
      <c r="X520" s="68">
        <f t="shared" si="585"/>
        <v>82.174532690518475</v>
      </c>
      <c r="Y520" s="68">
        <f t="shared" si="586"/>
        <v>98.156142655081837</v>
      </c>
      <c r="Z520" s="68">
        <f t="shared" si="587"/>
        <v>179.10397271637939</v>
      </c>
      <c r="AA520" s="68">
        <f t="shared" si="588"/>
        <v>51134.184210526313</v>
      </c>
      <c r="AB520" s="78" t="s">
        <v>73</v>
      </c>
      <c r="AC520" s="55"/>
      <c r="AD520" s="93">
        <f t="shared" ref="AD520" si="600">W520/AC510</f>
        <v>1.3013495720626498E-2</v>
      </c>
    </row>
    <row r="521" spans="1:30" s="32" customFormat="1" ht="15.95">
      <c r="A521" s="65" t="s">
        <v>167</v>
      </c>
      <c r="B521" s="66" t="s">
        <v>48</v>
      </c>
      <c r="C521" s="66" t="s">
        <v>114</v>
      </c>
      <c r="D521" s="66"/>
      <c r="E521" s="66" t="s">
        <v>20</v>
      </c>
      <c r="F521" s="66" t="s">
        <v>21</v>
      </c>
      <c r="G521" s="66" t="s">
        <v>168</v>
      </c>
      <c r="H521" s="66"/>
      <c r="I521" s="66" t="s">
        <v>169</v>
      </c>
      <c r="J521" s="66"/>
      <c r="K521" s="66" t="s">
        <v>170</v>
      </c>
      <c r="L521" s="67">
        <v>2024</v>
      </c>
      <c r="M521" s="66" t="s">
        <v>171</v>
      </c>
      <c r="N521" s="66" t="s">
        <v>24</v>
      </c>
      <c r="O521" s="66" t="s">
        <v>54</v>
      </c>
      <c r="P521" s="66" t="s">
        <v>25</v>
      </c>
      <c r="Q521" s="80">
        <v>23646</v>
      </c>
      <c r="R521" s="80">
        <v>19796</v>
      </c>
      <c r="S521" s="80">
        <v>10849</v>
      </c>
      <c r="T521" s="81">
        <v>38</v>
      </c>
      <c r="U521" s="82" t="s">
        <v>68</v>
      </c>
      <c r="V521" s="83" t="s">
        <v>56</v>
      </c>
      <c r="W521" s="80">
        <f>8664934+110606</f>
        <v>8775540</v>
      </c>
      <c r="X521" s="68">
        <f t="shared" si="585"/>
        <v>371.12154275564575</v>
      </c>
      <c r="Y521" s="68">
        <f t="shared" si="586"/>
        <v>443.29864619114971</v>
      </c>
      <c r="Z521" s="68">
        <f t="shared" si="587"/>
        <v>808.88008111346664</v>
      </c>
      <c r="AA521" s="68">
        <f t="shared" si="588"/>
        <v>230935.26315789475</v>
      </c>
      <c r="AB521" s="78" t="s">
        <v>73</v>
      </c>
      <c r="AC521" s="55"/>
      <c r="AD521" s="93">
        <f t="shared" ref="AD521" si="601">W521/AC510</f>
        <v>5.8772328242764085E-2</v>
      </c>
    </row>
    <row r="522" spans="1:30" s="32" customFormat="1" ht="15.95">
      <c r="A522" s="65" t="s">
        <v>167</v>
      </c>
      <c r="B522" s="66" t="s">
        <v>48</v>
      </c>
      <c r="C522" s="66" t="s">
        <v>114</v>
      </c>
      <c r="D522" s="66"/>
      <c r="E522" s="66" t="s">
        <v>20</v>
      </c>
      <c r="F522" s="66" t="s">
        <v>21</v>
      </c>
      <c r="G522" s="66" t="s">
        <v>168</v>
      </c>
      <c r="H522" s="66"/>
      <c r="I522" s="66" t="s">
        <v>169</v>
      </c>
      <c r="J522" s="66"/>
      <c r="K522" s="66" t="s">
        <v>170</v>
      </c>
      <c r="L522" s="67">
        <v>2024</v>
      </c>
      <c r="M522" s="66" t="s">
        <v>171</v>
      </c>
      <c r="N522" s="66" t="s">
        <v>24</v>
      </c>
      <c r="O522" s="66" t="s">
        <v>54</v>
      </c>
      <c r="P522" s="66" t="s">
        <v>25</v>
      </c>
      <c r="Q522" s="80">
        <v>23646</v>
      </c>
      <c r="R522" s="80">
        <v>19796</v>
      </c>
      <c r="S522" s="80">
        <v>10849</v>
      </c>
      <c r="T522" s="81">
        <v>38</v>
      </c>
      <c r="U522" s="82" t="s">
        <v>69</v>
      </c>
      <c r="V522" s="83" t="s">
        <v>56</v>
      </c>
      <c r="W522" s="80">
        <v>16296375</v>
      </c>
      <c r="X522" s="68">
        <f t="shared" si="585"/>
        <v>689.18104541994421</v>
      </c>
      <c r="Y522" s="68">
        <f t="shared" si="586"/>
        <v>823.21554859567584</v>
      </c>
      <c r="Z522" s="68">
        <f t="shared" si="587"/>
        <v>1502.1084892616832</v>
      </c>
      <c r="AA522" s="68">
        <f t="shared" si="588"/>
        <v>428851.9736842105</v>
      </c>
      <c r="AB522" s="78" t="s">
        <v>73</v>
      </c>
      <c r="AC522" s="55"/>
      <c r="AD522" s="93">
        <f t="shared" ref="AD522" si="602">W522/AC510</f>
        <v>0.10914153438616593</v>
      </c>
    </row>
    <row r="523" spans="1:30" s="55" customFormat="1" ht="15" customHeight="1">
      <c r="A523" s="57" t="s">
        <v>167</v>
      </c>
      <c r="B523" s="58" t="s">
        <v>48</v>
      </c>
      <c r="C523" s="58" t="s">
        <v>114</v>
      </c>
      <c r="D523" s="58"/>
      <c r="E523" s="58" t="s">
        <v>20</v>
      </c>
      <c r="F523" s="58" t="s">
        <v>159</v>
      </c>
      <c r="G523" s="58" t="s">
        <v>172</v>
      </c>
      <c r="H523" s="58"/>
      <c r="I523" s="58" t="s">
        <v>173</v>
      </c>
      <c r="J523" s="58"/>
      <c r="K523" s="58" t="s">
        <v>174</v>
      </c>
      <c r="L523" s="59">
        <v>2024</v>
      </c>
      <c r="M523" s="58" t="s">
        <v>175</v>
      </c>
      <c r="N523" s="58" t="s">
        <v>24</v>
      </c>
      <c r="O523" s="58" t="s">
        <v>54</v>
      </c>
      <c r="P523" s="58" t="s">
        <v>25</v>
      </c>
      <c r="Q523" s="60">
        <v>190388</v>
      </c>
      <c r="R523" s="60">
        <v>177346</v>
      </c>
      <c r="S523" s="61">
        <v>112679</v>
      </c>
      <c r="T523" s="61">
        <v>668</v>
      </c>
      <c r="U523" s="62" t="s">
        <v>55</v>
      </c>
      <c r="V523" s="63" t="s">
        <v>56</v>
      </c>
      <c r="W523" s="60">
        <v>77484866</v>
      </c>
      <c r="X523" s="60">
        <f t="shared" si="585"/>
        <v>406.98398008277832</v>
      </c>
      <c r="Y523" s="60">
        <f t="shared" si="586"/>
        <v>436.91352497378006</v>
      </c>
      <c r="Z523" s="60">
        <f t="shared" si="587"/>
        <v>687.66022062673608</v>
      </c>
      <c r="AA523" s="60">
        <f t="shared" si="588"/>
        <v>115995.30838323354</v>
      </c>
      <c r="AB523" s="77" t="s">
        <v>73</v>
      </c>
      <c r="AC523" s="92">
        <f t="shared" ref="AC523" si="603">SUM(W523:W535)</f>
        <v>1130144897</v>
      </c>
      <c r="AD523" s="93">
        <f t="shared" ref="AD523" si="604">W523/AC523</f>
        <v>6.8561886361373364E-2</v>
      </c>
    </row>
    <row r="524" spans="1:30" s="55" customFormat="1" ht="15.95">
      <c r="A524" s="57" t="s">
        <v>167</v>
      </c>
      <c r="B524" s="58" t="s">
        <v>48</v>
      </c>
      <c r="C524" s="58" t="s">
        <v>114</v>
      </c>
      <c r="D524" s="58"/>
      <c r="E524" s="58" t="s">
        <v>20</v>
      </c>
      <c r="F524" s="58" t="s">
        <v>159</v>
      </c>
      <c r="G524" s="58" t="s">
        <v>172</v>
      </c>
      <c r="H524" s="58"/>
      <c r="I524" s="58" t="s">
        <v>173</v>
      </c>
      <c r="J524" s="58"/>
      <c r="K524" s="58" t="s">
        <v>174</v>
      </c>
      <c r="L524" s="59">
        <v>2024</v>
      </c>
      <c r="M524" s="58" t="s">
        <v>175</v>
      </c>
      <c r="N524" s="58" t="s">
        <v>24</v>
      </c>
      <c r="O524" s="58" t="s">
        <v>54</v>
      </c>
      <c r="P524" s="58" t="s">
        <v>25</v>
      </c>
      <c r="Q524" s="60">
        <v>190388</v>
      </c>
      <c r="R524" s="60">
        <v>177346</v>
      </c>
      <c r="S524" s="61">
        <v>112679</v>
      </c>
      <c r="T524" s="61">
        <v>668</v>
      </c>
      <c r="U524" s="62" t="s">
        <v>58</v>
      </c>
      <c r="V524" s="63" t="s">
        <v>56</v>
      </c>
      <c r="W524" s="60">
        <v>159733721</v>
      </c>
      <c r="X524" s="60">
        <f t="shared" si="585"/>
        <v>838.99048784587262</v>
      </c>
      <c r="Y524" s="60">
        <f t="shared" si="586"/>
        <v>900.6897308087016</v>
      </c>
      <c r="Z524" s="60">
        <f t="shared" si="587"/>
        <v>1417.5997390818166</v>
      </c>
      <c r="AA524" s="60">
        <f t="shared" si="588"/>
        <v>239122.33682634731</v>
      </c>
      <c r="AB524" s="77" t="s">
        <v>73</v>
      </c>
      <c r="AD524" s="93">
        <f t="shared" ref="AD524" si="605">W524/AC523</f>
        <v>0.1413391516645498</v>
      </c>
    </row>
    <row r="525" spans="1:30" s="55" customFormat="1" ht="15.95">
      <c r="A525" s="57" t="s">
        <v>167</v>
      </c>
      <c r="B525" s="58" t="s">
        <v>48</v>
      </c>
      <c r="C525" s="58" t="s">
        <v>114</v>
      </c>
      <c r="D525" s="58"/>
      <c r="E525" s="58" t="s">
        <v>20</v>
      </c>
      <c r="F525" s="58" t="s">
        <v>159</v>
      </c>
      <c r="G525" s="58" t="s">
        <v>172</v>
      </c>
      <c r="H525" s="58"/>
      <c r="I525" s="58" t="s">
        <v>173</v>
      </c>
      <c r="J525" s="58"/>
      <c r="K525" s="58" t="s">
        <v>174</v>
      </c>
      <c r="L525" s="59">
        <v>2024</v>
      </c>
      <c r="M525" s="58" t="s">
        <v>175</v>
      </c>
      <c r="N525" s="58" t="s">
        <v>24</v>
      </c>
      <c r="O525" s="58" t="s">
        <v>54</v>
      </c>
      <c r="P525" s="58" t="s">
        <v>25</v>
      </c>
      <c r="Q525" s="60">
        <v>190388</v>
      </c>
      <c r="R525" s="60">
        <v>177346</v>
      </c>
      <c r="S525" s="61">
        <v>112679</v>
      </c>
      <c r="T525" s="61">
        <v>668</v>
      </c>
      <c r="U525" s="62" t="s">
        <v>59</v>
      </c>
      <c r="V525" s="63" t="s">
        <v>56</v>
      </c>
      <c r="W525" s="60">
        <v>136131238.65437499</v>
      </c>
      <c r="X525" s="60">
        <f t="shared" si="585"/>
        <v>715.02005722196247</v>
      </c>
      <c r="Y525" s="60">
        <f t="shared" si="586"/>
        <v>767.60253208065024</v>
      </c>
      <c r="Z525" s="60">
        <f t="shared" si="587"/>
        <v>1208.1331805782354</v>
      </c>
      <c r="AA525" s="60">
        <f t="shared" si="588"/>
        <v>203789.27942271705</v>
      </c>
      <c r="AB525" s="77" t="s">
        <v>73</v>
      </c>
      <c r="AD525" s="93">
        <f t="shared" ref="AD525" si="606">W525/AC523</f>
        <v>0.12045467710887252</v>
      </c>
    </row>
    <row r="526" spans="1:30" s="55" customFormat="1" ht="15.95">
      <c r="A526" s="57" t="s">
        <v>167</v>
      </c>
      <c r="B526" s="58" t="s">
        <v>48</v>
      </c>
      <c r="C526" s="58" t="s">
        <v>114</v>
      </c>
      <c r="D526" s="58"/>
      <c r="E526" s="58" t="s">
        <v>20</v>
      </c>
      <c r="F526" s="58" t="s">
        <v>159</v>
      </c>
      <c r="G526" s="58" t="s">
        <v>172</v>
      </c>
      <c r="H526" s="58"/>
      <c r="I526" s="58" t="s">
        <v>173</v>
      </c>
      <c r="J526" s="58"/>
      <c r="K526" s="58" t="s">
        <v>174</v>
      </c>
      <c r="L526" s="59">
        <v>2024</v>
      </c>
      <c r="M526" s="58" t="s">
        <v>175</v>
      </c>
      <c r="N526" s="58" t="s">
        <v>24</v>
      </c>
      <c r="O526" s="58" t="s">
        <v>54</v>
      </c>
      <c r="P526" s="58" t="s">
        <v>25</v>
      </c>
      <c r="Q526" s="60">
        <v>190388</v>
      </c>
      <c r="R526" s="60">
        <v>177346</v>
      </c>
      <c r="S526" s="61">
        <v>112679</v>
      </c>
      <c r="T526" s="61">
        <v>668</v>
      </c>
      <c r="U526" s="62" t="s">
        <v>60</v>
      </c>
      <c r="V526" s="63" t="s">
        <v>56</v>
      </c>
      <c r="W526" s="60">
        <v>43023987.465000004</v>
      </c>
      <c r="X526" s="60">
        <f t="shared" si="585"/>
        <v>225.98056319200791</v>
      </c>
      <c r="Y526" s="60">
        <f t="shared" si="586"/>
        <v>242.59914215713917</v>
      </c>
      <c r="Z526" s="60">
        <f t="shared" si="587"/>
        <v>381.82791349763488</v>
      </c>
      <c r="AA526" s="60">
        <f t="shared" si="588"/>
        <v>64407.166863772458</v>
      </c>
      <c r="AB526" s="77" t="s">
        <v>73</v>
      </c>
      <c r="AD526" s="93">
        <f t="shared" ref="AD526" si="607">W526/AC523</f>
        <v>3.8069443643207461E-2</v>
      </c>
    </row>
    <row r="527" spans="1:30" s="55" customFormat="1" ht="15.95">
      <c r="A527" s="57" t="s">
        <v>167</v>
      </c>
      <c r="B527" s="58" t="s">
        <v>48</v>
      </c>
      <c r="C527" s="58" t="s">
        <v>114</v>
      </c>
      <c r="D527" s="58"/>
      <c r="E527" s="58" t="s">
        <v>20</v>
      </c>
      <c r="F527" s="58" t="s">
        <v>159</v>
      </c>
      <c r="G527" s="58" t="s">
        <v>172</v>
      </c>
      <c r="H527" s="58"/>
      <c r="I527" s="58" t="s">
        <v>173</v>
      </c>
      <c r="J527" s="58"/>
      <c r="K527" s="58" t="s">
        <v>174</v>
      </c>
      <c r="L527" s="59">
        <v>2024</v>
      </c>
      <c r="M527" s="58" t="s">
        <v>175</v>
      </c>
      <c r="N527" s="58" t="s">
        <v>24</v>
      </c>
      <c r="O527" s="58" t="s">
        <v>54</v>
      </c>
      <c r="P527" s="58" t="s">
        <v>25</v>
      </c>
      <c r="Q527" s="60">
        <v>190388</v>
      </c>
      <c r="R527" s="60">
        <v>177346</v>
      </c>
      <c r="S527" s="61">
        <v>112679</v>
      </c>
      <c r="T527" s="61">
        <v>668</v>
      </c>
      <c r="U527" s="62" t="s">
        <v>61</v>
      </c>
      <c r="V527" s="63" t="s">
        <v>56</v>
      </c>
      <c r="W527" s="60">
        <v>126786550</v>
      </c>
      <c r="X527" s="60">
        <f t="shared" si="585"/>
        <v>665.93771666281486</v>
      </c>
      <c r="Y527" s="60">
        <f t="shared" si="586"/>
        <v>714.91068307150988</v>
      </c>
      <c r="Z527" s="60">
        <f t="shared" si="587"/>
        <v>1125.201235367726</v>
      </c>
      <c r="AA527" s="60">
        <f t="shared" si="588"/>
        <v>189800.22455089822</v>
      </c>
      <c r="AB527" s="77" t="s">
        <v>73</v>
      </c>
      <c r="AD527" s="93">
        <f t="shared" ref="AD527" si="608">W527/AC523</f>
        <v>0.11218610138979374</v>
      </c>
    </row>
    <row r="528" spans="1:30" s="55" customFormat="1" ht="15.95">
      <c r="A528" s="57" t="s">
        <v>167</v>
      </c>
      <c r="B528" s="58" t="s">
        <v>48</v>
      </c>
      <c r="C528" s="58" t="s">
        <v>114</v>
      </c>
      <c r="D528" s="58"/>
      <c r="E528" s="58" t="s">
        <v>20</v>
      </c>
      <c r="F528" s="58" t="s">
        <v>159</v>
      </c>
      <c r="G528" s="58" t="s">
        <v>172</v>
      </c>
      <c r="H528" s="58"/>
      <c r="I528" s="58" t="s">
        <v>173</v>
      </c>
      <c r="J528" s="58"/>
      <c r="K528" s="58" t="s">
        <v>174</v>
      </c>
      <c r="L528" s="59">
        <v>2024</v>
      </c>
      <c r="M528" s="58" t="s">
        <v>175</v>
      </c>
      <c r="N528" s="58" t="s">
        <v>24</v>
      </c>
      <c r="O528" s="58" t="s">
        <v>54</v>
      </c>
      <c r="P528" s="58" t="s">
        <v>25</v>
      </c>
      <c r="Q528" s="60">
        <v>190388</v>
      </c>
      <c r="R528" s="60">
        <v>177346</v>
      </c>
      <c r="S528" s="61">
        <v>112679</v>
      </c>
      <c r="T528" s="61">
        <v>668</v>
      </c>
      <c r="U528" s="62" t="s">
        <v>62</v>
      </c>
      <c r="V528" s="63" t="s">
        <v>56</v>
      </c>
      <c r="W528" s="60">
        <v>61382707.285750009</v>
      </c>
      <c r="X528" s="60">
        <f t="shared" si="585"/>
        <v>322.40848838030763</v>
      </c>
      <c r="Y528" s="60">
        <f t="shared" si="586"/>
        <v>346.11836345759144</v>
      </c>
      <c r="Z528" s="60">
        <f t="shared" si="587"/>
        <v>544.75729537668963</v>
      </c>
      <c r="AA528" s="60">
        <f t="shared" si="588"/>
        <v>91890.280367889238</v>
      </c>
      <c r="AB528" s="77" t="s">
        <v>73</v>
      </c>
      <c r="AD528" s="93">
        <f t="shared" ref="AD528" si="609">W528/AC523</f>
        <v>5.4314015352095166E-2</v>
      </c>
    </row>
    <row r="529" spans="1:30" s="55" customFormat="1" ht="15.95">
      <c r="A529" s="57" t="s">
        <v>167</v>
      </c>
      <c r="B529" s="58" t="s">
        <v>48</v>
      </c>
      <c r="C529" s="58" t="s">
        <v>114</v>
      </c>
      <c r="D529" s="58"/>
      <c r="E529" s="58" t="s">
        <v>20</v>
      </c>
      <c r="F529" s="58" t="s">
        <v>159</v>
      </c>
      <c r="G529" s="58" t="s">
        <v>172</v>
      </c>
      <c r="H529" s="58"/>
      <c r="I529" s="58" t="s">
        <v>173</v>
      </c>
      <c r="J529" s="58"/>
      <c r="K529" s="58" t="s">
        <v>174</v>
      </c>
      <c r="L529" s="59">
        <v>2024</v>
      </c>
      <c r="M529" s="58" t="s">
        <v>175</v>
      </c>
      <c r="N529" s="58" t="s">
        <v>24</v>
      </c>
      <c r="O529" s="58" t="s">
        <v>54</v>
      </c>
      <c r="P529" s="58" t="s">
        <v>25</v>
      </c>
      <c r="Q529" s="60">
        <v>190388</v>
      </c>
      <c r="R529" s="60">
        <v>177346</v>
      </c>
      <c r="S529" s="61">
        <v>112679</v>
      </c>
      <c r="T529" s="61">
        <v>668</v>
      </c>
      <c r="U529" s="62" t="s">
        <v>63</v>
      </c>
      <c r="V529" s="63" t="s">
        <v>56</v>
      </c>
      <c r="W529" s="60">
        <v>38808124</v>
      </c>
      <c r="X529" s="60">
        <f t="shared" si="585"/>
        <v>203.83702754375275</v>
      </c>
      <c r="Y529" s="60">
        <f t="shared" si="586"/>
        <v>218.8271739988497</v>
      </c>
      <c r="Z529" s="60">
        <f t="shared" si="587"/>
        <v>344.41310270769173</v>
      </c>
      <c r="AA529" s="60">
        <f t="shared" si="588"/>
        <v>58095.99401197605</v>
      </c>
      <c r="AB529" s="77" t="s">
        <v>73</v>
      </c>
      <c r="AD529" s="93">
        <f t="shared" ref="AD529" si="610">W529/AC523</f>
        <v>3.4339069355635021E-2</v>
      </c>
    </row>
    <row r="530" spans="1:30" s="55" customFormat="1" ht="15.95">
      <c r="A530" s="57" t="s">
        <v>167</v>
      </c>
      <c r="B530" s="58" t="s">
        <v>48</v>
      </c>
      <c r="C530" s="58" t="s">
        <v>114</v>
      </c>
      <c r="D530" s="58"/>
      <c r="E530" s="58" t="s">
        <v>20</v>
      </c>
      <c r="F530" s="58" t="s">
        <v>159</v>
      </c>
      <c r="G530" s="58" t="s">
        <v>172</v>
      </c>
      <c r="H530" s="58"/>
      <c r="I530" s="58" t="s">
        <v>173</v>
      </c>
      <c r="J530" s="58"/>
      <c r="K530" s="58" t="s">
        <v>174</v>
      </c>
      <c r="L530" s="59">
        <v>2024</v>
      </c>
      <c r="M530" s="58" t="s">
        <v>175</v>
      </c>
      <c r="N530" s="58" t="s">
        <v>24</v>
      </c>
      <c r="O530" s="58" t="s">
        <v>54</v>
      </c>
      <c r="P530" s="58" t="s">
        <v>25</v>
      </c>
      <c r="Q530" s="60">
        <v>190388</v>
      </c>
      <c r="R530" s="60">
        <v>177346</v>
      </c>
      <c r="S530" s="61">
        <v>112679</v>
      </c>
      <c r="T530" s="61">
        <v>668</v>
      </c>
      <c r="U530" s="62" t="s">
        <v>64</v>
      </c>
      <c r="V530" s="63" t="s">
        <v>56</v>
      </c>
      <c r="W530" s="60">
        <v>1067000</v>
      </c>
      <c r="X530" s="60">
        <f t="shared" si="585"/>
        <v>5.6043448116477927</v>
      </c>
      <c r="Y530" s="60">
        <f t="shared" si="586"/>
        <v>6.0164875441227883</v>
      </c>
      <c r="Z530" s="60">
        <f t="shared" si="587"/>
        <v>9.4693776125098736</v>
      </c>
      <c r="AA530" s="60">
        <f t="shared" si="588"/>
        <v>1597.3053892215569</v>
      </c>
      <c r="AB530" s="77" t="s">
        <v>73</v>
      </c>
      <c r="AD530" s="93">
        <f t="shared" ref="AD530" si="611">W530/AC523</f>
        <v>9.4412672466369591E-4</v>
      </c>
    </row>
    <row r="531" spans="1:30" s="55" customFormat="1" ht="15.95">
      <c r="A531" s="57" t="s">
        <v>167</v>
      </c>
      <c r="B531" s="58" t="s">
        <v>48</v>
      </c>
      <c r="C531" s="58" t="s">
        <v>114</v>
      </c>
      <c r="D531" s="58"/>
      <c r="E531" s="58" t="s">
        <v>20</v>
      </c>
      <c r="F531" s="58" t="s">
        <v>159</v>
      </c>
      <c r="G531" s="58" t="s">
        <v>172</v>
      </c>
      <c r="H531" s="58"/>
      <c r="I531" s="58" t="s">
        <v>173</v>
      </c>
      <c r="J531" s="58"/>
      <c r="K531" s="58" t="s">
        <v>174</v>
      </c>
      <c r="L531" s="59">
        <v>2024</v>
      </c>
      <c r="M531" s="58" t="s">
        <v>175</v>
      </c>
      <c r="N531" s="58" t="s">
        <v>24</v>
      </c>
      <c r="O531" s="58" t="s">
        <v>54</v>
      </c>
      <c r="P531" s="58" t="s">
        <v>25</v>
      </c>
      <c r="Q531" s="60">
        <v>190388</v>
      </c>
      <c r="R531" s="60">
        <v>177346</v>
      </c>
      <c r="S531" s="61">
        <v>112679</v>
      </c>
      <c r="T531" s="61">
        <v>668</v>
      </c>
      <c r="U531" s="62" t="s">
        <v>65</v>
      </c>
      <c r="V531" s="63" t="s">
        <v>56</v>
      </c>
      <c r="W531" s="60">
        <v>147975073.74000001</v>
      </c>
      <c r="X531" s="60">
        <f t="shared" si="585"/>
        <v>777.22899415929578</v>
      </c>
      <c r="Y531" s="60">
        <f t="shared" si="586"/>
        <v>834.38630552704888</v>
      </c>
      <c r="Z531" s="60">
        <f t="shared" si="587"/>
        <v>1313.2444709306969</v>
      </c>
      <c r="AA531" s="60">
        <f t="shared" si="588"/>
        <v>221519.57146706589</v>
      </c>
      <c r="AB531" s="77" t="s">
        <v>73</v>
      </c>
      <c r="AD531" s="93">
        <f t="shared" ref="AD531" si="612">W531/AC523</f>
        <v>0.13093460328211348</v>
      </c>
    </row>
    <row r="532" spans="1:30" s="55" customFormat="1" ht="15.95">
      <c r="A532" s="57" t="s">
        <v>167</v>
      </c>
      <c r="B532" s="58" t="s">
        <v>48</v>
      </c>
      <c r="C532" s="58" t="s">
        <v>114</v>
      </c>
      <c r="D532" s="58"/>
      <c r="E532" s="58" t="s">
        <v>20</v>
      </c>
      <c r="F532" s="58" t="s">
        <v>159</v>
      </c>
      <c r="G532" s="58" t="s">
        <v>172</v>
      </c>
      <c r="H532" s="58"/>
      <c r="I532" s="58" t="s">
        <v>173</v>
      </c>
      <c r="J532" s="58"/>
      <c r="K532" s="58" t="s">
        <v>174</v>
      </c>
      <c r="L532" s="59">
        <v>2024</v>
      </c>
      <c r="M532" s="58" t="s">
        <v>175</v>
      </c>
      <c r="N532" s="58" t="s">
        <v>24</v>
      </c>
      <c r="O532" s="58" t="s">
        <v>54</v>
      </c>
      <c r="P532" s="58" t="s">
        <v>25</v>
      </c>
      <c r="Q532" s="60">
        <v>190388</v>
      </c>
      <c r="R532" s="60">
        <v>177346</v>
      </c>
      <c r="S532" s="61">
        <v>112679</v>
      </c>
      <c r="T532" s="61">
        <v>668</v>
      </c>
      <c r="U532" s="62" t="s">
        <v>66</v>
      </c>
      <c r="V532" s="63" t="s">
        <v>56</v>
      </c>
      <c r="W532" s="60">
        <v>182667416.13749999</v>
      </c>
      <c r="X532" s="60">
        <f t="shared" si="585"/>
        <v>959.44815921959366</v>
      </c>
      <c r="Y532" s="60">
        <f t="shared" si="586"/>
        <v>1030.0058424633203</v>
      </c>
      <c r="Z532" s="60">
        <f t="shared" si="587"/>
        <v>1621.1309661738212</v>
      </c>
      <c r="AA532" s="60">
        <f t="shared" si="588"/>
        <v>273454.21577470057</v>
      </c>
      <c r="AB532" s="77" t="s">
        <v>73</v>
      </c>
      <c r="AD532" s="93">
        <f t="shared" ref="AD532" si="613">W532/AC523</f>
        <v>0.16163185501469374</v>
      </c>
    </row>
    <row r="533" spans="1:30" s="55" customFormat="1" ht="15.95">
      <c r="A533" s="57" t="s">
        <v>167</v>
      </c>
      <c r="B533" s="58" t="s">
        <v>48</v>
      </c>
      <c r="C533" s="58" t="s">
        <v>114</v>
      </c>
      <c r="D533" s="58"/>
      <c r="E533" s="58" t="s">
        <v>20</v>
      </c>
      <c r="F533" s="58" t="s">
        <v>159</v>
      </c>
      <c r="G533" s="58" t="s">
        <v>172</v>
      </c>
      <c r="H533" s="58"/>
      <c r="I533" s="58" t="s">
        <v>173</v>
      </c>
      <c r="J533" s="58"/>
      <c r="K533" s="58" t="s">
        <v>174</v>
      </c>
      <c r="L533" s="59">
        <v>2024</v>
      </c>
      <c r="M533" s="58" t="s">
        <v>175</v>
      </c>
      <c r="N533" s="58" t="s">
        <v>24</v>
      </c>
      <c r="O533" s="58" t="s">
        <v>54</v>
      </c>
      <c r="P533" s="58" t="s">
        <v>25</v>
      </c>
      <c r="Q533" s="60">
        <v>190388</v>
      </c>
      <c r="R533" s="60">
        <v>177346</v>
      </c>
      <c r="S533" s="61">
        <v>112679</v>
      </c>
      <c r="T533" s="61">
        <v>668</v>
      </c>
      <c r="U533" s="62" t="s">
        <v>67</v>
      </c>
      <c r="V533" s="63" t="s">
        <v>56</v>
      </c>
      <c r="W533" s="60">
        <v>6389192</v>
      </c>
      <c r="X533" s="60">
        <f t="shared" si="585"/>
        <v>33.558795722419482</v>
      </c>
      <c r="Y533" s="60">
        <f t="shared" si="586"/>
        <v>36.026704859427333</v>
      </c>
      <c r="Z533" s="60">
        <f t="shared" si="587"/>
        <v>56.702597644636533</v>
      </c>
      <c r="AA533" s="60">
        <f t="shared" si="588"/>
        <v>9564.6586826347302</v>
      </c>
      <c r="AB533" s="77" t="s">
        <v>73</v>
      </c>
      <c r="AD533" s="93">
        <f t="shared" ref="AD533" si="614">W533/AC523</f>
        <v>5.6534272879170469E-3</v>
      </c>
    </row>
    <row r="534" spans="1:30" s="55" customFormat="1" ht="15.95">
      <c r="A534" s="57" t="s">
        <v>167</v>
      </c>
      <c r="B534" s="58" t="s">
        <v>48</v>
      </c>
      <c r="C534" s="58" t="s">
        <v>114</v>
      </c>
      <c r="D534" s="58"/>
      <c r="E534" s="58" t="s">
        <v>20</v>
      </c>
      <c r="F534" s="58" t="s">
        <v>159</v>
      </c>
      <c r="G534" s="58" t="s">
        <v>172</v>
      </c>
      <c r="H534" s="58"/>
      <c r="I534" s="58" t="s">
        <v>173</v>
      </c>
      <c r="J534" s="58"/>
      <c r="K534" s="58" t="s">
        <v>174</v>
      </c>
      <c r="L534" s="59">
        <v>2024</v>
      </c>
      <c r="M534" s="58" t="s">
        <v>175</v>
      </c>
      <c r="N534" s="58" t="s">
        <v>24</v>
      </c>
      <c r="O534" s="58" t="s">
        <v>54</v>
      </c>
      <c r="P534" s="58" t="s">
        <v>25</v>
      </c>
      <c r="Q534" s="60">
        <v>190388</v>
      </c>
      <c r="R534" s="60">
        <v>177346</v>
      </c>
      <c r="S534" s="61">
        <v>112679</v>
      </c>
      <c r="T534" s="61">
        <v>668</v>
      </c>
      <c r="U534" s="62" t="s">
        <v>68</v>
      </c>
      <c r="V534" s="63" t="s">
        <v>56</v>
      </c>
      <c r="W534" s="60">
        <v>32986364</v>
      </c>
      <c r="X534" s="60">
        <f t="shared" si="585"/>
        <v>173.25862974557219</v>
      </c>
      <c r="Y534" s="60">
        <f t="shared" si="586"/>
        <v>186.00004510955984</v>
      </c>
      <c r="Z534" s="60">
        <f t="shared" si="587"/>
        <v>292.74633250206341</v>
      </c>
      <c r="AA534" s="60">
        <f t="shared" si="588"/>
        <v>49380.784431137727</v>
      </c>
      <c r="AB534" s="77" t="s">
        <v>73</v>
      </c>
      <c r="AD534" s="93">
        <f t="shared" ref="AD534" si="615">W534/AC523</f>
        <v>2.918772989867334E-2</v>
      </c>
    </row>
    <row r="535" spans="1:30" s="55" customFormat="1" ht="15.95">
      <c r="A535" s="57" t="s">
        <v>167</v>
      </c>
      <c r="B535" s="58" t="s">
        <v>48</v>
      </c>
      <c r="C535" s="58" t="s">
        <v>114</v>
      </c>
      <c r="D535" s="58"/>
      <c r="E535" s="58" t="s">
        <v>20</v>
      </c>
      <c r="F535" s="58" t="s">
        <v>159</v>
      </c>
      <c r="G535" s="58" t="s">
        <v>172</v>
      </c>
      <c r="H535" s="58"/>
      <c r="I535" s="58" t="s">
        <v>173</v>
      </c>
      <c r="J535" s="58"/>
      <c r="K535" s="58" t="s">
        <v>174</v>
      </c>
      <c r="L535" s="59">
        <v>2024</v>
      </c>
      <c r="M535" s="58" t="s">
        <v>175</v>
      </c>
      <c r="N535" s="58" t="s">
        <v>24</v>
      </c>
      <c r="O535" s="58" t="s">
        <v>54</v>
      </c>
      <c r="P535" s="58" t="s">
        <v>25</v>
      </c>
      <c r="Q535" s="60">
        <v>190388</v>
      </c>
      <c r="R535" s="60">
        <v>177346</v>
      </c>
      <c r="S535" s="61">
        <v>112679</v>
      </c>
      <c r="T535" s="61">
        <v>668</v>
      </c>
      <c r="U535" s="62" t="s">
        <v>69</v>
      </c>
      <c r="V535" s="63" t="s">
        <v>56</v>
      </c>
      <c r="W535" s="60">
        <v>115708656.71737504</v>
      </c>
      <c r="X535" s="60">
        <f t="shared" si="585"/>
        <v>607.75183686668822</v>
      </c>
      <c r="Y535" s="60">
        <f t="shared" si="586"/>
        <v>652.44582182499209</v>
      </c>
      <c r="Z535" s="60">
        <f t="shared" si="587"/>
        <v>1026.8875009307417</v>
      </c>
      <c r="AA535" s="60">
        <f t="shared" si="588"/>
        <v>173216.55197211832</v>
      </c>
      <c r="AB535" s="77" t="s">
        <v>73</v>
      </c>
      <c r="AD535" s="93">
        <f t="shared" ref="AD535" si="616">W535/AC523</f>
        <v>0.10238391291641168</v>
      </c>
    </row>
    <row r="536" spans="1:30" s="32" customFormat="1" ht="15" customHeight="1">
      <c r="A536" s="65" t="s">
        <v>167</v>
      </c>
      <c r="B536" s="66" t="s">
        <v>48</v>
      </c>
      <c r="C536" s="66" t="s">
        <v>114</v>
      </c>
      <c r="D536" s="66"/>
      <c r="E536" s="66" t="s">
        <v>20</v>
      </c>
      <c r="F536" s="66" t="s">
        <v>21</v>
      </c>
      <c r="G536" s="66" t="s">
        <v>176</v>
      </c>
      <c r="H536" s="66"/>
      <c r="I536" s="66" t="s">
        <v>177</v>
      </c>
      <c r="J536" s="66"/>
      <c r="K536" s="66" t="s">
        <v>178</v>
      </c>
      <c r="L536" s="67">
        <v>2024</v>
      </c>
      <c r="M536" s="66" t="s">
        <v>179</v>
      </c>
      <c r="N536" s="66" t="s">
        <v>24</v>
      </c>
      <c r="O536" s="66" t="s">
        <v>54</v>
      </c>
      <c r="P536" s="66" t="s">
        <v>25</v>
      </c>
      <c r="Q536" s="80">
        <v>43888</v>
      </c>
      <c r="R536" s="80">
        <v>34725</v>
      </c>
      <c r="S536" s="80">
        <v>25999</v>
      </c>
      <c r="T536" s="81">
        <v>88</v>
      </c>
      <c r="U536" s="82" t="s">
        <v>55</v>
      </c>
      <c r="V536" s="83" t="s">
        <v>56</v>
      </c>
      <c r="W536" s="80">
        <f>15800000+20338133</f>
        <v>36138133</v>
      </c>
      <c r="X536" s="68">
        <f t="shared" ref="X536:X548" si="617">W536/Q536</f>
        <v>823.41717553773242</v>
      </c>
      <c r="Y536" s="68">
        <f t="shared" ref="Y536:Y548" si="618">W536/R536</f>
        <v>1040.6949748020158</v>
      </c>
      <c r="Z536" s="68">
        <f t="shared" ref="Z536:Z548" si="619">W536/S536</f>
        <v>1389.9816531405054</v>
      </c>
      <c r="AA536" s="68">
        <f t="shared" ref="AA536:AA548" si="620">W536/T536</f>
        <v>410660.60227272729</v>
      </c>
      <c r="AB536" s="78" t="s">
        <v>73</v>
      </c>
      <c r="AC536" s="92">
        <f t="shared" ref="AC536" si="621">SUM(W536:W548)</f>
        <v>398467000.47000003</v>
      </c>
      <c r="AD536" s="93">
        <f t="shared" ref="AD536" si="622">W536/AC536</f>
        <v>9.0692912982441032E-2</v>
      </c>
    </row>
    <row r="537" spans="1:30" s="32" customFormat="1" ht="15.95">
      <c r="A537" s="65" t="s">
        <v>167</v>
      </c>
      <c r="B537" s="66" t="s">
        <v>48</v>
      </c>
      <c r="C537" s="66" t="s">
        <v>114</v>
      </c>
      <c r="D537" s="66"/>
      <c r="E537" s="66" t="s">
        <v>20</v>
      </c>
      <c r="F537" s="66" t="s">
        <v>21</v>
      </c>
      <c r="G537" s="66" t="s">
        <v>176</v>
      </c>
      <c r="H537" s="66"/>
      <c r="I537" s="66" t="s">
        <v>177</v>
      </c>
      <c r="J537" s="66"/>
      <c r="K537" s="66" t="s">
        <v>178</v>
      </c>
      <c r="L537" s="67">
        <v>2024</v>
      </c>
      <c r="M537" s="66" t="s">
        <v>179</v>
      </c>
      <c r="N537" s="66" t="s">
        <v>24</v>
      </c>
      <c r="O537" s="66" t="s">
        <v>54</v>
      </c>
      <c r="P537" s="66" t="s">
        <v>25</v>
      </c>
      <c r="Q537" s="80">
        <v>43888</v>
      </c>
      <c r="R537" s="80">
        <v>34725</v>
      </c>
      <c r="S537" s="80">
        <v>25999</v>
      </c>
      <c r="T537" s="81">
        <v>88</v>
      </c>
      <c r="U537" s="82" t="s">
        <v>58</v>
      </c>
      <c r="V537" s="83" t="s">
        <v>56</v>
      </c>
      <c r="W537" s="80">
        <v>38386645</v>
      </c>
      <c r="X537" s="68">
        <f t="shared" si="617"/>
        <v>874.65013215457532</v>
      </c>
      <c r="Y537" s="68">
        <f t="shared" si="618"/>
        <v>1105.4469402447803</v>
      </c>
      <c r="Z537" s="68">
        <f t="shared" si="619"/>
        <v>1476.4662102388554</v>
      </c>
      <c r="AA537" s="68">
        <f t="shared" si="620"/>
        <v>436211.875</v>
      </c>
      <c r="AB537" s="78" t="s">
        <v>73</v>
      </c>
      <c r="AC537" s="55"/>
      <c r="AD537" s="93">
        <f t="shared" ref="AD537" si="623">W537/AC536</f>
        <v>9.6335819414712295E-2</v>
      </c>
    </row>
    <row r="538" spans="1:30" s="32" customFormat="1" ht="15.95">
      <c r="A538" s="65" t="s">
        <v>167</v>
      </c>
      <c r="B538" s="66" t="s">
        <v>48</v>
      </c>
      <c r="C538" s="66" t="s">
        <v>114</v>
      </c>
      <c r="D538" s="66"/>
      <c r="E538" s="66" t="s">
        <v>20</v>
      </c>
      <c r="F538" s="66" t="s">
        <v>21</v>
      </c>
      <c r="G538" s="66" t="s">
        <v>176</v>
      </c>
      <c r="H538" s="66"/>
      <c r="I538" s="66" t="s">
        <v>177</v>
      </c>
      <c r="J538" s="66"/>
      <c r="K538" s="66" t="s">
        <v>178</v>
      </c>
      <c r="L538" s="67">
        <v>2024</v>
      </c>
      <c r="M538" s="66" t="s">
        <v>179</v>
      </c>
      <c r="N538" s="66" t="s">
        <v>24</v>
      </c>
      <c r="O538" s="66" t="s">
        <v>54</v>
      </c>
      <c r="P538" s="66" t="s">
        <v>25</v>
      </c>
      <c r="Q538" s="80">
        <v>43888</v>
      </c>
      <c r="R538" s="80">
        <v>34725</v>
      </c>
      <c r="S538" s="80">
        <v>25999</v>
      </c>
      <c r="T538" s="81">
        <v>88</v>
      </c>
      <c r="U538" s="82" t="s">
        <v>59</v>
      </c>
      <c r="V538" s="83" t="s">
        <v>56</v>
      </c>
      <c r="W538" s="80">
        <v>55126103.469999999</v>
      </c>
      <c r="X538" s="68">
        <f t="shared" si="617"/>
        <v>1256.0632398377688</v>
      </c>
      <c r="Y538" s="68">
        <f t="shared" si="618"/>
        <v>1587.5047795536357</v>
      </c>
      <c r="Z538" s="68">
        <f t="shared" si="619"/>
        <v>2120.3162994730565</v>
      </c>
      <c r="AA538" s="68">
        <f t="shared" si="620"/>
        <v>626432.99397727277</v>
      </c>
      <c r="AB538" s="78" t="s">
        <v>73</v>
      </c>
      <c r="AC538" s="55"/>
      <c r="AD538" s="93">
        <f t="shared" ref="AD538" si="624">W538/AC536</f>
        <v>0.13834546751670182</v>
      </c>
    </row>
    <row r="539" spans="1:30" s="32" customFormat="1" ht="15.95">
      <c r="A539" s="65" t="s">
        <v>167</v>
      </c>
      <c r="B539" s="66" t="s">
        <v>48</v>
      </c>
      <c r="C539" s="66" t="s">
        <v>114</v>
      </c>
      <c r="D539" s="66"/>
      <c r="E539" s="66" t="s">
        <v>20</v>
      </c>
      <c r="F539" s="66" t="s">
        <v>21</v>
      </c>
      <c r="G539" s="66" t="s">
        <v>176</v>
      </c>
      <c r="H539" s="66"/>
      <c r="I539" s="66" t="s">
        <v>177</v>
      </c>
      <c r="J539" s="66"/>
      <c r="K539" s="66" t="s">
        <v>178</v>
      </c>
      <c r="L539" s="67">
        <v>2024</v>
      </c>
      <c r="M539" s="66" t="s">
        <v>179</v>
      </c>
      <c r="N539" s="66" t="s">
        <v>24</v>
      </c>
      <c r="O539" s="66" t="s">
        <v>54</v>
      </c>
      <c r="P539" s="66" t="s">
        <v>25</v>
      </c>
      <c r="Q539" s="80">
        <v>43888</v>
      </c>
      <c r="R539" s="80">
        <v>34725</v>
      </c>
      <c r="S539" s="80">
        <v>25999</v>
      </c>
      <c r="T539" s="81">
        <v>88</v>
      </c>
      <c r="U539" s="82" t="s">
        <v>60</v>
      </c>
      <c r="V539" s="83" t="s">
        <v>56</v>
      </c>
      <c r="W539" s="80">
        <v>17936613</v>
      </c>
      <c r="X539" s="68">
        <f t="shared" si="617"/>
        <v>408.69059879693765</v>
      </c>
      <c r="Y539" s="68">
        <f t="shared" si="618"/>
        <v>516.53313174946004</v>
      </c>
      <c r="Z539" s="68">
        <f t="shared" si="619"/>
        <v>689.89626524097082</v>
      </c>
      <c r="AA539" s="68">
        <f t="shared" si="620"/>
        <v>203825.14772727274</v>
      </c>
      <c r="AB539" s="78" t="s">
        <v>73</v>
      </c>
      <c r="AC539" s="55"/>
      <c r="AD539" s="93">
        <f t="shared" ref="AD539" si="625">W539/AC536</f>
        <v>4.5014048789092688E-2</v>
      </c>
    </row>
    <row r="540" spans="1:30" s="32" customFormat="1" ht="15.95">
      <c r="A540" s="65" t="s">
        <v>167</v>
      </c>
      <c r="B540" s="66" t="s">
        <v>48</v>
      </c>
      <c r="C540" s="66" t="s">
        <v>114</v>
      </c>
      <c r="D540" s="66"/>
      <c r="E540" s="66" t="s">
        <v>20</v>
      </c>
      <c r="F540" s="66" t="s">
        <v>21</v>
      </c>
      <c r="G540" s="66" t="s">
        <v>176</v>
      </c>
      <c r="H540" s="66"/>
      <c r="I540" s="66" t="s">
        <v>177</v>
      </c>
      <c r="J540" s="66"/>
      <c r="K540" s="66" t="s">
        <v>178</v>
      </c>
      <c r="L540" s="67">
        <v>2024</v>
      </c>
      <c r="M540" s="66" t="s">
        <v>179</v>
      </c>
      <c r="N540" s="66" t="s">
        <v>24</v>
      </c>
      <c r="O540" s="66" t="s">
        <v>54</v>
      </c>
      <c r="P540" s="66" t="s">
        <v>25</v>
      </c>
      <c r="Q540" s="80">
        <v>43888</v>
      </c>
      <c r="R540" s="80">
        <v>34725</v>
      </c>
      <c r="S540" s="80">
        <v>25999</v>
      </c>
      <c r="T540" s="81">
        <v>88</v>
      </c>
      <c r="U540" s="82" t="s">
        <v>61</v>
      </c>
      <c r="V540" s="83" t="s">
        <v>56</v>
      </c>
      <c r="W540" s="80">
        <v>56538177</v>
      </c>
      <c r="X540" s="68">
        <f t="shared" si="617"/>
        <v>1288.2377187386073</v>
      </c>
      <c r="Y540" s="68">
        <f t="shared" si="618"/>
        <v>1628.1692440604752</v>
      </c>
      <c r="Z540" s="68">
        <f t="shared" si="619"/>
        <v>2174.6289088041849</v>
      </c>
      <c r="AA540" s="68">
        <f t="shared" si="620"/>
        <v>642479.28409090906</v>
      </c>
      <c r="AB540" s="78" t="s">
        <v>73</v>
      </c>
      <c r="AC540" s="55"/>
      <c r="AD540" s="93">
        <f t="shared" ref="AD540" si="626">W540/AC536</f>
        <v>0.14188923281805535</v>
      </c>
    </row>
    <row r="541" spans="1:30" s="32" customFormat="1" ht="15.95">
      <c r="A541" s="65" t="s">
        <v>167</v>
      </c>
      <c r="B541" s="66" t="s">
        <v>48</v>
      </c>
      <c r="C541" s="66" t="s">
        <v>114</v>
      </c>
      <c r="D541" s="66"/>
      <c r="E541" s="66" t="s">
        <v>20</v>
      </c>
      <c r="F541" s="66" t="s">
        <v>21</v>
      </c>
      <c r="G541" s="66" t="s">
        <v>176</v>
      </c>
      <c r="H541" s="66"/>
      <c r="I541" s="66" t="s">
        <v>177</v>
      </c>
      <c r="J541" s="66"/>
      <c r="K541" s="66" t="s">
        <v>178</v>
      </c>
      <c r="L541" s="67">
        <v>2024</v>
      </c>
      <c r="M541" s="66" t="s">
        <v>179</v>
      </c>
      <c r="N541" s="66" t="s">
        <v>24</v>
      </c>
      <c r="O541" s="66" t="s">
        <v>54</v>
      </c>
      <c r="P541" s="66" t="s">
        <v>25</v>
      </c>
      <c r="Q541" s="80">
        <v>43888</v>
      </c>
      <c r="R541" s="80">
        <v>34725</v>
      </c>
      <c r="S541" s="80">
        <v>25999</v>
      </c>
      <c r="T541" s="81">
        <v>88</v>
      </c>
      <c r="U541" s="82" t="s">
        <v>62</v>
      </c>
      <c r="V541" s="83" t="s">
        <v>56</v>
      </c>
      <c r="W541" s="80">
        <v>38176597</v>
      </c>
      <c r="X541" s="68">
        <f t="shared" si="617"/>
        <v>869.86413142544654</v>
      </c>
      <c r="Y541" s="68">
        <f t="shared" si="618"/>
        <v>1099.3980417566595</v>
      </c>
      <c r="Z541" s="68">
        <f t="shared" si="619"/>
        <v>1468.3871302742414</v>
      </c>
      <c r="AA541" s="68">
        <f t="shared" si="620"/>
        <v>433824.96590909088</v>
      </c>
      <c r="AB541" s="78" t="s">
        <v>73</v>
      </c>
      <c r="AC541" s="55"/>
      <c r="AD541" s="93">
        <f t="shared" ref="AD541" si="627">W541/AC536</f>
        <v>9.5808679150268194E-2</v>
      </c>
    </row>
    <row r="542" spans="1:30" s="32" customFormat="1" ht="15.95">
      <c r="A542" s="65" t="s">
        <v>167</v>
      </c>
      <c r="B542" s="66" t="s">
        <v>48</v>
      </c>
      <c r="C542" s="66" t="s">
        <v>114</v>
      </c>
      <c r="D542" s="66"/>
      <c r="E542" s="66" t="s">
        <v>20</v>
      </c>
      <c r="F542" s="66" t="s">
        <v>21</v>
      </c>
      <c r="G542" s="66" t="s">
        <v>176</v>
      </c>
      <c r="H542" s="66"/>
      <c r="I542" s="66" t="s">
        <v>177</v>
      </c>
      <c r="J542" s="66"/>
      <c r="K542" s="66" t="s">
        <v>178</v>
      </c>
      <c r="L542" s="67">
        <v>2024</v>
      </c>
      <c r="M542" s="66" t="s">
        <v>179</v>
      </c>
      <c r="N542" s="66" t="s">
        <v>24</v>
      </c>
      <c r="O542" s="66" t="s">
        <v>54</v>
      </c>
      <c r="P542" s="66" t="s">
        <v>25</v>
      </c>
      <c r="Q542" s="80">
        <v>43888</v>
      </c>
      <c r="R542" s="80">
        <v>34725</v>
      </c>
      <c r="S542" s="80">
        <v>25999</v>
      </c>
      <c r="T542" s="81">
        <v>88</v>
      </c>
      <c r="U542" s="82" t="s">
        <v>63</v>
      </c>
      <c r="V542" s="83" t="s">
        <v>56</v>
      </c>
      <c r="W542" s="80">
        <v>7066842</v>
      </c>
      <c r="X542" s="68">
        <f t="shared" si="617"/>
        <v>161.01991432737879</v>
      </c>
      <c r="Y542" s="68">
        <f t="shared" si="618"/>
        <v>203.50876889848811</v>
      </c>
      <c r="Z542" s="68">
        <f t="shared" si="619"/>
        <v>271.81206969498828</v>
      </c>
      <c r="AA542" s="68">
        <f t="shared" si="620"/>
        <v>80305.022727272721</v>
      </c>
      <c r="AB542" s="78" t="s">
        <v>73</v>
      </c>
      <c r="AC542" s="55"/>
      <c r="AD542" s="93">
        <f t="shared" ref="AD542" si="628">W542/AC536</f>
        <v>1.773507465276802E-2</v>
      </c>
    </row>
    <row r="543" spans="1:30" s="32" customFormat="1" ht="15.95">
      <c r="A543" s="65" t="s">
        <v>167</v>
      </c>
      <c r="B543" s="66" t="s">
        <v>48</v>
      </c>
      <c r="C543" s="66" t="s">
        <v>114</v>
      </c>
      <c r="D543" s="66"/>
      <c r="E543" s="66" t="s">
        <v>20</v>
      </c>
      <c r="F543" s="66" t="s">
        <v>21</v>
      </c>
      <c r="G543" s="66" t="s">
        <v>176</v>
      </c>
      <c r="H543" s="66"/>
      <c r="I543" s="66" t="s">
        <v>177</v>
      </c>
      <c r="J543" s="66"/>
      <c r="K543" s="66" t="s">
        <v>178</v>
      </c>
      <c r="L543" s="67">
        <v>2024</v>
      </c>
      <c r="M543" s="66" t="s">
        <v>179</v>
      </c>
      <c r="N543" s="66" t="s">
        <v>24</v>
      </c>
      <c r="O543" s="66" t="s">
        <v>54</v>
      </c>
      <c r="P543" s="66" t="s">
        <v>25</v>
      </c>
      <c r="Q543" s="80">
        <v>43888</v>
      </c>
      <c r="R543" s="80">
        <v>34725</v>
      </c>
      <c r="S543" s="80">
        <v>25999</v>
      </c>
      <c r="T543" s="81">
        <v>88</v>
      </c>
      <c r="U543" s="82" t="s">
        <v>64</v>
      </c>
      <c r="V543" s="83" t="s">
        <v>56</v>
      </c>
      <c r="W543" s="80">
        <v>592215</v>
      </c>
      <c r="X543" s="68">
        <f t="shared" si="617"/>
        <v>13.493779620853081</v>
      </c>
      <c r="Y543" s="68">
        <f t="shared" si="618"/>
        <v>17.054427645788337</v>
      </c>
      <c r="Z543" s="68">
        <f t="shared" si="619"/>
        <v>22.778376091388129</v>
      </c>
      <c r="AA543" s="68">
        <f t="shared" si="620"/>
        <v>6729.715909090909</v>
      </c>
      <c r="AB543" s="78" t="s">
        <v>73</v>
      </c>
      <c r="AC543" s="55"/>
      <c r="AD543" s="93">
        <f t="shared" ref="AD543" si="629">W543/AC536</f>
        <v>1.4862334880968065E-3</v>
      </c>
    </row>
    <row r="544" spans="1:30" s="32" customFormat="1" ht="15.95">
      <c r="A544" s="65" t="s">
        <v>167</v>
      </c>
      <c r="B544" s="66" t="s">
        <v>48</v>
      </c>
      <c r="C544" s="66" t="s">
        <v>114</v>
      </c>
      <c r="D544" s="66"/>
      <c r="E544" s="66" t="s">
        <v>20</v>
      </c>
      <c r="F544" s="66" t="s">
        <v>21</v>
      </c>
      <c r="G544" s="66" t="s">
        <v>176</v>
      </c>
      <c r="H544" s="66"/>
      <c r="I544" s="66" t="s">
        <v>177</v>
      </c>
      <c r="J544" s="66"/>
      <c r="K544" s="66" t="s">
        <v>178</v>
      </c>
      <c r="L544" s="67">
        <v>2024</v>
      </c>
      <c r="M544" s="66" t="s">
        <v>179</v>
      </c>
      <c r="N544" s="66" t="s">
        <v>24</v>
      </c>
      <c r="O544" s="66" t="s">
        <v>54</v>
      </c>
      <c r="P544" s="66" t="s">
        <v>25</v>
      </c>
      <c r="Q544" s="80">
        <v>43888</v>
      </c>
      <c r="R544" s="80">
        <v>34725</v>
      </c>
      <c r="S544" s="80">
        <v>25999</v>
      </c>
      <c r="T544" s="81">
        <v>88</v>
      </c>
      <c r="U544" s="82" t="s">
        <v>65</v>
      </c>
      <c r="V544" s="83" t="s">
        <v>56</v>
      </c>
      <c r="W544" s="80">
        <v>30144367</v>
      </c>
      <c r="X544" s="68">
        <f t="shared" si="617"/>
        <v>686.84758931826468</v>
      </c>
      <c r="Y544" s="68">
        <f t="shared" si="618"/>
        <v>868.08832253419723</v>
      </c>
      <c r="Z544" s="68">
        <f t="shared" si="619"/>
        <v>1159.4433247432594</v>
      </c>
      <c r="AA544" s="68">
        <f t="shared" si="620"/>
        <v>342549.625</v>
      </c>
      <c r="AB544" s="78" t="s">
        <v>73</v>
      </c>
      <c r="AC544" s="55"/>
      <c r="AD544" s="93">
        <f t="shared" ref="AD544" si="630">W544/AC536</f>
        <v>7.5650849291018077E-2</v>
      </c>
    </row>
    <row r="545" spans="1:30" s="32" customFormat="1" ht="15.95">
      <c r="A545" s="65" t="s">
        <v>167</v>
      </c>
      <c r="B545" s="66" t="s">
        <v>48</v>
      </c>
      <c r="C545" s="66" t="s">
        <v>114</v>
      </c>
      <c r="D545" s="66"/>
      <c r="E545" s="66" t="s">
        <v>20</v>
      </c>
      <c r="F545" s="66" t="s">
        <v>21</v>
      </c>
      <c r="G545" s="66" t="s">
        <v>176</v>
      </c>
      <c r="H545" s="66"/>
      <c r="I545" s="66" t="s">
        <v>177</v>
      </c>
      <c r="J545" s="66"/>
      <c r="K545" s="66" t="s">
        <v>178</v>
      </c>
      <c r="L545" s="67">
        <v>2024</v>
      </c>
      <c r="M545" s="66" t="s">
        <v>179</v>
      </c>
      <c r="N545" s="66" t="s">
        <v>24</v>
      </c>
      <c r="O545" s="66" t="s">
        <v>54</v>
      </c>
      <c r="P545" s="66" t="s">
        <v>25</v>
      </c>
      <c r="Q545" s="80">
        <v>43888</v>
      </c>
      <c r="R545" s="80">
        <v>34725</v>
      </c>
      <c r="S545" s="80">
        <v>25999</v>
      </c>
      <c r="T545" s="81">
        <v>88</v>
      </c>
      <c r="U545" s="82" t="s">
        <v>66</v>
      </c>
      <c r="V545" s="83" t="s">
        <v>56</v>
      </c>
      <c r="W545" s="80">
        <v>36985780</v>
      </c>
      <c r="X545" s="68">
        <f t="shared" si="617"/>
        <v>842.73104265402844</v>
      </c>
      <c r="Y545" s="68">
        <f t="shared" si="618"/>
        <v>1065.1052555795536</v>
      </c>
      <c r="Z545" s="68">
        <f t="shared" si="619"/>
        <v>1422.5847147967229</v>
      </c>
      <c r="AA545" s="68">
        <f t="shared" si="620"/>
        <v>420292.95454545453</v>
      </c>
      <c r="AB545" s="78" t="s">
        <v>73</v>
      </c>
      <c r="AC545" s="55"/>
      <c r="AD545" s="93">
        <f t="shared" ref="AD545" si="631">W545/AC536</f>
        <v>9.2820183243215906E-2</v>
      </c>
    </row>
    <row r="546" spans="1:30" s="32" customFormat="1" ht="15.95">
      <c r="A546" s="65" t="s">
        <v>167</v>
      </c>
      <c r="B546" s="66" t="s">
        <v>48</v>
      </c>
      <c r="C546" s="66" t="s">
        <v>114</v>
      </c>
      <c r="D546" s="66"/>
      <c r="E546" s="66" t="s">
        <v>20</v>
      </c>
      <c r="F546" s="66" t="s">
        <v>21</v>
      </c>
      <c r="G546" s="66" t="s">
        <v>176</v>
      </c>
      <c r="H546" s="66"/>
      <c r="I546" s="66" t="s">
        <v>177</v>
      </c>
      <c r="J546" s="66"/>
      <c r="K546" s="66" t="s">
        <v>178</v>
      </c>
      <c r="L546" s="67">
        <v>2024</v>
      </c>
      <c r="M546" s="66" t="s">
        <v>179</v>
      </c>
      <c r="N546" s="66" t="s">
        <v>24</v>
      </c>
      <c r="O546" s="66" t="s">
        <v>54</v>
      </c>
      <c r="P546" s="66" t="s">
        <v>25</v>
      </c>
      <c r="Q546" s="80">
        <v>43888</v>
      </c>
      <c r="R546" s="80">
        <v>34725</v>
      </c>
      <c r="S546" s="80">
        <v>25999</v>
      </c>
      <c r="T546" s="81">
        <v>88</v>
      </c>
      <c r="U546" s="82" t="s">
        <v>67</v>
      </c>
      <c r="V546" s="83" t="s">
        <v>56</v>
      </c>
      <c r="W546" s="80">
        <v>2367784</v>
      </c>
      <c r="X546" s="68">
        <f t="shared" si="617"/>
        <v>53.95060153117025</v>
      </c>
      <c r="Y546" s="68">
        <f t="shared" si="618"/>
        <v>68.18672426205903</v>
      </c>
      <c r="Z546" s="68">
        <f t="shared" si="619"/>
        <v>91.072118158390708</v>
      </c>
      <c r="AA546" s="68">
        <f t="shared" si="620"/>
        <v>26906.636363636364</v>
      </c>
      <c r="AB546" s="78" t="s">
        <v>73</v>
      </c>
      <c r="AC546" s="55"/>
      <c r="AD546" s="93">
        <f t="shared" ref="AD546" si="632">W546/AC536</f>
        <v>5.942233603302532E-3</v>
      </c>
    </row>
    <row r="547" spans="1:30" s="32" customFormat="1" ht="15.95">
      <c r="A547" s="65" t="s">
        <v>167</v>
      </c>
      <c r="B547" s="66" t="s">
        <v>48</v>
      </c>
      <c r="C547" s="66" t="s">
        <v>114</v>
      </c>
      <c r="D547" s="66"/>
      <c r="E547" s="66" t="s">
        <v>20</v>
      </c>
      <c r="F547" s="66" t="s">
        <v>21</v>
      </c>
      <c r="G547" s="66" t="s">
        <v>176</v>
      </c>
      <c r="H547" s="66"/>
      <c r="I547" s="66" t="s">
        <v>177</v>
      </c>
      <c r="J547" s="66"/>
      <c r="K547" s="66" t="s">
        <v>178</v>
      </c>
      <c r="L547" s="67">
        <v>2024</v>
      </c>
      <c r="M547" s="66" t="s">
        <v>179</v>
      </c>
      <c r="N547" s="66" t="s">
        <v>24</v>
      </c>
      <c r="O547" s="66" t="s">
        <v>54</v>
      </c>
      <c r="P547" s="66" t="s">
        <v>25</v>
      </c>
      <c r="Q547" s="80">
        <v>43888</v>
      </c>
      <c r="R547" s="80">
        <v>34725</v>
      </c>
      <c r="S547" s="80">
        <v>25999</v>
      </c>
      <c r="T547" s="81">
        <v>88</v>
      </c>
      <c r="U547" s="82" t="s">
        <v>68</v>
      </c>
      <c r="V547" s="83" t="s">
        <v>56</v>
      </c>
      <c r="W547" s="80">
        <f>33585827+48917</f>
        <v>33634744</v>
      </c>
      <c r="X547" s="68">
        <f t="shared" si="617"/>
        <v>766.37677725118488</v>
      </c>
      <c r="Y547" s="68">
        <f t="shared" si="618"/>
        <v>968.60313894888407</v>
      </c>
      <c r="Z547" s="68">
        <f t="shared" si="619"/>
        <v>1293.6937574522096</v>
      </c>
      <c r="AA547" s="68">
        <f t="shared" si="620"/>
        <v>382213</v>
      </c>
      <c r="AB547" s="78" t="s">
        <v>73</v>
      </c>
      <c r="AC547" s="55"/>
      <c r="AD547" s="93">
        <f t="shared" ref="AD547" si="633">W547/AC536</f>
        <v>8.4410362615541884E-2</v>
      </c>
    </row>
    <row r="548" spans="1:30" s="32" customFormat="1" ht="15.95">
      <c r="A548" s="65" t="s">
        <v>167</v>
      </c>
      <c r="B548" s="66" t="s">
        <v>48</v>
      </c>
      <c r="C548" s="66" t="s">
        <v>114</v>
      </c>
      <c r="D548" s="66"/>
      <c r="E548" s="66" t="s">
        <v>20</v>
      </c>
      <c r="F548" s="66" t="s">
        <v>21</v>
      </c>
      <c r="G548" s="66" t="s">
        <v>176</v>
      </c>
      <c r="H548" s="66"/>
      <c r="I548" s="66" t="s">
        <v>177</v>
      </c>
      <c r="J548" s="66"/>
      <c r="K548" s="66" t="s">
        <v>178</v>
      </c>
      <c r="L548" s="67">
        <v>2024</v>
      </c>
      <c r="M548" s="66" t="s">
        <v>179</v>
      </c>
      <c r="N548" s="66" t="s">
        <v>24</v>
      </c>
      <c r="O548" s="66" t="s">
        <v>54</v>
      </c>
      <c r="P548" s="66" t="s">
        <v>25</v>
      </c>
      <c r="Q548" s="80">
        <v>43888</v>
      </c>
      <c r="R548" s="80">
        <v>34725</v>
      </c>
      <c r="S548" s="80">
        <v>25999</v>
      </c>
      <c r="T548" s="81">
        <v>88</v>
      </c>
      <c r="U548" s="82" t="s">
        <v>69</v>
      </c>
      <c r="V548" s="83" t="s">
        <v>56</v>
      </c>
      <c r="W548" s="80">
        <v>45373000</v>
      </c>
      <c r="X548" s="68">
        <f t="shared" si="617"/>
        <v>1033.8361283266497</v>
      </c>
      <c r="Y548" s="68">
        <f t="shared" si="618"/>
        <v>1306.6378689704823</v>
      </c>
      <c r="Z548" s="68">
        <f t="shared" si="619"/>
        <v>1745.1825070195007</v>
      </c>
      <c r="AA548" s="68">
        <f t="shared" si="620"/>
        <v>515602.27272727271</v>
      </c>
      <c r="AB548" s="78" t="s">
        <v>73</v>
      </c>
      <c r="AC548" s="55"/>
      <c r="AD548" s="93">
        <f t="shared" ref="AD548" si="634">W548/AC536</f>
        <v>0.11386890243478534</v>
      </c>
    </row>
    <row r="549" spans="1:30" s="55" customFormat="1" ht="15" customHeight="1">
      <c r="A549" s="57"/>
      <c r="B549" s="58" t="s">
        <v>48</v>
      </c>
      <c r="C549" s="58" t="s">
        <v>180</v>
      </c>
      <c r="D549" s="58"/>
      <c r="E549" s="58" t="s">
        <v>20</v>
      </c>
      <c r="F549" s="58" t="s">
        <v>21</v>
      </c>
      <c r="G549" s="58" t="s">
        <v>50</v>
      </c>
      <c r="H549" s="58"/>
      <c r="I549" s="58" t="s">
        <v>181</v>
      </c>
      <c r="J549" s="58"/>
      <c r="K549" s="58" t="s">
        <v>182</v>
      </c>
      <c r="L549" s="59">
        <v>2015</v>
      </c>
      <c r="M549" s="58" t="s">
        <v>183</v>
      </c>
      <c r="N549" s="58" t="s">
        <v>24</v>
      </c>
      <c r="O549" s="58" t="s">
        <v>54</v>
      </c>
      <c r="P549" s="58" t="s">
        <v>25</v>
      </c>
      <c r="Q549" s="84">
        <v>260111</v>
      </c>
      <c r="R549" s="84">
        <v>249889</v>
      </c>
      <c r="S549" s="84">
        <v>163996</v>
      </c>
      <c r="T549" s="85">
        <v>731</v>
      </c>
      <c r="U549" s="86" t="s">
        <v>55</v>
      </c>
      <c r="V549" s="87" t="s">
        <v>56</v>
      </c>
      <c r="W549" s="84">
        <v>172621941</v>
      </c>
      <c r="X549" s="60">
        <f t="shared" si="465"/>
        <v>663.64721599624772</v>
      </c>
      <c r="Y549" s="60">
        <f t="shared" si="466"/>
        <v>690.79447674767596</v>
      </c>
      <c r="Z549" s="60">
        <f t="shared" si="467"/>
        <v>1052.5984841093684</v>
      </c>
      <c r="AA549" s="60">
        <f t="shared" si="468"/>
        <v>236144.92612859097</v>
      </c>
      <c r="AB549" s="77" t="s">
        <v>73</v>
      </c>
      <c r="AC549" s="92">
        <f t="shared" ref="AC549" si="635">SUM(W549:W561)</f>
        <v>2263089101</v>
      </c>
      <c r="AD549" s="93">
        <f t="shared" ref="AD549" si="636">W549/AC549</f>
        <v>7.6277129753186859E-2</v>
      </c>
    </row>
    <row r="550" spans="1:30" s="55" customFormat="1" ht="15.95">
      <c r="A550" s="57"/>
      <c r="B550" s="58" t="s">
        <v>48</v>
      </c>
      <c r="C550" s="58" t="s">
        <v>180</v>
      </c>
      <c r="D550" s="58"/>
      <c r="E550" s="58" t="s">
        <v>20</v>
      </c>
      <c r="F550" s="58" t="s">
        <v>21</v>
      </c>
      <c r="G550" s="58" t="s">
        <v>50</v>
      </c>
      <c r="H550" s="58"/>
      <c r="I550" s="58" t="s">
        <v>181</v>
      </c>
      <c r="J550" s="58"/>
      <c r="K550" s="58" t="s">
        <v>182</v>
      </c>
      <c r="L550" s="59">
        <v>2015</v>
      </c>
      <c r="M550" s="58" t="s">
        <v>183</v>
      </c>
      <c r="N550" s="58" t="s">
        <v>24</v>
      </c>
      <c r="O550" s="58" t="s">
        <v>54</v>
      </c>
      <c r="P550" s="58" t="s">
        <v>25</v>
      </c>
      <c r="Q550" s="84">
        <v>260111</v>
      </c>
      <c r="R550" s="84">
        <v>249889</v>
      </c>
      <c r="S550" s="88">
        <v>163996</v>
      </c>
      <c r="T550" s="85">
        <v>731</v>
      </c>
      <c r="U550" s="86" t="s">
        <v>58</v>
      </c>
      <c r="V550" s="87" t="s">
        <v>56</v>
      </c>
      <c r="W550" s="84">
        <v>380532434</v>
      </c>
      <c r="X550" s="60">
        <f t="shared" si="465"/>
        <v>1462.9617124996637</v>
      </c>
      <c r="Y550" s="60">
        <f t="shared" si="466"/>
        <v>1522.8058618026403</v>
      </c>
      <c r="Z550" s="60">
        <f t="shared" si="467"/>
        <v>2320.3763140564406</v>
      </c>
      <c r="AA550" s="60">
        <f t="shared" si="468"/>
        <v>520564.2051983584</v>
      </c>
      <c r="AB550" s="77" t="s">
        <v>73</v>
      </c>
      <c r="AD550" s="93">
        <f t="shared" ref="AD550" si="637">W550/AC549</f>
        <v>0.16814734949315635</v>
      </c>
    </row>
    <row r="551" spans="1:30" s="55" customFormat="1" ht="15.95">
      <c r="A551" s="57"/>
      <c r="B551" s="58" t="s">
        <v>48</v>
      </c>
      <c r="C551" s="58" t="s">
        <v>180</v>
      </c>
      <c r="D551" s="58"/>
      <c r="E551" s="58" t="s">
        <v>20</v>
      </c>
      <c r="F551" s="58" t="s">
        <v>21</v>
      </c>
      <c r="G551" s="58" t="s">
        <v>50</v>
      </c>
      <c r="H551" s="58"/>
      <c r="I551" s="58" t="s">
        <v>181</v>
      </c>
      <c r="J551" s="58"/>
      <c r="K551" s="58" t="s">
        <v>182</v>
      </c>
      <c r="L551" s="59">
        <v>2015</v>
      </c>
      <c r="M551" s="58" t="s">
        <v>183</v>
      </c>
      <c r="N551" s="58" t="s">
        <v>24</v>
      </c>
      <c r="O551" s="58" t="s">
        <v>54</v>
      </c>
      <c r="P551" s="58" t="s">
        <v>25</v>
      </c>
      <c r="Q551" s="84">
        <v>260111</v>
      </c>
      <c r="R551" s="84">
        <v>249889</v>
      </c>
      <c r="S551" s="88">
        <v>163996</v>
      </c>
      <c r="T551" s="85">
        <v>731</v>
      </c>
      <c r="U551" s="86" t="s">
        <v>59</v>
      </c>
      <c r="V551" s="87" t="s">
        <v>56</v>
      </c>
      <c r="W551" s="84">
        <v>258948738</v>
      </c>
      <c r="X551" s="60">
        <f t="shared" ref="X551:X614" si="638">W551/Q551</f>
        <v>995.53166917200735</v>
      </c>
      <c r="Y551" s="60">
        <f t="shared" ref="Y551:Y614" si="639">W551/R551</f>
        <v>1036.2550492418634</v>
      </c>
      <c r="Z551" s="60">
        <f t="shared" ref="Z551:Z614" si="640">W551/S551</f>
        <v>1578.9942315666235</v>
      </c>
      <c r="AA551" s="60">
        <f t="shared" ref="AA551:AA587" si="641">W551/T551</f>
        <v>354239.03967168264</v>
      </c>
      <c r="AB551" s="77" t="s">
        <v>73</v>
      </c>
      <c r="AD551" s="93">
        <f t="shared" ref="AD551" si="642">W551/AC549</f>
        <v>0.11442268794700894</v>
      </c>
    </row>
    <row r="552" spans="1:30" s="55" customFormat="1" ht="15.95">
      <c r="A552" s="57"/>
      <c r="B552" s="58" t="s">
        <v>48</v>
      </c>
      <c r="C552" s="58" t="s">
        <v>180</v>
      </c>
      <c r="D552" s="58"/>
      <c r="E552" s="58" t="s">
        <v>20</v>
      </c>
      <c r="F552" s="58" t="s">
        <v>21</v>
      </c>
      <c r="G552" s="58" t="s">
        <v>50</v>
      </c>
      <c r="H552" s="58"/>
      <c r="I552" s="58" t="s">
        <v>181</v>
      </c>
      <c r="J552" s="58"/>
      <c r="K552" s="58" t="s">
        <v>182</v>
      </c>
      <c r="L552" s="59">
        <v>2015</v>
      </c>
      <c r="M552" s="58" t="s">
        <v>183</v>
      </c>
      <c r="N552" s="58" t="s">
        <v>24</v>
      </c>
      <c r="O552" s="58" t="s">
        <v>54</v>
      </c>
      <c r="P552" s="58" t="s">
        <v>25</v>
      </c>
      <c r="Q552" s="84">
        <v>260111</v>
      </c>
      <c r="R552" s="84">
        <v>249889</v>
      </c>
      <c r="S552" s="88">
        <v>163996</v>
      </c>
      <c r="T552" s="85">
        <v>731</v>
      </c>
      <c r="U552" s="86" t="s">
        <v>60</v>
      </c>
      <c r="V552" s="87" t="s">
        <v>56</v>
      </c>
      <c r="W552" s="84">
        <v>87253532</v>
      </c>
      <c r="X552" s="60">
        <f t="shared" si="638"/>
        <v>335.44729749991347</v>
      </c>
      <c r="Y552" s="60">
        <f t="shared" si="639"/>
        <v>349.16915910664335</v>
      </c>
      <c r="Z552" s="60">
        <f t="shared" si="640"/>
        <v>532.0467084563038</v>
      </c>
      <c r="AA552" s="60">
        <f t="shared" si="641"/>
        <v>119361.87688098496</v>
      </c>
      <c r="AB552" s="77" t="s">
        <v>73</v>
      </c>
      <c r="AD552" s="93">
        <f t="shared" ref="AD552" si="643">W552/AC549</f>
        <v>3.8555058199628525E-2</v>
      </c>
    </row>
    <row r="553" spans="1:30" s="55" customFormat="1" ht="15.95">
      <c r="A553" s="57"/>
      <c r="B553" s="58" t="s">
        <v>48</v>
      </c>
      <c r="C553" s="58" t="s">
        <v>180</v>
      </c>
      <c r="D553" s="58"/>
      <c r="E553" s="58" t="s">
        <v>20</v>
      </c>
      <c r="F553" s="58" t="s">
        <v>21</v>
      </c>
      <c r="G553" s="58" t="s">
        <v>50</v>
      </c>
      <c r="H553" s="58"/>
      <c r="I553" s="58" t="s">
        <v>181</v>
      </c>
      <c r="J553" s="58"/>
      <c r="K553" s="58" t="s">
        <v>182</v>
      </c>
      <c r="L553" s="59">
        <v>2015</v>
      </c>
      <c r="M553" s="58" t="s">
        <v>183</v>
      </c>
      <c r="N553" s="58" t="s">
        <v>24</v>
      </c>
      <c r="O553" s="58" t="s">
        <v>54</v>
      </c>
      <c r="P553" s="58" t="s">
        <v>25</v>
      </c>
      <c r="Q553" s="84">
        <v>260111</v>
      </c>
      <c r="R553" s="84">
        <v>249889</v>
      </c>
      <c r="S553" s="88">
        <v>163996</v>
      </c>
      <c r="T553" s="85">
        <v>731</v>
      </c>
      <c r="U553" s="86" t="s">
        <v>61</v>
      </c>
      <c r="V553" s="87" t="s">
        <v>56</v>
      </c>
      <c r="W553" s="84">
        <v>229025028</v>
      </c>
      <c r="X553" s="60">
        <f t="shared" si="638"/>
        <v>880.48959098231137</v>
      </c>
      <c r="Y553" s="60">
        <f t="shared" si="639"/>
        <v>916.50704112626011</v>
      </c>
      <c r="Z553" s="60">
        <f t="shared" si="640"/>
        <v>1396.5281348325568</v>
      </c>
      <c r="AA553" s="60">
        <f t="shared" si="641"/>
        <v>313303.73187414499</v>
      </c>
      <c r="AB553" s="77" t="s">
        <v>73</v>
      </c>
      <c r="AD553" s="93">
        <f t="shared" ref="AD553" si="644">W553/AC549</f>
        <v>0.10120018160080388</v>
      </c>
    </row>
    <row r="554" spans="1:30" s="55" customFormat="1" ht="15.95">
      <c r="A554" s="57"/>
      <c r="B554" s="58" t="s">
        <v>48</v>
      </c>
      <c r="C554" s="58" t="s">
        <v>180</v>
      </c>
      <c r="D554" s="58"/>
      <c r="E554" s="58" t="s">
        <v>20</v>
      </c>
      <c r="F554" s="58" t="s">
        <v>21</v>
      </c>
      <c r="G554" s="58" t="s">
        <v>50</v>
      </c>
      <c r="H554" s="58"/>
      <c r="I554" s="58" t="s">
        <v>181</v>
      </c>
      <c r="J554" s="58"/>
      <c r="K554" s="58" t="s">
        <v>182</v>
      </c>
      <c r="L554" s="59">
        <v>2015</v>
      </c>
      <c r="M554" s="58" t="s">
        <v>183</v>
      </c>
      <c r="N554" s="58" t="s">
        <v>24</v>
      </c>
      <c r="O554" s="58" t="s">
        <v>54</v>
      </c>
      <c r="P554" s="58" t="s">
        <v>25</v>
      </c>
      <c r="Q554" s="84">
        <v>260111</v>
      </c>
      <c r="R554" s="84">
        <v>249889</v>
      </c>
      <c r="S554" s="88">
        <v>163996</v>
      </c>
      <c r="T554" s="85">
        <v>731</v>
      </c>
      <c r="U554" s="86" t="s">
        <v>62</v>
      </c>
      <c r="V554" s="87" t="s">
        <v>56</v>
      </c>
      <c r="W554" s="84">
        <v>274374818</v>
      </c>
      <c r="X554" s="60">
        <f t="shared" si="638"/>
        <v>1054.8374270984311</v>
      </c>
      <c r="Y554" s="60">
        <f t="shared" si="639"/>
        <v>1097.9867781294895</v>
      </c>
      <c r="Z554" s="60">
        <f t="shared" si="640"/>
        <v>1673.0579892192493</v>
      </c>
      <c r="AA554" s="60">
        <f t="shared" si="641"/>
        <v>375341.7482900137</v>
      </c>
      <c r="AB554" s="77" t="s">
        <v>73</v>
      </c>
      <c r="AD554" s="93">
        <f t="shared" ref="AD554" si="645">W554/AC549</f>
        <v>0.12123907002988125</v>
      </c>
    </row>
    <row r="555" spans="1:30" s="55" customFormat="1" ht="15.95">
      <c r="A555" s="57"/>
      <c r="B555" s="58" t="s">
        <v>48</v>
      </c>
      <c r="C555" s="58" t="s">
        <v>180</v>
      </c>
      <c r="D555" s="58"/>
      <c r="E555" s="58" t="s">
        <v>20</v>
      </c>
      <c r="F555" s="58" t="s">
        <v>21</v>
      </c>
      <c r="G555" s="58" t="s">
        <v>50</v>
      </c>
      <c r="H555" s="58"/>
      <c r="I555" s="58" t="s">
        <v>181</v>
      </c>
      <c r="J555" s="58"/>
      <c r="K555" s="58" t="s">
        <v>182</v>
      </c>
      <c r="L555" s="59">
        <v>2015</v>
      </c>
      <c r="M555" s="58" t="s">
        <v>183</v>
      </c>
      <c r="N555" s="58" t="s">
        <v>24</v>
      </c>
      <c r="O555" s="58" t="s">
        <v>54</v>
      </c>
      <c r="P555" s="58" t="s">
        <v>25</v>
      </c>
      <c r="Q555" s="84">
        <v>260111</v>
      </c>
      <c r="R555" s="84">
        <v>249889</v>
      </c>
      <c r="S555" s="88">
        <v>163996</v>
      </c>
      <c r="T555" s="85">
        <v>731</v>
      </c>
      <c r="U555" s="86" t="s">
        <v>63</v>
      </c>
      <c r="V555" s="87" t="s">
        <v>56</v>
      </c>
      <c r="W555" s="84">
        <v>16101294</v>
      </c>
      <c r="X555" s="60">
        <f t="shared" si="638"/>
        <v>61.901626613253569</v>
      </c>
      <c r="Y555" s="60">
        <f t="shared" si="639"/>
        <v>64.433784600362557</v>
      </c>
      <c r="Z555" s="60">
        <f t="shared" si="640"/>
        <v>98.181016610161223</v>
      </c>
      <c r="AA555" s="60">
        <f t="shared" si="641"/>
        <v>22026.393980848152</v>
      </c>
      <c r="AB555" s="77" t="s">
        <v>73</v>
      </c>
      <c r="AD555" s="93">
        <f t="shared" ref="AD555" si="646">W555/AC549</f>
        <v>7.1147415242666578E-3</v>
      </c>
    </row>
    <row r="556" spans="1:30" s="55" customFormat="1" ht="15.95">
      <c r="A556" s="57"/>
      <c r="B556" s="58" t="s">
        <v>48</v>
      </c>
      <c r="C556" s="58" t="s">
        <v>180</v>
      </c>
      <c r="D556" s="58"/>
      <c r="E556" s="58" t="s">
        <v>20</v>
      </c>
      <c r="F556" s="58" t="s">
        <v>21</v>
      </c>
      <c r="G556" s="58" t="s">
        <v>50</v>
      </c>
      <c r="H556" s="58"/>
      <c r="I556" s="58" t="s">
        <v>181</v>
      </c>
      <c r="J556" s="58"/>
      <c r="K556" s="58" t="s">
        <v>182</v>
      </c>
      <c r="L556" s="59">
        <v>2015</v>
      </c>
      <c r="M556" s="58" t="s">
        <v>183</v>
      </c>
      <c r="N556" s="58" t="s">
        <v>24</v>
      </c>
      <c r="O556" s="58" t="s">
        <v>54</v>
      </c>
      <c r="P556" s="58" t="s">
        <v>25</v>
      </c>
      <c r="Q556" s="84">
        <v>260111</v>
      </c>
      <c r="R556" s="84">
        <v>249889</v>
      </c>
      <c r="S556" s="88">
        <v>163996</v>
      </c>
      <c r="T556" s="85">
        <v>731</v>
      </c>
      <c r="U556" s="86" t="s">
        <v>64</v>
      </c>
      <c r="V556" s="87" t="s">
        <v>56</v>
      </c>
      <c r="W556" s="84">
        <v>91821204</v>
      </c>
      <c r="X556" s="60">
        <f t="shared" si="638"/>
        <v>353.00776975983331</v>
      </c>
      <c r="Y556" s="60">
        <f t="shared" si="639"/>
        <v>367.44796289552562</v>
      </c>
      <c r="Z556" s="60">
        <f t="shared" si="640"/>
        <v>559.89904631820286</v>
      </c>
      <c r="AA556" s="60">
        <f t="shared" si="641"/>
        <v>125610.40218878249</v>
      </c>
      <c r="AB556" s="77" t="s">
        <v>73</v>
      </c>
      <c r="AD556" s="93">
        <f t="shared" ref="AD556" si="647">W556/AC549</f>
        <v>4.0573393225846306E-2</v>
      </c>
    </row>
    <row r="557" spans="1:30" s="55" customFormat="1" ht="15.95">
      <c r="A557" s="57"/>
      <c r="B557" s="58" t="s">
        <v>48</v>
      </c>
      <c r="C557" s="58" t="s">
        <v>180</v>
      </c>
      <c r="D557" s="58"/>
      <c r="E557" s="58" t="s">
        <v>20</v>
      </c>
      <c r="F557" s="58" t="s">
        <v>21</v>
      </c>
      <c r="G557" s="58" t="s">
        <v>50</v>
      </c>
      <c r="H557" s="58"/>
      <c r="I557" s="58" t="s">
        <v>181</v>
      </c>
      <c r="J557" s="58"/>
      <c r="K557" s="58" t="s">
        <v>182</v>
      </c>
      <c r="L557" s="59">
        <v>2015</v>
      </c>
      <c r="M557" s="58" t="s">
        <v>183</v>
      </c>
      <c r="N557" s="58" t="s">
        <v>24</v>
      </c>
      <c r="O557" s="58" t="s">
        <v>54</v>
      </c>
      <c r="P557" s="58" t="s">
        <v>25</v>
      </c>
      <c r="Q557" s="84">
        <v>260111</v>
      </c>
      <c r="R557" s="84">
        <v>249889</v>
      </c>
      <c r="S557" s="88">
        <v>163996</v>
      </c>
      <c r="T557" s="85">
        <v>731</v>
      </c>
      <c r="U557" s="86" t="s">
        <v>65</v>
      </c>
      <c r="V557" s="87" t="s">
        <v>56</v>
      </c>
      <c r="W557" s="84">
        <v>200495783</v>
      </c>
      <c r="X557" s="60">
        <f t="shared" si="638"/>
        <v>770.80855096478047</v>
      </c>
      <c r="Y557" s="60">
        <f t="shared" si="639"/>
        <v>802.33937068058219</v>
      </c>
      <c r="Z557" s="60">
        <f t="shared" si="640"/>
        <v>1222.5650808556306</v>
      </c>
      <c r="AA557" s="60">
        <f t="shared" si="641"/>
        <v>274276.03693570453</v>
      </c>
      <c r="AB557" s="77" t="s">
        <v>73</v>
      </c>
      <c r="AD557" s="93">
        <f t="shared" ref="AD557" si="648">W557/AC549</f>
        <v>8.8593852938183545E-2</v>
      </c>
    </row>
    <row r="558" spans="1:30" s="55" customFormat="1" ht="15.95">
      <c r="A558" s="57"/>
      <c r="B558" s="58" t="s">
        <v>48</v>
      </c>
      <c r="C558" s="58" t="s">
        <v>180</v>
      </c>
      <c r="D558" s="58"/>
      <c r="E558" s="58" t="s">
        <v>20</v>
      </c>
      <c r="F558" s="58" t="s">
        <v>21</v>
      </c>
      <c r="G558" s="58" t="s">
        <v>50</v>
      </c>
      <c r="H558" s="58"/>
      <c r="I558" s="58" t="s">
        <v>181</v>
      </c>
      <c r="J558" s="58"/>
      <c r="K558" s="58" t="s">
        <v>182</v>
      </c>
      <c r="L558" s="59">
        <v>2015</v>
      </c>
      <c r="M558" s="58" t="s">
        <v>183</v>
      </c>
      <c r="N558" s="58" t="s">
        <v>24</v>
      </c>
      <c r="O558" s="58" t="s">
        <v>54</v>
      </c>
      <c r="P558" s="58" t="s">
        <v>25</v>
      </c>
      <c r="Q558" s="84">
        <v>260111</v>
      </c>
      <c r="R558" s="84">
        <v>249889</v>
      </c>
      <c r="S558" s="88">
        <v>163996</v>
      </c>
      <c r="T558" s="85">
        <v>731</v>
      </c>
      <c r="U558" s="86" t="s">
        <v>66</v>
      </c>
      <c r="V558" s="87" t="s">
        <v>56</v>
      </c>
      <c r="W558" s="84">
        <v>234278929</v>
      </c>
      <c r="X558" s="60">
        <f t="shared" si="638"/>
        <v>900.68827923463448</v>
      </c>
      <c r="Y558" s="60">
        <f t="shared" si="639"/>
        <v>937.53198019920842</v>
      </c>
      <c r="Z558" s="60">
        <f t="shared" si="640"/>
        <v>1428.5648979243397</v>
      </c>
      <c r="AA558" s="60">
        <f t="shared" si="641"/>
        <v>320491.01094391244</v>
      </c>
      <c r="AB558" s="77" t="s">
        <v>73</v>
      </c>
      <c r="AD558" s="93">
        <f t="shared" ref="AD558" si="649">W558/AC549</f>
        <v>0.10352174330938992</v>
      </c>
    </row>
    <row r="559" spans="1:30" s="55" customFormat="1" ht="15.95">
      <c r="A559" s="57"/>
      <c r="B559" s="58" t="s">
        <v>48</v>
      </c>
      <c r="C559" s="58" t="s">
        <v>180</v>
      </c>
      <c r="D559" s="58"/>
      <c r="E559" s="58" t="s">
        <v>20</v>
      </c>
      <c r="F559" s="58" t="s">
        <v>21</v>
      </c>
      <c r="G559" s="58" t="s">
        <v>50</v>
      </c>
      <c r="H559" s="58"/>
      <c r="I559" s="58" t="s">
        <v>181</v>
      </c>
      <c r="J559" s="58"/>
      <c r="K559" s="58" t="s">
        <v>182</v>
      </c>
      <c r="L559" s="59">
        <v>2015</v>
      </c>
      <c r="M559" s="58" t="s">
        <v>183</v>
      </c>
      <c r="N559" s="58" t="s">
        <v>24</v>
      </c>
      <c r="O559" s="58" t="s">
        <v>54</v>
      </c>
      <c r="P559" s="58" t="s">
        <v>25</v>
      </c>
      <c r="Q559" s="84">
        <v>260111</v>
      </c>
      <c r="R559" s="84">
        <v>249889</v>
      </c>
      <c r="S559" s="88">
        <v>163996</v>
      </c>
      <c r="T559" s="85">
        <v>731</v>
      </c>
      <c r="U559" s="86" t="s">
        <v>67</v>
      </c>
      <c r="V559" s="87" t="s">
        <v>56</v>
      </c>
      <c r="W559" s="84">
        <v>55646026</v>
      </c>
      <c r="X559" s="60">
        <f t="shared" si="638"/>
        <v>213.93184448177894</v>
      </c>
      <c r="Y559" s="60">
        <f t="shared" si="639"/>
        <v>222.682975241007</v>
      </c>
      <c r="Z559" s="60">
        <f t="shared" si="640"/>
        <v>339.31331251981754</v>
      </c>
      <c r="AA559" s="60">
        <f t="shared" si="641"/>
        <v>76123.154582763338</v>
      </c>
      <c r="AB559" s="77" t="s">
        <v>73</v>
      </c>
      <c r="AD559" s="93">
        <f t="shared" ref="AD559" si="650">W559/AC549</f>
        <v>2.4588526353386386E-2</v>
      </c>
    </row>
    <row r="560" spans="1:30" s="55" customFormat="1" ht="15.95">
      <c r="A560" s="57"/>
      <c r="B560" s="58" t="s">
        <v>48</v>
      </c>
      <c r="C560" s="58" t="s">
        <v>180</v>
      </c>
      <c r="D560" s="58"/>
      <c r="E560" s="58" t="s">
        <v>20</v>
      </c>
      <c r="F560" s="58" t="s">
        <v>21</v>
      </c>
      <c r="G560" s="58" t="s">
        <v>50</v>
      </c>
      <c r="H560" s="58"/>
      <c r="I560" s="58" t="s">
        <v>181</v>
      </c>
      <c r="J560" s="58"/>
      <c r="K560" s="58" t="s">
        <v>182</v>
      </c>
      <c r="L560" s="59">
        <v>2015</v>
      </c>
      <c r="M560" s="58" t="s">
        <v>183</v>
      </c>
      <c r="N560" s="58" t="s">
        <v>24</v>
      </c>
      <c r="O560" s="58" t="s">
        <v>54</v>
      </c>
      <c r="P560" s="58" t="s">
        <v>25</v>
      </c>
      <c r="Q560" s="84">
        <v>260111</v>
      </c>
      <c r="R560" s="84">
        <v>249889</v>
      </c>
      <c r="S560" s="88">
        <v>163996</v>
      </c>
      <c r="T560" s="85">
        <v>731</v>
      </c>
      <c r="U560" s="86" t="s">
        <v>68</v>
      </c>
      <c r="V560" s="87" t="s">
        <v>56</v>
      </c>
      <c r="W560" s="84">
        <v>59697216</v>
      </c>
      <c r="X560" s="60">
        <f t="shared" si="638"/>
        <v>229.50669521857975</v>
      </c>
      <c r="Y560" s="60">
        <f t="shared" si="639"/>
        <v>238.89493335040757</v>
      </c>
      <c r="Z560" s="60">
        <f t="shared" si="640"/>
        <v>364.01629308031903</v>
      </c>
      <c r="AA560" s="60">
        <f t="shared" si="641"/>
        <v>81665.138166894671</v>
      </c>
      <c r="AB560" s="77" t="s">
        <v>73</v>
      </c>
      <c r="AD560" s="93">
        <f t="shared" ref="AD560" si="651">W560/AC549</f>
        <v>2.6378641465606173E-2</v>
      </c>
    </row>
    <row r="561" spans="1:30" s="55" customFormat="1" ht="15.95">
      <c r="A561" s="57"/>
      <c r="B561" s="58" t="s">
        <v>48</v>
      </c>
      <c r="C561" s="58" t="s">
        <v>180</v>
      </c>
      <c r="D561" s="58"/>
      <c r="E561" s="58" t="s">
        <v>20</v>
      </c>
      <c r="F561" s="58" t="s">
        <v>21</v>
      </c>
      <c r="G561" s="58" t="s">
        <v>50</v>
      </c>
      <c r="H561" s="58"/>
      <c r="I561" s="58" t="s">
        <v>181</v>
      </c>
      <c r="J561" s="58"/>
      <c r="K561" s="58" t="s">
        <v>182</v>
      </c>
      <c r="L561" s="59">
        <v>2015</v>
      </c>
      <c r="M561" s="58" t="s">
        <v>183</v>
      </c>
      <c r="N561" s="58" t="s">
        <v>24</v>
      </c>
      <c r="O561" s="58" t="s">
        <v>54</v>
      </c>
      <c r="P561" s="58" t="s">
        <v>25</v>
      </c>
      <c r="Q561" s="84">
        <v>260111</v>
      </c>
      <c r="R561" s="84">
        <v>249889</v>
      </c>
      <c r="S561" s="88">
        <v>163996</v>
      </c>
      <c r="T561" s="85">
        <v>731</v>
      </c>
      <c r="U561" s="86" t="s">
        <v>69</v>
      </c>
      <c r="V561" s="87" t="s">
        <v>56</v>
      </c>
      <c r="W561" s="84">
        <v>202292158</v>
      </c>
      <c r="X561" s="60">
        <f t="shared" si="638"/>
        <v>777.71473716990056</v>
      </c>
      <c r="Y561" s="60">
        <f t="shared" si="639"/>
        <v>809.52806245973215</v>
      </c>
      <c r="Z561" s="60">
        <f t="shared" si="640"/>
        <v>1233.5188541183932</v>
      </c>
      <c r="AA561" s="60">
        <f t="shared" si="641"/>
        <v>276733.45827633381</v>
      </c>
      <c r="AB561" s="77" t="s">
        <v>73</v>
      </c>
      <c r="AD561" s="93">
        <f t="shared" ref="AD561" si="652">W561/AC549</f>
        <v>8.9387624159655218E-2</v>
      </c>
    </row>
    <row r="562" spans="1:30" s="32" customFormat="1" ht="15" customHeight="1">
      <c r="A562" s="65"/>
      <c r="B562" s="66" t="s">
        <v>48</v>
      </c>
      <c r="C562" s="66" t="s">
        <v>180</v>
      </c>
      <c r="D562" s="66"/>
      <c r="E562" s="66" t="s">
        <v>20</v>
      </c>
      <c r="F562" s="66" t="s">
        <v>184</v>
      </c>
      <c r="G562" s="66" t="s">
        <v>185</v>
      </c>
      <c r="H562" s="66"/>
      <c r="I562" s="66" t="s">
        <v>186</v>
      </c>
      <c r="J562" s="66"/>
      <c r="K562" s="66" t="s">
        <v>187</v>
      </c>
      <c r="L562" s="67">
        <v>2018</v>
      </c>
      <c r="M562" s="66" t="s">
        <v>188</v>
      </c>
      <c r="N562" s="66" t="s">
        <v>24</v>
      </c>
      <c r="O562" s="66" t="s">
        <v>54</v>
      </c>
      <c r="P562" s="66" t="s">
        <v>25</v>
      </c>
      <c r="Q562" s="80">
        <v>11646</v>
      </c>
      <c r="R562" s="80">
        <v>10978</v>
      </c>
      <c r="S562" s="80">
        <v>8799</v>
      </c>
      <c r="T562" s="81">
        <v>140</v>
      </c>
      <c r="U562" s="82" t="s">
        <v>55</v>
      </c>
      <c r="V562" s="83" t="s">
        <v>56</v>
      </c>
      <c r="W562" s="80">
        <v>7687652</v>
      </c>
      <c r="X562" s="68">
        <f t="shared" si="638"/>
        <v>660.11093937832732</v>
      </c>
      <c r="Y562" s="68">
        <f t="shared" si="639"/>
        <v>700.27801056658768</v>
      </c>
      <c r="Z562" s="68">
        <f t="shared" si="640"/>
        <v>873.69610182975339</v>
      </c>
      <c r="AA562" s="68">
        <f t="shared" si="641"/>
        <v>54911.8</v>
      </c>
      <c r="AB562" s="78" t="s">
        <v>73</v>
      </c>
      <c r="AC562" s="92">
        <f t="shared" ref="AC562" si="653">SUM(W562:W574)</f>
        <v>117287998</v>
      </c>
      <c r="AD562" s="93">
        <f t="shared" ref="AD562" si="654">W562/AC562</f>
        <v>6.5545086718932652E-2</v>
      </c>
    </row>
    <row r="563" spans="1:30" s="32" customFormat="1" ht="15.95">
      <c r="A563" s="65"/>
      <c r="B563" s="66" t="s">
        <v>48</v>
      </c>
      <c r="C563" s="66" t="s">
        <v>180</v>
      </c>
      <c r="D563" s="66"/>
      <c r="E563" s="66" t="s">
        <v>20</v>
      </c>
      <c r="F563" s="66" t="s">
        <v>184</v>
      </c>
      <c r="G563" s="66" t="s">
        <v>185</v>
      </c>
      <c r="H563" s="66"/>
      <c r="I563" s="66" t="s">
        <v>186</v>
      </c>
      <c r="J563" s="66"/>
      <c r="K563" s="66" t="s">
        <v>187</v>
      </c>
      <c r="L563" s="67">
        <v>2018</v>
      </c>
      <c r="M563" s="66" t="s">
        <v>188</v>
      </c>
      <c r="N563" s="66" t="s">
        <v>24</v>
      </c>
      <c r="O563" s="66" t="s">
        <v>54</v>
      </c>
      <c r="P563" s="66" t="s">
        <v>25</v>
      </c>
      <c r="Q563" s="80">
        <v>11646</v>
      </c>
      <c r="R563" s="80">
        <v>10978</v>
      </c>
      <c r="S563" s="80">
        <v>8799</v>
      </c>
      <c r="T563" s="81">
        <v>140</v>
      </c>
      <c r="U563" s="82" t="s">
        <v>58</v>
      </c>
      <c r="V563" s="83" t="s">
        <v>56</v>
      </c>
      <c r="W563" s="80">
        <v>11427369</v>
      </c>
      <c r="X563" s="68">
        <f t="shared" si="638"/>
        <v>981.22694487377646</v>
      </c>
      <c r="Y563" s="68">
        <f t="shared" si="639"/>
        <v>1040.9335944616505</v>
      </c>
      <c r="Z563" s="68">
        <f t="shared" si="640"/>
        <v>1298.7122400272758</v>
      </c>
      <c r="AA563" s="68">
        <f t="shared" si="641"/>
        <v>81624.064285714281</v>
      </c>
      <c r="AB563" s="78" t="s">
        <v>73</v>
      </c>
      <c r="AC563" s="55"/>
      <c r="AD563" s="93">
        <f t="shared" ref="AD563" si="655">W563/AC562</f>
        <v>9.7429994499522443E-2</v>
      </c>
    </row>
    <row r="564" spans="1:30" s="32" customFormat="1" ht="15.95">
      <c r="A564" s="65"/>
      <c r="B564" s="66" t="s">
        <v>48</v>
      </c>
      <c r="C564" s="66" t="s">
        <v>180</v>
      </c>
      <c r="D564" s="66"/>
      <c r="E564" s="66" t="s">
        <v>20</v>
      </c>
      <c r="F564" s="66" t="s">
        <v>184</v>
      </c>
      <c r="G564" s="66" t="s">
        <v>185</v>
      </c>
      <c r="H564" s="66"/>
      <c r="I564" s="66" t="s">
        <v>186</v>
      </c>
      <c r="J564" s="66"/>
      <c r="K564" s="66" t="s">
        <v>187</v>
      </c>
      <c r="L564" s="67">
        <v>2018</v>
      </c>
      <c r="M564" s="66" t="s">
        <v>188</v>
      </c>
      <c r="N564" s="66" t="s">
        <v>24</v>
      </c>
      <c r="O564" s="66" t="s">
        <v>54</v>
      </c>
      <c r="P564" s="66" t="s">
        <v>25</v>
      </c>
      <c r="Q564" s="80">
        <v>11646</v>
      </c>
      <c r="R564" s="80">
        <v>10978</v>
      </c>
      <c r="S564" s="80">
        <v>8799</v>
      </c>
      <c r="T564" s="81">
        <v>140</v>
      </c>
      <c r="U564" s="82" t="s">
        <v>59</v>
      </c>
      <c r="V564" s="83" t="s">
        <v>56</v>
      </c>
      <c r="W564" s="80">
        <v>10751719</v>
      </c>
      <c r="X564" s="68">
        <f t="shared" si="638"/>
        <v>923.21131719045161</v>
      </c>
      <c r="Y564" s="68">
        <f t="shared" si="639"/>
        <v>979.38777555110221</v>
      </c>
      <c r="Z564" s="68">
        <f t="shared" si="640"/>
        <v>1221.9251051255824</v>
      </c>
      <c r="AA564" s="68">
        <f t="shared" si="641"/>
        <v>76797.992857142861</v>
      </c>
      <c r="AB564" s="78" t="s">
        <v>73</v>
      </c>
      <c r="AC564" s="55"/>
      <c r="AD564" s="93">
        <f t="shared" ref="AD564" si="656">W564/AC562</f>
        <v>9.166938803064914E-2</v>
      </c>
    </row>
    <row r="565" spans="1:30" s="32" customFormat="1" ht="15.95">
      <c r="A565" s="65"/>
      <c r="B565" s="66" t="s">
        <v>48</v>
      </c>
      <c r="C565" s="66" t="s">
        <v>180</v>
      </c>
      <c r="D565" s="66"/>
      <c r="E565" s="66" t="s">
        <v>20</v>
      </c>
      <c r="F565" s="66" t="s">
        <v>184</v>
      </c>
      <c r="G565" s="66" t="s">
        <v>185</v>
      </c>
      <c r="H565" s="66"/>
      <c r="I565" s="66" t="s">
        <v>186</v>
      </c>
      <c r="J565" s="66"/>
      <c r="K565" s="66" t="s">
        <v>187</v>
      </c>
      <c r="L565" s="67">
        <v>2018</v>
      </c>
      <c r="M565" s="66" t="s">
        <v>188</v>
      </c>
      <c r="N565" s="66" t="s">
        <v>24</v>
      </c>
      <c r="O565" s="66" t="s">
        <v>54</v>
      </c>
      <c r="P565" s="66" t="s">
        <v>25</v>
      </c>
      <c r="Q565" s="80">
        <v>11646</v>
      </c>
      <c r="R565" s="80">
        <v>10978</v>
      </c>
      <c r="S565" s="80">
        <v>8799</v>
      </c>
      <c r="T565" s="81">
        <v>140</v>
      </c>
      <c r="U565" s="82" t="s">
        <v>60</v>
      </c>
      <c r="V565" s="83" t="s">
        <v>56</v>
      </c>
      <c r="W565" s="80">
        <v>5754501</v>
      </c>
      <c r="X565" s="68">
        <f t="shared" si="638"/>
        <v>494.11823802163832</v>
      </c>
      <c r="Y565" s="68">
        <f t="shared" si="639"/>
        <v>524.18482419384225</v>
      </c>
      <c r="Z565" s="68">
        <f t="shared" si="640"/>
        <v>653.99488578247531</v>
      </c>
      <c r="AA565" s="68">
        <f t="shared" si="641"/>
        <v>41103.578571428574</v>
      </c>
      <c r="AB565" s="78" t="s">
        <v>73</v>
      </c>
      <c r="AC565" s="55"/>
      <c r="AD565" s="93">
        <f t="shared" ref="AD565" si="657">W565/AC562</f>
        <v>4.9062999608877285E-2</v>
      </c>
    </row>
    <row r="566" spans="1:30" s="32" customFormat="1" ht="15.95">
      <c r="A566" s="65"/>
      <c r="B566" s="66" t="s">
        <v>48</v>
      </c>
      <c r="C566" s="66" t="s">
        <v>180</v>
      </c>
      <c r="D566" s="66"/>
      <c r="E566" s="66" t="s">
        <v>20</v>
      </c>
      <c r="F566" s="66" t="s">
        <v>184</v>
      </c>
      <c r="G566" s="66" t="s">
        <v>185</v>
      </c>
      <c r="H566" s="66"/>
      <c r="I566" s="66" t="s">
        <v>186</v>
      </c>
      <c r="J566" s="66"/>
      <c r="K566" s="66" t="s">
        <v>187</v>
      </c>
      <c r="L566" s="67">
        <v>2018</v>
      </c>
      <c r="M566" s="66" t="s">
        <v>188</v>
      </c>
      <c r="N566" s="66" t="s">
        <v>24</v>
      </c>
      <c r="O566" s="66" t="s">
        <v>54</v>
      </c>
      <c r="P566" s="66" t="s">
        <v>25</v>
      </c>
      <c r="Q566" s="80">
        <v>11646</v>
      </c>
      <c r="R566" s="80">
        <v>10978</v>
      </c>
      <c r="S566" s="80">
        <v>8799</v>
      </c>
      <c r="T566" s="81">
        <v>140</v>
      </c>
      <c r="U566" s="82" t="s">
        <v>61</v>
      </c>
      <c r="V566" s="83" t="s">
        <v>56</v>
      </c>
      <c r="W566" s="80">
        <v>8237879</v>
      </c>
      <c r="X566" s="68">
        <f t="shared" si="638"/>
        <v>707.35694659110425</v>
      </c>
      <c r="Y566" s="68">
        <f t="shared" si="639"/>
        <v>750.39888868646381</v>
      </c>
      <c r="Z566" s="68">
        <f t="shared" si="640"/>
        <v>936.2290032958291</v>
      </c>
      <c r="AA566" s="68">
        <f t="shared" si="641"/>
        <v>58841.992857142854</v>
      </c>
      <c r="AB566" s="78" t="s">
        <v>73</v>
      </c>
      <c r="AC566" s="55"/>
      <c r="AD566" s="93">
        <f t="shared" ref="AD566" si="658">W566/AC562</f>
        <v>7.0236333985340932E-2</v>
      </c>
    </row>
    <row r="567" spans="1:30" s="32" customFormat="1" ht="15.95">
      <c r="A567" s="65"/>
      <c r="B567" s="66" t="s">
        <v>48</v>
      </c>
      <c r="C567" s="66" t="s">
        <v>180</v>
      </c>
      <c r="D567" s="66"/>
      <c r="E567" s="66" t="s">
        <v>20</v>
      </c>
      <c r="F567" s="66" t="s">
        <v>184</v>
      </c>
      <c r="G567" s="66" t="s">
        <v>185</v>
      </c>
      <c r="H567" s="66"/>
      <c r="I567" s="66" t="s">
        <v>186</v>
      </c>
      <c r="J567" s="66"/>
      <c r="K567" s="66" t="s">
        <v>187</v>
      </c>
      <c r="L567" s="67">
        <v>2018</v>
      </c>
      <c r="M567" s="66" t="s">
        <v>188</v>
      </c>
      <c r="N567" s="66" t="s">
        <v>24</v>
      </c>
      <c r="O567" s="66" t="s">
        <v>54</v>
      </c>
      <c r="P567" s="66" t="s">
        <v>25</v>
      </c>
      <c r="Q567" s="80">
        <v>11646</v>
      </c>
      <c r="R567" s="80">
        <v>10978</v>
      </c>
      <c r="S567" s="80">
        <v>8799</v>
      </c>
      <c r="T567" s="81">
        <v>140</v>
      </c>
      <c r="U567" s="82" t="s">
        <v>62</v>
      </c>
      <c r="V567" s="83" t="s">
        <v>56</v>
      </c>
      <c r="W567" s="80">
        <v>9527336</v>
      </c>
      <c r="X567" s="68">
        <f t="shared" si="638"/>
        <v>818.07796668383992</v>
      </c>
      <c r="Y567" s="68">
        <f t="shared" si="639"/>
        <v>867.85716888322099</v>
      </c>
      <c r="Z567" s="68">
        <f t="shared" si="640"/>
        <v>1082.7748607796341</v>
      </c>
      <c r="AA567" s="68">
        <f t="shared" si="641"/>
        <v>68052.399999999994</v>
      </c>
      <c r="AB567" s="78" t="s">
        <v>73</v>
      </c>
      <c r="AC567" s="55"/>
      <c r="AD567" s="93">
        <f t="shared" ref="AD567" si="659">W567/AC562</f>
        <v>8.1230272171582296E-2</v>
      </c>
    </row>
    <row r="568" spans="1:30" s="32" customFormat="1" ht="15.95">
      <c r="A568" s="65"/>
      <c r="B568" s="66" t="s">
        <v>48</v>
      </c>
      <c r="C568" s="66" t="s">
        <v>180</v>
      </c>
      <c r="D568" s="66"/>
      <c r="E568" s="66" t="s">
        <v>20</v>
      </c>
      <c r="F568" s="66" t="s">
        <v>184</v>
      </c>
      <c r="G568" s="66" t="s">
        <v>185</v>
      </c>
      <c r="H568" s="66"/>
      <c r="I568" s="66" t="s">
        <v>186</v>
      </c>
      <c r="J568" s="66"/>
      <c r="K568" s="66" t="s">
        <v>187</v>
      </c>
      <c r="L568" s="67">
        <v>2018</v>
      </c>
      <c r="M568" s="66" t="s">
        <v>188</v>
      </c>
      <c r="N568" s="66" t="s">
        <v>24</v>
      </c>
      <c r="O568" s="66" t="s">
        <v>54</v>
      </c>
      <c r="P568" s="66" t="s">
        <v>25</v>
      </c>
      <c r="Q568" s="80">
        <v>11646</v>
      </c>
      <c r="R568" s="80">
        <v>10978</v>
      </c>
      <c r="S568" s="80">
        <v>8799</v>
      </c>
      <c r="T568" s="81">
        <v>140</v>
      </c>
      <c r="U568" s="82" t="s">
        <v>63</v>
      </c>
      <c r="V568" s="83" t="s">
        <v>56</v>
      </c>
      <c r="W568" s="80">
        <v>1758830</v>
      </c>
      <c r="X568" s="68">
        <f t="shared" si="638"/>
        <v>151.02438605529795</v>
      </c>
      <c r="Y568" s="68">
        <f t="shared" si="639"/>
        <v>160.21406449262162</v>
      </c>
      <c r="Z568" s="68">
        <f t="shared" si="640"/>
        <v>199.88976020002272</v>
      </c>
      <c r="AA568" s="68">
        <f t="shared" si="641"/>
        <v>12563.071428571429</v>
      </c>
      <c r="AB568" s="78" t="s">
        <v>73</v>
      </c>
      <c r="AC568" s="55"/>
      <c r="AD568" s="93">
        <f t="shared" ref="AD568" si="660">W568/AC562</f>
        <v>1.4995822505214898E-2</v>
      </c>
    </row>
    <row r="569" spans="1:30" s="32" customFormat="1" ht="15.95">
      <c r="A569" s="65"/>
      <c r="B569" s="66" t="s">
        <v>48</v>
      </c>
      <c r="C569" s="66" t="s">
        <v>180</v>
      </c>
      <c r="D569" s="66"/>
      <c r="E569" s="66" t="s">
        <v>20</v>
      </c>
      <c r="F569" s="66" t="s">
        <v>184</v>
      </c>
      <c r="G569" s="66" t="s">
        <v>185</v>
      </c>
      <c r="H569" s="66"/>
      <c r="I569" s="66" t="s">
        <v>186</v>
      </c>
      <c r="J569" s="66"/>
      <c r="K569" s="66" t="s">
        <v>187</v>
      </c>
      <c r="L569" s="67">
        <v>2018</v>
      </c>
      <c r="M569" s="66" t="s">
        <v>188</v>
      </c>
      <c r="N569" s="66" t="s">
        <v>24</v>
      </c>
      <c r="O569" s="66" t="s">
        <v>54</v>
      </c>
      <c r="P569" s="66" t="s">
        <v>25</v>
      </c>
      <c r="Q569" s="80">
        <v>11646</v>
      </c>
      <c r="R569" s="80">
        <v>10978</v>
      </c>
      <c r="S569" s="80">
        <v>8799</v>
      </c>
      <c r="T569" s="81">
        <v>140</v>
      </c>
      <c r="U569" s="82" t="s">
        <v>64</v>
      </c>
      <c r="V569" s="83" t="s">
        <v>56</v>
      </c>
      <c r="W569" s="80">
        <v>645000</v>
      </c>
      <c r="X569" s="68">
        <f t="shared" si="638"/>
        <v>55.383822771767129</v>
      </c>
      <c r="Y569" s="68">
        <f t="shared" si="639"/>
        <v>58.753871379121883</v>
      </c>
      <c r="Z569" s="68">
        <f t="shared" si="640"/>
        <v>73.303784520968293</v>
      </c>
      <c r="AA569" s="68">
        <f t="shared" si="641"/>
        <v>4607.1428571428569</v>
      </c>
      <c r="AB569" s="78" t="s">
        <v>73</v>
      </c>
      <c r="AC569" s="55"/>
      <c r="AD569" s="93">
        <f t="shared" ref="AD569" si="661">W569/AC562</f>
        <v>5.4992839079749658E-3</v>
      </c>
    </row>
    <row r="570" spans="1:30" s="32" customFormat="1" ht="15.95">
      <c r="A570" s="65"/>
      <c r="B570" s="66" t="s">
        <v>48</v>
      </c>
      <c r="C570" s="66" t="s">
        <v>180</v>
      </c>
      <c r="D570" s="66"/>
      <c r="E570" s="66" t="s">
        <v>20</v>
      </c>
      <c r="F570" s="66" t="s">
        <v>184</v>
      </c>
      <c r="G570" s="66" t="s">
        <v>185</v>
      </c>
      <c r="H570" s="66"/>
      <c r="I570" s="66" t="s">
        <v>186</v>
      </c>
      <c r="J570" s="66"/>
      <c r="K570" s="66" t="s">
        <v>187</v>
      </c>
      <c r="L570" s="67">
        <v>2018</v>
      </c>
      <c r="M570" s="66" t="s">
        <v>188</v>
      </c>
      <c r="N570" s="66" t="s">
        <v>24</v>
      </c>
      <c r="O570" s="66" t="s">
        <v>54</v>
      </c>
      <c r="P570" s="66" t="s">
        <v>25</v>
      </c>
      <c r="Q570" s="80">
        <v>11646</v>
      </c>
      <c r="R570" s="80">
        <v>10978</v>
      </c>
      <c r="S570" s="80">
        <v>8799</v>
      </c>
      <c r="T570" s="81">
        <v>140</v>
      </c>
      <c r="U570" s="82" t="s">
        <v>65</v>
      </c>
      <c r="V570" s="83" t="s">
        <v>56</v>
      </c>
      <c r="W570" s="80">
        <v>8617735</v>
      </c>
      <c r="X570" s="68">
        <f t="shared" si="638"/>
        <v>739.97381075047224</v>
      </c>
      <c r="Y570" s="68">
        <f t="shared" si="639"/>
        <v>785.00045545636726</v>
      </c>
      <c r="Z570" s="68">
        <f t="shared" si="640"/>
        <v>979.39936356404132</v>
      </c>
      <c r="AA570" s="68">
        <f t="shared" si="641"/>
        <v>61555.25</v>
      </c>
      <c r="AB570" s="78" t="s">
        <v>73</v>
      </c>
      <c r="AC570" s="55"/>
      <c r="AD570" s="93">
        <f t="shared" ref="AD570" si="662">W570/AC562</f>
        <v>7.3474994432081622E-2</v>
      </c>
    </row>
    <row r="571" spans="1:30" s="32" customFormat="1" ht="15.95">
      <c r="A571" s="65"/>
      <c r="B571" s="66" t="s">
        <v>48</v>
      </c>
      <c r="C571" s="66" t="s">
        <v>180</v>
      </c>
      <c r="D571" s="66"/>
      <c r="E571" s="66" t="s">
        <v>20</v>
      </c>
      <c r="F571" s="66" t="s">
        <v>184</v>
      </c>
      <c r="G571" s="66" t="s">
        <v>185</v>
      </c>
      <c r="H571" s="66"/>
      <c r="I571" s="66" t="s">
        <v>186</v>
      </c>
      <c r="J571" s="66"/>
      <c r="K571" s="66" t="s">
        <v>187</v>
      </c>
      <c r="L571" s="67">
        <v>2018</v>
      </c>
      <c r="M571" s="66" t="s">
        <v>188</v>
      </c>
      <c r="N571" s="66" t="s">
        <v>24</v>
      </c>
      <c r="O571" s="66" t="s">
        <v>54</v>
      </c>
      <c r="P571" s="66" t="s">
        <v>25</v>
      </c>
      <c r="Q571" s="80">
        <v>11646</v>
      </c>
      <c r="R571" s="80">
        <v>10978</v>
      </c>
      <c r="S571" s="80">
        <v>8799</v>
      </c>
      <c r="T571" s="81">
        <v>140</v>
      </c>
      <c r="U571" s="82" t="s">
        <v>66</v>
      </c>
      <c r="V571" s="83" t="s">
        <v>56</v>
      </c>
      <c r="W571" s="80">
        <v>17414723</v>
      </c>
      <c r="X571" s="68">
        <f t="shared" si="638"/>
        <v>1495.3394298471578</v>
      </c>
      <c r="Y571" s="68">
        <f t="shared" si="639"/>
        <v>1586.3292949535435</v>
      </c>
      <c r="Z571" s="68">
        <f t="shared" si="640"/>
        <v>1979.1707012160473</v>
      </c>
      <c r="AA571" s="68">
        <f t="shared" si="641"/>
        <v>124390.87857142858</v>
      </c>
      <c r="AB571" s="78" t="s">
        <v>73</v>
      </c>
      <c r="AC571" s="55"/>
      <c r="AD571" s="93">
        <f t="shared" ref="AD571" si="663">W571/AC562</f>
        <v>0.14847830380735119</v>
      </c>
    </row>
    <row r="572" spans="1:30" s="32" customFormat="1" ht="15.95">
      <c r="A572" s="65"/>
      <c r="B572" s="66" t="s">
        <v>48</v>
      </c>
      <c r="C572" s="66" t="s">
        <v>180</v>
      </c>
      <c r="D572" s="66"/>
      <c r="E572" s="66" t="s">
        <v>20</v>
      </c>
      <c r="F572" s="66" t="s">
        <v>184</v>
      </c>
      <c r="G572" s="66" t="s">
        <v>185</v>
      </c>
      <c r="H572" s="66"/>
      <c r="I572" s="66" t="s">
        <v>186</v>
      </c>
      <c r="J572" s="66"/>
      <c r="K572" s="66" t="s">
        <v>187</v>
      </c>
      <c r="L572" s="67">
        <v>2018</v>
      </c>
      <c r="M572" s="66" t="s">
        <v>188</v>
      </c>
      <c r="N572" s="66" t="s">
        <v>24</v>
      </c>
      <c r="O572" s="66" t="s">
        <v>54</v>
      </c>
      <c r="P572" s="66" t="s">
        <v>25</v>
      </c>
      <c r="Q572" s="80">
        <v>11646</v>
      </c>
      <c r="R572" s="80">
        <v>10978</v>
      </c>
      <c r="S572" s="80">
        <v>8799</v>
      </c>
      <c r="T572" s="81">
        <v>140</v>
      </c>
      <c r="U572" s="82" t="s">
        <v>67</v>
      </c>
      <c r="V572" s="83" t="s">
        <v>56</v>
      </c>
      <c r="W572" s="80">
        <v>726623</v>
      </c>
      <c r="X572" s="68">
        <f t="shared" si="638"/>
        <v>62.392495277348445</v>
      </c>
      <c r="Y572" s="68">
        <f t="shared" si="639"/>
        <v>66.1890143924212</v>
      </c>
      <c r="Z572" s="68">
        <f t="shared" si="640"/>
        <v>82.580179565859751</v>
      </c>
      <c r="AA572" s="68">
        <f t="shared" si="641"/>
        <v>5190.1642857142861</v>
      </c>
      <c r="AB572" s="78" t="s">
        <v>73</v>
      </c>
      <c r="AC572" s="55"/>
      <c r="AD572" s="93">
        <f t="shared" ref="AD572" si="664">W572/AC562</f>
        <v>6.1952033659914635E-3</v>
      </c>
    </row>
    <row r="573" spans="1:30" s="32" customFormat="1" ht="15.95">
      <c r="A573" s="65"/>
      <c r="B573" s="66" t="s">
        <v>48</v>
      </c>
      <c r="C573" s="66" t="s">
        <v>180</v>
      </c>
      <c r="D573" s="66"/>
      <c r="E573" s="66" t="s">
        <v>20</v>
      </c>
      <c r="F573" s="66" t="s">
        <v>184</v>
      </c>
      <c r="G573" s="66" t="s">
        <v>185</v>
      </c>
      <c r="H573" s="66"/>
      <c r="I573" s="66" t="s">
        <v>186</v>
      </c>
      <c r="J573" s="66"/>
      <c r="K573" s="66" t="s">
        <v>187</v>
      </c>
      <c r="L573" s="67">
        <v>2018</v>
      </c>
      <c r="M573" s="66" t="s">
        <v>188</v>
      </c>
      <c r="N573" s="66" t="s">
        <v>24</v>
      </c>
      <c r="O573" s="66" t="s">
        <v>54</v>
      </c>
      <c r="P573" s="66" t="s">
        <v>25</v>
      </c>
      <c r="Q573" s="80">
        <v>11646</v>
      </c>
      <c r="R573" s="80">
        <v>10978</v>
      </c>
      <c r="S573" s="80">
        <v>8799</v>
      </c>
      <c r="T573" s="81">
        <v>140</v>
      </c>
      <c r="U573" s="82" t="s">
        <v>68</v>
      </c>
      <c r="V573" s="83" t="s">
        <v>56</v>
      </c>
      <c r="W573" s="80">
        <v>15539594</v>
      </c>
      <c r="X573" s="68">
        <f t="shared" si="638"/>
        <v>1334.3288682809548</v>
      </c>
      <c r="Y573" s="68">
        <f t="shared" si="639"/>
        <v>1415.5214064492623</v>
      </c>
      <c r="Z573" s="68">
        <f t="shared" si="640"/>
        <v>1766.0636435958631</v>
      </c>
      <c r="AA573" s="68">
        <f t="shared" si="641"/>
        <v>110997.1</v>
      </c>
      <c r="AB573" s="78" t="s">
        <v>73</v>
      </c>
      <c r="AC573" s="55"/>
      <c r="AD573" s="93">
        <f t="shared" ref="AD573" si="665">W573/AC562</f>
        <v>0.13249091352040981</v>
      </c>
    </row>
    <row r="574" spans="1:30" s="32" customFormat="1" ht="15.95">
      <c r="A574" s="65"/>
      <c r="B574" s="66" t="s">
        <v>48</v>
      </c>
      <c r="C574" s="66" t="s">
        <v>180</v>
      </c>
      <c r="D574" s="66"/>
      <c r="E574" s="66" t="s">
        <v>20</v>
      </c>
      <c r="F574" s="66" t="s">
        <v>184</v>
      </c>
      <c r="G574" s="66" t="s">
        <v>185</v>
      </c>
      <c r="H574" s="66"/>
      <c r="I574" s="66" t="s">
        <v>186</v>
      </c>
      <c r="J574" s="66"/>
      <c r="K574" s="66" t="s">
        <v>187</v>
      </c>
      <c r="L574" s="67">
        <v>2018</v>
      </c>
      <c r="M574" s="66" t="s">
        <v>188</v>
      </c>
      <c r="N574" s="66" t="s">
        <v>24</v>
      </c>
      <c r="O574" s="66" t="s">
        <v>54</v>
      </c>
      <c r="P574" s="66" t="s">
        <v>25</v>
      </c>
      <c r="Q574" s="80">
        <v>11646</v>
      </c>
      <c r="R574" s="80">
        <v>10978</v>
      </c>
      <c r="S574" s="80">
        <v>8799</v>
      </c>
      <c r="T574" s="81">
        <v>140</v>
      </c>
      <c r="U574" s="82" t="s">
        <v>69</v>
      </c>
      <c r="V574" s="83" t="s">
        <v>56</v>
      </c>
      <c r="W574" s="80">
        <v>19199037</v>
      </c>
      <c r="X574" s="68">
        <f t="shared" si="638"/>
        <v>1648.552035033488</v>
      </c>
      <c r="Y574" s="68">
        <f t="shared" si="639"/>
        <v>1748.8647294589177</v>
      </c>
      <c r="Z574" s="68">
        <f t="shared" si="640"/>
        <v>2181.9566996249573</v>
      </c>
      <c r="AA574" s="68">
        <f t="shared" si="641"/>
        <v>137135.97857142857</v>
      </c>
      <c r="AB574" s="78" t="s">
        <v>73</v>
      </c>
      <c r="AC574" s="55"/>
      <c r="AD574" s="93">
        <f t="shared" ref="AD574" si="666">W574/AC562</f>
        <v>0.16369140344607128</v>
      </c>
    </row>
    <row r="575" spans="1:30" s="55" customFormat="1" ht="15" customHeight="1">
      <c r="A575" s="57"/>
      <c r="B575" s="58" t="s">
        <v>48</v>
      </c>
      <c r="C575" s="58" t="s">
        <v>180</v>
      </c>
      <c r="D575" s="58"/>
      <c r="E575" s="58" t="s">
        <v>20</v>
      </c>
      <c r="F575" s="58" t="s">
        <v>21</v>
      </c>
      <c r="G575" s="58" t="s">
        <v>189</v>
      </c>
      <c r="H575" s="58"/>
      <c r="I575" s="58" t="s">
        <v>190</v>
      </c>
      <c r="J575" s="58"/>
      <c r="K575" s="58" t="s">
        <v>191</v>
      </c>
      <c r="L575" s="59">
        <v>2018</v>
      </c>
      <c r="M575" s="58" t="s">
        <v>192</v>
      </c>
      <c r="N575" s="58" t="s">
        <v>24</v>
      </c>
      <c r="O575" s="58" t="s">
        <v>54</v>
      </c>
      <c r="P575" s="58" t="s">
        <v>25</v>
      </c>
      <c r="Q575" s="89">
        <v>13295</v>
      </c>
      <c r="R575" s="89">
        <v>12630</v>
      </c>
      <c r="S575" s="89">
        <v>8509</v>
      </c>
      <c r="T575" s="89">
        <v>152</v>
      </c>
      <c r="U575" s="86" t="s">
        <v>55</v>
      </c>
      <c r="V575" s="87" t="s">
        <v>56</v>
      </c>
      <c r="W575" s="84">
        <v>9930236</v>
      </c>
      <c r="X575" s="60">
        <f t="shared" si="638"/>
        <v>746.91508085746523</v>
      </c>
      <c r="Y575" s="60">
        <f t="shared" si="639"/>
        <v>786.24196357878066</v>
      </c>
      <c r="Z575" s="60">
        <f t="shared" si="640"/>
        <v>1167.0273827711835</v>
      </c>
      <c r="AA575" s="60">
        <f t="shared" si="641"/>
        <v>65330.5</v>
      </c>
      <c r="AB575" s="77" t="s">
        <v>73</v>
      </c>
      <c r="AC575" s="92">
        <f t="shared" ref="AC575" si="667">SUM(W575:W587)</f>
        <v>91818182</v>
      </c>
      <c r="AD575" s="93">
        <f t="shared" ref="AD575" si="668">W575/AC575</f>
        <v>0.10815108493435428</v>
      </c>
    </row>
    <row r="576" spans="1:30" s="55" customFormat="1" ht="15.95">
      <c r="A576" s="57"/>
      <c r="B576" s="58" t="s">
        <v>48</v>
      </c>
      <c r="C576" s="58" t="s">
        <v>180</v>
      </c>
      <c r="D576" s="58"/>
      <c r="E576" s="58" t="s">
        <v>20</v>
      </c>
      <c r="F576" s="58" t="s">
        <v>21</v>
      </c>
      <c r="G576" s="58" t="s">
        <v>189</v>
      </c>
      <c r="H576" s="58"/>
      <c r="I576" s="58" t="s">
        <v>190</v>
      </c>
      <c r="J576" s="58"/>
      <c r="K576" s="58" t="s">
        <v>191</v>
      </c>
      <c r="L576" s="59">
        <v>2018</v>
      </c>
      <c r="M576" s="58" t="s">
        <v>192</v>
      </c>
      <c r="N576" s="58" t="s">
        <v>24</v>
      </c>
      <c r="O576" s="58" t="s">
        <v>54</v>
      </c>
      <c r="P576" s="58" t="s">
        <v>25</v>
      </c>
      <c r="Q576" s="89">
        <v>13295</v>
      </c>
      <c r="R576" s="89">
        <v>12630</v>
      </c>
      <c r="S576" s="89">
        <v>8509</v>
      </c>
      <c r="T576" s="89">
        <v>152</v>
      </c>
      <c r="U576" s="86" t="s">
        <v>58</v>
      </c>
      <c r="V576" s="87" t="s">
        <v>56</v>
      </c>
      <c r="W576" s="84">
        <v>12061853</v>
      </c>
      <c r="X576" s="60">
        <f t="shared" si="638"/>
        <v>907.24731101918019</v>
      </c>
      <c r="Y576" s="60">
        <f t="shared" si="639"/>
        <v>955.01607284243869</v>
      </c>
      <c r="Z576" s="60">
        <f t="shared" si="640"/>
        <v>1417.5406040662829</v>
      </c>
      <c r="AA576" s="60">
        <f t="shared" si="641"/>
        <v>79354.296052631573</v>
      </c>
      <c r="AB576" s="77" t="s">
        <v>73</v>
      </c>
      <c r="AD576" s="93">
        <f t="shared" ref="AD576" si="669">W576/AC575</f>
        <v>0.13136671558145205</v>
      </c>
    </row>
    <row r="577" spans="1:30" s="55" customFormat="1" ht="15.95">
      <c r="A577" s="57"/>
      <c r="B577" s="58" t="s">
        <v>48</v>
      </c>
      <c r="C577" s="58" t="s">
        <v>180</v>
      </c>
      <c r="D577" s="58"/>
      <c r="E577" s="58" t="s">
        <v>20</v>
      </c>
      <c r="F577" s="58" t="s">
        <v>21</v>
      </c>
      <c r="G577" s="58" t="s">
        <v>189</v>
      </c>
      <c r="H577" s="58"/>
      <c r="I577" s="58" t="s">
        <v>190</v>
      </c>
      <c r="J577" s="58"/>
      <c r="K577" s="58" t="s">
        <v>191</v>
      </c>
      <c r="L577" s="59">
        <v>2018</v>
      </c>
      <c r="M577" s="58" t="s">
        <v>192</v>
      </c>
      <c r="N577" s="58" t="s">
        <v>24</v>
      </c>
      <c r="O577" s="58" t="s">
        <v>54</v>
      </c>
      <c r="P577" s="58" t="s">
        <v>25</v>
      </c>
      <c r="Q577" s="89">
        <v>13295</v>
      </c>
      <c r="R577" s="89">
        <v>12630</v>
      </c>
      <c r="S577" s="89">
        <v>8509</v>
      </c>
      <c r="T577" s="89">
        <v>152</v>
      </c>
      <c r="U577" s="86" t="s">
        <v>59</v>
      </c>
      <c r="V577" s="87" t="s">
        <v>56</v>
      </c>
      <c r="W577" s="84">
        <v>7013601</v>
      </c>
      <c r="X577" s="60">
        <f t="shared" si="638"/>
        <v>527.53674313651754</v>
      </c>
      <c r="Y577" s="60">
        <f t="shared" si="639"/>
        <v>555.31282660332545</v>
      </c>
      <c r="Z577" s="60">
        <f t="shared" si="640"/>
        <v>824.25678693148427</v>
      </c>
      <c r="AA577" s="60">
        <f t="shared" si="641"/>
        <v>46142.11184210526</v>
      </c>
      <c r="AB577" s="77" t="s">
        <v>73</v>
      </c>
      <c r="AD577" s="93">
        <f t="shared" ref="AD577" si="670">W577/AC575</f>
        <v>7.6385753314087618E-2</v>
      </c>
    </row>
    <row r="578" spans="1:30" s="55" customFormat="1" ht="15.95">
      <c r="A578" s="57"/>
      <c r="B578" s="58" t="s">
        <v>48</v>
      </c>
      <c r="C578" s="58" t="s">
        <v>180</v>
      </c>
      <c r="D578" s="58"/>
      <c r="E578" s="58" t="s">
        <v>20</v>
      </c>
      <c r="F578" s="58" t="s">
        <v>21</v>
      </c>
      <c r="G578" s="58" t="s">
        <v>189</v>
      </c>
      <c r="H578" s="58"/>
      <c r="I578" s="58" t="s">
        <v>190</v>
      </c>
      <c r="J578" s="58"/>
      <c r="K578" s="58" t="s">
        <v>191</v>
      </c>
      <c r="L578" s="59">
        <v>2018</v>
      </c>
      <c r="M578" s="58" t="s">
        <v>192</v>
      </c>
      <c r="N578" s="58" t="s">
        <v>24</v>
      </c>
      <c r="O578" s="58" t="s">
        <v>54</v>
      </c>
      <c r="P578" s="58" t="s">
        <v>25</v>
      </c>
      <c r="Q578" s="89">
        <v>13295</v>
      </c>
      <c r="R578" s="89">
        <v>12630</v>
      </c>
      <c r="S578" s="89">
        <v>8509</v>
      </c>
      <c r="T578" s="89">
        <v>152</v>
      </c>
      <c r="U578" s="86" t="s">
        <v>60</v>
      </c>
      <c r="V578" s="87" t="s">
        <v>56</v>
      </c>
      <c r="W578" s="84">
        <v>3322327</v>
      </c>
      <c r="X578" s="60">
        <f t="shared" si="638"/>
        <v>249.89296728093268</v>
      </c>
      <c r="Y578" s="60">
        <f t="shared" si="639"/>
        <v>263.05043547110057</v>
      </c>
      <c r="Z578" s="60">
        <f t="shared" si="640"/>
        <v>390.44858385239161</v>
      </c>
      <c r="AA578" s="60">
        <f t="shared" si="641"/>
        <v>21857.41447368421</v>
      </c>
      <c r="AB578" s="77" t="s">
        <v>73</v>
      </c>
      <c r="AD578" s="93">
        <f t="shared" ref="AD578" si="671">W578/AC575</f>
        <v>3.6183759334289585E-2</v>
      </c>
    </row>
    <row r="579" spans="1:30" s="55" customFormat="1" ht="15.95">
      <c r="A579" s="57"/>
      <c r="B579" s="58" t="s">
        <v>48</v>
      </c>
      <c r="C579" s="58" t="s">
        <v>180</v>
      </c>
      <c r="D579" s="58"/>
      <c r="E579" s="58" t="s">
        <v>20</v>
      </c>
      <c r="F579" s="58" t="s">
        <v>21</v>
      </c>
      <c r="G579" s="58" t="s">
        <v>189</v>
      </c>
      <c r="H579" s="58"/>
      <c r="I579" s="58" t="s">
        <v>190</v>
      </c>
      <c r="J579" s="58"/>
      <c r="K579" s="58" t="s">
        <v>191</v>
      </c>
      <c r="L579" s="59">
        <v>2018</v>
      </c>
      <c r="M579" s="58" t="s">
        <v>192</v>
      </c>
      <c r="N579" s="58" t="s">
        <v>24</v>
      </c>
      <c r="O579" s="58" t="s">
        <v>54</v>
      </c>
      <c r="P579" s="58" t="s">
        <v>25</v>
      </c>
      <c r="Q579" s="89">
        <v>13295</v>
      </c>
      <c r="R579" s="89">
        <v>12630</v>
      </c>
      <c r="S579" s="89">
        <v>8509</v>
      </c>
      <c r="T579" s="89">
        <v>152</v>
      </c>
      <c r="U579" s="86" t="s">
        <v>61</v>
      </c>
      <c r="V579" s="87" t="s">
        <v>56</v>
      </c>
      <c r="W579" s="84">
        <v>6569673</v>
      </c>
      <c r="X579" s="60">
        <f t="shared" si="638"/>
        <v>494.14614516735617</v>
      </c>
      <c r="Y579" s="60">
        <f t="shared" si="639"/>
        <v>520.16413301662703</v>
      </c>
      <c r="Z579" s="60">
        <f t="shared" si="640"/>
        <v>772.08520390175113</v>
      </c>
      <c r="AA579" s="60">
        <f t="shared" si="641"/>
        <v>43221.53289473684</v>
      </c>
      <c r="AB579" s="77" t="s">
        <v>73</v>
      </c>
      <c r="AD579" s="93">
        <f t="shared" ref="AD579" si="672">W579/AC575</f>
        <v>7.1550893917721001E-2</v>
      </c>
    </row>
    <row r="580" spans="1:30" s="55" customFormat="1" ht="15.95">
      <c r="A580" s="57"/>
      <c r="B580" s="58" t="s">
        <v>48</v>
      </c>
      <c r="C580" s="58" t="s">
        <v>180</v>
      </c>
      <c r="D580" s="58"/>
      <c r="E580" s="58" t="s">
        <v>20</v>
      </c>
      <c r="F580" s="58" t="s">
        <v>21</v>
      </c>
      <c r="G580" s="58" t="s">
        <v>189</v>
      </c>
      <c r="H580" s="58"/>
      <c r="I580" s="58" t="s">
        <v>190</v>
      </c>
      <c r="J580" s="58"/>
      <c r="K580" s="58" t="s">
        <v>191</v>
      </c>
      <c r="L580" s="59">
        <v>2018</v>
      </c>
      <c r="M580" s="58" t="s">
        <v>192</v>
      </c>
      <c r="N580" s="58" t="s">
        <v>24</v>
      </c>
      <c r="O580" s="58" t="s">
        <v>54</v>
      </c>
      <c r="P580" s="58" t="s">
        <v>25</v>
      </c>
      <c r="Q580" s="89">
        <v>13295</v>
      </c>
      <c r="R580" s="89">
        <v>12630</v>
      </c>
      <c r="S580" s="89">
        <v>8509</v>
      </c>
      <c r="T580" s="89">
        <v>152</v>
      </c>
      <c r="U580" s="86" t="s">
        <v>62</v>
      </c>
      <c r="V580" s="87" t="s">
        <v>56</v>
      </c>
      <c r="W580" s="84">
        <v>1945380</v>
      </c>
      <c r="X580" s="60">
        <f t="shared" si="638"/>
        <v>146.32418202331704</v>
      </c>
      <c r="Y580" s="60">
        <f t="shared" si="639"/>
        <v>154.02850356294536</v>
      </c>
      <c r="Z580" s="60">
        <f t="shared" si="640"/>
        <v>228.62616053590315</v>
      </c>
      <c r="AA580" s="60">
        <f t="shared" si="641"/>
        <v>12798.552631578947</v>
      </c>
      <c r="AB580" s="77" t="s">
        <v>73</v>
      </c>
      <c r="AD580" s="93">
        <f t="shared" ref="AD580" si="673">W580/AC575</f>
        <v>2.1187306888738006E-2</v>
      </c>
    </row>
    <row r="581" spans="1:30" s="55" customFormat="1" ht="15.95">
      <c r="A581" s="57"/>
      <c r="B581" s="58" t="s">
        <v>48</v>
      </c>
      <c r="C581" s="58" t="s">
        <v>180</v>
      </c>
      <c r="D581" s="58"/>
      <c r="E581" s="58" t="s">
        <v>20</v>
      </c>
      <c r="F581" s="58" t="s">
        <v>21</v>
      </c>
      <c r="G581" s="58" t="s">
        <v>189</v>
      </c>
      <c r="H581" s="58"/>
      <c r="I581" s="58" t="s">
        <v>190</v>
      </c>
      <c r="J581" s="58"/>
      <c r="K581" s="58" t="s">
        <v>191</v>
      </c>
      <c r="L581" s="59">
        <v>2018</v>
      </c>
      <c r="M581" s="58" t="s">
        <v>192</v>
      </c>
      <c r="N581" s="58" t="s">
        <v>24</v>
      </c>
      <c r="O581" s="58" t="s">
        <v>54</v>
      </c>
      <c r="P581" s="58" t="s">
        <v>25</v>
      </c>
      <c r="Q581" s="89">
        <v>13295</v>
      </c>
      <c r="R581" s="89">
        <v>12630</v>
      </c>
      <c r="S581" s="89">
        <v>8509</v>
      </c>
      <c r="T581" s="89">
        <v>152</v>
      </c>
      <c r="U581" s="86" t="s">
        <v>63</v>
      </c>
      <c r="V581" s="87" t="s">
        <v>56</v>
      </c>
      <c r="W581" s="84">
        <v>1272625</v>
      </c>
      <c r="X581" s="60">
        <f t="shared" si="638"/>
        <v>95.722075968409172</v>
      </c>
      <c r="Y581" s="60">
        <f t="shared" si="639"/>
        <v>100.76207442596991</v>
      </c>
      <c r="Z581" s="60">
        <f t="shared" si="640"/>
        <v>149.56222822893406</v>
      </c>
      <c r="AA581" s="60">
        <f t="shared" si="641"/>
        <v>8372.5328947368416</v>
      </c>
      <c r="AB581" s="77" t="s">
        <v>73</v>
      </c>
      <c r="AD581" s="93">
        <f t="shared" ref="AD581" si="674">W581/AC575</f>
        <v>1.386027224978164E-2</v>
      </c>
    </row>
    <row r="582" spans="1:30" s="55" customFormat="1" ht="15.95">
      <c r="A582" s="57"/>
      <c r="B582" s="58" t="s">
        <v>48</v>
      </c>
      <c r="C582" s="58" t="s">
        <v>180</v>
      </c>
      <c r="D582" s="58"/>
      <c r="E582" s="58" t="s">
        <v>20</v>
      </c>
      <c r="F582" s="58" t="s">
        <v>21</v>
      </c>
      <c r="G582" s="58" t="s">
        <v>189</v>
      </c>
      <c r="H582" s="58"/>
      <c r="I582" s="58" t="s">
        <v>190</v>
      </c>
      <c r="J582" s="58"/>
      <c r="K582" s="58" t="s">
        <v>191</v>
      </c>
      <c r="L582" s="59">
        <v>2018</v>
      </c>
      <c r="M582" s="58" t="s">
        <v>192</v>
      </c>
      <c r="N582" s="58" t="s">
        <v>24</v>
      </c>
      <c r="O582" s="58" t="s">
        <v>54</v>
      </c>
      <c r="P582" s="58" t="s">
        <v>25</v>
      </c>
      <c r="Q582" s="89">
        <v>13295</v>
      </c>
      <c r="R582" s="89">
        <v>12630</v>
      </c>
      <c r="S582" s="89">
        <v>8509</v>
      </c>
      <c r="T582" s="89">
        <v>152</v>
      </c>
      <c r="U582" s="86" t="s">
        <v>64</v>
      </c>
      <c r="V582" s="87" t="s">
        <v>56</v>
      </c>
      <c r="W582" s="84">
        <v>5936000</v>
      </c>
      <c r="X582" s="60">
        <f t="shared" si="638"/>
        <v>446.48364046634072</v>
      </c>
      <c r="Y582" s="60">
        <f t="shared" si="639"/>
        <v>469.99208234362629</v>
      </c>
      <c r="Z582" s="60">
        <f t="shared" si="640"/>
        <v>697.61429075096953</v>
      </c>
      <c r="AA582" s="60">
        <f t="shared" si="641"/>
        <v>39052.631578947367</v>
      </c>
      <c r="AB582" s="77" t="s">
        <v>73</v>
      </c>
      <c r="AD582" s="93">
        <f t="shared" ref="AD582" si="675">W582/AC575</f>
        <v>6.4649504822476223E-2</v>
      </c>
    </row>
    <row r="583" spans="1:30" s="55" customFormat="1" ht="15.95">
      <c r="A583" s="57"/>
      <c r="B583" s="58" t="s">
        <v>48</v>
      </c>
      <c r="C583" s="58" t="s">
        <v>180</v>
      </c>
      <c r="D583" s="58"/>
      <c r="E583" s="58" t="s">
        <v>20</v>
      </c>
      <c r="F583" s="58" t="s">
        <v>21</v>
      </c>
      <c r="G583" s="58" t="s">
        <v>189</v>
      </c>
      <c r="H583" s="58"/>
      <c r="I583" s="58" t="s">
        <v>190</v>
      </c>
      <c r="J583" s="58"/>
      <c r="K583" s="58" t="s">
        <v>191</v>
      </c>
      <c r="L583" s="59">
        <v>2018</v>
      </c>
      <c r="M583" s="58" t="s">
        <v>192</v>
      </c>
      <c r="N583" s="58" t="s">
        <v>24</v>
      </c>
      <c r="O583" s="58" t="s">
        <v>54</v>
      </c>
      <c r="P583" s="58" t="s">
        <v>25</v>
      </c>
      <c r="Q583" s="89">
        <v>13295</v>
      </c>
      <c r="R583" s="89">
        <v>12630</v>
      </c>
      <c r="S583" s="89">
        <v>8509</v>
      </c>
      <c r="T583" s="89">
        <v>152</v>
      </c>
      <c r="U583" s="86" t="s">
        <v>65</v>
      </c>
      <c r="V583" s="87" t="s">
        <v>56</v>
      </c>
      <c r="W583" s="84">
        <v>17028863</v>
      </c>
      <c r="X583" s="60">
        <f t="shared" si="638"/>
        <v>1280.8471605866866</v>
      </c>
      <c r="Y583" s="60">
        <f t="shared" si="639"/>
        <v>1348.2868566904197</v>
      </c>
      <c r="Z583" s="60">
        <f t="shared" si="640"/>
        <v>2001.2766482547891</v>
      </c>
      <c r="AA583" s="60">
        <f t="shared" si="641"/>
        <v>112031.99342105263</v>
      </c>
      <c r="AB583" s="77" t="s">
        <v>73</v>
      </c>
      <c r="AD583" s="93">
        <f t="shared" ref="AD583" si="676">W583/AC575</f>
        <v>0.18546286398918244</v>
      </c>
    </row>
    <row r="584" spans="1:30" s="55" customFormat="1" ht="15.95">
      <c r="A584" s="57"/>
      <c r="B584" s="58" t="s">
        <v>48</v>
      </c>
      <c r="C584" s="58" t="s">
        <v>180</v>
      </c>
      <c r="D584" s="58"/>
      <c r="E584" s="58" t="s">
        <v>20</v>
      </c>
      <c r="F584" s="58" t="s">
        <v>21</v>
      </c>
      <c r="G584" s="58" t="s">
        <v>189</v>
      </c>
      <c r="H584" s="58"/>
      <c r="I584" s="58" t="s">
        <v>190</v>
      </c>
      <c r="J584" s="58"/>
      <c r="K584" s="58" t="s">
        <v>191</v>
      </c>
      <c r="L584" s="59">
        <v>2018</v>
      </c>
      <c r="M584" s="58" t="s">
        <v>192</v>
      </c>
      <c r="N584" s="58" t="s">
        <v>24</v>
      </c>
      <c r="O584" s="58" t="s">
        <v>54</v>
      </c>
      <c r="P584" s="58" t="s">
        <v>25</v>
      </c>
      <c r="Q584" s="89">
        <v>13295</v>
      </c>
      <c r="R584" s="89">
        <v>12630</v>
      </c>
      <c r="S584" s="89">
        <v>8509</v>
      </c>
      <c r="T584" s="89">
        <v>152</v>
      </c>
      <c r="U584" s="86" t="s">
        <v>66</v>
      </c>
      <c r="V584" s="87" t="s">
        <v>56</v>
      </c>
      <c r="W584" s="84">
        <v>12244977</v>
      </c>
      <c r="X584" s="60">
        <f t="shared" si="638"/>
        <v>921.02121098157204</v>
      </c>
      <c r="Y584" s="60">
        <f t="shared" si="639"/>
        <v>969.51520190023757</v>
      </c>
      <c r="Z584" s="60">
        <f t="shared" si="640"/>
        <v>1439.0618168997532</v>
      </c>
      <c r="AA584" s="60">
        <f t="shared" si="641"/>
        <v>80559.05921052632</v>
      </c>
      <c r="AB584" s="77" t="s">
        <v>73</v>
      </c>
      <c r="AD584" s="93">
        <f t="shared" ref="AD584" si="677">W584/AC575</f>
        <v>0.13336113537948291</v>
      </c>
    </row>
    <row r="585" spans="1:30" s="55" customFormat="1" ht="15.95">
      <c r="A585" s="57"/>
      <c r="B585" s="58" t="s">
        <v>48</v>
      </c>
      <c r="C585" s="58" t="s">
        <v>180</v>
      </c>
      <c r="D585" s="58"/>
      <c r="E585" s="58" t="s">
        <v>20</v>
      </c>
      <c r="F585" s="58" t="s">
        <v>21</v>
      </c>
      <c r="G585" s="58" t="s">
        <v>189</v>
      </c>
      <c r="H585" s="58"/>
      <c r="I585" s="58" t="s">
        <v>190</v>
      </c>
      <c r="J585" s="58"/>
      <c r="K585" s="58" t="s">
        <v>191</v>
      </c>
      <c r="L585" s="59">
        <v>2018</v>
      </c>
      <c r="M585" s="58" t="s">
        <v>192</v>
      </c>
      <c r="N585" s="58" t="s">
        <v>24</v>
      </c>
      <c r="O585" s="58" t="s">
        <v>54</v>
      </c>
      <c r="P585" s="58" t="s">
        <v>25</v>
      </c>
      <c r="Q585" s="89">
        <v>13295</v>
      </c>
      <c r="R585" s="89">
        <v>12630</v>
      </c>
      <c r="S585" s="89">
        <v>8509</v>
      </c>
      <c r="T585" s="89">
        <v>152</v>
      </c>
      <c r="U585" s="86" t="s">
        <v>67</v>
      </c>
      <c r="V585" s="87" t="s">
        <v>56</v>
      </c>
      <c r="W585" s="84">
        <v>2014502</v>
      </c>
      <c r="X585" s="60">
        <f t="shared" si="638"/>
        <v>151.52327942835652</v>
      </c>
      <c r="Y585" s="60">
        <f t="shared" si="639"/>
        <v>159.50134600158353</v>
      </c>
      <c r="Z585" s="60">
        <f t="shared" si="640"/>
        <v>236.74955929016335</v>
      </c>
      <c r="AA585" s="60">
        <f t="shared" si="641"/>
        <v>13253.302631578947</v>
      </c>
      <c r="AB585" s="77" t="s">
        <v>73</v>
      </c>
      <c r="AD585" s="93">
        <f t="shared" ref="AD585" si="678">W585/AC575</f>
        <v>2.1940120748633423E-2</v>
      </c>
    </row>
    <row r="586" spans="1:30" s="55" customFormat="1" ht="15.95">
      <c r="A586" s="57"/>
      <c r="B586" s="58" t="s">
        <v>48</v>
      </c>
      <c r="C586" s="58" t="s">
        <v>180</v>
      </c>
      <c r="D586" s="58"/>
      <c r="E586" s="58" t="s">
        <v>20</v>
      </c>
      <c r="F586" s="58" t="s">
        <v>21</v>
      </c>
      <c r="G586" s="58" t="s">
        <v>189</v>
      </c>
      <c r="H586" s="58"/>
      <c r="I586" s="58" t="s">
        <v>190</v>
      </c>
      <c r="J586" s="58"/>
      <c r="K586" s="58" t="s">
        <v>191</v>
      </c>
      <c r="L586" s="59">
        <v>2018</v>
      </c>
      <c r="M586" s="58" t="s">
        <v>192</v>
      </c>
      <c r="N586" s="58" t="s">
        <v>24</v>
      </c>
      <c r="O586" s="58" t="s">
        <v>54</v>
      </c>
      <c r="P586" s="58" t="s">
        <v>25</v>
      </c>
      <c r="Q586" s="89">
        <v>13295</v>
      </c>
      <c r="R586" s="89">
        <v>12630</v>
      </c>
      <c r="S586" s="89">
        <v>8509</v>
      </c>
      <c r="T586" s="89">
        <v>152</v>
      </c>
      <c r="U586" s="86" t="s">
        <v>68</v>
      </c>
      <c r="V586" s="87" t="s">
        <v>56</v>
      </c>
      <c r="W586" s="84">
        <v>3449274</v>
      </c>
      <c r="X586" s="60">
        <f t="shared" si="638"/>
        <v>259.44144415193682</v>
      </c>
      <c r="Y586" s="60">
        <f t="shared" si="639"/>
        <v>273.1016627078385</v>
      </c>
      <c r="Z586" s="60">
        <f t="shared" si="640"/>
        <v>405.3677282876954</v>
      </c>
      <c r="AA586" s="60">
        <f t="shared" si="641"/>
        <v>22692.592105263157</v>
      </c>
      <c r="AB586" s="77" t="s">
        <v>73</v>
      </c>
      <c r="AD586" s="93">
        <f t="shared" ref="AD586" si="679">W586/AC575</f>
        <v>3.7566350420660692E-2</v>
      </c>
    </row>
    <row r="587" spans="1:30" s="55" customFormat="1" ht="15.95">
      <c r="A587" s="57"/>
      <c r="B587" s="58" t="s">
        <v>48</v>
      </c>
      <c r="C587" s="58" t="s">
        <v>180</v>
      </c>
      <c r="D587" s="58"/>
      <c r="E587" s="58" t="s">
        <v>20</v>
      </c>
      <c r="F587" s="58" t="s">
        <v>21</v>
      </c>
      <c r="G587" s="58" t="s">
        <v>189</v>
      </c>
      <c r="H587" s="58"/>
      <c r="I587" s="58" t="s">
        <v>190</v>
      </c>
      <c r="J587" s="58"/>
      <c r="K587" s="58" t="s">
        <v>191</v>
      </c>
      <c r="L587" s="59">
        <v>2018</v>
      </c>
      <c r="M587" s="58" t="s">
        <v>192</v>
      </c>
      <c r="N587" s="58" t="s">
        <v>24</v>
      </c>
      <c r="O587" s="58" t="s">
        <v>54</v>
      </c>
      <c r="P587" s="58" t="s">
        <v>25</v>
      </c>
      <c r="Q587" s="89">
        <v>13295</v>
      </c>
      <c r="R587" s="89">
        <v>12630</v>
      </c>
      <c r="S587" s="89">
        <v>8509</v>
      </c>
      <c r="T587" s="89">
        <v>152</v>
      </c>
      <c r="U587" s="86" t="s">
        <v>69</v>
      </c>
      <c r="V587" s="87" t="s">
        <v>56</v>
      </c>
      <c r="W587" s="84">
        <v>9028871</v>
      </c>
      <c r="X587" s="60">
        <f t="shared" si="638"/>
        <v>679.1177886423468</v>
      </c>
      <c r="Y587" s="60">
        <f t="shared" si="639"/>
        <v>714.87498020585906</v>
      </c>
      <c r="Z587" s="60">
        <f t="shared" si="640"/>
        <v>1061.0966035961922</v>
      </c>
      <c r="AA587" s="60">
        <f t="shared" si="641"/>
        <v>59400.46710526316</v>
      </c>
      <c r="AB587" s="77" t="s">
        <v>73</v>
      </c>
      <c r="AD587" s="93">
        <f t="shared" ref="AD587" si="680">W587/AC575</f>
        <v>9.8334238419140116E-2</v>
      </c>
    </row>
    <row r="588" spans="1:30" s="32" customFormat="1" ht="15" customHeight="1">
      <c r="A588" s="65"/>
      <c r="B588" s="66" t="s">
        <v>48</v>
      </c>
      <c r="C588" s="66" t="s">
        <v>193</v>
      </c>
      <c r="D588" s="66"/>
      <c r="E588" s="66" t="s">
        <v>20</v>
      </c>
      <c r="F588" s="66" t="s">
        <v>21</v>
      </c>
      <c r="G588" s="66" t="s">
        <v>50</v>
      </c>
      <c r="H588" s="66"/>
      <c r="I588" s="66" t="s">
        <v>194</v>
      </c>
      <c r="J588" s="66"/>
      <c r="K588" s="66" t="s">
        <v>195</v>
      </c>
      <c r="L588" s="67">
        <v>2016</v>
      </c>
      <c r="M588" s="66" t="s">
        <v>196</v>
      </c>
      <c r="N588" s="66" t="s">
        <v>24</v>
      </c>
      <c r="O588" s="66" t="s">
        <v>54</v>
      </c>
      <c r="P588" s="66" t="s">
        <v>25</v>
      </c>
      <c r="Q588" s="80">
        <v>139576</v>
      </c>
      <c r="R588" s="80">
        <v>124470</v>
      </c>
      <c r="S588" s="80">
        <v>78184</v>
      </c>
      <c r="T588" s="90"/>
      <c r="U588" s="82" t="s">
        <v>55</v>
      </c>
      <c r="V588" s="83" t="s">
        <v>56</v>
      </c>
      <c r="W588" s="80">
        <v>70868814</v>
      </c>
      <c r="X588" s="68">
        <f t="shared" si="638"/>
        <v>507.74355190004013</v>
      </c>
      <c r="Y588" s="68">
        <f t="shared" si="639"/>
        <v>569.36461798023618</v>
      </c>
      <c r="Z588" s="68">
        <f t="shared" si="640"/>
        <v>906.43627852245982</v>
      </c>
      <c r="AA588" s="68">
        <v>0</v>
      </c>
      <c r="AB588" s="78" t="s">
        <v>73</v>
      </c>
      <c r="AC588" s="92">
        <f t="shared" ref="AC588" si="681">SUM(W588:W600)</f>
        <v>466000000</v>
      </c>
      <c r="AD588" s="93">
        <f t="shared" ref="AD588" si="682">W588/AC588</f>
        <v>0.15207899999999999</v>
      </c>
    </row>
    <row r="589" spans="1:30" s="32" customFormat="1" ht="15.95">
      <c r="A589" s="65"/>
      <c r="B589" s="66" t="s">
        <v>48</v>
      </c>
      <c r="C589" s="66" t="s">
        <v>193</v>
      </c>
      <c r="D589" s="66"/>
      <c r="E589" s="66" t="s">
        <v>20</v>
      </c>
      <c r="F589" s="66" t="s">
        <v>21</v>
      </c>
      <c r="G589" s="66" t="s">
        <v>50</v>
      </c>
      <c r="H589" s="66"/>
      <c r="I589" s="66" t="s">
        <v>194</v>
      </c>
      <c r="J589" s="66"/>
      <c r="K589" s="66" t="s">
        <v>195</v>
      </c>
      <c r="L589" s="67">
        <v>2016</v>
      </c>
      <c r="M589" s="66" t="s">
        <v>196</v>
      </c>
      <c r="N589" s="66" t="s">
        <v>24</v>
      </c>
      <c r="O589" s="66" t="s">
        <v>54</v>
      </c>
      <c r="P589" s="66" t="s">
        <v>25</v>
      </c>
      <c r="Q589" s="80">
        <v>139576</v>
      </c>
      <c r="R589" s="80">
        <v>124470</v>
      </c>
      <c r="S589" s="80">
        <v>78184</v>
      </c>
      <c r="T589" s="90"/>
      <c r="U589" s="82" t="s">
        <v>58</v>
      </c>
      <c r="V589" s="83" t="s">
        <v>56</v>
      </c>
      <c r="W589" s="80">
        <v>119922805</v>
      </c>
      <c r="X589" s="68">
        <f t="shared" si="638"/>
        <v>859.19359345446207</v>
      </c>
      <c r="Y589" s="68">
        <f t="shared" si="639"/>
        <v>963.46754237968992</v>
      </c>
      <c r="Z589" s="68">
        <f t="shared" si="640"/>
        <v>1533.8535378082472</v>
      </c>
      <c r="AA589" s="68">
        <v>0</v>
      </c>
      <c r="AB589" s="78" t="s">
        <v>73</v>
      </c>
      <c r="AC589" s="55"/>
      <c r="AD589" s="93">
        <f t="shared" ref="AD589" si="683">W589/AC588</f>
        <v>0.25734507510729615</v>
      </c>
    </row>
    <row r="590" spans="1:30" s="32" customFormat="1" ht="15.95">
      <c r="A590" s="65"/>
      <c r="B590" s="66" t="s">
        <v>48</v>
      </c>
      <c r="C590" s="66" t="s">
        <v>193</v>
      </c>
      <c r="D590" s="66"/>
      <c r="E590" s="66" t="s">
        <v>20</v>
      </c>
      <c r="F590" s="66" t="s">
        <v>21</v>
      </c>
      <c r="G590" s="66" t="s">
        <v>50</v>
      </c>
      <c r="H590" s="66"/>
      <c r="I590" s="66" t="s">
        <v>194</v>
      </c>
      <c r="J590" s="66"/>
      <c r="K590" s="66" t="s">
        <v>195</v>
      </c>
      <c r="L590" s="67">
        <v>2016</v>
      </c>
      <c r="M590" s="66" t="s">
        <v>196</v>
      </c>
      <c r="N590" s="66" t="s">
        <v>24</v>
      </c>
      <c r="O590" s="66" t="s">
        <v>54</v>
      </c>
      <c r="P590" s="66" t="s">
        <v>25</v>
      </c>
      <c r="Q590" s="80">
        <v>139576</v>
      </c>
      <c r="R590" s="80">
        <v>124470</v>
      </c>
      <c r="S590" s="80">
        <v>78184</v>
      </c>
      <c r="T590" s="90"/>
      <c r="U590" s="82" t="s">
        <v>59</v>
      </c>
      <c r="V590" s="83" t="s">
        <v>56</v>
      </c>
      <c r="W590" s="80">
        <v>38920379</v>
      </c>
      <c r="X590" s="68">
        <f t="shared" si="638"/>
        <v>278.84721585372841</v>
      </c>
      <c r="Y590" s="68">
        <f t="shared" si="639"/>
        <v>312.68883265043786</v>
      </c>
      <c r="Z590" s="68">
        <f t="shared" si="640"/>
        <v>497.80490893277397</v>
      </c>
      <c r="AA590" s="68">
        <v>0</v>
      </c>
      <c r="AB590" s="78" t="s">
        <v>73</v>
      </c>
      <c r="AC590" s="55"/>
      <c r="AD590" s="93">
        <f t="shared" ref="AD590" si="684">W590/AC588</f>
        <v>8.3520126609442066E-2</v>
      </c>
    </row>
    <row r="591" spans="1:30" s="32" customFormat="1" ht="15.95">
      <c r="A591" s="65"/>
      <c r="B591" s="66" t="s">
        <v>48</v>
      </c>
      <c r="C591" s="66" t="s">
        <v>193</v>
      </c>
      <c r="D591" s="66"/>
      <c r="E591" s="66" t="s">
        <v>20</v>
      </c>
      <c r="F591" s="66" t="s">
        <v>21</v>
      </c>
      <c r="G591" s="66" t="s">
        <v>50</v>
      </c>
      <c r="H591" s="66"/>
      <c r="I591" s="66" t="s">
        <v>194</v>
      </c>
      <c r="J591" s="66"/>
      <c r="K591" s="66" t="s">
        <v>195</v>
      </c>
      <c r="L591" s="67">
        <v>2016</v>
      </c>
      <c r="M591" s="66" t="s">
        <v>196</v>
      </c>
      <c r="N591" s="66" t="s">
        <v>24</v>
      </c>
      <c r="O591" s="66" t="s">
        <v>54</v>
      </c>
      <c r="P591" s="66" t="s">
        <v>25</v>
      </c>
      <c r="Q591" s="80">
        <v>139576</v>
      </c>
      <c r="R591" s="80">
        <v>124470</v>
      </c>
      <c r="S591" s="80">
        <v>78184</v>
      </c>
      <c r="T591" s="90"/>
      <c r="U591" s="82" t="s">
        <v>60</v>
      </c>
      <c r="V591" s="83" t="s">
        <v>56</v>
      </c>
      <c r="W591" s="80">
        <v>11760509</v>
      </c>
      <c r="X591" s="68">
        <f t="shared" si="638"/>
        <v>84.25881956783401</v>
      </c>
      <c r="Y591" s="68">
        <f t="shared" si="639"/>
        <v>94.484687073190329</v>
      </c>
      <c r="Z591" s="68">
        <f t="shared" si="640"/>
        <v>150.42091732323749</v>
      </c>
      <c r="AA591" s="68">
        <v>0</v>
      </c>
      <c r="AB591" s="78" t="s">
        <v>73</v>
      </c>
      <c r="AC591" s="55"/>
      <c r="AD591" s="93">
        <f t="shared" ref="AD591" si="685">W591/AC588</f>
        <v>2.5237143776824036E-2</v>
      </c>
    </row>
    <row r="592" spans="1:30" s="32" customFormat="1" ht="15.95">
      <c r="A592" s="65"/>
      <c r="B592" s="66" t="s">
        <v>48</v>
      </c>
      <c r="C592" s="66" t="s">
        <v>193</v>
      </c>
      <c r="D592" s="66"/>
      <c r="E592" s="66" t="s">
        <v>20</v>
      </c>
      <c r="F592" s="66" t="s">
        <v>21</v>
      </c>
      <c r="G592" s="66" t="s">
        <v>50</v>
      </c>
      <c r="H592" s="66"/>
      <c r="I592" s="66" t="s">
        <v>194</v>
      </c>
      <c r="J592" s="66"/>
      <c r="K592" s="66" t="s">
        <v>195</v>
      </c>
      <c r="L592" s="67">
        <v>2016</v>
      </c>
      <c r="M592" s="66" t="s">
        <v>196</v>
      </c>
      <c r="N592" s="66" t="s">
        <v>24</v>
      </c>
      <c r="O592" s="66" t="s">
        <v>54</v>
      </c>
      <c r="P592" s="66" t="s">
        <v>25</v>
      </c>
      <c r="Q592" s="80">
        <v>139576</v>
      </c>
      <c r="R592" s="80">
        <v>124470</v>
      </c>
      <c r="S592" s="80">
        <v>78184</v>
      </c>
      <c r="T592" s="90"/>
      <c r="U592" s="82" t="s">
        <v>61</v>
      </c>
      <c r="V592" s="83" t="s">
        <v>56</v>
      </c>
      <c r="W592" s="80">
        <v>25318552</v>
      </c>
      <c r="X592" s="68">
        <f t="shared" si="638"/>
        <v>181.39617126153493</v>
      </c>
      <c r="Y592" s="68">
        <f t="shared" si="639"/>
        <v>203.41087812324255</v>
      </c>
      <c r="Z592" s="68">
        <f t="shared" si="640"/>
        <v>323.83290698864215</v>
      </c>
      <c r="AA592" s="68">
        <v>0</v>
      </c>
      <c r="AB592" s="78" t="s">
        <v>73</v>
      </c>
      <c r="AC592" s="55"/>
      <c r="AD592" s="93">
        <f t="shared" ref="AD592" si="686">W592/AC588</f>
        <v>5.4331656652360512E-2</v>
      </c>
    </row>
    <row r="593" spans="1:30" s="32" customFormat="1" ht="15.95">
      <c r="A593" s="65"/>
      <c r="B593" s="66" t="s">
        <v>48</v>
      </c>
      <c r="C593" s="66" t="s">
        <v>193</v>
      </c>
      <c r="D593" s="66"/>
      <c r="E593" s="66" t="s">
        <v>20</v>
      </c>
      <c r="F593" s="66" t="s">
        <v>21</v>
      </c>
      <c r="G593" s="66" t="s">
        <v>50</v>
      </c>
      <c r="H593" s="66"/>
      <c r="I593" s="66" t="s">
        <v>194</v>
      </c>
      <c r="J593" s="66"/>
      <c r="K593" s="66" t="s">
        <v>195</v>
      </c>
      <c r="L593" s="67">
        <v>2016</v>
      </c>
      <c r="M593" s="66" t="s">
        <v>196</v>
      </c>
      <c r="N593" s="66" t="s">
        <v>24</v>
      </c>
      <c r="O593" s="66" t="s">
        <v>54</v>
      </c>
      <c r="P593" s="66" t="s">
        <v>25</v>
      </c>
      <c r="Q593" s="80">
        <v>139576</v>
      </c>
      <c r="R593" s="80">
        <v>124470</v>
      </c>
      <c r="S593" s="80">
        <v>78184</v>
      </c>
      <c r="T593" s="90"/>
      <c r="U593" s="82" t="s">
        <v>62</v>
      </c>
      <c r="V593" s="83" t="s">
        <v>56</v>
      </c>
      <c r="W593" s="80">
        <v>945329</v>
      </c>
      <c r="X593" s="68">
        <f t="shared" si="638"/>
        <v>6.7728620966355244</v>
      </c>
      <c r="Y593" s="68">
        <f t="shared" si="639"/>
        <v>7.5948340965694543</v>
      </c>
      <c r="Z593" s="68">
        <f t="shared" si="640"/>
        <v>12.091080016371636</v>
      </c>
      <c r="AA593" s="68">
        <v>0</v>
      </c>
      <c r="AB593" s="78" t="s">
        <v>73</v>
      </c>
      <c r="AC593" s="55"/>
      <c r="AD593" s="93">
        <f t="shared" ref="AD593" si="687">W593/AC588</f>
        <v>2.0286030042918454E-3</v>
      </c>
    </row>
    <row r="594" spans="1:30" s="32" customFormat="1" ht="15.95">
      <c r="A594" s="65"/>
      <c r="B594" s="66" t="s">
        <v>48</v>
      </c>
      <c r="C594" s="66" t="s">
        <v>193</v>
      </c>
      <c r="D594" s="66"/>
      <c r="E594" s="66" t="s">
        <v>20</v>
      </c>
      <c r="F594" s="66" t="s">
        <v>21</v>
      </c>
      <c r="G594" s="66" t="s">
        <v>50</v>
      </c>
      <c r="H594" s="66"/>
      <c r="I594" s="66" t="s">
        <v>194</v>
      </c>
      <c r="J594" s="66"/>
      <c r="K594" s="66" t="s">
        <v>195</v>
      </c>
      <c r="L594" s="67">
        <v>2016</v>
      </c>
      <c r="M594" s="66" t="s">
        <v>196</v>
      </c>
      <c r="N594" s="66" t="s">
        <v>24</v>
      </c>
      <c r="O594" s="66" t="s">
        <v>54</v>
      </c>
      <c r="P594" s="66" t="s">
        <v>25</v>
      </c>
      <c r="Q594" s="80">
        <v>139576</v>
      </c>
      <c r="R594" s="80">
        <v>124470</v>
      </c>
      <c r="S594" s="80">
        <v>78184</v>
      </c>
      <c r="T594" s="90"/>
      <c r="U594" s="82" t="s">
        <v>63</v>
      </c>
      <c r="V594" s="83" t="s">
        <v>56</v>
      </c>
      <c r="W594" s="80">
        <v>2604076</v>
      </c>
      <c r="X594" s="68">
        <f t="shared" si="638"/>
        <v>18.657047056800597</v>
      </c>
      <c r="Y594" s="68">
        <f t="shared" si="639"/>
        <v>20.921314372941271</v>
      </c>
      <c r="Z594" s="68">
        <f t="shared" si="640"/>
        <v>33.30701933899519</v>
      </c>
      <c r="AA594" s="68">
        <v>0</v>
      </c>
      <c r="AB594" s="78" t="s">
        <v>73</v>
      </c>
      <c r="AC594" s="55"/>
      <c r="AD594" s="93">
        <f t="shared" ref="AD594" si="688">W594/AC588</f>
        <v>5.588145922746781E-3</v>
      </c>
    </row>
    <row r="595" spans="1:30" s="32" customFormat="1" ht="15.95">
      <c r="A595" s="65"/>
      <c r="B595" s="66" t="s">
        <v>48</v>
      </c>
      <c r="C595" s="66" t="s">
        <v>193</v>
      </c>
      <c r="D595" s="66"/>
      <c r="E595" s="66" t="s">
        <v>20</v>
      </c>
      <c r="F595" s="66" t="s">
        <v>21</v>
      </c>
      <c r="G595" s="66" t="s">
        <v>50</v>
      </c>
      <c r="H595" s="66"/>
      <c r="I595" s="66" t="s">
        <v>194</v>
      </c>
      <c r="J595" s="66"/>
      <c r="K595" s="66" t="s">
        <v>195</v>
      </c>
      <c r="L595" s="67">
        <v>2016</v>
      </c>
      <c r="M595" s="66" t="s">
        <v>196</v>
      </c>
      <c r="N595" s="66" t="s">
        <v>24</v>
      </c>
      <c r="O595" s="66" t="s">
        <v>54</v>
      </c>
      <c r="P595" s="66" t="s">
        <v>25</v>
      </c>
      <c r="Q595" s="80">
        <v>139576</v>
      </c>
      <c r="R595" s="80">
        <v>124470</v>
      </c>
      <c r="S595" s="80">
        <v>78184</v>
      </c>
      <c r="T595" s="90"/>
      <c r="U595" s="82" t="s">
        <v>64</v>
      </c>
      <c r="V595" s="83" t="s">
        <v>56</v>
      </c>
      <c r="W595" s="80">
        <v>0</v>
      </c>
      <c r="X595" s="68">
        <f t="shared" si="638"/>
        <v>0</v>
      </c>
      <c r="Y595" s="68">
        <f t="shared" si="639"/>
        <v>0</v>
      </c>
      <c r="Z595" s="68">
        <f t="shared" si="640"/>
        <v>0</v>
      </c>
      <c r="AA595" s="68">
        <v>0</v>
      </c>
      <c r="AB595" s="78" t="s">
        <v>73</v>
      </c>
      <c r="AC595" s="55"/>
      <c r="AD595" s="93">
        <f t="shared" ref="AD595" si="689">W595/AC588</f>
        <v>0</v>
      </c>
    </row>
    <row r="596" spans="1:30" s="32" customFormat="1" ht="15.95">
      <c r="A596" s="65"/>
      <c r="B596" s="66" t="s">
        <v>48</v>
      </c>
      <c r="C596" s="66" t="s">
        <v>193</v>
      </c>
      <c r="D596" s="66"/>
      <c r="E596" s="66" t="s">
        <v>20</v>
      </c>
      <c r="F596" s="66" t="s">
        <v>21</v>
      </c>
      <c r="G596" s="66" t="s">
        <v>50</v>
      </c>
      <c r="H596" s="66"/>
      <c r="I596" s="66" t="s">
        <v>194</v>
      </c>
      <c r="J596" s="66"/>
      <c r="K596" s="66" t="s">
        <v>195</v>
      </c>
      <c r="L596" s="67">
        <v>2016</v>
      </c>
      <c r="M596" s="66" t="s">
        <v>196</v>
      </c>
      <c r="N596" s="66" t="s">
        <v>24</v>
      </c>
      <c r="O596" s="66" t="s">
        <v>54</v>
      </c>
      <c r="P596" s="66" t="s">
        <v>25</v>
      </c>
      <c r="Q596" s="80">
        <v>139576</v>
      </c>
      <c r="R596" s="80">
        <v>124470</v>
      </c>
      <c r="S596" s="80">
        <v>78184</v>
      </c>
      <c r="T596" s="90"/>
      <c r="U596" s="82" t="s">
        <v>65</v>
      </c>
      <c r="V596" s="83" t="s">
        <v>56</v>
      </c>
      <c r="W596" s="80">
        <v>53693649</v>
      </c>
      <c r="X596" s="68">
        <f t="shared" si="638"/>
        <v>384.69112884736631</v>
      </c>
      <c r="Y596" s="68">
        <f t="shared" si="639"/>
        <v>431.37823571945046</v>
      </c>
      <c r="Z596" s="68">
        <f t="shared" si="640"/>
        <v>686.76006599815821</v>
      </c>
      <c r="AA596" s="68">
        <v>0</v>
      </c>
      <c r="AB596" s="78" t="s">
        <v>73</v>
      </c>
      <c r="AC596" s="55"/>
      <c r="AD596" s="93">
        <f t="shared" ref="AD596" si="690">W596/AC588</f>
        <v>0.11522242274678111</v>
      </c>
    </row>
    <row r="597" spans="1:30" s="32" customFormat="1" ht="15.95">
      <c r="A597" s="65"/>
      <c r="B597" s="66" t="s">
        <v>48</v>
      </c>
      <c r="C597" s="66" t="s">
        <v>193</v>
      </c>
      <c r="D597" s="66"/>
      <c r="E597" s="66" t="s">
        <v>20</v>
      </c>
      <c r="F597" s="66" t="s">
        <v>21</v>
      </c>
      <c r="G597" s="66" t="s">
        <v>50</v>
      </c>
      <c r="H597" s="66"/>
      <c r="I597" s="66" t="s">
        <v>194</v>
      </c>
      <c r="J597" s="66"/>
      <c r="K597" s="66" t="s">
        <v>195</v>
      </c>
      <c r="L597" s="67">
        <v>2016</v>
      </c>
      <c r="M597" s="66" t="s">
        <v>196</v>
      </c>
      <c r="N597" s="66" t="s">
        <v>24</v>
      </c>
      <c r="O597" s="66" t="s">
        <v>54</v>
      </c>
      <c r="P597" s="66" t="s">
        <v>25</v>
      </c>
      <c r="Q597" s="80">
        <v>139576</v>
      </c>
      <c r="R597" s="80">
        <v>124470</v>
      </c>
      <c r="S597" s="80">
        <v>78184</v>
      </c>
      <c r="T597" s="90"/>
      <c r="U597" s="82" t="s">
        <v>66</v>
      </c>
      <c r="V597" s="83" t="s">
        <v>56</v>
      </c>
      <c r="W597" s="80">
        <v>71444375</v>
      </c>
      <c r="X597" s="68">
        <f t="shared" si="638"/>
        <v>511.86719063449306</v>
      </c>
      <c r="Y597" s="68">
        <f t="shared" si="639"/>
        <v>573.98871213947132</v>
      </c>
      <c r="Z597" s="68">
        <f t="shared" si="640"/>
        <v>913.79789982605132</v>
      </c>
      <c r="AA597" s="68">
        <v>0</v>
      </c>
      <c r="AB597" s="78" t="s">
        <v>73</v>
      </c>
      <c r="AC597" s="55"/>
      <c r="AD597" s="93">
        <f t="shared" ref="AD597" si="691">W597/AC588</f>
        <v>0.15331410944206009</v>
      </c>
    </row>
    <row r="598" spans="1:30" s="32" customFormat="1" ht="15.95">
      <c r="A598" s="65"/>
      <c r="B598" s="66" t="s">
        <v>48</v>
      </c>
      <c r="C598" s="66" t="s">
        <v>193</v>
      </c>
      <c r="D598" s="66"/>
      <c r="E598" s="66" t="s">
        <v>20</v>
      </c>
      <c r="F598" s="66" t="s">
        <v>21</v>
      </c>
      <c r="G598" s="66" t="s">
        <v>50</v>
      </c>
      <c r="H598" s="66"/>
      <c r="I598" s="66" t="s">
        <v>194</v>
      </c>
      <c r="J598" s="66"/>
      <c r="K598" s="66" t="s">
        <v>195</v>
      </c>
      <c r="L598" s="67">
        <v>2016</v>
      </c>
      <c r="M598" s="66" t="s">
        <v>196</v>
      </c>
      <c r="N598" s="66" t="s">
        <v>24</v>
      </c>
      <c r="O598" s="66" t="s">
        <v>54</v>
      </c>
      <c r="P598" s="66" t="s">
        <v>25</v>
      </c>
      <c r="Q598" s="80">
        <v>139576</v>
      </c>
      <c r="R598" s="80">
        <v>124470</v>
      </c>
      <c r="S598" s="80">
        <v>78184</v>
      </c>
      <c r="T598" s="90"/>
      <c r="U598" s="82" t="s">
        <v>67</v>
      </c>
      <c r="V598" s="83" t="s">
        <v>56</v>
      </c>
      <c r="W598" s="80">
        <v>10746440</v>
      </c>
      <c r="X598" s="68">
        <f t="shared" si="638"/>
        <v>76.993465925373997</v>
      </c>
      <c r="Y598" s="68">
        <f t="shared" si="639"/>
        <v>86.337591387482931</v>
      </c>
      <c r="Z598" s="68">
        <f t="shared" si="640"/>
        <v>137.45062928476415</v>
      </c>
      <c r="AA598" s="68">
        <v>0</v>
      </c>
      <c r="AB598" s="78" t="s">
        <v>73</v>
      </c>
      <c r="AC598" s="55"/>
      <c r="AD598" s="93">
        <f t="shared" ref="AD598" si="692">W598/AC588</f>
        <v>2.3061030042918453E-2</v>
      </c>
    </row>
    <row r="599" spans="1:30" s="32" customFormat="1" ht="15.95">
      <c r="A599" s="65"/>
      <c r="B599" s="66" t="s">
        <v>48</v>
      </c>
      <c r="C599" s="66" t="s">
        <v>193</v>
      </c>
      <c r="D599" s="66"/>
      <c r="E599" s="66" t="s">
        <v>20</v>
      </c>
      <c r="F599" s="66" t="s">
        <v>21</v>
      </c>
      <c r="G599" s="66" t="s">
        <v>50</v>
      </c>
      <c r="H599" s="66"/>
      <c r="I599" s="66" t="s">
        <v>194</v>
      </c>
      <c r="J599" s="66"/>
      <c r="K599" s="66" t="s">
        <v>195</v>
      </c>
      <c r="L599" s="67">
        <v>2016</v>
      </c>
      <c r="M599" s="66" t="s">
        <v>196</v>
      </c>
      <c r="N599" s="66" t="s">
        <v>24</v>
      </c>
      <c r="O599" s="66" t="s">
        <v>54</v>
      </c>
      <c r="P599" s="66" t="s">
        <v>25</v>
      </c>
      <c r="Q599" s="80">
        <v>139576</v>
      </c>
      <c r="R599" s="80">
        <v>124470</v>
      </c>
      <c r="S599" s="80">
        <v>78184</v>
      </c>
      <c r="T599" s="90"/>
      <c r="U599" s="82" t="s">
        <v>68</v>
      </c>
      <c r="V599" s="83" t="s">
        <v>56</v>
      </c>
      <c r="W599" s="80">
        <v>8775072</v>
      </c>
      <c r="X599" s="68">
        <f t="shared" si="638"/>
        <v>62.869490456812059</v>
      </c>
      <c r="Y599" s="68">
        <f t="shared" si="639"/>
        <v>70.499493853940706</v>
      </c>
      <c r="Z599" s="68">
        <f t="shared" si="640"/>
        <v>112.23616085132508</v>
      </c>
      <c r="AA599" s="68">
        <v>0</v>
      </c>
      <c r="AB599" s="78" t="s">
        <v>73</v>
      </c>
      <c r="AC599" s="55"/>
      <c r="AD599" s="93">
        <f t="shared" ref="AD599" si="693">W599/AC588</f>
        <v>1.8830626609442059E-2</v>
      </c>
    </row>
    <row r="600" spans="1:30" s="32" customFormat="1" ht="15.95">
      <c r="A600" s="65"/>
      <c r="B600" s="66" t="s">
        <v>48</v>
      </c>
      <c r="C600" s="66" t="s">
        <v>193</v>
      </c>
      <c r="D600" s="66"/>
      <c r="E600" s="66" t="s">
        <v>20</v>
      </c>
      <c r="F600" s="66" t="s">
        <v>21</v>
      </c>
      <c r="G600" s="66" t="s">
        <v>50</v>
      </c>
      <c r="H600" s="66"/>
      <c r="I600" s="66" t="s">
        <v>194</v>
      </c>
      <c r="J600" s="66"/>
      <c r="K600" s="66" t="s">
        <v>195</v>
      </c>
      <c r="L600" s="67">
        <v>2016</v>
      </c>
      <c r="M600" s="66" t="s">
        <v>196</v>
      </c>
      <c r="N600" s="66" t="s">
        <v>24</v>
      </c>
      <c r="O600" s="66" t="s">
        <v>54</v>
      </c>
      <c r="P600" s="66" t="s">
        <v>25</v>
      </c>
      <c r="Q600" s="80">
        <v>139576</v>
      </c>
      <c r="R600" s="80">
        <v>124470</v>
      </c>
      <c r="S600" s="80">
        <v>78184</v>
      </c>
      <c r="T600" s="90"/>
      <c r="U600" s="82" t="s">
        <v>69</v>
      </c>
      <c r="V600" s="83" t="s">
        <v>56</v>
      </c>
      <c r="W600" s="80">
        <v>51000000</v>
      </c>
      <c r="X600" s="68">
        <f t="shared" si="638"/>
        <v>365.39233105978104</v>
      </c>
      <c r="Y600" s="68">
        <f t="shared" si="639"/>
        <v>409.73728609303447</v>
      </c>
      <c r="Z600" s="68">
        <f t="shared" si="640"/>
        <v>652.30737746853572</v>
      </c>
      <c r="AA600" s="68">
        <v>0</v>
      </c>
      <c r="AB600" s="78" t="s">
        <v>73</v>
      </c>
      <c r="AC600" s="55"/>
      <c r="AD600" s="93">
        <f t="shared" ref="AD600" si="694">W600/AC588</f>
        <v>0.10944206008583691</v>
      </c>
    </row>
    <row r="601" spans="1:30" s="55" customFormat="1" ht="15" customHeight="1">
      <c r="A601" s="57"/>
      <c r="B601" s="58" t="s">
        <v>48</v>
      </c>
      <c r="C601" s="58" t="s">
        <v>193</v>
      </c>
      <c r="D601" s="58"/>
      <c r="E601" s="58" t="s">
        <v>20</v>
      </c>
      <c r="F601" s="58" t="s">
        <v>21</v>
      </c>
      <c r="G601" s="58" t="s">
        <v>189</v>
      </c>
      <c r="H601" s="58"/>
      <c r="I601" s="58" t="s">
        <v>197</v>
      </c>
      <c r="J601" s="58"/>
      <c r="K601" s="58" t="s">
        <v>198</v>
      </c>
      <c r="L601" s="59">
        <v>2018</v>
      </c>
      <c r="M601" s="58" t="s">
        <v>192</v>
      </c>
      <c r="N601" s="58" t="s">
        <v>24</v>
      </c>
      <c r="O601" s="58" t="s">
        <v>54</v>
      </c>
      <c r="P601" s="58" t="s">
        <v>25</v>
      </c>
      <c r="Q601" s="89">
        <v>6616</v>
      </c>
      <c r="R601" s="89">
        <v>6021</v>
      </c>
      <c r="S601" s="89">
        <v>5349</v>
      </c>
      <c r="T601" s="91"/>
      <c r="U601" s="86" t="s">
        <v>55</v>
      </c>
      <c r="V601" s="87" t="s">
        <v>56</v>
      </c>
      <c r="W601" s="84">
        <v>10415760</v>
      </c>
      <c r="X601" s="60">
        <f t="shared" si="638"/>
        <v>1574.328899637243</v>
      </c>
      <c r="Y601" s="60">
        <f t="shared" si="639"/>
        <v>1729.905331340309</v>
      </c>
      <c r="Z601" s="60">
        <f t="shared" si="640"/>
        <v>1947.2349971957376</v>
      </c>
      <c r="AA601" s="60">
        <v>0</v>
      </c>
      <c r="AB601" s="77" t="s">
        <v>73</v>
      </c>
      <c r="AC601" s="92">
        <f t="shared" ref="AC601" si="695">SUM(W601:W613)</f>
        <v>42740376</v>
      </c>
      <c r="AD601" s="93">
        <f t="shared" ref="AD601" si="696">W601/AC601</f>
        <v>0.24369837083323739</v>
      </c>
    </row>
    <row r="602" spans="1:30" s="55" customFormat="1" ht="15.95">
      <c r="A602" s="57"/>
      <c r="B602" s="58" t="s">
        <v>48</v>
      </c>
      <c r="C602" s="58" t="s">
        <v>193</v>
      </c>
      <c r="D602" s="58"/>
      <c r="E602" s="58" t="s">
        <v>20</v>
      </c>
      <c r="F602" s="58" t="s">
        <v>21</v>
      </c>
      <c r="G602" s="58" t="s">
        <v>189</v>
      </c>
      <c r="H602" s="58"/>
      <c r="I602" s="58" t="s">
        <v>197</v>
      </c>
      <c r="J602" s="58"/>
      <c r="K602" s="58" t="s">
        <v>198</v>
      </c>
      <c r="L602" s="59">
        <v>2018</v>
      </c>
      <c r="M602" s="58" t="s">
        <v>192</v>
      </c>
      <c r="N602" s="58" t="s">
        <v>24</v>
      </c>
      <c r="O602" s="58" t="s">
        <v>54</v>
      </c>
      <c r="P602" s="58" t="s">
        <v>25</v>
      </c>
      <c r="Q602" s="89">
        <v>6616</v>
      </c>
      <c r="R602" s="89">
        <v>6021</v>
      </c>
      <c r="S602" s="89">
        <v>5349</v>
      </c>
      <c r="T602" s="91"/>
      <c r="U602" s="86" t="s">
        <v>58</v>
      </c>
      <c r="V602" s="87" t="s">
        <v>56</v>
      </c>
      <c r="W602" s="84">
        <v>9224594</v>
      </c>
      <c r="X602" s="60">
        <f t="shared" si="638"/>
        <v>1394.2856711003628</v>
      </c>
      <c r="Y602" s="60">
        <f t="shared" si="639"/>
        <v>1532.070088025245</v>
      </c>
      <c r="Z602" s="60">
        <f t="shared" si="640"/>
        <v>1724.5455225275753</v>
      </c>
      <c r="AA602" s="60">
        <v>0</v>
      </c>
      <c r="AB602" s="77" t="s">
        <v>73</v>
      </c>
      <c r="AD602" s="93">
        <f t="shared" ref="AD602" si="697">W602/AC601</f>
        <v>0.21582856454047106</v>
      </c>
    </row>
    <row r="603" spans="1:30" s="55" customFormat="1" ht="15.95">
      <c r="A603" s="57"/>
      <c r="B603" s="58" t="s">
        <v>48</v>
      </c>
      <c r="C603" s="58" t="s">
        <v>193</v>
      </c>
      <c r="D603" s="58"/>
      <c r="E603" s="58" t="s">
        <v>20</v>
      </c>
      <c r="F603" s="58" t="s">
        <v>21</v>
      </c>
      <c r="G603" s="58" t="s">
        <v>189</v>
      </c>
      <c r="H603" s="58"/>
      <c r="I603" s="58" t="s">
        <v>197</v>
      </c>
      <c r="J603" s="58"/>
      <c r="K603" s="58" t="s">
        <v>198</v>
      </c>
      <c r="L603" s="59">
        <v>2018</v>
      </c>
      <c r="M603" s="58" t="s">
        <v>192</v>
      </c>
      <c r="N603" s="58" t="s">
        <v>24</v>
      </c>
      <c r="O603" s="58" t="s">
        <v>54</v>
      </c>
      <c r="P603" s="58" t="s">
        <v>25</v>
      </c>
      <c r="Q603" s="89">
        <v>6616</v>
      </c>
      <c r="R603" s="89">
        <v>6021</v>
      </c>
      <c r="S603" s="89">
        <v>5349</v>
      </c>
      <c r="T603" s="91"/>
      <c r="U603" s="86" t="s">
        <v>59</v>
      </c>
      <c r="V603" s="87" t="s">
        <v>56</v>
      </c>
      <c r="W603" s="84">
        <v>2910681</v>
      </c>
      <c r="X603" s="60">
        <f t="shared" si="638"/>
        <v>439.94573760580408</v>
      </c>
      <c r="Y603" s="60">
        <f t="shared" si="639"/>
        <v>483.42152466367713</v>
      </c>
      <c r="Z603" s="60">
        <f t="shared" si="640"/>
        <v>544.15423443634324</v>
      </c>
      <c r="AA603" s="60">
        <v>0</v>
      </c>
      <c r="AB603" s="77" t="s">
        <v>73</v>
      </c>
      <c r="AD603" s="93">
        <f t="shared" ref="AD603" si="698">W603/AC601</f>
        <v>6.8101436449693381E-2</v>
      </c>
    </row>
    <row r="604" spans="1:30" s="55" customFormat="1" ht="15.95">
      <c r="A604" s="57"/>
      <c r="B604" s="58" t="s">
        <v>48</v>
      </c>
      <c r="C604" s="58" t="s">
        <v>193</v>
      </c>
      <c r="D604" s="58"/>
      <c r="E604" s="58" t="s">
        <v>20</v>
      </c>
      <c r="F604" s="58" t="s">
        <v>21</v>
      </c>
      <c r="G604" s="58" t="s">
        <v>189</v>
      </c>
      <c r="H604" s="58"/>
      <c r="I604" s="58" t="s">
        <v>197</v>
      </c>
      <c r="J604" s="58"/>
      <c r="K604" s="58" t="s">
        <v>198</v>
      </c>
      <c r="L604" s="59">
        <v>2018</v>
      </c>
      <c r="M604" s="58" t="s">
        <v>192</v>
      </c>
      <c r="N604" s="58" t="s">
        <v>24</v>
      </c>
      <c r="O604" s="58" t="s">
        <v>54</v>
      </c>
      <c r="P604" s="58" t="s">
        <v>25</v>
      </c>
      <c r="Q604" s="89">
        <v>6616</v>
      </c>
      <c r="R604" s="89">
        <v>6021</v>
      </c>
      <c r="S604" s="89">
        <v>5349</v>
      </c>
      <c r="T604" s="91"/>
      <c r="U604" s="86" t="s">
        <v>60</v>
      </c>
      <c r="V604" s="87" t="s">
        <v>56</v>
      </c>
      <c r="W604" s="84">
        <v>1466010</v>
      </c>
      <c r="X604" s="60">
        <f t="shared" si="638"/>
        <v>221.58555018137847</v>
      </c>
      <c r="Y604" s="60">
        <f t="shared" si="639"/>
        <v>243.48281016442451</v>
      </c>
      <c r="Z604" s="60">
        <f t="shared" si="640"/>
        <v>274.07178911946158</v>
      </c>
      <c r="AA604" s="60">
        <v>0</v>
      </c>
      <c r="AB604" s="77" t="s">
        <v>73</v>
      </c>
      <c r="AD604" s="93">
        <f t="shared" ref="AD604" si="699">W604/AC601</f>
        <v>3.4300353370779892E-2</v>
      </c>
    </row>
    <row r="605" spans="1:30" s="55" customFormat="1" ht="15.95">
      <c r="A605" s="57"/>
      <c r="B605" s="58" t="s">
        <v>48</v>
      </c>
      <c r="C605" s="58" t="s">
        <v>193</v>
      </c>
      <c r="D605" s="58"/>
      <c r="E605" s="58" t="s">
        <v>20</v>
      </c>
      <c r="F605" s="58" t="s">
        <v>21</v>
      </c>
      <c r="G605" s="58" t="s">
        <v>189</v>
      </c>
      <c r="H605" s="58"/>
      <c r="I605" s="58" t="s">
        <v>197</v>
      </c>
      <c r="J605" s="58"/>
      <c r="K605" s="58" t="s">
        <v>198</v>
      </c>
      <c r="L605" s="59">
        <v>2018</v>
      </c>
      <c r="M605" s="58" t="s">
        <v>192</v>
      </c>
      <c r="N605" s="58" t="s">
        <v>24</v>
      </c>
      <c r="O605" s="58" t="s">
        <v>54</v>
      </c>
      <c r="P605" s="58" t="s">
        <v>25</v>
      </c>
      <c r="Q605" s="89">
        <v>6616</v>
      </c>
      <c r="R605" s="89">
        <v>6021</v>
      </c>
      <c r="S605" s="89">
        <v>5349</v>
      </c>
      <c r="T605" s="91"/>
      <c r="U605" s="86" t="s">
        <v>61</v>
      </c>
      <c r="V605" s="87" t="s">
        <v>56</v>
      </c>
      <c r="W605" s="84">
        <v>1735178</v>
      </c>
      <c r="X605" s="60">
        <f t="shared" si="638"/>
        <v>262.26995163240628</v>
      </c>
      <c r="Y605" s="60">
        <f t="shared" si="639"/>
        <v>288.18767646570336</v>
      </c>
      <c r="Z605" s="60">
        <f t="shared" si="640"/>
        <v>324.39297064871937</v>
      </c>
      <c r="AA605" s="60">
        <v>0</v>
      </c>
      <c r="AB605" s="77" t="s">
        <v>73</v>
      </c>
      <c r="AD605" s="93">
        <f t="shared" ref="AD605" si="700">W605/AC601</f>
        <v>4.0598098622248904E-2</v>
      </c>
    </row>
    <row r="606" spans="1:30" s="55" customFormat="1" ht="15.95">
      <c r="A606" s="57"/>
      <c r="B606" s="58" t="s">
        <v>48</v>
      </c>
      <c r="C606" s="58" t="s">
        <v>193</v>
      </c>
      <c r="D606" s="58"/>
      <c r="E606" s="58" t="s">
        <v>20</v>
      </c>
      <c r="F606" s="58" t="s">
        <v>21</v>
      </c>
      <c r="G606" s="58" t="s">
        <v>189</v>
      </c>
      <c r="H606" s="58"/>
      <c r="I606" s="58" t="s">
        <v>197</v>
      </c>
      <c r="J606" s="58"/>
      <c r="K606" s="58" t="s">
        <v>198</v>
      </c>
      <c r="L606" s="59">
        <v>2018</v>
      </c>
      <c r="M606" s="58" t="s">
        <v>192</v>
      </c>
      <c r="N606" s="58" t="s">
        <v>24</v>
      </c>
      <c r="O606" s="58" t="s">
        <v>54</v>
      </c>
      <c r="P606" s="58" t="s">
        <v>25</v>
      </c>
      <c r="Q606" s="89">
        <v>6616</v>
      </c>
      <c r="R606" s="89">
        <v>6021</v>
      </c>
      <c r="S606" s="89">
        <v>5349</v>
      </c>
      <c r="T606" s="91"/>
      <c r="U606" s="86" t="s">
        <v>62</v>
      </c>
      <c r="V606" s="87" t="s">
        <v>56</v>
      </c>
      <c r="W606" s="84">
        <v>428510</v>
      </c>
      <c r="X606" s="60">
        <f t="shared" si="638"/>
        <v>64.768742442563479</v>
      </c>
      <c r="Y606" s="60">
        <f t="shared" si="639"/>
        <v>71.169240989868797</v>
      </c>
      <c r="Z606" s="60">
        <f t="shared" si="640"/>
        <v>80.110300990839406</v>
      </c>
      <c r="AA606" s="60">
        <v>0</v>
      </c>
      <c r="AB606" s="77" t="s">
        <v>73</v>
      </c>
      <c r="AD606" s="93">
        <f t="shared" ref="AD606" si="701">W606/AC601</f>
        <v>1.0025882785869735E-2</v>
      </c>
    </row>
    <row r="607" spans="1:30" s="55" customFormat="1" ht="15.95">
      <c r="A607" s="57"/>
      <c r="B607" s="58" t="s">
        <v>48</v>
      </c>
      <c r="C607" s="58" t="s">
        <v>193</v>
      </c>
      <c r="D607" s="58"/>
      <c r="E607" s="58" t="s">
        <v>20</v>
      </c>
      <c r="F607" s="58" t="s">
        <v>21</v>
      </c>
      <c r="G607" s="58" t="s">
        <v>189</v>
      </c>
      <c r="H607" s="58"/>
      <c r="I607" s="58" t="s">
        <v>197</v>
      </c>
      <c r="J607" s="58"/>
      <c r="K607" s="58" t="s">
        <v>198</v>
      </c>
      <c r="L607" s="59">
        <v>2018</v>
      </c>
      <c r="M607" s="58" t="s">
        <v>192</v>
      </c>
      <c r="N607" s="58" t="s">
        <v>24</v>
      </c>
      <c r="O607" s="58" t="s">
        <v>54</v>
      </c>
      <c r="P607" s="58" t="s">
        <v>25</v>
      </c>
      <c r="Q607" s="89">
        <v>6616</v>
      </c>
      <c r="R607" s="89">
        <v>6021</v>
      </c>
      <c r="S607" s="89">
        <v>5349</v>
      </c>
      <c r="T607" s="91"/>
      <c r="U607" s="86" t="s">
        <v>63</v>
      </c>
      <c r="V607" s="87" t="s">
        <v>56</v>
      </c>
      <c r="W607" s="84">
        <v>210684</v>
      </c>
      <c r="X607" s="60">
        <f t="shared" si="638"/>
        <v>31.844619105199516</v>
      </c>
      <c r="Y607" s="60">
        <f t="shared" si="639"/>
        <v>34.991529646238163</v>
      </c>
      <c r="Z607" s="60">
        <f t="shared" si="640"/>
        <v>39.38754907459338</v>
      </c>
      <c r="AA607" s="60">
        <v>0</v>
      </c>
      <c r="AB607" s="77" t="s">
        <v>73</v>
      </c>
      <c r="AD607" s="93">
        <f t="shared" ref="AD607" si="702">W607/AC601</f>
        <v>4.9293904199626129E-3</v>
      </c>
    </row>
    <row r="608" spans="1:30" s="55" customFormat="1" ht="15.95">
      <c r="A608" s="57"/>
      <c r="B608" s="58" t="s">
        <v>48</v>
      </c>
      <c r="C608" s="58" t="s">
        <v>193</v>
      </c>
      <c r="D608" s="58"/>
      <c r="E608" s="58" t="s">
        <v>20</v>
      </c>
      <c r="F608" s="58" t="s">
        <v>21</v>
      </c>
      <c r="G608" s="58" t="s">
        <v>189</v>
      </c>
      <c r="H608" s="58"/>
      <c r="I608" s="58" t="s">
        <v>197</v>
      </c>
      <c r="J608" s="58"/>
      <c r="K608" s="58" t="s">
        <v>198</v>
      </c>
      <c r="L608" s="59">
        <v>2018</v>
      </c>
      <c r="M608" s="58" t="s">
        <v>192</v>
      </c>
      <c r="N608" s="58" t="s">
        <v>24</v>
      </c>
      <c r="O608" s="58" t="s">
        <v>54</v>
      </c>
      <c r="P608" s="58" t="s">
        <v>25</v>
      </c>
      <c r="Q608" s="89">
        <v>6616</v>
      </c>
      <c r="R608" s="89">
        <v>6021</v>
      </c>
      <c r="S608" s="89">
        <v>5349</v>
      </c>
      <c r="T608" s="91"/>
      <c r="U608" s="86" t="s">
        <v>64</v>
      </c>
      <c r="V608" s="87" t="s">
        <v>56</v>
      </c>
      <c r="W608" s="84">
        <v>0</v>
      </c>
      <c r="X608" s="60">
        <f t="shared" si="638"/>
        <v>0</v>
      </c>
      <c r="Y608" s="60">
        <f t="shared" si="639"/>
        <v>0</v>
      </c>
      <c r="Z608" s="60">
        <f t="shared" si="640"/>
        <v>0</v>
      </c>
      <c r="AA608" s="60">
        <v>0</v>
      </c>
      <c r="AB608" s="77" t="s">
        <v>73</v>
      </c>
      <c r="AD608" s="93">
        <f t="shared" ref="AD608" si="703">W608/AC601</f>
        <v>0</v>
      </c>
    </row>
    <row r="609" spans="1:30" s="55" customFormat="1" ht="15.95">
      <c r="A609" s="57"/>
      <c r="B609" s="58" t="s">
        <v>48</v>
      </c>
      <c r="C609" s="58" t="s">
        <v>193</v>
      </c>
      <c r="D609" s="58"/>
      <c r="E609" s="58" t="s">
        <v>20</v>
      </c>
      <c r="F609" s="58" t="s">
        <v>21</v>
      </c>
      <c r="G609" s="58" t="s">
        <v>189</v>
      </c>
      <c r="H609" s="58"/>
      <c r="I609" s="58" t="s">
        <v>197</v>
      </c>
      <c r="J609" s="58"/>
      <c r="K609" s="58" t="s">
        <v>198</v>
      </c>
      <c r="L609" s="59">
        <v>2018</v>
      </c>
      <c r="M609" s="58" t="s">
        <v>192</v>
      </c>
      <c r="N609" s="58" t="s">
        <v>24</v>
      </c>
      <c r="O609" s="58" t="s">
        <v>54</v>
      </c>
      <c r="P609" s="58" t="s">
        <v>25</v>
      </c>
      <c r="Q609" s="89">
        <v>6616</v>
      </c>
      <c r="R609" s="89">
        <v>6021</v>
      </c>
      <c r="S609" s="89">
        <v>5349</v>
      </c>
      <c r="T609" s="91"/>
      <c r="U609" s="86" t="s">
        <v>65</v>
      </c>
      <c r="V609" s="87" t="s">
        <v>56</v>
      </c>
      <c r="W609" s="84">
        <v>5101900</v>
      </c>
      <c r="X609" s="60">
        <f t="shared" si="638"/>
        <v>771.145707376058</v>
      </c>
      <c r="Y609" s="60">
        <f t="shared" si="639"/>
        <v>847.35093838232854</v>
      </c>
      <c r="Z609" s="60">
        <f t="shared" si="640"/>
        <v>953.8044494298</v>
      </c>
      <c r="AA609" s="60">
        <v>0</v>
      </c>
      <c r="AB609" s="77" t="s">
        <v>73</v>
      </c>
      <c r="AD609" s="93">
        <f t="shared" ref="AD609" si="704">W609/AC601</f>
        <v>0.11936956286954518</v>
      </c>
    </row>
    <row r="610" spans="1:30" s="55" customFormat="1" ht="15.95">
      <c r="A610" s="57"/>
      <c r="B610" s="58" t="s">
        <v>48</v>
      </c>
      <c r="C610" s="58" t="s">
        <v>193</v>
      </c>
      <c r="D610" s="58"/>
      <c r="E610" s="58" t="s">
        <v>20</v>
      </c>
      <c r="F610" s="58" t="s">
        <v>21</v>
      </c>
      <c r="G610" s="58" t="s">
        <v>189</v>
      </c>
      <c r="H610" s="58"/>
      <c r="I610" s="58" t="s">
        <v>197</v>
      </c>
      <c r="J610" s="58"/>
      <c r="K610" s="58" t="s">
        <v>198</v>
      </c>
      <c r="L610" s="59">
        <v>2018</v>
      </c>
      <c r="M610" s="58" t="s">
        <v>192</v>
      </c>
      <c r="N610" s="58" t="s">
        <v>24</v>
      </c>
      <c r="O610" s="58" t="s">
        <v>54</v>
      </c>
      <c r="P610" s="58" t="s">
        <v>25</v>
      </c>
      <c r="Q610" s="89">
        <v>6616</v>
      </c>
      <c r="R610" s="89">
        <v>6021</v>
      </c>
      <c r="S610" s="89">
        <v>5349</v>
      </c>
      <c r="T610" s="91"/>
      <c r="U610" s="86" t="s">
        <v>66</v>
      </c>
      <c r="V610" s="87" t="s">
        <v>56</v>
      </c>
      <c r="W610" s="84">
        <v>5375345</v>
      </c>
      <c r="X610" s="60">
        <f t="shared" si="638"/>
        <v>812.47657194679562</v>
      </c>
      <c r="Y610" s="60">
        <f t="shared" si="639"/>
        <v>892.76615180202623</v>
      </c>
      <c r="Z610" s="60">
        <f t="shared" si="640"/>
        <v>1004.9252196672276</v>
      </c>
      <c r="AA610" s="60">
        <v>0</v>
      </c>
      <c r="AB610" s="77" t="s">
        <v>73</v>
      </c>
      <c r="AD610" s="93">
        <f t="shared" ref="AD610" si="705">W610/AC601</f>
        <v>0.12576737743252422</v>
      </c>
    </row>
    <row r="611" spans="1:30" s="55" customFormat="1" ht="15.95">
      <c r="A611" s="57"/>
      <c r="B611" s="58" t="s">
        <v>48</v>
      </c>
      <c r="C611" s="58" t="s">
        <v>193</v>
      </c>
      <c r="D611" s="58"/>
      <c r="E611" s="58" t="s">
        <v>20</v>
      </c>
      <c r="F611" s="58" t="s">
        <v>21</v>
      </c>
      <c r="G611" s="58" t="s">
        <v>189</v>
      </c>
      <c r="H611" s="58"/>
      <c r="I611" s="58" t="s">
        <v>197</v>
      </c>
      <c r="J611" s="58"/>
      <c r="K611" s="58" t="s">
        <v>198</v>
      </c>
      <c r="L611" s="59">
        <v>2018</v>
      </c>
      <c r="M611" s="58" t="s">
        <v>192</v>
      </c>
      <c r="N611" s="58" t="s">
        <v>24</v>
      </c>
      <c r="O611" s="58" t="s">
        <v>54</v>
      </c>
      <c r="P611" s="58" t="s">
        <v>25</v>
      </c>
      <c r="Q611" s="89">
        <v>6616</v>
      </c>
      <c r="R611" s="89">
        <v>6021</v>
      </c>
      <c r="S611" s="89">
        <v>5349</v>
      </c>
      <c r="T611" s="91"/>
      <c r="U611" s="86" t="s">
        <v>67</v>
      </c>
      <c r="V611" s="87" t="s">
        <v>56</v>
      </c>
      <c r="W611" s="84">
        <v>1206547</v>
      </c>
      <c r="X611" s="60">
        <f t="shared" si="638"/>
        <v>182.36804715840387</v>
      </c>
      <c r="Y611" s="60">
        <f t="shared" si="639"/>
        <v>200.38980235841223</v>
      </c>
      <c r="Z611" s="60">
        <f t="shared" si="640"/>
        <v>225.56496541409609</v>
      </c>
      <c r="AA611" s="60">
        <v>0</v>
      </c>
      <c r="AB611" s="77" t="s">
        <v>73</v>
      </c>
      <c r="AD611" s="93">
        <f t="shared" ref="AD611" si="706">W611/AC601</f>
        <v>2.8229676781505151E-2</v>
      </c>
    </row>
    <row r="612" spans="1:30" s="55" customFormat="1" ht="15.95">
      <c r="A612" s="57"/>
      <c r="B612" s="58" t="s">
        <v>48</v>
      </c>
      <c r="C612" s="58" t="s">
        <v>193</v>
      </c>
      <c r="D612" s="58"/>
      <c r="E612" s="58" t="s">
        <v>20</v>
      </c>
      <c r="F612" s="58" t="s">
        <v>21</v>
      </c>
      <c r="G612" s="58" t="s">
        <v>189</v>
      </c>
      <c r="H612" s="58"/>
      <c r="I612" s="58" t="s">
        <v>197</v>
      </c>
      <c r="J612" s="58"/>
      <c r="K612" s="58" t="s">
        <v>198</v>
      </c>
      <c r="L612" s="59">
        <v>2018</v>
      </c>
      <c r="M612" s="58" t="s">
        <v>192</v>
      </c>
      <c r="N612" s="58" t="s">
        <v>24</v>
      </c>
      <c r="O612" s="58" t="s">
        <v>54</v>
      </c>
      <c r="P612" s="58" t="s">
        <v>25</v>
      </c>
      <c r="Q612" s="89">
        <v>6616</v>
      </c>
      <c r="R612" s="89">
        <v>6021</v>
      </c>
      <c r="S612" s="89">
        <v>5349</v>
      </c>
      <c r="T612" s="91"/>
      <c r="U612" s="86" t="s">
        <v>68</v>
      </c>
      <c r="V612" s="87" t="s">
        <v>56</v>
      </c>
      <c r="W612" s="84">
        <v>1071048</v>
      </c>
      <c r="X612" s="60">
        <f t="shared" si="638"/>
        <v>161.8875453446191</v>
      </c>
      <c r="Y612" s="60">
        <f t="shared" si="639"/>
        <v>177.88540109616343</v>
      </c>
      <c r="Z612" s="60">
        <f t="shared" si="640"/>
        <v>200.23331463825014</v>
      </c>
      <c r="AA612" s="60">
        <v>0</v>
      </c>
      <c r="AB612" s="77" t="s">
        <v>73</v>
      </c>
      <c r="AD612" s="93">
        <f t="shared" ref="AD612" si="707">W612/AC601</f>
        <v>2.5059395827495761E-2</v>
      </c>
    </row>
    <row r="613" spans="1:30" s="55" customFormat="1" ht="15.95">
      <c r="A613" s="57"/>
      <c r="B613" s="58" t="s">
        <v>48</v>
      </c>
      <c r="C613" s="58" t="s">
        <v>193</v>
      </c>
      <c r="D613" s="58"/>
      <c r="E613" s="58" t="s">
        <v>20</v>
      </c>
      <c r="F613" s="58" t="s">
        <v>21</v>
      </c>
      <c r="G613" s="58" t="s">
        <v>189</v>
      </c>
      <c r="H613" s="58"/>
      <c r="I613" s="58" t="s">
        <v>197</v>
      </c>
      <c r="J613" s="58"/>
      <c r="K613" s="58" t="s">
        <v>198</v>
      </c>
      <c r="L613" s="59">
        <v>2018</v>
      </c>
      <c r="M613" s="58" t="s">
        <v>192</v>
      </c>
      <c r="N613" s="58" t="s">
        <v>24</v>
      </c>
      <c r="O613" s="58" t="s">
        <v>54</v>
      </c>
      <c r="P613" s="58" t="s">
        <v>25</v>
      </c>
      <c r="Q613" s="89">
        <v>6616</v>
      </c>
      <c r="R613" s="89">
        <v>6021</v>
      </c>
      <c r="S613" s="89">
        <v>5349</v>
      </c>
      <c r="T613" s="91"/>
      <c r="U613" s="86" t="s">
        <v>69</v>
      </c>
      <c r="V613" s="87" t="s">
        <v>56</v>
      </c>
      <c r="W613" s="84">
        <v>3594119</v>
      </c>
      <c r="X613" s="60">
        <f t="shared" si="638"/>
        <v>543.24652357920195</v>
      </c>
      <c r="Y613" s="60">
        <f t="shared" si="639"/>
        <v>596.93057631622651</v>
      </c>
      <c r="Z613" s="60">
        <f t="shared" si="640"/>
        <v>671.9235371097401</v>
      </c>
      <c r="AA613" s="60">
        <v>0</v>
      </c>
      <c r="AB613" s="77" t="s">
        <v>73</v>
      </c>
      <c r="AD613" s="93">
        <f t="shared" ref="AD613" si="708">W613/AC601</f>
        <v>8.4091890066666702E-2</v>
      </c>
    </row>
    <row r="614" spans="1:30" s="32" customFormat="1" ht="15" customHeight="1">
      <c r="A614" s="65"/>
      <c r="B614" s="66" t="s">
        <v>48</v>
      </c>
      <c r="C614" s="66" t="s">
        <v>193</v>
      </c>
      <c r="D614" s="66"/>
      <c r="E614" s="66" t="s">
        <v>20</v>
      </c>
      <c r="F614" s="66" t="s">
        <v>21</v>
      </c>
      <c r="G614" s="66" t="s">
        <v>189</v>
      </c>
      <c r="H614" s="66"/>
      <c r="I614" s="66" t="s">
        <v>199</v>
      </c>
      <c r="J614" s="66"/>
      <c r="K614" s="66" t="s">
        <v>200</v>
      </c>
      <c r="L614" s="67">
        <v>2019</v>
      </c>
      <c r="M614" s="66" t="s">
        <v>201</v>
      </c>
      <c r="N614" s="66" t="s">
        <v>24</v>
      </c>
      <c r="O614" s="66" t="s">
        <v>54</v>
      </c>
      <c r="P614" s="66" t="s">
        <v>25</v>
      </c>
      <c r="Q614" s="81">
        <v>5667</v>
      </c>
      <c r="R614" s="81">
        <v>5536</v>
      </c>
      <c r="S614" s="81">
        <v>3349</v>
      </c>
      <c r="T614" s="90"/>
      <c r="U614" s="82" t="s">
        <v>55</v>
      </c>
      <c r="V614" s="83" t="s">
        <v>56</v>
      </c>
      <c r="W614" s="80">
        <v>4477530</v>
      </c>
      <c r="X614" s="68">
        <f t="shared" si="638"/>
        <v>790.10587612493384</v>
      </c>
      <c r="Y614" s="68">
        <f t="shared" si="639"/>
        <v>808.80238439306356</v>
      </c>
      <c r="Z614" s="68">
        <f t="shared" si="640"/>
        <v>1336.975216482532</v>
      </c>
      <c r="AA614" s="68">
        <v>0</v>
      </c>
      <c r="AB614" s="78" t="s">
        <v>73</v>
      </c>
      <c r="AC614" s="92">
        <f t="shared" ref="AC614" si="709">SUM(W614:W626)</f>
        <v>23177622</v>
      </c>
      <c r="AD614" s="93">
        <f t="shared" ref="AD614" si="710">W614/AC614</f>
        <v>0.19318332139509395</v>
      </c>
    </row>
    <row r="615" spans="1:30" s="32" customFormat="1" ht="15.95">
      <c r="A615" s="65"/>
      <c r="B615" s="66" t="s">
        <v>48</v>
      </c>
      <c r="C615" s="66" t="s">
        <v>193</v>
      </c>
      <c r="D615" s="66"/>
      <c r="E615" s="66" t="s">
        <v>20</v>
      </c>
      <c r="F615" s="66" t="s">
        <v>21</v>
      </c>
      <c r="G615" s="66" t="s">
        <v>189</v>
      </c>
      <c r="H615" s="66"/>
      <c r="I615" s="66" t="s">
        <v>199</v>
      </c>
      <c r="J615" s="66"/>
      <c r="K615" s="66" t="s">
        <v>200</v>
      </c>
      <c r="L615" s="67">
        <v>2019</v>
      </c>
      <c r="M615" s="66" t="s">
        <v>201</v>
      </c>
      <c r="N615" s="66" t="s">
        <v>24</v>
      </c>
      <c r="O615" s="66" t="s">
        <v>54</v>
      </c>
      <c r="P615" s="66" t="s">
        <v>25</v>
      </c>
      <c r="Q615" s="81">
        <v>5667</v>
      </c>
      <c r="R615" s="81">
        <v>5536</v>
      </c>
      <c r="S615" s="81">
        <v>3349</v>
      </c>
      <c r="T615" s="90"/>
      <c r="U615" s="82" t="s">
        <v>58</v>
      </c>
      <c r="V615" s="83" t="s">
        <v>56</v>
      </c>
      <c r="W615" s="80">
        <v>4075121</v>
      </c>
      <c r="X615" s="68">
        <f t="shared" ref="X615:X704" si="711">W615/Q615</f>
        <v>719.09670019410623</v>
      </c>
      <c r="Y615" s="68">
        <f t="shared" ref="Y615:Y704" si="712">W615/R615</f>
        <v>736.11289739884398</v>
      </c>
      <c r="Z615" s="68">
        <f t="shared" ref="Z615:Z704" si="713">W615/S615</f>
        <v>1216.8172588832488</v>
      </c>
      <c r="AA615" s="68">
        <v>0</v>
      </c>
      <c r="AB615" s="78" t="s">
        <v>73</v>
      </c>
      <c r="AC615" s="55"/>
      <c r="AD615" s="93">
        <f t="shared" ref="AD615" si="714">W615/AC614</f>
        <v>0.17582135906781118</v>
      </c>
    </row>
    <row r="616" spans="1:30" s="32" customFormat="1" ht="15.95">
      <c r="A616" s="65"/>
      <c r="B616" s="66" t="s">
        <v>48</v>
      </c>
      <c r="C616" s="66" t="s">
        <v>193</v>
      </c>
      <c r="D616" s="66"/>
      <c r="E616" s="66" t="s">
        <v>20</v>
      </c>
      <c r="F616" s="66" t="s">
        <v>21</v>
      </c>
      <c r="G616" s="66" t="s">
        <v>189</v>
      </c>
      <c r="H616" s="66"/>
      <c r="I616" s="66" t="s">
        <v>199</v>
      </c>
      <c r="J616" s="66"/>
      <c r="K616" s="66" t="s">
        <v>200</v>
      </c>
      <c r="L616" s="67">
        <v>2019</v>
      </c>
      <c r="M616" s="66" t="s">
        <v>201</v>
      </c>
      <c r="N616" s="66" t="s">
        <v>24</v>
      </c>
      <c r="O616" s="66" t="s">
        <v>54</v>
      </c>
      <c r="P616" s="66" t="s">
        <v>25</v>
      </c>
      <c r="Q616" s="81">
        <v>5667</v>
      </c>
      <c r="R616" s="81">
        <v>5536</v>
      </c>
      <c r="S616" s="81">
        <v>3349</v>
      </c>
      <c r="T616" s="90"/>
      <c r="U616" s="82" t="s">
        <v>59</v>
      </c>
      <c r="V616" s="83" t="s">
        <v>56</v>
      </c>
      <c r="W616" s="80">
        <v>3429602</v>
      </c>
      <c r="X616" s="68">
        <f t="shared" si="711"/>
        <v>605.18828304217402</v>
      </c>
      <c r="Y616" s="68">
        <f t="shared" si="712"/>
        <v>619.50903179190755</v>
      </c>
      <c r="Z616" s="68">
        <f t="shared" si="713"/>
        <v>1024.0674828306958</v>
      </c>
      <c r="AA616" s="68">
        <v>0</v>
      </c>
      <c r="AB616" s="78" t="s">
        <v>73</v>
      </c>
      <c r="AC616" s="55"/>
      <c r="AD616" s="93">
        <f t="shared" ref="AD616" si="715">W616/AC614</f>
        <v>0.14797040006951534</v>
      </c>
    </row>
    <row r="617" spans="1:30" s="32" customFormat="1" ht="15.95">
      <c r="A617" s="65"/>
      <c r="B617" s="66" t="s">
        <v>48</v>
      </c>
      <c r="C617" s="66" t="s">
        <v>193</v>
      </c>
      <c r="D617" s="66"/>
      <c r="E617" s="66" t="s">
        <v>20</v>
      </c>
      <c r="F617" s="66" t="s">
        <v>21</v>
      </c>
      <c r="G617" s="66" t="s">
        <v>189</v>
      </c>
      <c r="H617" s="66"/>
      <c r="I617" s="66" t="s">
        <v>199</v>
      </c>
      <c r="J617" s="66"/>
      <c r="K617" s="66" t="s">
        <v>200</v>
      </c>
      <c r="L617" s="67">
        <v>2019</v>
      </c>
      <c r="M617" s="66" t="s">
        <v>201</v>
      </c>
      <c r="N617" s="66" t="s">
        <v>24</v>
      </c>
      <c r="O617" s="66" t="s">
        <v>54</v>
      </c>
      <c r="P617" s="66" t="s">
        <v>25</v>
      </c>
      <c r="Q617" s="81">
        <v>5667</v>
      </c>
      <c r="R617" s="81">
        <v>5536</v>
      </c>
      <c r="S617" s="81">
        <v>3349</v>
      </c>
      <c r="T617" s="90"/>
      <c r="U617" s="82" t="s">
        <v>60</v>
      </c>
      <c r="V617" s="83" t="s">
        <v>56</v>
      </c>
      <c r="W617" s="80">
        <v>648445</v>
      </c>
      <c r="X617" s="68">
        <f t="shared" si="711"/>
        <v>114.42473972119286</v>
      </c>
      <c r="Y617" s="68">
        <f t="shared" si="712"/>
        <v>117.13240606936417</v>
      </c>
      <c r="Z617" s="68">
        <f t="shared" si="713"/>
        <v>193.6234696924455</v>
      </c>
      <c r="AA617" s="68">
        <v>0</v>
      </c>
      <c r="AB617" s="78" t="s">
        <v>73</v>
      </c>
      <c r="AC617" s="55"/>
      <c r="AD617" s="93">
        <f t="shared" ref="AD617" si="716">W617/AC614</f>
        <v>2.7977201457509315E-2</v>
      </c>
    </row>
    <row r="618" spans="1:30" s="32" customFormat="1" ht="15.95">
      <c r="A618" s="65"/>
      <c r="B618" s="66" t="s">
        <v>48</v>
      </c>
      <c r="C618" s="66" t="s">
        <v>193</v>
      </c>
      <c r="D618" s="66"/>
      <c r="E618" s="66" t="s">
        <v>20</v>
      </c>
      <c r="F618" s="66" t="s">
        <v>21</v>
      </c>
      <c r="G618" s="66" t="s">
        <v>189</v>
      </c>
      <c r="H618" s="66"/>
      <c r="I618" s="66" t="s">
        <v>199</v>
      </c>
      <c r="J618" s="66"/>
      <c r="K618" s="66" t="s">
        <v>200</v>
      </c>
      <c r="L618" s="67">
        <v>2019</v>
      </c>
      <c r="M618" s="66" t="s">
        <v>201</v>
      </c>
      <c r="N618" s="66" t="s">
        <v>24</v>
      </c>
      <c r="O618" s="66" t="s">
        <v>54</v>
      </c>
      <c r="P618" s="66" t="s">
        <v>25</v>
      </c>
      <c r="Q618" s="81">
        <v>5667</v>
      </c>
      <c r="R618" s="81">
        <v>5536</v>
      </c>
      <c r="S618" s="81">
        <v>3349</v>
      </c>
      <c r="T618" s="90"/>
      <c r="U618" s="82" t="s">
        <v>61</v>
      </c>
      <c r="V618" s="83" t="s">
        <v>56</v>
      </c>
      <c r="W618" s="80">
        <v>1340948</v>
      </c>
      <c r="X618" s="68">
        <f t="shared" si="711"/>
        <v>236.62396329627668</v>
      </c>
      <c r="Y618" s="68">
        <f t="shared" si="712"/>
        <v>242.22326589595374</v>
      </c>
      <c r="Z618" s="68">
        <f t="shared" si="713"/>
        <v>400.40250821140637</v>
      </c>
      <c r="AA618" s="68">
        <v>0</v>
      </c>
      <c r="AB618" s="78" t="s">
        <v>73</v>
      </c>
      <c r="AC618" s="55"/>
      <c r="AD618" s="93">
        <f t="shared" ref="AD618" si="717">W618/AC614</f>
        <v>5.7855288174084467E-2</v>
      </c>
    </row>
    <row r="619" spans="1:30" s="32" customFormat="1" ht="15.95">
      <c r="A619" s="65"/>
      <c r="B619" s="66" t="s">
        <v>48</v>
      </c>
      <c r="C619" s="66" t="s">
        <v>193</v>
      </c>
      <c r="D619" s="66"/>
      <c r="E619" s="66" t="s">
        <v>20</v>
      </c>
      <c r="F619" s="66" t="s">
        <v>21</v>
      </c>
      <c r="G619" s="66" t="s">
        <v>189</v>
      </c>
      <c r="H619" s="66"/>
      <c r="I619" s="66" t="s">
        <v>199</v>
      </c>
      <c r="J619" s="66"/>
      <c r="K619" s="66" t="s">
        <v>200</v>
      </c>
      <c r="L619" s="67">
        <v>2019</v>
      </c>
      <c r="M619" s="66" t="s">
        <v>201</v>
      </c>
      <c r="N619" s="66" t="s">
        <v>24</v>
      </c>
      <c r="O619" s="66" t="s">
        <v>54</v>
      </c>
      <c r="P619" s="66" t="s">
        <v>25</v>
      </c>
      <c r="Q619" s="81">
        <v>5667</v>
      </c>
      <c r="R619" s="81">
        <v>5536</v>
      </c>
      <c r="S619" s="81">
        <v>3349</v>
      </c>
      <c r="T619" s="90"/>
      <c r="U619" s="82" t="s">
        <v>62</v>
      </c>
      <c r="V619" s="83" t="s">
        <v>56</v>
      </c>
      <c r="W619" s="80">
        <v>524020</v>
      </c>
      <c r="X619" s="68">
        <f t="shared" si="711"/>
        <v>92.468678313040414</v>
      </c>
      <c r="Y619" s="68">
        <f t="shared" si="712"/>
        <v>94.656791907514446</v>
      </c>
      <c r="Z619" s="68">
        <f t="shared" si="713"/>
        <v>156.47058823529412</v>
      </c>
      <c r="AA619" s="68">
        <v>0</v>
      </c>
      <c r="AB619" s="78" t="s">
        <v>73</v>
      </c>
      <c r="AC619" s="55"/>
      <c r="AD619" s="93">
        <f t="shared" ref="AD619" si="718">W619/AC614</f>
        <v>2.2608876786410617E-2</v>
      </c>
    </row>
    <row r="620" spans="1:30" s="32" customFormat="1" ht="15.95">
      <c r="A620" s="65"/>
      <c r="B620" s="66" t="s">
        <v>48</v>
      </c>
      <c r="C620" s="66" t="s">
        <v>193</v>
      </c>
      <c r="D620" s="66"/>
      <c r="E620" s="66" t="s">
        <v>20</v>
      </c>
      <c r="F620" s="66" t="s">
        <v>21</v>
      </c>
      <c r="G620" s="66" t="s">
        <v>189</v>
      </c>
      <c r="H620" s="66"/>
      <c r="I620" s="66" t="s">
        <v>199</v>
      </c>
      <c r="J620" s="66"/>
      <c r="K620" s="66" t="s">
        <v>200</v>
      </c>
      <c r="L620" s="67">
        <v>2019</v>
      </c>
      <c r="M620" s="66" t="s">
        <v>201</v>
      </c>
      <c r="N620" s="66" t="s">
        <v>24</v>
      </c>
      <c r="O620" s="66" t="s">
        <v>54</v>
      </c>
      <c r="P620" s="66" t="s">
        <v>25</v>
      </c>
      <c r="Q620" s="81">
        <v>5667</v>
      </c>
      <c r="R620" s="81">
        <v>5536</v>
      </c>
      <c r="S620" s="81">
        <v>3349</v>
      </c>
      <c r="T620" s="90"/>
      <c r="U620" s="82" t="s">
        <v>63</v>
      </c>
      <c r="V620" s="83" t="s">
        <v>56</v>
      </c>
      <c r="W620" s="80">
        <v>102065</v>
      </c>
      <c r="X620" s="68">
        <f t="shared" si="711"/>
        <v>18.010411152285158</v>
      </c>
      <c r="Y620" s="68">
        <f t="shared" si="712"/>
        <v>18.43659682080925</v>
      </c>
      <c r="Z620" s="68">
        <f t="shared" si="713"/>
        <v>30.476261570618096</v>
      </c>
      <c r="AA620" s="68">
        <v>0</v>
      </c>
      <c r="AB620" s="78" t="s">
        <v>73</v>
      </c>
      <c r="AC620" s="55"/>
      <c r="AD620" s="93">
        <f t="shared" ref="AD620" si="719">W620/AC614</f>
        <v>4.4036010251612525E-3</v>
      </c>
    </row>
    <row r="621" spans="1:30" s="32" customFormat="1" ht="15.95">
      <c r="A621" s="65"/>
      <c r="B621" s="66" t="s">
        <v>48</v>
      </c>
      <c r="C621" s="66" t="s">
        <v>193</v>
      </c>
      <c r="D621" s="66"/>
      <c r="E621" s="66" t="s">
        <v>20</v>
      </c>
      <c r="F621" s="66" t="s">
        <v>21</v>
      </c>
      <c r="G621" s="66" t="s">
        <v>189</v>
      </c>
      <c r="H621" s="66"/>
      <c r="I621" s="66" t="s">
        <v>199</v>
      </c>
      <c r="J621" s="66"/>
      <c r="K621" s="66" t="s">
        <v>200</v>
      </c>
      <c r="L621" s="67">
        <v>2019</v>
      </c>
      <c r="M621" s="66" t="s">
        <v>201</v>
      </c>
      <c r="N621" s="66" t="s">
        <v>24</v>
      </c>
      <c r="O621" s="66" t="s">
        <v>54</v>
      </c>
      <c r="P621" s="66" t="s">
        <v>25</v>
      </c>
      <c r="Q621" s="81">
        <v>5667</v>
      </c>
      <c r="R621" s="81">
        <v>5536</v>
      </c>
      <c r="S621" s="81">
        <v>3349</v>
      </c>
      <c r="T621" s="90"/>
      <c r="U621" s="82" t="s">
        <v>64</v>
      </c>
      <c r="V621" s="83" t="s">
        <v>56</v>
      </c>
      <c r="W621" s="80">
        <v>0</v>
      </c>
      <c r="X621" s="68">
        <f t="shared" si="711"/>
        <v>0</v>
      </c>
      <c r="Y621" s="68">
        <f t="shared" si="712"/>
        <v>0</v>
      </c>
      <c r="Z621" s="68">
        <f t="shared" si="713"/>
        <v>0</v>
      </c>
      <c r="AA621" s="68">
        <v>0</v>
      </c>
      <c r="AB621" s="78" t="s">
        <v>73</v>
      </c>
      <c r="AC621" s="55"/>
      <c r="AD621" s="93">
        <f t="shared" ref="AD621" si="720">W621/AC614</f>
        <v>0</v>
      </c>
    </row>
    <row r="622" spans="1:30" s="32" customFormat="1" ht="15.95">
      <c r="A622" s="65"/>
      <c r="B622" s="66" t="s">
        <v>48</v>
      </c>
      <c r="C622" s="66" t="s">
        <v>193</v>
      </c>
      <c r="D622" s="66"/>
      <c r="E622" s="66" t="s">
        <v>20</v>
      </c>
      <c r="F622" s="66" t="s">
        <v>21</v>
      </c>
      <c r="G622" s="66" t="s">
        <v>189</v>
      </c>
      <c r="H622" s="66"/>
      <c r="I622" s="66" t="s">
        <v>199</v>
      </c>
      <c r="J622" s="66"/>
      <c r="K622" s="66" t="s">
        <v>200</v>
      </c>
      <c r="L622" s="67">
        <v>2019</v>
      </c>
      <c r="M622" s="66" t="s">
        <v>201</v>
      </c>
      <c r="N622" s="66" t="s">
        <v>24</v>
      </c>
      <c r="O622" s="66" t="s">
        <v>54</v>
      </c>
      <c r="P622" s="66" t="s">
        <v>25</v>
      </c>
      <c r="Q622" s="81">
        <v>5667</v>
      </c>
      <c r="R622" s="81">
        <v>5536</v>
      </c>
      <c r="S622" s="81">
        <v>3349</v>
      </c>
      <c r="T622" s="90"/>
      <c r="U622" s="82" t="s">
        <v>65</v>
      </c>
      <c r="V622" s="83" t="s">
        <v>56</v>
      </c>
      <c r="W622" s="80">
        <v>3005772</v>
      </c>
      <c r="X622" s="68">
        <f t="shared" si="711"/>
        <v>530.39915299100051</v>
      </c>
      <c r="Y622" s="68">
        <f t="shared" si="712"/>
        <v>542.95014450867052</v>
      </c>
      <c r="Z622" s="68">
        <f t="shared" si="713"/>
        <v>897.51328754852193</v>
      </c>
      <c r="AA622" s="68">
        <v>0</v>
      </c>
      <c r="AB622" s="78" t="s">
        <v>73</v>
      </c>
      <c r="AC622" s="55"/>
      <c r="AD622" s="93">
        <f t="shared" ref="AD622" si="721">W622/AC614</f>
        <v>0.12968422731201673</v>
      </c>
    </row>
    <row r="623" spans="1:30" s="32" customFormat="1" ht="15.95">
      <c r="A623" s="65"/>
      <c r="B623" s="66" t="s">
        <v>48</v>
      </c>
      <c r="C623" s="66" t="s">
        <v>193</v>
      </c>
      <c r="D623" s="66"/>
      <c r="E623" s="66" t="s">
        <v>20</v>
      </c>
      <c r="F623" s="66" t="s">
        <v>21</v>
      </c>
      <c r="G623" s="66" t="s">
        <v>189</v>
      </c>
      <c r="H623" s="66"/>
      <c r="I623" s="66" t="s">
        <v>199</v>
      </c>
      <c r="J623" s="66"/>
      <c r="K623" s="66" t="s">
        <v>200</v>
      </c>
      <c r="L623" s="67">
        <v>2019</v>
      </c>
      <c r="M623" s="66" t="s">
        <v>201</v>
      </c>
      <c r="N623" s="66" t="s">
        <v>24</v>
      </c>
      <c r="O623" s="66" t="s">
        <v>54</v>
      </c>
      <c r="P623" s="66" t="s">
        <v>25</v>
      </c>
      <c r="Q623" s="81">
        <v>5667</v>
      </c>
      <c r="R623" s="81">
        <v>5536</v>
      </c>
      <c r="S623" s="81">
        <v>3349</v>
      </c>
      <c r="T623" s="90"/>
      <c r="U623" s="82" t="s">
        <v>66</v>
      </c>
      <c r="V623" s="83" t="s">
        <v>56</v>
      </c>
      <c r="W623" s="80">
        <v>2486678</v>
      </c>
      <c r="X623" s="68">
        <f t="shared" si="711"/>
        <v>438.79971766366685</v>
      </c>
      <c r="Y623" s="68">
        <f t="shared" si="712"/>
        <v>449.18316473988438</v>
      </c>
      <c r="Z623" s="68">
        <f t="shared" si="713"/>
        <v>742.51358614511798</v>
      </c>
      <c r="AA623" s="68">
        <v>0</v>
      </c>
      <c r="AB623" s="78" t="s">
        <v>73</v>
      </c>
      <c r="AC623" s="55"/>
      <c r="AD623" s="93">
        <f t="shared" ref="AD623" si="722">W623/AC614</f>
        <v>0.10728788311415209</v>
      </c>
    </row>
    <row r="624" spans="1:30" s="32" customFormat="1" ht="15.95">
      <c r="A624" s="65"/>
      <c r="B624" s="66" t="s">
        <v>48</v>
      </c>
      <c r="C624" s="66" t="s">
        <v>193</v>
      </c>
      <c r="D624" s="66"/>
      <c r="E624" s="66" t="s">
        <v>20</v>
      </c>
      <c r="F624" s="66" t="s">
        <v>21</v>
      </c>
      <c r="G624" s="66" t="s">
        <v>189</v>
      </c>
      <c r="H624" s="66"/>
      <c r="I624" s="66" t="s">
        <v>199</v>
      </c>
      <c r="J624" s="66"/>
      <c r="K624" s="66" t="s">
        <v>200</v>
      </c>
      <c r="L624" s="67">
        <v>2019</v>
      </c>
      <c r="M624" s="66" t="s">
        <v>201</v>
      </c>
      <c r="N624" s="66" t="s">
        <v>24</v>
      </c>
      <c r="O624" s="66" t="s">
        <v>54</v>
      </c>
      <c r="P624" s="66" t="s">
        <v>25</v>
      </c>
      <c r="Q624" s="81">
        <v>5667</v>
      </c>
      <c r="R624" s="81">
        <v>5536</v>
      </c>
      <c r="S624" s="81">
        <v>3349</v>
      </c>
      <c r="T624" s="90"/>
      <c r="U624" s="82" t="s">
        <v>67</v>
      </c>
      <c r="V624" s="83" t="s">
        <v>56</v>
      </c>
      <c r="W624" s="80">
        <v>314199</v>
      </c>
      <c r="X624" s="68">
        <f t="shared" si="711"/>
        <v>55.443620963472739</v>
      </c>
      <c r="Y624" s="68">
        <f t="shared" si="712"/>
        <v>56.755599710982658</v>
      </c>
      <c r="Z624" s="68">
        <f t="shared" si="713"/>
        <v>93.818751866228723</v>
      </c>
      <c r="AA624" s="68">
        <v>0</v>
      </c>
      <c r="AB624" s="78" t="s">
        <v>73</v>
      </c>
      <c r="AC624" s="55"/>
      <c r="AD624" s="93">
        <f t="shared" ref="AD624" si="723">W624/AC614</f>
        <v>1.3556136173072457E-2</v>
      </c>
    </row>
    <row r="625" spans="1:30" s="32" customFormat="1" ht="15.95">
      <c r="A625" s="65"/>
      <c r="B625" s="66" t="s">
        <v>48</v>
      </c>
      <c r="C625" s="66" t="s">
        <v>193</v>
      </c>
      <c r="D625" s="66"/>
      <c r="E625" s="66" t="s">
        <v>20</v>
      </c>
      <c r="F625" s="66" t="s">
        <v>21</v>
      </c>
      <c r="G625" s="66" t="s">
        <v>189</v>
      </c>
      <c r="H625" s="66"/>
      <c r="I625" s="66" t="s">
        <v>199</v>
      </c>
      <c r="J625" s="66"/>
      <c r="K625" s="66" t="s">
        <v>200</v>
      </c>
      <c r="L625" s="67">
        <v>2019</v>
      </c>
      <c r="M625" s="66" t="s">
        <v>201</v>
      </c>
      <c r="N625" s="66" t="s">
        <v>24</v>
      </c>
      <c r="O625" s="66" t="s">
        <v>54</v>
      </c>
      <c r="P625" s="66" t="s">
        <v>25</v>
      </c>
      <c r="Q625" s="81">
        <v>5667</v>
      </c>
      <c r="R625" s="81">
        <v>5536</v>
      </c>
      <c r="S625" s="81">
        <v>3349</v>
      </c>
      <c r="T625" s="90"/>
      <c r="U625" s="82" t="s">
        <v>68</v>
      </c>
      <c r="V625" s="83" t="s">
        <v>56</v>
      </c>
      <c r="W625" s="80">
        <v>797171</v>
      </c>
      <c r="X625" s="68">
        <f t="shared" si="711"/>
        <v>140.66896064937356</v>
      </c>
      <c r="Y625" s="68">
        <f t="shared" si="712"/>
        <v>143.99765173410404</v>
      </c>
      <c r="Z625" s="68">
        <f t="shared" si="713"/>
        <v>238.03254702896388</v>
      </c>
      <c r="AA625" s="68">
        <v>0</v>
      </c>
      <c r="AB625" s="78" t="s">
        <v>73</v>
      </c>
      <c r="AC625" s="55"/>
      <c r="AD625" s="93">
        <f t="shared" ref="AD625" si="724">W625/AC614</f>
        <v>3.4393994345062663E-2</v>
      </c>
    </row>
    <row r="626" spans="1:30" s="32" customFormat="1" ht="15.95">
      <c r="A626" s="65"/>
      <c r="B626" s="66" t="s">
        <v>48</v>
      </c>
      <c r="C626" s="66" t="s">
        <v>193</v>
      </c>
      <c r="D626" s="66"/>
      <c r="E626" s="66" t="s">
        <v>20</v>
      </c>
      <c r="F626" s="66" t="s">
        <v>21</v>
      </c>
      <c r="G626" s="66" t="s">
        <v>189</v>
      </c>
      <c r="H626" s="66"/>
      <c r="I626" s="66" t="s">
        <v>199</v>
      </c>
      <c r="J626" s="66"/>
      <c r="K626" s="66" t="s">
        <v>200</v>
      </c>
      <c r="L626" s="67">
        <v>2019</v>
      </c>
      <c r="M626" s="66" t="s">
        <v>201</v>
      </c>
      <c r="N626" s="66" t="s">
        <v>24</v>
      </c>
      <c r="O626" s="66" t="s">
        <v>54</v>
      </c>
      <c r="P626" s="66" t="s">
        <v>25</v>
      </c>
      <c r="Q626" s="81">
        <v>5667</v>
      </c>
      <c r="R626" s="81">
        <v>5536</v>
      </c>
      <c r="S626" s="81">
        <v>3349</v>
      </c>
      <c r="T626" s="90"/>
      <c r="U626" s="82" t="s">
        <v>69</v>
      </c>
      <c r="V626" s="83" t="s">
        <v>56</v>
      </c>
      <c r="W626" s="80">
        <v>1976071</v>
      </c>
      <c r="X626" s="68">
        <f t="shared" si="711"/>
        <v>348.69790012352212</v>
      </c>
      <c r="Y626" s="68">
        <f t="shared" si="712"/>
        <v>356.94924132947978</v>
      </c>
      <c r="Z626" s="68">
        <f t="shared" si="713"/>
        <v>590.04807405195584</v>
      </c>
      <c r="AA626" s="68">
        <v>0</v>
      </c>
      <c r="AB626" s="78" t="s">
        <v>73</v>
      </c>
      <c r="AC626" s="55"/>
      <c r="AD626" s="93">
        <f t="shared" ref="AD626" si="725">W626/AC614</f>
        <v>8.5257711080109946E-2</v>
      </c>
    </row>
    <row r="627" spans="1:30" s="55" customFormat="1" ht="15" customHeight="1">
      <c r="A627" s="57"/>
      <c r="B627" s="58" t="s">
        <v>48</v>
      </c>
      <c r="C627" s="58" t="s">
        <v>193</v>
      </c>
      <c r="D627" s="58"/>
      <c r="E627" s="58" t="s">
        <v>202</v>
      </c>
      <c r="F627" s="58" t="s">
        <v>203</v>
      </c>
      <c r="G627" s="58" t="s">
        <v>204</v>
      </c>
      <c r="H627" s="58"/>
      <c r="I627" s="58" t="s">
        <v>205</v>
      </c>
      <c r="J627" s="58"/>
      <c r="K627" s="58" t="s">
        <v>206</v>
      </c>
      <c r="L627" s="59">
        <v>2023</v>
      </c>
      <c r="M627" s="58" t="s">
        <v>207</v>
      </c>
      <c r="N627" s="58" t="s">
        <v>208</v>
      </c>
      <c r="O627" s="58" t="s">
        <v>54</v>
      </c>
      <c r="P627" s="58" t="s">
        <v>25</v>
      </c>
      <c r="Q627" s="84">
        <v>45115</v>
      </c>
      <c r="R627" s="84">
        <v>38065</v>
      </c>
      <c r="S627" s="84">
        <v>25909</v>
      </c>
      <c r="T627" s="91"/>
      <c r="U627" s="86" t="s">
        <v>55</v>
      </c>
      <c r="V627" s="87" t="s">
        <v>209</v>
      </c>
      <c r="W627" s="84">
        <v>16828959</v>
      </c>
      <c r="X627" s="60">
        <f t="shared" si="711"/>
        <v>373.02358417377815</v>
      </c>
      <c r="Y627" s="60">
        <f t="shared" si="712"/>
        <v>442.1110994351767</v>
      </c>
      <c r="Z627" s="60">
        <f t="shared" si="713"/>
        <v>649.54104751244745</v>
      </c>
      <c r="AA627" s="60">
        <v>0</v>
      </c>
      <c r="AB627" s="77" t="s">
        <v>73</v>
      </c>
      <c r="AC627" s="92">
        <f t="shared" ref="AC627" si="726">SUM(W627:W639)</f>
        <v>247599243</v>
      </c>
      <c r="AD627" s="93">
        <f t="shared" ref="AD627" si="727">W627/AC627</f>
        <v>6.796853979072949E-2</v>
      </c>
    </row>
    <row r="628" spans="1:30" s="55" customFormat="1" ht="15.95">
      <c r="A628" s="57"/>
      <c r="B628" s="58" t="s">
        <v>48</v>
      </c>
      <c r="C628" s="58" t="s">
        <v>193</v>
      </c>
      <c r="D628" s="58"/>
      <c r="E628" s="58" t="s">
        <v>202</v>
      </c>
      <c r="F628" s="58" t="s">
        <v>203</v>
      </c>
      <c r="G628" s="58" t="s">
        <v>204</v>
      </c>
      <c r="H628" s="58"/>
      <c r="I628" s="58" t="s">
        <v>205</v>
      </c>
      <c r="J628" s="58"/>
      <c r="K628" s="58" t="s">
        <v>206</v>
      </c>
      <c r="L628" s="59">
        <v>2023</v>
      </c>
      <c r="M628" s="58" t="s">
        <v>207</v>
      </c>
      <c r="N628" s="58" t="s">
        <v>208</v>
      </c>
      <c r="O628" s="58" t="s">
        <v>54</v>
      </c>
      <c r="P628" s="58" t="s">
        <v>25</v>
      </c>
      <c r="Q628" s="84">
        <v>45115</v>
      </c>
      <c r="R628" s="84">
        <v>38065</v>
      </c>
      <c r="S628" s="84">
        <v>25909</v>
      </c>
      <c r="T628" s="91"/>
      <c r="U628" s="86" t="s">
        <v>58</v>
      </c>
      <c r="V628" s="87" t="s">
        <v>209</v>
      </c>
      <c r="W628" s="84">
        <v>42922470</v>
      </c>
      <c r="X628" s="60">
        <f t="shared" si="711"/>
        <v>951.4013077690347</v>
      </c>
      <c r="Y628" s="60">
        <f t="shared" si="712"/>
        <v>1127.609877840536</v>
      </c>
      <c r="Z628" s="60">
        <f t="shared" si="713"/>
        <v>1656.6625496931567</v>
      </c>
      <c r="AA628" s="60">
        <v>0</v>
      </c>
      <c r="AB628" s="77" t="s">
        <v>73</v>
      </c>
      <c r="AD628" s="93">
        <f t="shared" ref="AD628" si="728">W628/AC627</f>
        <v>0.17335460916574774</v>
      </c>
    </row>
    <row r="629" spans="1:30" s="55" customFormat="1" ht="15.95">
      <c r="A629" s="57"/>
      <c r="B629" s="58" t="s">
        <v>48</v>
      </c>
      <c r="C629" s="58" t="s">
        <v>193</v>
      </c>
      <c r="D629" s="58"/>
      <c r="E629" s="58" t="s">
        <v>202</v>
      </c>
      <c r="F629" s="58" t="s">
        <v>203</v>
      </c>
      <c r="G629" s="58" t="s">
        <v>204</v>
      </c>
      <c r="H629" s="58"/>
      <c r="I629" s="58" t="s">
        <v>205</v>
      </c>
      <c r="J629" s="58"/>
      <c r="K629" s="58" t="s">
        <v>206</v>
      </c>
      <c r="L629" s="59">
        <v>2023</v>
      </c>
      <c r="M629" s="58" t="s">
        <v>207</v>
      </c>
      <c r="N629" s="58" t="s">
        <v>208</v>
      </c>
      <c r="O629" s="58" t="s">
        <v>54</v>
      </c>
      <c r="P629" s="58" t="s">
        <v>25</v>
      </c>
      <c r="Q629" s="84">
        <v>45115</v>
      </c>
      <c r="R629" s="84">
        <v>38065</v>
      </c>
      <c r="S629" s="84">
        <v>25909</v>
      </c>
      <c r="T629" s="91"/>
      <c r="U629" s="86" t="s">
        <v>59</v>
      </c>
      <c r="V629" s="87" t="s">
        <v>209</v>
      </c>
      <c r="W629" s="84">
        <v>52591380</v>
      </c>
      <c r="X629" s="60">
        <f t="shared" si="711"/>
        <v>1165.7182755181204</v>
      </c>
      <c r="Y629" s="60">
        <f t="shared" si="712"/>
        <v>1381.6203861815316</v>
      </c>
      <c r="Z629" s="60">
        <f t="shared" si="713"/>
        <v>2029.8498591223126</v>
      </c>
      <c r="AA629" s="60">
        <v>0</v>
      </c>
      <c r="AB629" s="77" t="s">
        <v>73</v>
      </c>
      <c r="AD629" s="93">
        <f t="shared" ref="AD629" si="729">W629/AC627</f>
        <v>0.21240525359764528</v>
      </c>
    </row>
    <row r="630" spans="1:30" s="55" customFormat="1" ht="15.95">
      <c r="A630" s="57"/>
      <c r="B630" s="58" t="s">
        <v>48</v>
      </c>
      <c r="C630" s="58" t="s">
        <v>193</v>
      </c>
      <c r="D630" s="58"/>
      <c r="E630" s="58" t="s">
        <v>202</v>
      </c>
      <c r="F630" s="58" t="s">
        <v>203</v>
      </c>
      <c r="G630" s="58" t="s">
        <v>204</v>
      </c>
      <c r="H630" s="58"/>
      <c r="I630" s="58" t="s">
        <v>205</v>
      </c>
      <c r="J630" s="58"/>
      <c r="K630" s="58" t="s">
        <v>206</v>
      </c>
      <c r="L630" s="59">
        <v>2023</v>
      </c>
      <c r="M630" s="58" t="s">
        <v>207</v>
      </c>
      <c r="N630" s="58" t="s">
        <v>208</v>
      </c>
      <c r="O630" s="58" t="s">
        <v>54</v>
      </c>
      <c r="P630" s="58" t="s">
        <v>25</v>
      </c>
      <c r="Q630" s="84">
        <v>45115</v>
      </c>
      <c r="R630" s="84">
        <v>38065</v>
      </c>
      <c r="S630" s="84">
        <v>25909</v>
      </c>
      <c r="T630" s="91"/>
      <c r="U630" s="86" t="s">
        <v>60</v>
      </c>
      <c r="V630" s="87" t="s">
        <v>209</v>
      </c>
      <c r="W630" s="84">
        <v>5458071</v>
      </c>
      <c r="X630" s="60">
        <f t="shared" si="711"/>
        <v>120.98129225313089</v>
      </c>
      <c r="Y630" s="60">
        <f t="shared" si="712"/>
        <v>143.38817811637989</v>
      </c>
      <c r="Z630" s="60">
        <f t="shared" si="713"/>
        <v>210.66312864255664</v>
      </c>
      <c r="AA630" s="60">
        <v>0</v>
      </c>
      <c r="AB630" s="77" t="s">
        <v>73</v>
      </c>
      <c r="AD630" s="93">
        <f t="shared" ref="AD630" si="730">W630/AC627</f>
        <v>2.2043972888883188E-2</v>
      </c>
    </row>
    <row r="631" spans="1:30" s="55" customFormat="1" ht="15.95">
      <c r="A631" s="57"/>
      <c r="B631" s="58" t="s">
        <v>48</v>
      </c>
      <c r="C631" s="58" t="s">
        <v>193</v>
      </c>
      <c r="D631" s="58"/>
      <c r="E631" s="58" t="s">
        <v>202</v>
      </c>
      <c r="F631" s="58" t="s">
        <v>203</v>
      </c>
      <c r="G631" s="58" t="s">
        <v>204</v>
      </c>
      <c r="H631" s="58"/>
      <c r="I631" s="58" t="s">
        <v>205</v>
      </c>
      <c r="J631" s="58"/>
      <c r="K631" s="58" t="s">
        <v>206</v>
      </c>
      <c r="L631" s="59">
        <v>2023</v>
      </c>
      <c r="M631" s="58" t="s">
        <v>207</v>
      </c>
      <c r="N631" s="58" t="s">
        <v>208</v>
      </c>
      <c r="O631" s="58" t="s">
        <v>54</v>
      </c>
      <c r="P631" s="58" t="s">
        <v>25</v>
      </c>
      <c r="Q631" s="84">
        <v>45115</v>
      </c>
      <c r="R631" s="84">
        <v>38065</v>
      </c>
      <c r="S631" s="84">
        <v>25909</v>
      </c>
      <c r="T631" s="91"/>
      <c r="U631" s="86" t="s">
        <v>61</v>
      </c>
      <c r="V631" s="87" t="s">
        <v>209</v>
      </c>
      <c r="W631" s="84">
        <v>11778939</v>
      </c>
      <c r="X631" s="60">
        <f t="shared" si="711"/>
        <v>261.08697772359528</v>
      </c>
      <c r="Y631" s="60">
        <f t="shared" si="712"/>
        <v>309.44276894785236</v>
      </c>
      <c r="Z631" s="60">
        <f t="shared" si="713"/>
        <v>454.62731097302094</v>
      </c>
      <c r="AA631" s="60">
        <v>0</v>
      </c>
      <c r="AB631" s="77" t="s">
        <v>73</v>
      </c>
      <c r="AD631" s="93">
        <f t="shared" ref="AD631" si="731">W631/AC627</f>
        <v>4.7572596980839717E-2</v>
      </c>
    </row>
    <row r="632" spans="1:30" s="55" customFormat="1" ht="15.95">
      <c r="A632" s="57"/>
      <c r="B632" s="58" t="s">
        <v>48</v>
      </c>
      <c r="C632" s="58" t="s">
        <v>193</v>
      </c>
      <c r="D632" s="58"/>
      <c r="E632" s="58" t="s">
        <v>202</v>
      </c>
      <c r="F632" s="58" t="s">
        <v>203</v>
      </c>
      <c r="G632" s="58" t="s">
        <v>204</v>
      </c>
      <c r="H632" s="58"/>
      <c r="I632" s="58" t="s">
        <v>205</v>
      </c>
      <c r="J632" s="58"/>
      <c r="K632" s="58" t="s">
        <v>206</v>
      </c>
      <c r="L632" s="59">
        <v>2023</v>
      </c>
      <c r="M632" s="58" t="s">
        <v>207</v>
      </c>
      <c r="N632" s="58" t="s">
        <v>208</v>
      </c>
      <c r="O632" s="58" t="s">
        <v>54</v>
      </c>
      <c r="P632" s="58" t="s">
        <v>25</v>
      </c>
      <c r="Q632" s="84">
        <v>45115</v>
      </c>
      <c r="R632" s="84">
        <v>38065</v>
      </c>
      <c r="S632" s="84">
        <v>25909</v>
      </c>
      <c r="T632" s="91"/>
      <c r="U632" s="86" t="s">
        <v>62</v>
      </c>
      <c r="V632" s="87" t="s">
        <v>209</v>
      </c>
      <c r="W632" s="84">
        <v>3248673</v>
      </c>
      <c r="X632" s="60">
        <f t="shared" si="711"/>
        <v>72.008711071705648</v>
      </c>
      <c r="Y632" s="60">
        <f t="shared" si="712"/>
        <v>85.345409168527524</v>
      </c>
      <c r="Z632" s="60">
        <f t="shared" si="713"/>
        <v>125.38781890462774</v>
      </c>
      <c r="AA632" s="60">
        <v>0</v>
      </c>
      <c r="AB632" s="77" t="s">
        <v>73</v>
      </c>
      <c r="AD632" s="93">
        <f t="shared" ref="AD632" si="732">W632/AC627</f>
        <v>1.3120690356876415E-2</v>
      </c>
    </row>
    <row r="633" spans="1:30" s="55" customFormat="1" ht="15.95">
      <c r="A633" s="57"/>
      <c r="B633" s="58" t="s">
        <v>48</v>
      </c>
      <c r="C633" s="58" t="s">
        <v>193</v>
      </c>
      <c r="D633" s="58"/>
      <c r="E633" s="58" t="s">
        <v>202</v>
      </c>
      <c r="F633" s="58" t="s">
        <v>203</v>
      </c>
      <c r="G633" s="58" t="s">
        <v>204</v>
      </c>
      <c r="H633" s="58"/>
      <c r="I633" s="58" t="s">
        <v>205</v>
      </c>
      <c r="J633" s="58"/>
      <c r="K633" s="58" t="s">
        <v>206</v>
      </c>
      <c r="L633" s="59">
        <v>2023</v>
      </c>
      <c r="M633" s="58" t="s">
        <v>207</v>
      </c>
      <c r="N633" s="58" t="s">
        <v>208</v>
      </c>
      <c r="O633" s="58" t="s">
        <v>54</v>
      </c>
      <c r="P633" s="58" t="s">
        <v>25</v>
      </c>
      <c r="Q633" s="84">
        <v>45115</v>
      </c>
      <c r="R633" s="84">
        <v>38065</v>
      </c>
      <c r="S633" s="84">
        <v>25909</v>
      </c>
      <c r="T633" s="91"/>
      <c r="U633" s="86" t="s">
        <v>63</v>
      </c>
      <c r="V633" s="87" t="s">
        <v>209</v>
      </c>
      <c r="W633" s="84">
        <v>930306</v>
      </c>
      <c r="X633" s="60">
        <f t="shared" si="711"/>
        <v>20.620769145517013</v>
      </c>
      <c r="Y633" s="60">
        <f t="shared" si="712"/>
        <v>24.439931695783528</v>
      </c>
      <c r="Z633" s="60">
        <f t="shared" si="713"/>
        <v>35.90667335674862</v>
      </c>
      <c r="AA633" s="60">
        <v>0</v>
      </c>
      <c r="AB633" s="77" t="s">
        <v>73</v>
      </c>
      <c r="AD633" s="93">
        <f t="shared" ref="AD633" si="733">W633/AC627</f>
        <v>3.7573055100172501E-3</v>
      </c>
    </row>
    <row r="634" spans="1:30" s="55" customFormat="1" ht="15.95">
      <c r="A634" s="57"/>
      <c r="B634" s="58" t="s">
        <v>48</v>
      </c>
      <c r="C634" s="58" t="s">
        <v>193</v>
      </c>
      <c r="D634" s="58"/>
      <c r="E634" s="58" t="s">
        <v>202</v>
      </c>
      <c r="F634" s="58" t="s">
        <v>203</v>
      </c>
      <c r="G634" s="58" t="s">
        <v>204</v>
      </c>
      <c r="H634" s="58"/>
      <c r="I634" s="58" t="s">
        <v>205</v>
      </c>
      <c r="J634" s="58"/>
      <c r="K634" s="58" t="s">
        <v>206</v>
      </c>
      <c r="L634" s="59">
        <v>2023</v>
      </c>
      <c r="M634" s="58" t="s">
        <v>207</v>
      </c>
      <c r="N634" s="58" t="s">
        <v>208</v>
      </c>
      <c r="O634" s="58" t="s">
        <v>54</v>
      </c>
      <c r="P634" s="58" t="s">
        <v>25</v>
      </c>
      <c r="Q634" s="84">
        <v>45115</v>
      </c>
      <c r="R634" s="84">
        <v>38065</v>
      </c>
      <c r="S634" s="84">
        <v>25909</v>
      </c>
      <c r="T634" s="91"/>
      <c r="U634" s="86" t="s">
        <v>64</v>
      </c>
      <c r="V634" s="87" t="s">
        <v>209</v>
      </c>
      <c r="W634" s="84">
        <v>3006379</v>
      </c>
      <c r="X634" s="60">
        <f t="shared" si="711"/>
        <v>66.638124792197715</v>
      </c>
      <c r="Y634" s="60">
        <f t="shared" si="712"/>
        <v>78.980139235518195</v>
      </c>
      <c r="Z634" s="60">
        <f t="shared" si="713"/>
        <v>116.03608784592227</v>
      </c>
      <c r="AA634" s="60">
        <v>0</v>
      </c>
      <c r="AB634" s="77" t="s">
        <v>73</v>
      </c>
      <c r="AD634" s="93">
        <f t="shared" ref="AD634" si="734">W634/AC627</f>
        <v>1.2142117090398374E-2</v>
      </c>
    </row>
    <row r="635" spans="1:30" s="55" customFormat="1" ht="15.95">
      <c r="A635" s="57"/>
      <c r="B635" s="58" t="s">
        <v>48</v>
      </c>
      <c r="C635" s="58" t="s">
        <v>193</v>
      </c>
      <c r="D635" s="58"/>
      <c r="E635" s="58" t="s">
        <v>202</v>
      </c>
      <c r="F635" s="58" t="s">
        <v>203</v>
      </c>
      <c r="G635" s="58" t="s">
        <v>204</v>
      </c>
      <c r="H635" s="58"/>
      <c r="I635" s="58" t="s">
        <v>205</v>
      </c>
      <c r="J635" s="58"/>
      <c r="K635" s="58" t="s">
        <v>206</v>
      </c>
      <c r="L635" s="59">
        <v>2023</v>
      </c>
      <c r="M635" s="58" t="s">
        <v>207</v>
      </c>
      <c r="N635" s="58" t="s">
        <v>208</v>
      </c>
      <c r="O635" s="58" t="s">
        <v>54</v>
      </c>
      <c r="P635" s="58" t="s">
        <v>25</v>
      </c>
      <c r="Q635" s="84">
        <v>45115</v>
      </c>
      <c r="R635" s="84">
        <v>38065</v>
      </c>
      <c r="S635" s="84">
        <v>25909</v>
      </c>
      <c r="T635" s="91"/>
      <c r="U635" s="86" t="s">
        <v>65</v>
      </c>
      <c r="V635" s="87" t="s">
        <v>209</v>
      </c>
      <c r="W635" s="84">
        <v>29000068</v>
      </c>
      <c r="X635" s="60">
        <f t="shared" si="711"/>
        <v>642.80323617422141</v>
      </c>
      <c r="Y635" s="60">
        <f t="shared" si="712"/>
        <v>761.85650860370424</v>
      </c>
      <c r="Z635" s="60">
        <f t="shared" si="713"/>
        <v>1119.3047975606933</v>
      </c>
      <c r="AA635" s="60">
        <v>0</v>
      </c>
      <c r="AB635" s="77" t="s">
        <v>73</v>
      </c>
      <c r="AD635" s="93">
        <f t="shared" ref="AD635" si="735">W635/AC627</f>
        <v>0.11712502691294577</v>
      </c>
    </row>
    <row r="636" spans="1:30" s="55" customFormat="1" ht="15.95">
      <c r="A636" s="57"/>
      <c r="B636" s="58" t="s">
        <v>48</v>
      </c>
      <c r="C636" s="58" t="s">
        <v>193</v>
      </c>
      <c r="D636" s="58"/>
      <c r="E636" s="58" t="s">
        <v>202</v>
      </c>
      <c r="F636" s="58" t="s">
        <v>203</v>
      </c>
      <c r="G636" s="58" t="s">
        <v>204</v>
      </c>
      <c r="H636" s="58"/>
      <c r="I636" s="58" t="s">
        <v>205</v>
      </c>
      <c r="J636" s="58"/>
      <c r="K636" s="58" t="s">
        <v>206</v>
      </c>
      <c r="L636" s="59">
        <v>2023</v>
      </c>
      <c r="M636" s="58" t="s">
        <v>207</v>
      </c>
      <c r="N636" s="58" t="s">
        <v>208</v>
      </c>
      <c r="O636" s="58" t="s">
        <v>54</v>
      </c>
      <c r="P636" s="58" t="s">
        <v>25</v>
      </c>
      <c r="Q636" s="84">
        <v>45115</v>
      </c>
      <c r="R636" s="84">
        <v>38065</v>
      </c>
      <c r="S636" s="84">
        <v>25909</v>
      </c>
      <c r="T636" s="91"/>
      <c r="U636" s="86" t="s">
        <v>66</v>
      </c>
      <c r="V636" s="87" t="s">
        <v>209</v>
      </c>
      <c r="W636" s="84">
        <v>47965107</v>
      </c>
      <c r="X636" s="60">
        <f t="shared" si="711"/>
        <v>1063.1742657652665</v>
      </c>
      <c r="Y636" s="60">
        <f t="shared" si="712"/>
        <v>1260.0842506239328</v>
      </c>
      <c r="Z636" s="60">
        <f t="shared" si="713"/>
        <v>1851.2913273379907</v>
      </c>
      <c r="AA636" s="60">
        <v>0</v>
      </c>
      <c r="AB636" s="77" t="s">
        <v>73</v>
      </c>
      <c r="AD636" s="93">
        <f t="shared" ref="AD636" si="736">W636/AC627</f>
        <v>0.19372073362922196</v>
      </c>
    </row>
    <row r="637" spans="1:30" s="55" customFormat="1" ht="15.95">
      <c r="A637" s="57"/>
      <c r="B637" s="58" t="s">
        <v>48</v>
      </c>
      <c r="C637" s="58" t="s">
        <v>193</v>
      </c>
      <c r="D637" s="58"/>
      <c r="E637" s="58" t="s">
        <v>202</v>
      </c>
      <c r="F637" s="58" t="s">
        <v>203</v>
      </c>
      <c r="G637" s="58" t="s">
        <v>204</v>
      </c>
      <c r="H637" s="58"/>
      <c r="I637" s="58" t="s">
        <v>205</v>
      </c>
      <c r="J637" s="58"/>
      <c r="K637" s="58" t="s">
        <v>206</v>
      </c>
      <c r="L637" s="59">
        <v>2023</v>
      </c>
      <c r="M637" s="58" t="s">
        <v>207</v>
      </c>
      <c r="N637" s="58" t="s">
        <v>208</v>
      </c>
      <c r="O637" s="58" t="s">
        <v>54</v>
      </c>
      <c r="P637" s="58" t="s">
        <v>25</v>
      </c>
      <c r="Q637" s="84">
        <v>45115</v>
      </c>
      <c r="R637" s="84">
        <v>38065</v>
      </c>
      <c r="S637" s="84">
        <v>25909</v>
      </c>
      <c r="T637" s="91"/>
      <c r="U637" s="86" t="s">
        <v>67</v>
      </c>
      <c r="V637" s="87" t="s">
        <v>209</v>
      </c>
      <c r="W637" s="84">
        <v>4852794</v>
      </c>
      <c r="X637" s="60">
        <f t="shared" si="711"/>
        <v>107.56497838856257</v>
      </c>
      <c r="Y637" s="60">
        <f t="shared" si="712"/>
        <v>127.48703533429659</v>
      </c>
      <c r="Z637" s="60">
        <f t="shared" si="713"/>
        <v>187.30147825080087</v>
      </c>
      <c r="AA637" s="60">
        <v>0</v>
      </c>
      <c r="AB637" s="77" t="s">
        <v>73</v>
      </c>
      <c r="AD637" s="93">
        <f t="shared" ref="AD637" si="737">W637/AC627</f>
        <v>1.9599389486017128E-2</v>
      </c>
    </row>
    <row r="638" spans="1:30" s="55" customFormat="1" ht="15.95">
      <c r="A638" s="57"/>
      <c r="B638" s="58" t="s">
        <v>48</v>
      </c>
      <c r="C638" s="58" t="s">
        <v>193</v>
      </c>
      <c r="D638" s="58"/>
      <c r="E638" s="58" t="s">
        <v>202</v>
      </c>
      <c r="F638" s="58" t="s">
        <v>203</v>
      </c>
      <c r="G638" s="58" t="s">
        <v>204</v>
      </c>
      <c r="H638" s="58"/>
      <c r="I638" s="58" t="s">
        <v>205</v>
      </c>
      <c r="J638" s="58"/>
      <c r="K638" s="58" t="s">
        <v>206</v>
      </c>
      <c r="L638" s="59">
        <v>2023</v>
      </c>
      <c r="M638" s="58" t="s">
        <v>207</v>
      </c>
      <c r="N638" s="58" t="s">
        <v>208</v>
      </c>
      <c r="O638" s="58" t="s">
        <v>54</v>
      </c>
      <c r="P638" s="58" t="s">
        <v>25</v>
      </c>
      <c r="Q638" s="84">
        <v>45115</v>
      </c>
      <c r="R638" s="84">
        <v>38065</v>
      </c>
      <c r="S638" s="84">
        <v>25909</v>
      </c>
      <c r="T638" s="91"/>
      <c r="U638" s="86" t="s">
        <v>68</v>
      </c>
      <c r="V638" s="87" t="s">
        <v>209</v>
      </c>
      <c r="W638" s="84">
        <v>7106610</v>
      </c>
      <c r="X638" s="60">
        <f t="shared" si="711"/>
        <v>157.52211016291699</v>
      </c>
      <c r="Y638" s="60">
        <f t="shared" si="712"/>
        <v>186.69670300801261</v>
      </c>
      <c r="Z638" s="60">
        <f t="shared" si="713"/>
        <v>274.29117295148404</v>
      </c>
      <c r="AA638" s="60">
        <v>0</v>
      </c>
      <c r="AB638" s="77" t="s">
        <v>73</v>
      </c>
      <c r="AD638" s="93">
        <f t="shared" ref="AD638" si="738">W638/AC627</f>
        <v>2.8702066750664501E-2</v>
      </c>
    </row>
    <row r="639" spans="1:30" s="55" customFormat="1" ht="15.95">
      <c r="A639" s="57"/>
      <c r="B639" s="58" t="s">
        <v>48</v>
      </c>
      <c r="C639" s="58" t="s">
        <v>193</v>
      </c>
      <c r="D639" s="58"/>
      <c r="E639" s="58" t="s">
        <v>202</v>
      </c>
      <c r="F639" s="58" t="s">
        <v>203</v>
      </c>
      <c r="G639" s="58" t="s">
        <v>204</v>
      </c>
      <c r="H639" s="58"/>
      <c r="I639" s="58" t="s">
        <v>205</v>
      </c>
      <c r="J639" s="58"/>
      <c r="K639" s="58" t="s">
        <v>206</v>
      </c>
      <c r="L639" s="59">
        <v>2023</v>
      </c>
      <c r="M639" s="58" t="s">
        <v>207</v>
      </c>
      <c r="N639" s="58" t="s">
        <v>208</v>
      </c>
      <c r="O639" s="58" t="s">
        <v>54</v>
      </c>
      <c r="P639" s="58" t="s">
        <v>25</v>
      </c>
      <c r="Q639" s="84">
        <v>45115</v>
      </c>
      <c r="R639" s="84">
        <v>38065</v>
      </c>
      <c r="S639" s="84">
        <v>25909</v>
      </c>
      <c r="T639" s="91"/>
      <c r="U639" s="86" t="s">
        <v>69</v>
      </c>
      <c r="V639" s="87" t="s">
        <v>209</v>
      </c>
      <c r="W639" s="84">
        <v>21909487</v>
      </c>
      <c r="X639" s="60">
        <f t="shared" si="711"/>
        <v>485.63641804277955</v>
      </c>
      <c r="Y639" s="60">
        <f t="shared" si="712"/>
        <v>575.58090109024033</v>
      </c>
      <c r="Z639" s="60">
        <f t="shared" si="713"/>
        <v>845.63228993785947</v>
      </c>
      <c r="AA639" s="60">
        <v>0</v>
      </c>
      <c r="AB639" s="77" t="s">
        <v>73</v>
      </c>
      <c r="AD639" s="93">
        <f t="shared" ref="AD639" si="739">W639/AC627</f>
        <v>8.8487697840013188E-2</v>
      </c>
    </row>
    <row r="640" spans="1:30" s="32" customFormat="1" ht="18.95" customHeight="1">
      <c r="A640" s="65"/>
      <c r="B640" s="66" t="s">
        <v>48</v>
      </c>
      <c r="C640" s="66" t="s">
        <v>210</v>
      </c>
      <c r="D640" s="66"/>
      <c r="E640" s="66" t="s">
        <v>20</v>
      </c>
      <c r="F640" s="66" t="s">
        <v>21</v>
      </c>
      <c r="G640" s="66" t="s">
        <v>211</v>
      </c>
      <c r="H640" s="66"/>
      <c r="I640" s="66" t="s">
        <v>212</v>
      </c>
      <c r="J640" s="66"/>
      <c r="K640" s="66" t="s">
        <v>213</v>
      </c>
      <c r="L640" s="67">
        <v>2018</v>
      </c>
      <c r="M640" s="66" t="s">
        <v>166</v>
      </c>
      <c r="N640" s="66" t="s">
        <v>24</v>
      </c>
      <c r="O640" s="66" t="s">
        <v>54</v>
      </c>
      <c r="P640" s="66" t="s">
        <v>25</v>
      </c>
      <c r="Q640" s="80">
        <v>21704</v>
      </c>
      <c r="R640" s="80">
        <v>20670</v>
      </c>
      <c r="S640" s="80">
        <v>14196</v>
      </c>
      <c r="T640" s="90"/>
      <c r="U640" s="82" t="s">
        <v>55</v>
      </c>
      <c r="V640" s="83" t="s">
        <v>56</v>
      </c>
      <c r="W640" s="80">
        <v>23407918.819404442</v>
      </c>
      <c r="X640" s="68">
        <f t="shared" ref="X640:X691" si="740">W640/Q640</f>
        <v>1078.5071332198877</v>
      </c>
      <c r="Y640" s="68">
        <f t="shared" ref="Y640:Y691" si="741">W640/R640</f>
        <v>1132.4585785875395</v>
      </c>
      <c r="Z640" s="68">
        <f t="shared" ref="Z640:Z691" si="742">W640/S640</f>
        <v>1648.9094688225164</v>
      </c>
      <c r="AA640" s="68">
        <v>0</v>
      </c>
      <c r="AB640" s="78" t="s">
        <v>73</v>
      </c>
      <c r="AC640" s="92">
        <f t="shared" ref="AC640" si="743">SUM(W640:W652)</f>
        <v>720842985</v>
      </c>
      <c r="AD640" s="93">
        <f t="shared" ref="AD640" si="744">W640/AC640</f>
        <v>3.247297859103733E-2</v>
      </c>
    </row>
    <row r="641" spans="1:30" s="32" customFormat="1" ht="18.95" customHeight="1">
      <c r="A641" s="65"/>
      <c r="B641" s="66" t="s">
        <v>48</v>
      </c>
      <c r="C641" s="66" t="s">
        <v>210</v>
      </c>
      <c r="D641" s="66"/>
      <c r="E641" s="66" t="s">
        <v>20</v>
      </c>
      <c r="F641" s="66" t="s">
        <v>21</v>
      </c>
      <c r="G641" s="66" t="s">
        <v>211</v>
      </c>
      <c r="H641" s="66"/>
      <c r="I641" s="66" t="s">
        <v>212</v>
      </c>
      <c r="J641" s="66"/>
      <c r="K641" s="66" t="s">
        <v>213</v>
      </c>
      <c r="L641" s="67">
        <v>2018</v>
      </c>
      <c r="M641" s="66" t="s">
        <v>166</v>
      </c>
      <c r="N641" s="66" t="s">
        <v>24</v>
      </c>
      <c r="O641" s="66" t="s">
        <v>54</v>
      </c>
      <c r="P641" s="66" t="s">
        <v>25</v>
      </c>
      <c r="Q641" s="80">
        <v>21704</v>
      </c>
      <c r="R641" s="80">
        <v>20670</v>
      </c>
      <c r="S641" s="80">
        <v>14196</v>
      </c>
      <c r="T641" s="90"/>
      <c r="U641" s="82" t="s">
        <v>58</v>
      </c>
      <c r="V641" s="83" t="s">
        <v>56</v>
      </c>
      <c r="W641" s="80">
        <v>76843548.027527109</v>
      </c>
      <c r="X641" s="68">
        <f t="shared" si="740"/>
        <v>3540.5246971768847</v>
      </c>
      <c r="Y641" s="68">
        <f t="shared" si="741"/>
        <v>3717.6365760777508</v>
      </c>
      <c r="Z641" s="68">
        <f t="shared" si="742"/>
        <v>5413.0422673659559</v>
      </c>
      <c r="AA641" s="68">
        <v>0</v>
      </c>
      <c r="AB641" s="78" t="s">
        <v>73</v>
      </c>
      <c r="AC641" s="55"/>
      <c r="AD641" s="93">
        <f t="shared" ref="AD641" si="745">W641/AC640</f>
        <v>0.10660233868756745</v>
      </c>
    </row>
    <row r="642" spans="1:30" s="32" customFormat="1" ht="18.95" customHeight="1">
      <c r="A642" s="65"/>
      <c r="B642" s="66" t="s">
        <v>48</v>
      </c>
      <c r="C642" s="66" t="s">
        <v>210</v>
      </c>
      <c r="D642" s="66"/>
      <c r="E642" s="66" t="s">
        <v>20</v>
      </c>
      <c r="F642" s="66" t="s">
        <v>21</v>
      </c>
      <c r="G642" s="66" t="s">
        <v>211</v>
      </c>
      <c r="H642" s="66"/>
      <c r="I642" s="66" t="s">
        <v>212</v>
      </c>
      <c r="J642" s="66"/>
      <c r="K642" s="66" t="s">
        <v>213</v>
      </c>
      <c r="L642" s="67">
        <v>2018</v>
      </c>
      <c r="M642" s="66" t="s">
        <v>166</v>
      </c>
      <c r="N642" s="66" t="s">
        <v>24</v>
      </c>
      <c r="O642" s="66" t="s">
        <v>54</v>
      </c>
      <c r="P642" s="66" t="s">
        <v>25</v>
      </c>
      <c r="Q642" s="80">
        <v>21704</v>
      </c>
      <c r="R642" s="80">
        <v>20670</v>
      </c>
      <c r="S642" s="80">
        <v>14196</v>
      </c>
      <c r="T642" s="90"/>
      <c r="U642" s="82" t="s">
        <v>59</v>
      </c>
      <c r="V642" s="83" t="s">
        <v>56</v>
      </c>
      <c r="W642" s="80">
        <v>182492112.13282204</v>
      </c>
      <c r="X642" s="68">
        <f t="shared" si="740"/>
        <v>8408.2248494665509</v>
      </c>
      <c r="Y642" s="68">
        <f t="shared" si="741"/>
        <v>8828.8394839294651</v>
      </c>
      <c r="Z642" s="68">
        <f t="shared" si="742"/>
        <v>12855.178369457737</v>
      </c>
      <c r="AA642" s="68">
        <v>0</v>
      </c>
      <c r="AB642" s="78" t="s">
        <v>73</v>
      </c>
      <c r="AC642" s="55"/>
      <c r="AD642" s="93">
        <f t="shared" ref="AD642" si="746">W642/AC640</f>
        <v>0.25316485827051788</v>
      </c>
    </row>
    <row r="643" spans="1:30" s="32" customFormat="1" ht="18.95" customHeight="1">
      <c r="A643" s="65"/>
      <c r="B643" s="66" t="s">
        <v>48</v>
      </c>
      <c r="C643" s="66" t="s">
        <v>210</v>
      </c>
      <c r="D643" s="66"/>
      <c r="E643" s="66" t="s">
        <v>20</v>
      </c>
      <c r="F643" s="66" t="s">
        <v>21</v>
      </c>
      <c r="G643" s="66" t="s">
        <v>211</v>
      </c>
      <c r="H643" s="66"/>
      <c r="I643" s="66" t="s">
        <v>212</v>
      </c>
      <c r="J643" s="66"/>
      <c r="K643" s="66" t="s">
        <v>213</v>
      </c>
      <c r="L643" s="67">
        <v>2018</v>
      </c>
      <c r="M643" s="66" t="s">
        <v>166</v>
      </c>
      <c r="N643" s="66" t="s">
        <v>24</v>
      </c>
      <c r="O643" s="66" t="s">
        <v>54</v>
      </c>
      <c r="P643" s="66" t="s">
        <v>25</v>
      </c>
      <c r="Q643" s="80">
        <v>21704</v>
      </c>
      <c r="R643" s="80">
        <v>20670</v>
      </c>
      <c r="S643" s="80">
        <v>14196</v>
      </c>
      <c r="T643" s="90"/>
      <c r="U643" s="82" t="s">
        <v>60</v>
      </c>
      <c r="V643" s="83" t="s">
        <v>56</v>
      </c>
      <c r="W643" s="80">
        <v>13444326.630402466</v>
      </c>
      <c r="X643" s="68">
        <f t="shared" si="740"/>
        <v>619.44004010332037</v>
      </c>
      <c r="Y643" s="68">
        <f t="shared" si="741"/>
        <v>650.42702614428958</v>
      </c>
      <c r="Z643" s="68">
        <f t="shared" si="742"/>
        <v>947.05034026503711</v>
      </c>
      <c r="AA643" s="68">
        <v>0</v>
      </c>
      <c r="AB643" s="78" t="s">
        <v>73</v>
      </c>
      <c r="AC643" s="55"/>
      <c r="AD643" s="93">
        <f t="shared" ref="AD643" si="747">W643/AC640</f>
        <v>1.8650839239841482E-2</v>
      </c>
    </row>
    <row r="644" spans="1:30" s="32" customFormat="1" ht="18.95" customHeight="1">
      <c r="A644" s="65"/>
      <c r="B644" s="66" t="s">
        <v>48</v>
      </c>
      <c r="C644" s="66" t="s">
        <v>210</v>
      </c>
      <c r="D644" s="66"/>
      <c r="E644" s="66" t="s">
        <v>20</v>
      </c>
      <c r="F644" s="66" t="s">
        <v>21</v>
      </c>
      <c r="G644" s="66" t="s">
        <v>211</v>
      </c>
      <c r="H644" s="66"/>
      <c r="I644" s="66" t="s">
        <v>212</v>
      </c>
      <c r="J644" s="66"/>
      <c r="K644" s="66" t="s">
        <v>213</v>
      </c>
      <c r="L644" s="67">
        <v>2018</v>
      </c>
      <c r="M644" s="66" t="s">
        <v>166</v>
      </c>
      <c r="N644" s="66" t="s">
        <v>24</v>
      </c>
      <c r="O644" s="66" t="s">
        <v>54</v>
      </c>
      <c r="P644" s="66" t="s">
        <v>25</v>
      </c>
      <c r="Q644" s="80">
        <v>21704</v>
      </c>
      <c r="R644" s="80">
        <v>20670</v>
      </c>
      <c r="S644" s="80">
        <v>14196</v>
      </c>
      <c r="T644" s="90"/>
      <c r="U644" s="82" t="s">
        <v>61</v>
      </c>
      <c r="V644" s="83" t="s">
        <v>56</v>
      </c>
      <c r="W644" s="80">
        <v>12938925.107527172</v>
      </c>
      <c r="X644" s="68">
        <f t="shared" si="740"/>
        <v>596.15393971282583</v>
      </c>
      <c r="Y644" s="68">
        <f t="shared" si="741"/>
        <v>625.97605745172575</v>
      </c>
      <c r="Z644" s="68">
        <f t="shared" si="742"/>
        <v>911.44865508080954</v>
      </c>
      <c r="AA644" s="68">
        <v>0</v>
      </c>
      <c r="AB644" s="78" t="s">
        <v>73</v>
      </c>
      <c r="AC644" s="55"/>
      <c r="AD644" s="93">
        <f t="shared" ref="AD644" si="748">W644/AC640</f>
        <v>1.7949713566994305E-2</v>
      </c>
    </row>
    <row r="645" spans="1:30" s="32" customFormat="1" ht="18.95" customHeight="1">
      <c r="A645" s="65"/>
      <c r="B645" s="66" t="s">
        <v>48</v>
      </c>
      <c r="C645" s="66" t="s">
        <v>210</v>
      </c>
      <c r="D645" s="66"/>
      <c r="E645" s="66" t="s">
        <v>20</v>
      </c>
      <c r="F645" s="66" t="s">
        <v>21</v>
      </c>
      <c r="G645" s="66" t="s">
        <v>211</v>
      </c>
      <c r="H645" s="66"/>
      <c r="I645" s="66" t="s">
        <v>212</v>
      </c>
      <c r="J645" s="66"/>
      <c r="K645" s="66" t="s">
        <v>213</v>
      </c>
      <c r="L645" s="67">
        <v>2018</v>
      </c>
      <c r="M645" s="66" t="s">
        <v>166</v>
      </c>
      <c r="N645" s="66" t="s">
        <v>24</v>
      </c>
      <c r="O645" s="66" t="s">
        <v>54</v>
      </c>
      <c r="P645" s="66" t="s">
        <v>25</v>
      </c>
      <c r="Q645" s="80">
        <v>21704</v>
      </c>
      <c r="R645" s="80">
        <v>20670</v>
      </c>
      <c r="S645" s="80">
        <v>14196</v>
      </c>
      <c r="T645" s="90"/>
      <c r="U645" s="82" t="s">
        <v>62</v>
      </c>
      <c r="V645" s="83" t="s">
        <v>56</v>
      </c>
      <c r="W645" s="80">
        <v>134578855.9102011</v>
      </c>
      <c r="X645" s="68">
        <f t="shared" si="740"/>
        <v>6200.6476184206185</v>
      </c>
      <c r="Y645" s="68">
        <f t="shared" si="741"/>
        <v>6510.8299908176632</v>
      </c>
      <c r="Z645" s="68">
        <f t="shared" si="742"/>
        <v>9480.0546569597846</v>
      </c>
      <c r="AA645" s="68">
        <v>0</v>
      </c>
      <c r="AB645" s="78" t="s">
        <v>73</v>
      </c>
      <c r="AC645" s="55"/>
      <c r="AD645" s="93">
        <f t="shared" ref="AD645" si="749">W645/AC640</f>
        <v>0.18669649106760899</v>
      </c>
    </row>
    <row r="646" spans="1:30" s="32" customFormat="1" ht="18.95" customHeight="1">
      <c r="A646" s="65"/>
      <c r="B646" s="66" t="s">
        <v>48</v>
      </c>
      <c r="C646" s="66" t="s">
        <v>210</v>
      </c>
      <c r="D646" s="66"/>
      <c r="E646" s="66" t="s">
        <v>20</v>
      </c>
      <c r="F646" s="66" t="s">
        <v>21</v>
      </c>
      <c r="G646" s="66" t="s">
        <v>211</v>
      </c>
      <c r="H646" s="66"/>
      <c r="I646" s="66" t="s">
        <v>212</v>
      </c>
      <c r="J646" s="66"/>
      <c r="K646" s="66" t="s">
        <v>213</v>
      </c>
      <c r="L646" s="67">
        <v>2018</v>
      </c>
      <c r="M646" s="66" t="s">
        <v>166</v>
      </c>
      <c r="N646" s="66" t="s">
        <v>24</v>
      </c>
      <c r="O646" s="66" t="s">
        <v>54</v>
      </c>
      <c r="P646" s="66" t="s">
        <v>25</v>
      </c>
      <c r="Q646" s="80">
        <v>21704</v>
      </c>
      <c r="R646" s="80">
        <v>20670</v>
      </c>
      <c r="S646" s="80">
        <v>14196</v>
      </c>
      <c r="T646" s="90"/>
      <c r="U646" s="82" t="s">
        <v>63</v>
      </c>
      <c r="V646" s="83" t="s">
        <v>56</v>
      </c>
      <c r="W646" s="80">
        <v>534442.45091209328</v>
      </c>
      <c r="X646" s="68">
        <f t="shared" si="740"/>
        <v>24.624145360859441</v>
      </c>
      <c r="Y646" s="68">
        <f t="shared" si="741"/>
        <v>25.855948278282209</v>
      </c>
      <c r="Z646" s="68">
        <f t="shared" si="742"/>
        <v>37.64739721837794</v>
      </c>
      <c r="AA646" s="68">
        <v>0</v>
      </c>
      <c r="AB646" s="78" t="s">
        <v>73</v>
      </c>
      <c r="AC646" s="55"/>
      <c r="AD646" s="93">
        <f t="shared" ref="AD646" si="750">W646/AC640</f>
        <v>7.4141312606668878E-4</v>
      </c>
    </row>
    <row r="647" spans="1:30" s="32" customFormat="1" ht="18.95" customHeight="1">
      <c r="A647" s="65"/>
      <c r="B647" s="66" t="s">
        <v>48</v>
      </c>
      <c r="C647" s="66" t="s">
        <v>210</v>
      </c>
      <c r="D647" s="66"/>
      <c r="E647" s="66" t="s">
        <v>20</v>
      </c>
      <c r="F647" s="66" t="s">
        <v>21</v>
      </c>
      <c r="G647" s="66" t="s">
        <v>211</v>
      </c>
      <c r="H647" s="66"/>
      <c r="I647" s="66" t="s">
        <v>212</v>
      </c>
      <c r="J647" s="66"/>
      <c r="K647" s="66" t="s">
        <v>213</v>
      </c>
      <c r="L647" s="67">
        <v>2018</v>
      </c>
      <c r="M647" s="66" t="s">
        <v>166</v>
      </c>
      <c r="N647" s="66" t="s">
        <v>24</v>
      </c>
      <c r="O647" s="66" t="s">
        <v>54</v>
      </c>
      <c r="P647" s="66" t="s">
        <v>25</v>
      </c>
      <c r="Q647" s="80">
        <v>21704</v>
      </c>
      <c r="R647" s="80">
        <v>20670</v>
      </c>
      <c r="S647" s="80">
        <v>14196</v>
      </c>
      <c r="T647" s="90"/>
      <c r="U647" s="82" t="s">
        <v>64</v>
      </c>
      <c r="V647" s="83" t="s">
        <v>56</v>
      </c>
      <c r="W647" s="80">
        <v>0</v>
      </c>
      <c r="X647" s="68">
        <f t="shared" si="740"/>
        <v>0</v>
      </c>
      <c r="Y647" s="68">
        <f t="shared" si="741"/>
        <v>0</v>
      </c>
      <c r="Z647" s="68">
        <f t="shared" si="742"/>
        <v>0</v>
      </c>
      <c r="AA647" s="68">
        <v>0</v>
      </c>
      <c r="AB647" s="78" t="s">
        <v>73</v>
      </c>
      <c r="AC647" s="55"/>
      <c r="AD647" s="93">
        <f t="shared" ref="AD647" si="751">W647/AC640</f>
        <v>0</v>
      </c>
    </row>
    <row r="648" spans="1:30" s="32" customFormat="1" ht="18.95" customHeight="1">
      <c r="A648" s="65"/>
      <c r="B648" s="66" t="s">
        <v>48</v>
      </c>
      <c r="C648" s="66" t="s">
        <v>210</v>
      </c>
      <c r="D648" s="66"/>
      <c r="E648" s="66" t="s">
        <v>20</v>
      </c>
      <c r="F648" s="66" t="s">
        <v>21</v>
      </c>
      <c r="G648" s="66" t="s">
        <v>211</v>
      </c>
      <c r="H648" s="66"/>
      <c r="I648" s="66" t="s">
        <v>212</v>
      </c>
      <c r="J648" s="66"/>
      <c r="K648" s="66" t="s">
        <v>213</v>
      </c>
      <c r="L648" s="67">
        <v>2018</v>
      </c>
      <c r="M648" s="66" t="s">
        <v>166</v>
      </c>
      <c r="N648" s="66" t="s">
        <v>24</v>
      </c>
      <c r="O648" s="66" t="s">
        <v>54</v>
      </c>
      <c r="P648" s="66" t="s">
        <v>25</v>
      </c>
      <c r="Q648" s="80">
        <v>21704</v>
      </c>
      <c r="R648" s="80">
        <v>20670</v>
      </c>
      <c r="S648" s="80">
        <v>14196</v>
      </c>
      <c r="T648" s="90"/>
      <c r="U648" s="82" t="s">
        <v>65</v>
      </c>
      <c r="V648" s="83" t="s">
        <v>56</v>
      </c>
      <c r="W648" s="80">
        <v>46419950.066050529</v>
      </c>
      <c r="X648" s="68">
        <f t="shared" si="740"/>
        <v>2138.7739617605293</v>
      </c>
      <c r="Y648" s="68">
        <f t="shared" si="741"/>
        <v>2245.7643960353425</v>
      </c>
      <c r="Z648" s="68">
        <f t="shared" si="742"/>
        <v>3269.9316755459658</v>
      </c>
      <c r="AA648" s="68">
        <v>0</v>
      </c>
      <c r="AB648" s="78" t="s">
        <v>73</v>
      </c>
      <c r="AC648" s="55"/>
      <c r="AD648" s="93">
        <f t="shared" ref="AD648" si="752">W648/AC640</f>
        <v>6.4396756342229688E-2</v>
      </c>
    </row>
    <row r="649" spans="1:30" s="32" customFormat="1" ht="18.95" customHeight="1">
      <c r="A649" s="65"/>
      <c r="B649" s="66" t="s">
        <v>48</v>
      </c>
      <c r="C649" s="66" t="s">
        <v>210</v>
      </c>
      <c r="D649" s="66"/>
      <c r="E649" s="66" t="s">
        <v>20</v>
      </c>
      <c r="F649" s="66" t="s">
        <v>21</v>
      </c>
      <c r="G649" s="66" t="s">
        <v>211</v>
      </c>
      <c r="H649" s="66"/>
      <c r="I649" s="66" t="s">
        <v>212</v>
      </c>
      <c r="J649" s="66"/>
      <c r="K649" s="66" t="s">
        <v>213</v>
      </c>
      <c r="L649" s="67">
        <v>2018</v>
      </c>
      <c r="M649" s="66" t="s">
        <v>166</v>
      </c>
      <c r="N649" s="66" t="s">
        <v>24</v>
      </c>
      <c r="O649" s="66" t="s">
        <v>54</v>
      </c>
      <c r="P649" s="66" t="s">
        <v>25</v>
      </c>
      <c r="Q649" s="80">
        <v>21704</v>
      </c>
      <c r="R649" s="80">
        <v>20670</v>
      </c>
      <c r="S649" s="80">
        <v>14196</v>
      </c>
      <c r="T649" s="90"/>
      <c r="U649" s="82" t="s">
        <v>66</v>
      </c>
      <c r="V649" s="83" t="s">
        <v>56</v>
      </c>
      <c r="W649" s="80">
        <v>63508902.440067068</v>
      </c>
      <c r="X649" s="68">
        <f t="shared" si="740"/>
        <v>2926.1381514959025</v>
      </c>
      <c r="Y649" s="68">
        <f t="shared" si="741"/>
        <v>3072.5158413191616</v>
      </c>
      <c r="Z649" s="68">
        <f t="shared" si="742"/>
        <v>4473.7181206020759</v>
      </c>
      <c r="AA649" s="68">
        <v>0</v>
      </c>
      <c r="AB649" s="78" t="s">
        <v>73</v>
      </c>
      <c r="AC649" s="55"/>
      <c r="AD649" s="93">
        <f t="shared" ref="AD649" si="753">W649/AC640</f>
        <v>8.8103656082700266E-2</v>
      </c>
    </row>
    <row r="650" spans="1:30" s="32" customFormat="1" ht="18.95" customHeight="1">
      <c r="A650" s="65"/>
      <c r="B650" s="66" t="s">
        <v>48</v>
      </c>
      <c r="C650" s="66" t="s">
        <v>210</v>
      </c>
      <c r="D650" s="66"/>
      <c r="E650" s="66" t="s">
        <v>20</v>
      </c>
      <c r="F650" s="66" t="s">
        <v>21</v>
      </c>
      <c r="G650" s="66" t="s">
        <v>211</v>
      </c>
      <c r="H650" s="66"/>
      <c r="I650" s="66" t="s">
        <v>212</v>
      </c>
      <c r="J650" s="66"/>
      <c r="K650" s="66" t="s">
        <v>213</v>
      </c>
      <c r="L650" s="67">
        <v>2018</v>
      </c>
      <c r="M650" s="66" t="s">
        <v>166</v>
      </c>
      <c r="N650" s="66" t="s">
        <v>24</v>
      </c>
      <c r="O650" s="66" t="s">
        <v>54</v>
      </c>
      <c r="P650" s="66" t="s">
        <v>25</v>
      </c>
      <c r="Q650" s="80">
        <v>21704</v>
      </c>
      <c r="R650" s="80">
        <v>20670</v>
      </c>
      <c r="S650" s="80">
        <v>14196</v>
      </c>
      <c r="T650" s="90"/>
      <c r="U650" s="82" t="s">
        <v>67</v>
      </c>
      <c r="V650" s="83" t="s">
        <v>56</v>
      </c>
      <c r="W650" s="80">
        <v>3717245.9387130681</v>
      </c>
      <c r="X650" s="68">
        <f t="shared" si="740"/>
        <v>171.27008563919406</v>
      </c>
      <c r="Y650" s="68">
        <f t="shared" si="741"/>
        <v>179.83773288403813</v>
      </c>
      <c r="Z650" s="68">
        <f t="shared" si="742"/>
        <v>261.85164403445111</v>
      </c>
      <c r="AA650" s="68">
        <v>0</v>
      </c>
      <c r="AB650" s="78" t="s">
        <v>73</v>
      </c>
      <c r="AC650" s="55"/>
      <c r="AD650" s="93">
        <f t="shared" ref="AD650" si="754">W650/AC640</f>
        <v>5.1568039310434131E-3</v>
      </c>
    </row>
    <row r="651" spans="1:30" s="32" customFormat="1" ht="18.95" customHeight="1">
      <c r="A651" s="65"/>
      <c r="B651" s="66" t="s">
        <v>48</v>
      </c>
      <c r="C651" s="66" t="s">
        <v>210</v>
      </c>
      <c r="D651" s="66"/>
      <c r="E651" s="66" t="s">
        <v>20</v>
      </c>
      <c r="F651" s="66" t="s">
        <v>21</v>
      </c>
      <c r="G651" s="66" t="s">
        <v>211</v>
      </c>
      <c r="H651" s="66"/>
      <c r="I651" s="66" t="s">
        <v>212</v>
      </c>
      <c r="J651" s="66"/>
      <c r="K651" s="66" t="s">
        <v>213</v>
      </c>
      <c r="L651" s="67">
        <v>2018</v>
      </c>
      <c r="M651" s="66" t="s">
        <v>166</v>
      </c>
      <c r="N651" s="66" t="s">
        <v>24</v>
      </c>
      <c r="O651" s="66" t="s">
        <v>54</v>
      </c>
      <c r="P651" s="66" t="s">
        <v>25</v>
      </c>
      <c r="Q651" s="80">
        <v>21704</v>
      </c>
      <c r="R651" s="80">
        <v>20670</v>
      </c>
      <c r="S651" s="80">
        <v>14196</v>
      </c>
      <c r="T651" s="90"/>
      <c r="U651" s="82" t="s">
        <v>68</v>
      </c>
      <c r="V651" s="83" t="s">
        <v>56</v>
      </c>
      <c r="W651" s="80">
        <v>98252820.476372883</v>
      </c>
      <c r="X651" s="68">
        <f t="shared" si="740"/>
        <v>4526.9452854945121</v>
      </c>
      <c r="Y651" s="68">
        <f t="shared" si="741"/>
        <v>4753.4020549769175</v>
      </c>
      <c r="Z651" s="68">
        <f t="shared" si="742"/>
        <v>6921.1623327960615</v>
      </c>
      <c r="AA651" s="68">
        <v>0</v>
      </c>
      <c r="AB651" s="78" t="s">
        <v>73</v>
      </c>
      <c r="AC651" s="55"/>
      <c r="AD651" s="93">
        <f t="shared" ref="AD651" si="755">W651/AC640</f>
        <v>0.13630266579673087</v>
      </c>
    </row>
    <row r="652" spans="1:30" s="32" customFormat="1" ht="18.95" customHeight="1">
      <c r="A652" s="65"/>
      <c r="B652" s="66" t="s">
        <v>48</v>
      </c>
      <c r="C652" s="66" t="s">
        <v>210</v>
      </c>
      <c r="D652" s="66"/>
      <c r="E652" s="66" t="s">
        <v>20</v>
      </c>
      <c r="F652" s="66" t="s">
        <v>21</v>
      </c>
      <c r="G652" s="66" t="s">
        <v>211</v>
      </c>
      <c r="H652" s="66"/>
      <c r="I652" s="66" t="s">
        <v>212</v>
      </c>
      <c r="J652" s="66"/>
      <c r="K652" s="66" t="s">
        <v>213</v>
      </c>
      <c r="L652" s="67">
        <v>2018</v>
      </c>
      <c r="M652" s="66" t="s">
        <v>166</v>
      </c>
      <c r="N652" s="66" t="s">
        <v>24</v>
      </c>
      <c r="O652" s="66" t="s">
        <v>54</v>
      </c>
      <c r="P652" s="66" t="s">
        <v>25</v>
      </c>
      <c r="Q652" s="80">
        <v>21704</v>
      </c>
      <c r="R652" s="80">
        <v>20670</v>
      </c>
      <c r="S652" s="80">
        <v>14196</v>
      </c>
      <c r="T652" s="90"/>
      <c r="U652" s="82" t="s">
        <v>69</v>
      </c>
      <c r="V652" s="83" t="s">
        <v>56</v>
      </c>
      <c r="W652" s="80">
        <v>64703937</v>
      </c>
      <c r="X652" s="68">
        <f t="shared" si="740"/>
        <v>2981.1987191301141</v>
      </c>
      <c r="Y652" s="68">
        <f t="shared" si="741"/>
        <v>3130.3307692307694</v>
      </c>
      <c r="Z652" s="68">
        <f t="shared" si="742"/>
        <v>4557.8991969568897</v>
      </c>
      <c r="AA652" s="68">
        <v>0</v>
      </c>
      <c r="AB652" s="78" t="s">
        <v>73</v>
      </c>
      <c r="AC652" s="55"/>
      <c r="AD652" s="93">
        <f t="shared" ref="AD652" si="756">W652/AC640</f>
        <v>8.9761485297661592E-2</v>
      </c>
    </row>
    <row r="653" spans="1:30" s="55" customFormat="1" ht="18.95" customHeight="1">
      <c r="A653" s="57"/>
      <c r="B653" s="58" t="s">
        <v>48</v>
      </c>
      <c r="C653" s="58" t="s">
        <v>210</v>
      </c>
      <c r="D653" s="58"/>
      <c r="E653" s="58" t="s">
        <v>20</v>
      </c>
      <c r="F653" s="58" t="s">
        <v>21</v>
      </c>
      <c r="G653" s="58" t="s">
        <v>211</v>
      </c>
      <c r="H653" s="58"/>
      <c r="I653" s="58" t="s">
        <v>214</v>
      </c>
      <c r="J653" s="58"/>
      <c r="K653" s="58" t="s">
        <v>215</v>
      </c>
      <c r="L653" s="59">
        <v>2018</v>
      </c>
      <c r="M653" s="58" t="s">
        <v>80</v>
      </c>
      <c r="N653" s="58" t="s">
        <v>24</v>
      </c>
      <c r="O653" s="58" t="s">
        <v>54</v>
      </c>
      <c r="P653" s="58" t="s">
        <v>25</v>
      </c>
      <c r="Q653" s="84">
        <v>24740</v>
      </c>
      <c r="R653" s="84">
        <v>23562</v>
      </c>
      <c r="S653" s="84">
        <v>16183</v>
      </c>
      <c r="T653" s="91"/>
      <c r="U653" s="86" t="s">
        <v>55</v>
      </c>
      <c r="V653" s="87" t="s">
        <v>56</v>
      </c>
      <c r="W653" s="84">
        <v>47303287</v>
      </c>
      <c r="X653" s="60">
        <f t="shared" si="740"/>
        <v>1912.0164510913501</v>
      </c>
      <c r="Y653" s="60">
        <f t="shared" si="741"/>
        <v>2007.6091588150412</v>
      </c>
      <c r="Z653" s="60">
        <f t="shared" si="742"/>
        <v>2923.0233578446519</v>
      </c>
      <c r="AA653" s="60">
        <v>0</v>
      </c>
      <c r="AB653" s="77" t="s">
        <v>73</v>
      </c>
      <c r="AC653" s="92">
        <f t="shared" ref="AC653" si="757">SUM(W653:W665)</f>
        <v>875744491</v>
      </c>
      <c r="AD653" s="93">
        <f t="shared" ref="AD653" si="758">W653/AC653</f>
        <v>5.4014940985794908E-2</v>
      </c>
    </row>
    <row r="654" spans="1:30" s="55" customFormat="1" ht="18.95" customHeight="1">
      <c r="A654" s="57"/>
      <c r="B654" s="58" t="s">
        <v>48</v>
      </c>
      <c r="C654" s="58" t="s">
        <v>210</v>
      </c>
      <c r="D654" s="58"/>
      <c r="E654" s="58" t="s">
        <v>20</v>
      </c>
      <c r="F654" s="58" t="s">
        <v>21</v>
      </c>
      <c r="G654" s="58" t="s">
        <v>211</v>
      </c>
      <c r="H654" s="58"/>
      <c r="I654" s="58" t="s">
        <v>214</v>
      </c>
      <c r="J654" s="58"/>
      <c r="K654" s="58" t="s">
        <v>215</v>
      </c>
      <c r="L654" s="59">
        <v>2018</v>
      </c>
      <c r="M654" s="58" t="s">
        <v>80</v>
      </c>
      <c r="N654" s="58" t="s">
        <v>24</v>
      </c>
      <c r="O654" s="58" t="s">
        <v>54</v>
      </c>
      <c r="P654" s="58" t="s">
        <v>25</v>
      </c>
      <c r="Q654" s="84">
        <v>24740</v>
      </c>
      <c r="R654" s="84">
        <v>23562</v>
      </c>
      <c r="S654" s="84">
        <v>16183</v>
      </c>
      <c r="T654" s="91"/>
      <c r="U654" s="86" t="s">
        <v>58</v>
      </c>
      <c r="V654" s="87" t="s">
        <v>56</v>
      </c>
      <c r="W654" s="84">
        <v>61206579</v>
      </c>
      <c r="X654" s="60">
        <f t="shared" si="740"/>
        <v>2473.992683912692</v>
      </c>
      <c r="Y654" s="60">
        <f t="shared" si="741"/>
        <v>2597.681818181818</v>
      </c>
      <c r="Z654" s="60">
        <f t="shared" si="742"/>
        <v>3782.1528146820738</v>
      </c>
      <c r="AA654" s="60">
        <v>0</v>
      </c>
      <c r="AB654" s="77" t="s">
        <v>73</v>
      </c>
      <c r="AD654" s="93">
        <f t="shared" ref="AD654" si="759">W654/AC653</f>
        <v>6.9890909539275653E-2</v>
      </c>
    </row>
    <row r="655" spans="1:30" s="55" customFormat="1" ht="18.95" customHeight="1">
      <c r="A655" s="57"/>
      <c r="B655" s="58" t="s">
        <v>48</v>
      </c>
      <c r="C655" s="58" t="s">
        <v>210</v>
      </c>
      <c r="D655" s="58"/>
      <c r="E655" s="58" t="s">
        <v>20</v>
      </c>
      <c r="F655" s="58" t="s">
        <v>21</v>
      </c>
      <c r="G655" s="58" t="s">
        <v>211</v>
      </c>
      <c r="H655" s="58"/>
      <c r="I655" s="58" t="s">
        <v>214</v>
      </c>
      <c r="J655" s="58"/>
      <c r="K655" s="58" t="s">
        <v>215</v>
      </c>
      <c r="L655" s="59">
        <v>2018</v>
      </c>
      <c r="M655" s="58" t="s">
        <v>80</v>
      </c>
      <c r="N655" s="58" t="s">
        <v>24</v>
      </c>
      <c r="O655" s="58" t="s">
        <v>54</v>
      </c>
      <c r="P655" s="58" t="s">
        <v>25</v>
      </c>
      <c r="Q655" s="84">
        <v>24740</v>
      </c>
      <c r="R655" s="84">
        <v>23562</v>
      </c>
      <c r="S655" s="84">
        <v>16183</v>
      </c>
      <c r="T655" s="91"/>
      <c r="U655" s="86" t="s">
        <v>59</v>
      </c>
      <c r="V655" s="87" t="s">
        <v>56</v>
      </c>
      <c r="W655" s="84">
        <v>210485675</v>
      </c>
      <c r="X655" s="60">
        <f t="shared" si="740"/>
        <v>8507.9092562651585</v>
      </c>
      <c r="Y655" s="60">
        <f t="shared" si="741"/>
        <v>8933.2686104744935</v>
      </c>
      <c r="Z655" s="60">
        <f t="shared" si="742"/>
        <v>13006.591793857751</v>
      </c>
      <c r="AA655" s="60">
        <v>0</v>
      </c>
      <c r="AB655" s="77" t="s">
        <v>73</v>
      </c>
      <c r="AD655" s="93">
        <f t="shared" ref="AD655" si="760">W655/AC653</f>
        <v>0.24035055562798852</v>
      </c>
    </row>
    <row r="656" spans="1:30" s="55" customFormat="1" ht="18.95" customHeight="1">
      <c r="A656" s="57"/>
      <c r="B656" s="58" t="s">
        <v>48</v>
      </c>
      <c r="C656" s="58" t="s">
        <v>210</v>
      </c>
      <c r="D656" s="58"/>
      <c r="E656" s="58" t="s">
        <v>20</v>
      </c>
      <c r="F656" s="58" t="s">
        <v>21</v>
      </c>
      <c r="G656" s="58" t="s">
        <v>211</v>
      </c>
      <c r="H656" s="58"/>
      <c r="I656" s="58" t="s">
        <v>214</v>
      </c>
      <c r="J656" s="58"/>
      <c r="K656" s="58" t="s">
        <v>215</v>
      </c>
      <c r="L656" s="59">
        <v>2018</v>
      </c>
      <c r="M656" s="58" t="s">
        <v>80</v>
      </c>
      <c r="N656" s="58" t="s">
        <v>24</v>
      </c>
      <c r="O656" s="58" t="s">
        <v>54</v>
      </c>
      <c r="P656" s="58" t="s">
        <v>25</v>
      </c>
      <c r="Q656" s="84">
        <v>24740</v>
      </c>
      <c r="R656" s="84">
        <v>23562</v>
      </c>
      <c r="S656" s="84">
        <v>16183</v>
      </c>
      <c r="T656" s="91"/>
      <c r="U656" s="86" t="s">
        <v>60</v>
      </c>
      <c r="V656" s="87" t="s">
        <v>56</v>
      </c>
      <c r="W656" s="84">
        <v>15831560</v>
      </c>
      <c r="X656" s="60">
        <f t="shared" si="740"/>
        <v>639.91754244139042</v>
      </c>
      <c r="Y656" s="60">
        <f t="shared" si="741"/>
        <v>671.91070367540954</v>
      </c>
      <c r="Z656" s="60">
        <f t="shared" si="742"/>
        <v>978.28338379781258</v>
      </c>
      <c r="AA656" s="60">
        <v>0</v>
      </c>
      <c r="AB656" s="77" t="s">
        <v>73</v>
      </c>
      <c r="AD656" s="93">
        <f t="shared" ref="AD656" si="761">W656/AC653</f>
        <v>1.8077829963762799E-2</v>
      </c>
    </row>
    <row r="657" spans="1:30" s="55" customFormat="1" ht="18.95" customHeight="1">
      <c r="A657" s="57"/>
      <c r="B657" s="58" t="s">
        <v>48</v>
      </c>
      <c r="C657" s="58" t="s">
        <v>210</v>
      </c>
      <c r="D657" s="58"/>
      <c r="E657" s="58" t="s">
        <v>20</v>
      </c>
      <c r="F657" s="58" t="s">
        <v>21</v>
      </c>
      <c r="G657" s="58" t="s">
        <v>211</v>
      </c>
      <c r="H657" s="58"/>
      <c r="I657" s="58" t="s">
        <v>214</v>
      </c>
      <c r="J657" s="58"/>
      <c r="K657" s="58" t="s">
        <v>215</v>
      </c>
      <c r="L657" s="59">
        <v>2018</v>
      </c>
      <c r="M657" s="58" t="s">
        <v>80</v>
      </c>
      <c r="N657" s="58" t="s">
        <v>24</v>
      </c>
      <c r="O657" s="58" t="s">
        <v>54</v>
      </c>
      <c r="P657" s="58" t="s">
        <v>25</v>
      </c>
      <c r="Q657" s="84">
        <v>24740</v>
      </c>
      <c r="R657" s="84">
        <v>23562</v>
      </c>
      <c r="S657" s="84">
        <v>16183</v>
      </c>
      <c r="T657" s="91"/>
      <c r="U657" s="86" t="s">
        <v>61</v>
      </c>
      <c r="V657" s="87" t="s">
        <v>56</v>
      </c>
      <c r="W657" s="84">
        <v>82336524</v>
      </c>
      <c r="X657" s="60">
        <f t="shared" si="740"/>
        <v>3328.0729183508488</v>
      </c>
      <c r="Y657" s="60">
        <f t="shared" si="741"/>
        <v>3494.4624395212631</v>
      </c>
      <c r="Z657" s="60">
        <f t="shared" si="742"/>
        <v>5087.8405734412654</v>
      </c>
      <c r="AA657" s="60">
        <v>0</v>
      </c>
      <c r="AB657" s="77" t="s">
        <v>73</v>
      </c>
      <c r="AD657" s="93">
        <f t="shared" ref="AD657" si="762">W657/AC653</f>
        <v>9.401888889529994E-2</v>
      </c>
    </row>
    <row r="658" spans="1:30" s="55" customFormat="1" ht="18.95" customHeight="1">
      <c r="A658" s="57"/>
      <c r="B658" s="58" t="s">
        <v>48</v>
      </c>
      <c r="C658" s="58" t="s">
        <v>210</v>
      </c>
      <c r="D658" s="58"/>
      <c r="E658" s="58" t="s">
        <v>20</v>
      </c>
      <c r="F658" s="58" t="s">
        <v>21</v>
      </c>
      <c r="G658" s="58" t="s">
        <v>211</v>
      </c>
      <c r="H658" s="58"/>
      <c r="I658" s="58" t="s">
        <v>214</v>
      </c>
      <c r="J658" s="58"/>
      <c r="K658" s="58" t="s">
        <v>215</v>
      </c>
      <c r="L658" s="59">
        <v>2018</v>
      </c>
      <c r="M658" s="58" t="s">
        <v>80</v>
      </c>
      <c r="N658" s="58" t="s">
        <v>24</v>
      </c>
      <c r="O658" s="58" t="s">
        <v>54</v>
      </c>
      <c r="P658" s="58" t="s">
        <v>25</v>
      </c>
      <c r="Q658" s="84">
        <v>24740</v>
      </c>
      <c r="R658" s="84">
        <v>23562</v>
      </c>
      <c r="S658" s="84">
        <v>16183</v>
      </c>
      <c r="T658" s="91"/>
      <c r="U658" s="86" t="s">
        <v>62</v>
      </c>
      <c r="V658" s="87" t="s">
        <v>56</v>
      </c>
      <c r="W658" s="84">
        <v>199425198</v>
      </c>
      <c r="X658" s="60">
        <f t="shared" si="740"/>
        <v>8060.8406628940984</v>
      </c>
      <c r="Y658" s="60">
        <f t="shared" si="741"/>
        <v>8463.8484848484841</v>
      </c>
      <c r="Z658" s="60">
        <f t="shared" si="742"/>
        <v>12323.129086077983</v>
      </c>
      <c r="AA658" s="60">
        <v>0</v>
      </c>
      <c r="AB658" s="77" t="s">
        <v>73</v>
      </c>
      <c r="AD658" s="93">
        <f t="shared" ref="AD658" si="763">W658/AC653</f>
        <v>0.22772075651001725</v>
      </c>
    </row>
    <row r="659" spans="1:30" s="55" customFormat="1" ht="18.95" customHeight="1">
      <c r="A659" s="57"/>
      <c r="B659" s="58" t="s">
        <v>48</v>
      </c>
      <c r="C659" s="58" t="s">
        <v>210</v>
      </c>
      <c r="D659" s="58"/>
      <c r="E659" s="58" t="s">
        <v>20</v>
      </c>
      <c r="F659" s="58" t="s">
        <v>21</v>
      </c>
      <c r="G659" s="58" t="s">
        <v>211</v>
      </c>
      <c r="H659" s="58"/>
      <c r="I659" s="58" t="s">
        <v>214</v>
      </c>
      <c r="J659" s="58"/>
      <c r="K659" s="58" t="s">
        <v>215</v>
      </c>
      <c r="L659" s="59">
        <v>2018</v>
      </c>
      <c r="M659" s="58" t="s">
        <v>80</v>
      </c>
      <c r="N659" s="58" t="s">
        <v>24</v>
      </c>
      <c r="O659" s="58" t="s">
        <v>54</v>
      </c>
      <c r="P659" s="58" t="s">
        <v>25</v>
      </c>
      <c r="Q659" s="84">
        <v>24740</v>
      </c>
      <c r="R659" s="84">
        <v>23562</v>
      </c>
      <c r="S659" s="84">
        <v>16183</v>
      </c>
      <c r="T659" s="91"/>
      <c r="U659" s="86" t="s">
        <v>63</v>
      </c>
      <c r="V659" s="87" t="s">
        <v>56</v>
      </c>
      <c r="W659" s="84">
        <v>950543</v>
      </c>
      <c r="X659" s="60">
        <f t="shared" si="740"/>
        <v>38.421301535974131</v>
      </c>
      <c r="Y659" s="60">
        <f t="shared" si="741"/>
        <v>40.342203548085898</v>
      </c>
      <c r="Z659" s="60">
        <f t="shared" si="742"/>
        <v>58.737131557807572</v>
      </c>
      <c r="AA659" s="60">
        <v>0</v>
      </c>
      <c r="AB659" s="77" t="s">
        <v>73</v>
      </c>
      <c r="AD659" s="93">
        <f t="shared" ref="AD659" si="764">W659/AC653</f>
        <v>1.0854113383169429E-3</v>
      </c>
    </row>
    <row r="660" spans="1:30" s="55" customFormat="1" ht="18.95" customHeight="1">
      <c r="A660" s="57"/>
      <c r="B660" s="58" t="s">
        <v>48</v>
      </c>
      <c r="C660" s="58" t="s">
        <v>210</v>
      </c>
      <c r="D660" s="58"/>
      <c r="E660" s="58" t="s">
        <v>20</v>
      </c>
      <c r="F660" s="58" t="s">
        <v>21</v>
      </c>
      <c r="G660" s="58" t="s">
        <v>211</v>
      </c>
      <c r="H660" s="58"/>
      <c r="I660" s="58" t="s">
        <v>214</v>
      </c>
      <c r="J660" s="58"/>
      <c r="K660" s="58" t="s">
        <v>215</v>
      </c>
      <c r="L660" s="59">
        <v>2018</v>
      </c>
      <c r="M660" s="58" t="s">
        <v>80</v>
      </c>
      <c r="N660" s="58" t="s">
        <v>24</v>
      </c>
      <c r="O660" s="58" t="s">
        <v>54</v>
      </c>
      <c r="P660" s="58" t="s">
        <v>25</v>
      </c>
      <c r="Q660" s="84">
        <v>24740</v>
      </c>
      <c r="R660" s="84">
        <v>23562</v>
      </c>
      <c r="S660" s="84">
        <v>16183</v>
      </c>
      <c r="T660" s="91"/>
      <c r="U660" s="86" t="s">
        <v>64</v>
      </c>
      <c r="V660" s="87" t="s">
        <v>56</v>
      </c>
      <c r="W660" s="84">
        <v>0</v>
      </c>
      <c r="X660" s="60">
        <f t="shared" si="740"/>
        <v>0</v>
      </c>
      <c r="Y660" s="60">
        <f t="shared" si="741"/>
        <v>0</v>
      </c>
      <c r="Z660" s="60">
        <f t="shared" si="742"/>
        <v>0</v>
      </c>
      <c r="AA660" s="60">
        <v>0</v>
      </c>
      <c r="AB660" s="77" t="s">
        <v>73</v>
      </c>
      <c r="AD660" s="93">
        <f t="shared" ref="AD660" si="765">W660/AC653</f>
        <v>0</v>
      </c>
    </row>
    <row r="661" spans="1:30" s="55" customFormat="1" ht="18.95" customHeight="1">
      <c r="A661" s="57"/>
      <c r="B661" s="58" t="s">
        <v>48</v>
      </c>
      <c r="C661" s="58" t="s">
        <v>210</v>
      </c>
      <c r="D661" s="58"/>
      <c r="E661" s="58" t="s">
        <v>20</v>
      </c>
      <c r="F661" s="58" t="s">
        <v>21</v>
      </c>
      <c r="G661" s="58" t="s">
        <v>211</v>
      </c>
      <c r="H661" s="58"/>
      <c r="I661" s="58" t="s">
        <v>214</v>
      </c>
      <c r="J661" s="58"/>
      <c r="K661" s="58" t="s">
        <v>215</v>
      </c>
      <c r="L661" s="59">
        <v>2018</v>
      </c>
      <c r="M661" s="58" t="s">
        <v>80</v>
      </c>
      <c r="N661" s="58" t="s">
        <v>24</v>
      </c>
      <c r="O661" s="58" t="s">
        <v>54</v>
      </c>
      <c r="P661" s="58" t="s">
        <v>25</v>
      </c>
      <c r="Q661" s="84">
        <v>24740</v>
      </c>
      <c r="R661" s="84">
        <v>23562</v>
      </c>
      <c r="S661" s="84">
        <v>16183</v>
      </c>
      <c r="T661" s="91"/>
      <c r="U661" s="86" t="s">
        <v>65</v>
      </c>
      <c r="V661" s="87" t="s">
        <v>56</v>
      </c>
      <c r="W661" s="84">
        <v>41253313</v>
      </c>
      <c r="X661" s="60">
        <f t="shared" si="740"/>
        <v>1667.4742522231204</v>
      </c>
      <c r="Y661" s="60">
        <f t="shared" si="741"/>
        <v>1750.8408878702996</v>
      </c>
      <c r="Z661" s="60">
        <f t="shared" si="742"/>
        <v>2549.1758635605265</v>
      </c>
      <c r="AA661" s="60">
        <v>0</v>
      </c>
      <c r="AB661" s="77" t="s">
        <v>73</v>
      </c>
      <c r="AD661" s="93">
        <f t="shared" ref="AD661" si="766">W661/AC653</f>
        <v>4.7106562957528214E-2</v>
      </c>
    </row>
    <row r="662" spans="1:30" s="55" customFormat="1" ht="18.95" customHeight="1">
      <c r="A662" s="57"/>
      <c r="B662" s="58" t="s">
        <v>48</v>
      </c>
      <c r="C662" s="58" t="s">
        <v>210</v>
      </c>
      <c r="D662" s="58"/>
      <c r="E662" s="58" t="s">
        <v>20</v>
      </c>
      <c r="F662" s="58" t="s">
        <v>21</v>
      </c>
      <c r="G662" s="58" t="s">
        <v>211</v>
      </c>
      <c r="H662" s="58"/>
      <c r="I662" s="58" t="s">
        <v>214</v>
      </c>
      <c r="J662" s="58"/>
      <c r="K662" s="58" t="s">
        <v>215</v>
      </c>
      <c r="L662" s="59">
        <v>2018</v>
      </c>
      <c r="M662" s="58" t="s">
        <v>80</v>
      </c>
      <c r="N662" s="58" t="s">
        <v>24</v>
      </c>
      <c r="O662" s="58" t="s">
        <v>54</v>
      </c>
      <c r="P662" s="58" t="s">
        <v>25</v>
      </c>
      <c r="Q662" s="84">
        <v>24740</v>
      </c>
      <c r="R662" s="84">
        <v>23562</v>
      </c>
      <c r="S662" s="84">
        <v>16183</v>
      </c>
      <c r="T662" s="91"/>
      <c r="U662" s="86" t="s">
        <v>66</v>
      </c>
      <c r="V662" s="87" t="s">
        <v>56</v>
      </c>
      <c r="W662" s="84">
        <v>72348306</v>
      </c>
      <c r="X662" s="60">
        <f t="shared" si="740"/>
        <v>2924.3454324979789</v>
      </c>
      <c r="Y662" s="60">
        <f t="shared" si="741"/>
        <v>3070.5502928444107</v>
      </c>
      <c r="Z662" s="60">
        <f t="shared" si="742"/>
        <v>4470.6362231971825</v>
      </c>
      <c r="AA662" s="60">
        <v>0</v>
      </c>
      <c r="AB662" s="77" t="s">
        <v>73</v>
      </c>
      <c r="AD662" s="93">
        <f t="shared" ref="AD662" si="767">W662/AC653</f>
        <v>8.2613486860061786E-2</v>
      </c>
    </row>
    <row r="663" spans="1:30" s="55" customFormat="1" ht="18.95" customHeight="1">
      <c r="A663" s="57"/>
      <c r="B663" s="58" t="s">
        <v>48</v>
      </c>
      <c r="C663" s="58" t="s">
        <v>210</v>
      </c>
      <c r="D663" s="58"/>
      <c r="E663" s="58" t="s">
        <v>20</v>
      </c>
      <c r="F663" s="58" t="s">
        <v>21</v>
      </c>
      <c r="G663" s="58" t="s">
        <v>211</v>
      </c>
      <c r="H663" s="58"/>
      <c r="I663" s="58" t="s">
        <v>214</v>
      </c>
      <c r="J663" s="58"/>
      <c r="K663" s="58" t="s">
        <v>215</v>
      </c>
      <c r="L663" s="59">
        <v>2018</v>
      </c>
      <c r="M663" s="58" t="s">
        <v>80</v>
      </c>
      <c r="N663" s="58" t="s">
        <v>24</v>
      </c>
      <c r="O663" s="58" t="s">
        <v>54</v>
      </c>
      <c r="P663" s="58" t="s">
        <v>25</v>
      </c>
      <c r="Q663" s="84">
        <v>24740</v>
      </c>
      <c r="R663" s="84">
        <v>23562</v>
      </c>
      <c r="S663" s="84">
        <v>16183</v>
      </c>
      <c r="T663" s="91"/>
      <c r="U663" s="86" t="s">
        <v>67</v>
      </c>
      <c r="V663" s="87" t="s">
        <v>56</v>
      </c>
      <c r="W663" s="84">
        <v>4061010</v>
      </c>
      <c r="X663" s="60">
        <f t="shared" si="740"/>
        <v>164.14753435731609</v>
      </c>
      <c r="Y663" s="60">
        <f t="shared" si="741"/>
        <v>172.35421441303794</v>
      </c>
      <c r="Z663" s="60">
        <f t="shared" si="742"/>
        <v>250.94296483964655</v>
      </c>
      <c r="AA663" s="60">
        <v>0</v>
      </c>
      <c r="AB663" s="77" t="s">
        <v>73</v>
      </c>
      <c r="AD663" s="93">
        <f t="shared" ref="AD663" si="768">W663/AC653</f>
        <v>4.6372087312393949E-3</v>
      </c>
    </row>
    <row r="664" spans="1:30" s="55" customFormat="1" ht="18.95" customHeight="1">
      <c r="A664" s="57"/>
      <c r="B664" s="58" t="s">
        <v>48</v>
      </c>
      <c r="C664" s="58" t="s">
        <v>210</v>
      </c>
      <c r="D664" s="58"/>
      <c r="E664" s="58" t="s">
        <v>20</v>
      </c>
      <c r="F664" s="58" t="s">
        <v>21</v>
      </c>
      <c r="G664" s="58" t="s">
        <v>211</v>
      </c>
      <c r="H664" s="58"/>
      <c r="I664" s="58" t="s">
        <v>214</v>
      </c>
      <c r="J664" s="58"/>
      <c r="K664" s="58" t="s">
        <v>215</v>
      </c>
      <c r="L664" s="59">
        <v>2018</v>
      </c>
      <c r="M664" s="58" t="s">
        <v>80</v>
      </c>
      <c r="N664" s="58" t="s">
        <v>24</v>
      </c>
      <c r="O664" s="58" t="s">
        <v>54</v>
      </c>
      <c r="P664" s="58" t="s">
        <v>25</v>
      </c>
      <c r="Q664" s="84">
        <v>24740</v>
      </c>
      <c r="R664" s="84">
        <v>23562</v>
      </c>
      <c r="S664" s="84">
        <v>16183</v>
      </c>
      <c r="T664" s="91"/>
      <c r="U664" s="86" t="s">
        <v>68</v>
      </c>
      <c r="V664" s="87" t="s">
        <v>56</v>
      </c>
      <c r="W664" s="84">
        <v>58468636</v>
      </c>
      <c r="X664" s="60">
        <f t="shared" si="740"/>
        <v>2363.3240097008893</v>
      </c>
      <c r="Y664" s="60">
        <f t="shared" si="741"/>
        <v>2481.4801799507682</v>
      </c>
      <c r="Z664" s="60">
        <f t="shared" si="742"/>
        <v>3612.9664462707779</v>
      </c>
      <c r="AA664" s="60">
        <v>0</v>
      </c>
      <c r="AB664" s="77" t="s">
        <v>73</v>
      </c>
      <c r="AD664" s="93">
        <f t="shared" ref="AD664" si="769">W664/AC653</f>
        <v>6.6764491927588959E-2</v>
      </c>
    </row>
    <row r="665" spans="1:30" s="55" customFormat="1" ht="18.95" customHeight="1">
      <c r="A665" s="57"/>
      <c r="B665" s="58" t="s">
        <v>48</v>
      </c>
      <c r="C665" s="58" t="s">
        <v>210</v>
      </c>
      <c r="D665" s="58"/>
      <c r="E665" s="58" t="s">
        <v>20</v>
      </c>
      <c r="F665" s="58" t="s">
        <v>21</v>
      </c>
      <c r="G665" s="58" t="s">
        <v>211</v>
      </c>
      <c r="H665" s="58"/>
      <c r="I665" s="58" t="s">
        <v>214</v>
      </c>
      <c r="J665" s="58"/>
      <c r="K665" s="58" t="s">
        <v>215</v>
      </c>
      <c r="L665" s="59">
        <v>2018</v>
      </c>
      <c r="M665" s="58" t="s">
        <v>80</v>
      </c>
      <c r="N665" s="58" t="s">
        <v>24</v>
      </c>
      <c r="O665" s="58" t="s">
        <v>54</v>
      </c>
      <c r="P665" s="58" t="s">
        <v>25</v>
      </c>
      <c r="Q665" s="84">
        <v>24740</v>
      </c>
      <c r="R665" s="84">
        <v>23562</v>
      </c>
      <c r="S665" s="84">
        <v>16183</v>
      </c>
      <c r="T665" s="91"/>
      <c r="U665" s="86" t="s">
        <v>69</v>
      </c>
      <c r="V665" s="87" t="s">
        <v>56</v>
      </c>
      <c r="W665" s="84">
        <v>82073860</v>
      </c>
      <c r="X665" s="60">
        <f t="shared" si="740"/>
        <v>3317.4559417946643</v>
      </c>
      <c r="Y665" s="60">
        <f t="shared" si="741"/>
        <v>3483.3146591970121</v>
      </c>
      <c r="Z665" s="60">
        <f t="shared" si="742"/>
        <v>5071.6097138973</v>
      </c>
      <c r="AA665" s="60">
        <v>0</v>
      </c>
      <c r="AB665" s="77" t="s">
        <v>73</v>
      </c>
      <c r="AD665" s="93">
        <f t="shared" ref="AD665" si="770">W665/AC653</f>
        <v>9.3718956663125616E-2</v>
      </c>
    </row>
    <row r="666" spans="1:30" s="32" customFormat="1" ht="18.95" customHeight="1">
      <c r="A666" s="65"/>
      <c r="B666" s="66" t="s">
        <v>48</v>
      </c>
      <c r="C666" s="66" t="s">
        <v>210</v>
      </c>
      <c r="D666" s="66"/>
      <c r="E666" s="66" t="s">
        <v>20</v>
      </c>
      <c r="F666" s="66" t="s">
        <v>21</v>
      </c>
      <c r="G666" s="66" t="s">
        <v>211</v>
      </c>
      <c r="H666" s="66"/>
      <c r="I666" s="66" t="s">
        <v>216</v>
      </c>
      <c r="J666" s="66"/>
      <c r="K666" s="66" t="s">
        <v>217</v>
      </c>
      <c r="L666" s="67">
        <v>2018</v>
      </c>
      <c r="M666" s="66" t="s">
        <v>218</v>
      </c>
      <c r="N666" s="66" t="s">
        <v>24</v>
      </c>
      <c r="O666" s="66" t="s">
        <v>54</v>
      </c>
      <c r="P666" s="66" t="s">
        <v>25</v>
      </c>
      <c r="Q666" s="80">
        <v>616</v>
      </c>
      <c r="R666" s="80">
        <v>598</v>
      </c>
      <c r="S666" s="80">
        <v>591</v>
      </c>
      <c r="T666" s="90"/>
      <c r="U666" s="82" t="s">
        <v>55</v>
      </c>
      <c r="V666" s="83" t="s">
        <v>56</v>
      </c>
      <c r="W666" s="80">
        <v>1882561.625</v>
      </c>
      <c r="X666" s="68">
        <f t="shared" si="740"/>
        <v>3056.106534090909</v>
      </c>
      <c r="Y666" s="68">
        <f t="shared" si="741"/>
        <v>3148.0963628762543</v>
      </c>
      <c r="Z666" s="68">
        <f t="shared" si="742"/>
        <v>3185.3834602368865</v>
      </c>
      <c r="AA666" s="68">
        <v>0</v>
      </c>
      <c r="AB666" s="78" t="s">
        <v>73</v>
      </c>
      <c r="AC666" s="92">
        <f t="shared" ref="AC666" si="771">SUM(W666:W678)</f>
        <v>52000000</v>
      </c>
      <c r="AD666" s="93">
        <f t="shared" ref="AD666" si="772">W666/AC666</f>
        <v>3.6203108173076926E-2</v>
      </c>
    </row>
    <row r="667" spans="1:30" s="32" customFormat="1" ht="18.95" customHeight="1">
      <c r="A667" s="65"/>
      <c r="B667" s="66" t="s">
        <v>48</v>
      </c>
      <c r="C667" s="66" t="s">
        <v>210</v>
      </c>
      <c r="D667" s="66"/>
      <c r="E667" s="66" t="s">
        <v>20</v>
      </c>
      <c r="F667" s="66" t="s">
        <v>21</v>
      </c>
      <c r="G667" s="66" t="s">
        <v>211</v>
      </c>
      <c r="H667" s="66"/>
      <c r="I667" s="66" t="s">
        <v>216</v>
      </c>
      <c r="J667" s="66"/>
      <c r="K667" s="66" t="s">
        <v>217</v>
      </c>
      <c r="L667" s="67">
        <v>2018</v>
      </c>
      <c r="M667" s="66" t="s">
        <v>218</v>
      </c>
      <c r="N667" s="66" t="s">
        <v>24</v>
      </c>
      <c r="O667" s="66" t="s">
        <v>54</v>
      </c>
      <c r="P667" s="66" t="s">
        <v>25</v>
      </c>
      <c r="Q667" s="80">
        <v>616</v>
      </c>
      <c r="R667" s="80">
        <v>598</v>
      </c>
      <c r="S667" s="80">
        <v>591</v>
      </c>
      <c r="T667" s="90"/>
      <c r="U667" s="82" t="s">
        <v>58</v>
      </c>
      <c r="V667" s="83" t="s">
        <v>56</v>
      </c>
      <c r="W667" s="80">
        <v>8417494.3910000026</v>
      </c>
      <c r="X667" s="68">
        <f t="shared" si="740"/>
        <v>13664.763621753251</v>
      </c>
      <c r="Y667" s="68">
        <f t="shared" si="741"/>
        <v>14076.07757692308</v>
      </c>
      <c r="Z667" s="68">
        <f t="shared" si="742"/>
        <v>14242.799307952628</v>
      </c>
      <c r="AA667" s="68">
        <v>0</v>
      </c>
      <c r="AB667" s="78" t="s">
        <v>73</v>
      </c>
      <c r="AC667" s="55"/>
      <c r="AD667" s="93">
        <f t="shared" ref="AD667" si="773">W667/AC666</f>
        <v>0.16187489213461542</v>
      </c>
    </row>
    <row r="668" spans="1:30" s="32" customFormat="1" ht="18.95" customHeight="1">
      <c r="A668" s="65"/>
      <c r="B668" s="66" t="s">
        <v>48</v>
      </c>
      <c r="C668" s="66" t="s">
        <v>210</v>
      </c>
      <c r="D668" s="66"/>
      <c r="E668" s="66" t="s">
        <v>20</v>
      </c>
      <c r="F668" s="66" t="s">
        <v>21</v>
      </c>
      <c r="G668" s="66" t="s">
        <v>211</v>
      </c>
      <c r="H668" s="66"/>
      <c r="I668" s="66" t="s">
        <v>216</v>
      </c>
      <c r="J668" s="66"/>
      <c r="K668" s="66" t="s">
        <v>217</v>
      </c>
      <c r="L668" s="67">
        <v>2018</v>
      </c>
      <c r="M668" s="66" t="s">
        <v>218</v>
      </c>
      <c r="N668" s="66" t="s">
        <v>24</v>
      </c>
      <c r="O668" s="66" t="s">
        <v>54</v>
      </c>
      <c r="P668" s="66" t="s">
        <v>25</v>
      </c>
      <c r="Q668" s="80">
        <v>616</v>
      </c>
      <c r="R668" s="80">
        <v>598</v>
      </c>
      <c r="S668" s="80">
        <v>591</v>
      </c>
      <c r="T668" s="90"/>
      <c r="U668" s="82" t="s">
        <v>59</v>
      </c>
      <c r="V668" s="83" t="s">
        <v>56</v>
      </c>
      <c r="W668" s="80">
        <v>6510612.4062500009</v>
      </c>
      <c r="X668" s="68">
        <f t="shared" si="740"/>
        <v>10569.17598417208</v>
      </c>
      <c r="Y668" s="68">
        <f t="shared" si="741"/>
        <v>10887.311716137125</v>
      </c>
      <c r="Z668" s="68">
        <f t="shared" si="742"/>
        <v>11016.264646785112</v>
      </c>
      <c r="AA668" s="68">
        <v>0</v>
      </c>
      <c r="AB668" s="78" t="s">
        <v>73</v>
      </c>
      <c r="AC668" s="55"/>
      <c r="AD668" s="93">
        <f t="shared" ref="AD668" si="774">W668/AC666</f>
        <v>0.12520408473557695</v>
      </c>
    </row>
    <row r="669" spans="1:30" s="32" customFormat="1" ht="18.95" customHeight="1">
      <c r="A669" s="65"/>
      <c r="B669" s="66" t="s">
        <v>48</v>
      </c>
      <c r="C669" s="66" t="s">
        <v>210</v>
      </c>
      <c r="D669" s="66"/>
      <c r="E669" s="66" t="s">
        <v>20</v>
      </c>
      <c r="F669" s="66" t="s">
        <v>21</v>
      </c>
      <c r="G669" s="66" t="s">
        <v>211</v>
      </c>
      <c r="H669" s="66"/>
      <c r="I669" s="66" t="s">
        <v>216</v>
      </c>
      <c r="J669" s="66"/>
      <c r="K669" s="66" t="s">
        <v>217</v>
      </c>
      <c r="L669" s="67">
        <v>2018</v>
      </c>
      <c r="M669" s="66" t="s">
        <v>218</v>
      </c>
      <c r="N669" s="66" t="s">
        <v>24</v>
      </c>
      <c r="O669" s="66" t="s">
        <v>54</v>
      </c>
      <c r="P669" s="66" t="s">
        <v>25</v>
      </c>
      <c r="Q669" s="80">
        <v>616</v>
      </c>
      <c r="R669" s="80">
        <v>598</v>
      </c>
      <c r="S669" s="80">
        <v>591</v>
      </c>
      <c r="T669" s="90"/>
      <c r="U669" s="82" t="s">
        <v>60</v>
      </c>
      <c r="V669" s="83" t="s">
        <v>56</v>
      </c>
      <c r="W669" s="80">
        <v>1057880.7402285724</v>
      </c>
      <c r="X669" s="68">
        <f t="shared" si="740"/>
        <v>1717.3388640074227</v>
      </c>
      <c r="Y669" s="68">
        <f t="shared" si="741"/>
        <v>1769.0313381748701</v>
      </c>
      <c r="Z669" s="68">
        <f t="shared" si="742"/>
        <v>1789.9843320280413</v>
      </c>
      <c r="AA669" s="68">
        <v>0</v>
      </c>
      <c r="AB669" s="78" t="s">
        <v>73</v>
      </c>
      <c r="AC669" s="55"/>
      <c r="AD669" s="93">
        <f t="shared" ref="AD669" si="775">W669/AC666</f>
        <v>2.0343860389011009E-2</v>
      </c>
    </row>
    <row r="670" spans="1:30" s="32" customFormat="1" ht="18.95" customHeight="1">
      <c r="A670" s="65"/>
      <c r="B670" s="66" t="s">
        <v>48</v>
      </c>
      <c r="C670" s="66" t="s">
        <v>210</v>
      </c>
      <c r="D670" s="66"/>
      <c r="E670" s="66" t="s">
        <v>20</v>
      </c>
      <c r="F670" s="66" t="s">
        <v>21</v>
      </c>
      <c r="G670" s="66" t="s">
        <v>211</v>
      </c>
      <c r="H670" s="66"/>
      <c r="I670" s="66" t="s">
        <v>216</v>
      </c>
      <c r="J670" s="66"/>
      <c r="K670" s="66" t="s">
        <v>217</v>
      </c>
      <c r="L670" s="67">
        <v>2018</v>
      </c>
      <c r="M670" s="66" t="s">
        <v>218</v>
      </c>
      <c r="N670" s="66" t="s">
        <v>24</v>
      </c>
      <c r="O670" s="66" t="s">
        <v>54</v>
      </c>
      <c r="P670" s="66" t="s">
        <v>25</v>
      </c>
      <c r="Q670" s="80">
        <v>616</v>
      </c>
      <c r="R670" s="80">
        <v>598</v>
      </c>
      <c r="S670" s="80">
        <v>591</v>
      </c>
      <c r="T670" s="90"/>
      <c r="U670" s="82" t="s">
        <v>61</v>
      </c>
      <c r="V670" s="83" t="s">
        <v>56</v>
      </c>
      <c r="W670" s="80">
        <v>2547403.2442000001</v>
      </c>
      <c r="X670" s="68">
        <f t="shared" si="740"/>
        <v>4135.3948769480521</v>
      </c>
      <c r="Y670" s="68">
        <f t="shared" si="741"/>
        <v>4259.8716458193985</v>
      </c>
      <c r="Z670" s="68">
        <f t="shared" si="742"/>
        <v>4310.3269783417936</v>
      </c>
      <c r="AA670" s="68">
        <v>0</v>
      </c>
      <c r="AB670" s="78" t="s">
        <v>73</v>
      </c>
      <c r="AC670" s="55"/>
      <c r="AD670" s="93">
        <f t="shared" ref="AD670" si="776">W670/AC666</f>
        <v>4.8988523926923079E-2</v>
      </c>
    </row>
    <row r="671" spans="1:30" s="32" customFormat="1" ht="18.95" customHeight="1">
      <c r="A671" s="65"/>
      <c r="B671" s="66" t="s">
        <v>48</v>
      </c>
      <c r="C671" s="66" t="s">
        <v>210</v>
      </c>
      <c r="D671" s="66"/>
      <c r="E671" s="66" t="s">
        <v>20</v>
      </c>
      <c r="F671" s="66" t="s">
        <v>21</v>
      </c>
      <c r="G671" s="66" t="s">
        <v>211</v>
      </c>
      <c r="H671" s="66"/>
      <c r="I671" s="66" t="s">
        <v>216</v>
      </c>
      <c r="J671" s="66"/>
      <c r="K671" s="66" t="s">
        <v>217</v>
      </c>
      <c r="L671" s="67">
        <v>2018</v>
      </c>
      <c r="M671" s="66" t="s">
        <v>218</v>
      </c>
      <c r="N671" s="66" t="s">
        <v>24</v>
      </c>
      <c r="O671" s="66" t="s">
        <v>54</v>
      </c>
      <c r="P671" s="66" t="s">
        <v>25</v>
      </c>
      <c r="Q671" s="80">
        <v>616</v>
      </c>
      <c r="R671" s="80">
        <v>598</v>
      </c>
      <c r="S671" s="80">
        <v>591</v>
      </c>
      <c r="T671" s="90"/>
      <c r="U671" s="82" t="s">
        <v>62</v>
      </c>
      <c r="V671" s="83" t="s">
        <v>56</v>
      </c>
      <c r="W671" s="80">
        <v>3858716.015571428</v>
      </c>
      <c r="X671" s="68">
        <f t="shared" si="740"/>
        <v>6264.1493759276427</v>
      </c>
      <c r="Y671" s="68">
        <f t="shared" si="741"/>
        <v>6452.7023671763009</v>
      </c>
      <c r="Z671" s="68">
        <f t="shared" si="742"/>
        <v>6529.1303139956481</v>
      </c>
      <c r="AA671" s="68">
        <v>0</v>
      </c>
      <c r="AB671" s="78" t="s">
        <v>73</v>
      </c>
      <c r="AC671" s="55"/>
      <c r="AD671" s="93">
        <f t="shared" ref="AD671" si="777">W671/AC666</f>
        <v>7.4206077222527464E-2</v>
      </c>
    </row>
    <row r="672" spans="1:30" s="32" customFormat="1" ht="18.95" customHeight="1">
      <c r="A672" s="65"/>
      <c r="B672" s="66" t="s">
        <v>48</v>
      </c>
      <c r="C672" s="66" t="s">
        <v>210</v>
      </c>
      <c r="D672" s="66"/>
      <c r="E672" s="66" t="s">
        <v>20</v>
      </c>
      <c r="F672" s="66" t="s">
        <v>21</v>
      </c>
      <c r="G672" s="66" t="s">
        <v>211</v>
      </c>
      <c r="H672" s="66"/>
      <c r="I672" s="66" t="s">
        <v>216</v>
      </c>
      <c r="J672" s="66"/>
      <c r="K672" s="66" t="s">
        <v>217</v>
      </c>
      <c r="L672" s="67">
        <v>2018</v>
      </c>
      <c r="M672" s="66" t="s">
        <v>218</v>
      </c>
      <c r="N672" s="66" t="s">
        <v>24</v>
      </c>
      <c r="O672" s="66" t="s">
        <v>54</v>
      </c>
      <c r="P672" s="66" t="s">
        <v>25</v>
      </c>
      <c r="Q672" s="80">
        <v>616</v>
      </c>
      <c r="R672" s="80">
        <v>598</v>
      </c>
      <c r="S672" s="80">
        <v>591</v>
      </c>
      <c r="T672" s="90"/>
      <c r="U672" s="82" t="s">
        <v>63</v>
      </c>
      <c r="V672" s="83" t="s">
        <v>56</v>
      </c>
      <c r="W672" s="80">
        <v>25000</v>
      </c>
      <c r="X672" s="68">
        <f t="shared" si="740"/>
        <v>40.584415584415588</v>
      </c>
      <c r="Y672" s="68">
        <f t="shared" si="741"/>
        <v>41.80602006688963</v>
      </c>
      <c r="Z672" s="68">
        <f t="shared" si="742"/>
        <v>42.301184433164131</v>
      </c>
      <c r="AA672" s="68">
        <v>0</v>
      </c>
      <c r="AB672" s="78" t="s">
        <v>73</v>
      </c>
      <c r="AC672" s="55"/>
      <c r="AD672" s="93">
        <f t="shared" ref="AD672" si="778">W672/AC666</f>
        <v>4.807692307692308E-4</v>
      </c>
    </row>
    <row r="673" spans="1:30" s="32" customFormat="1" ht="18.95" customHeight="1">
      <c r="A673" s="65"/>
      <c r="B673" s="66" t="s">
        <v>48</v>
      </c>
      <c r="C673" s="66" t="s">
        <v>210</v>
      </c>
      <c r="D673" s="66"/>
      <c r="E673" s="66" t="s">
        <v>20</v>
      </c>
      <c r="F673" s="66" t="s">
        <v>21</v>
      </c>
      <c r="G673" s="66" t="s">
        <v>211</v>
      </c>
      <c r="H673" s="66"/>
      <c r="I673" s="66" t="s">
        <v>216</v>
      </c>
      <c r="J673" s="66"/>
      <c r="K673" s="66" t="s">
        <v>217</v>
      </c>
      <c r="L673" s="67">
        <v>2018</v>
      </c>
      <c r="M673" s="66" t="s">
        <v>218</v>
      </c>
      <c r="N673" s="66" t="s">
        <v>24</v>
      </c>
      <c r="O673" s="66" t="s">
        <v>54</v>
      </c>
      <c r="P673" s="66" t="s">
        <v>25</v>
      </c>
      <c r="Q673" s="80">
        <v>616</v>
      </c>
      <c r="R673" s="80">
        <v>598</v>
      </c>
      <c r="S673" s="80">
        <v>591</v>
      </c>
      <c r="T673" s="90"/>
      <c r="U673" s="82" t="s">
        <v>64</v>
      </c>
      <c r="V673" s="83" t="s">
        <v>56</v>
      </c>
      <c r="W673" s="80">
        <v>0</v>
      </c>
      <c r="X673" s="68">
        <f t="shared" si="740"/>
        <v>0</v>
      </c>
      <c r="Y673" s="68">
        <f t="shared" si="741"/>
        <v>0</v>
      </c>
      <c r="Z673" s="68">
        <f t="shared" si="742"/>
        <v>0</v>
      </c>
      <c r="AA673" s="68">
        <v>0</v>
      </c>
      <c r="AB673" s="78" t="s">
        <v>73</v>
      </c>
      <c r="AC673" s="55"/>
      <c r="AD673" s="93">
        <f t="shared" ref="AD673" si="779">W673/AC666</f>
        <v>0</v>
      </c>
    </row>
    <row r="674" spans="1:30" s="32" customFormat="1" ht="18.95" customHeight="1">
      <c r="A674" s="65"/>
      <c r="B674" s="66" t="s">
        <v>48</v>
      </c>
      <c r="C674" s="66" t="s">
        <v>210</v>
      </c>
      <c r="D674" s="66"/>
      <c r="E674" s="66" t="s">
        <v>20</v>
      </c>
      <c r="F674" s="66" t="s">
        <v>21</v>
      </c>
      <c r="G674" s="66" t="s">
        <v>211</v>
      </c>
      <c r="H674" s="66"/>
      <c r="I674" s="66" t="s">
        <v>216</v>
      </c>
      <c r="J674" s="66"/>
      <c r="K674" s="66" t="s">
        <v>217</v>
      </c>
      <c r="L674" s="67">
        <v>2018</v>
      </c>
      <c r="M674" s="66" t="s">
        <v>218</v>
      </c>
      <c r="N674" s="66" t="s">
        <v>24</v>
      </c>
      <c r="O674" s="66" t="s">
        <v>54</v>
      </c>
      <c r="P674" s="66" t="s">
        <v>25</v>
      </c>
      <c r="Q674" s="80">
        <v>616</v>
      </c>
      <c r="R674" s="80">
        <v>598</v>
      </c>
      <c r="S674" s="80">
        <v>591</v>
      </c>
      <c r="T674" s="90"/>
      <c r="U674" s="82" t="s">
        <v>65</v>
      </c>
      <c r="V674" s="83" t="s">
        <v>56</v>
      </c>
      <c r="W674" s="80">
        <v>3010037.5447500013</v>
      </c>
      <c r="X674" s="68">
        <f t="shared" si="740"/>
        <v>4886.424585633119</v>
      </c>
      <c r="Y674" s="68">
        <f t="shared" si="741"/>
        <v>5033.5075999163901</v>
      </c>
      <c r="Z674" s="68">
        <f t="shared" si="742"/>
        <v>5093.1261332487329</v>
      </c>
      <c r="AA674" s="68">
        <v>0</v>
      </c>
      <c r="AB674" s="78" t="s">
        <v>73</v>
      </c>
      <c r="AC674" s="55"/>
      <c r="AD674" s="93">
        <f t="shared" ref="AD674" si="780">W674/AC666</f>
        <v>5.7885337399038485E-2</v>
      </c>
    </row>
    <row r="675" spans="1:30" s="32" customFormat="1" ht="18.95" customHeight="1">
      <c r="A675" s="65"/>
      <c r="B675" s="66" t="s">
        <v>48</v>
      </c>
      <c r="C675" s="66" t="s">
        <v>210</v>
      </c>
      <c r="D675" s="66"/>
      <c r="E675" s="66" t="s">
        <v>20</v>
      </c>
      <c r="F675" s="66" t="s">
        <v>21</v>
      </c>
      <c r="G675" s="66" t="s">
        <v>211</v>
      </c>
      <c r="H675" s="66"/>
      <c r="I675" s="66" t="s">
        <v>216</v>
      </c>
      <c r="J675" s="66"/>
      <c r="K675" s="66" t="s">
        <v>217</v>
      </c>
      <c r="L675" s="67">
        <v>2018</v>
      </c>
      <c r="M675" s="66" t="s">
        <v>218</v>
      </c>
      <c r="N675" s="66" t="s">
        <v>24</v>
      </c>
      <c r="O675" s="66" t="s">
        <v>54</v>
      </c>
      <c r="P675" s="66" t="s">
        <v>25</v>
      </c>
      <c r="Q675" s="80">
        <v>616</v>
      </c>
      <c r="R675" s="80">
        <v>598</v>
      </c>
      <c r="S675" s="80">
        <v>591</v>
      </c>
      <c r="T675" s="90"/>
      <c r="U675" s="82" t="s">
        <v>66</v>
      </c>
      <c r="V675" s="83" t="s">
        <v>56</v>
      </c>
      <c r="W675" s="80">
        <v>3789294.0330000003</v>
      </c>
      <c r="X675" s="68">
        <f t="shared" si="740"/>
        <v>6151.4513522727275</v>
      </c>
      <c r="Y675" s="68">
        <f t="shared" si="741"/>
        <v>6336.612095317726</v>
      </c>
      <c r="Z675" s="68">
        <f t="shared" si="742"/>
        <v>6411.6650304568529</v>
      </c>
      <c r="AA675" s="68">
        <v>0</v>
      </c>
      <c r="AB675" s="78" t="s">
        <v>73</v>
      </c>
      <c r="AC675" s="55"/>
      <c r="AD675" s="93">
        <f t="shared" ref="AD675" si="781">W675/AC666</f>
        <v>7.2871039096153847E-2</v>
      </c>
    </row>
    <row r="676" spans="1:30" s="32" customFormat="1" ht="18.95" customHeight="1">
      <c r="A676" s="65"/>
      <c r="B676" s="66" t="s">
        <v>48</v>
      </c>
      <c r="C676" s="66" t="s">
        <v>210</v>
      </c>
      <c r="D676" s="66"/>
      <c r="E676" s="66" t="s">
        <v>20</v>
      </c>
      <c r="F676" s="66" t="s">
        <v>21</v>
      </c>
      <c r="G676" s="66" t="s">
        <v>211</v>
      </c>
      <c r="H676" s="66"/>
      <c r="I676" s="66" t="s">
        <v>216</v>
      </c>
      <c r="J676" s="66"/>
      <c r="K676" s="66" t="s">
        <v>217</v>
      </c>
      <c r="L676" s="67">
        <v>2018</v>
      </c>
      <c r="M676" s="66" t="s">
        <v>218</v>
      </c>
      <c r="N676" s="66" t="s">
        <v>24</v>
      </c>
      <c r="O676" s="66" t="s">
        <v>54</v>
      </c>
      <c r="P676" s="66" t="s">
        <v>25</v>
      </c>
      <c r="Q676" s="80">
        <v>616</v>
      </c>
      <c r="R676" s="80">
        <v>598</v>
      </c>
      <c r="S676" s="80">
        <v>591</v>
      </c>
      <c r="T676" s="90"/>
      <c r="U676" s="82" t="s">
        <v>67</v>
      </c>
      <c r="V676" s="83" t="s">
        <v>56</v>
      </c>
      <c r="W676" s="80">
        <v>0</v>
      </c>
      <c r="X676" s="68">
        <f t="shared" si="740"/>
        <v>0</v>
      </c>
      <c r="Y676" s="68">
        <f t="shared" si="741"/>
        <v>0</v>
      </c>
      <c r="Z676" s="68">
        <f t="shared" si="742"/>
        <v>0</v>
      </c>
      <c r="AA676" s="68">
        <v>0</v>
      </c>
      <c r="AB676" s="78" t="s">
        <v>73</v>
      </c>
      <c r="AC676" s="55"/>
      <c r="AD676" s="93">
        <f t="shared" ref="AD676" si="782">W676/AC666</f>
        <v>0</v>
      </c>
    </row>
    <row r="677" spans="1:30" s="32" customFormat="1" ht="18.95" customHeight="1">
      <c r="A677" s="65"/>
      <c r="B677" s="66" t="s">
        <v>48</v>
      </c>
      <c r="C677" s="66" t="s">
        <v>210</v>
      </c>
      <c r="D677" s="66"/>
      <c r="E677" s="66" t="s">
        <v>20</v>
      </c>
      <c r="F677" s="66" t="s">
        <v>21</v>
      </c>
      <c r="G677" s="66" t="s">
        <v>211</v>
      </c>
      <c r="H677" s="66"/>
      <c r="I677" s="66" t="s">
        <v>216</v>
      </c>
      <c r="J677" s="66"/>
      <c r="K677" s="66" t="s">
        <v>217</v>
      </c>
      <c r="L677" s="67">
        <v>2018</v>
      </c>
      <c r="M677" s="66" t="s">
        <v>218</v>
      </c>
      <c r="N677" s="66" t="s">
        <v>24</v>
      </c>
      <c r="O677" s="66" t="s">
        <v>54</v>
      </c>
      <c r="P677" s="66" t="s">
        <v>25</v>
      </c>
      <c r="Q677" s="80">
        <v>616</v>
      </c>
      <c r="R677" s="80">
        <v>598</v>
      </c>
      <c r="S677" s="80">
        <v>591</v>
      </c>
      <c r="T677" s="90"/>
      <c r="U677" s="82" t="s">
        <v>68</v>
      </c>
      <c r="V677" s="83" t="s">
        <v>56</v>
      </c>
      <c r="W677" s="80">
        <v>3225000</v>
      </c>
      <c r="X677" s="68">
        <f t="shared" si="740"/>
        <v>5235.3896103896104</v>
      </c>
      <c r="Y677" s="68">
        <f t="shared" si="741"/>
        <v>5392.9765886287623</v>
      </c>
      <c r="Z677" s="68">
        <f t="shared" si="742"/>
        <v>5456.8527918781729</v>
      </c>
      <c r="AA677" s="68">
        <v>0</v>
      </c>
      <c r="AB677" s="78" t="s">
        <v>73</v>
      </c>
      <c r="AC677" s="55"/>
      <c r="AD677" s="93">
        <f t="shared" ref="AD677" si="783">W677/AC666</f>
        <v>6.2019230769230771E-2</v>
      </c>
    </row>
    <row r="678" spans="1:30" s="32" customFormat="1" ht="18.95" customHeight="1">
      <c r="A678" s="65"/>
      <c r="B678" s="66" t="s">
        <v>48</v>
      </c>
      <c r="C678" s="66" t="s">
        <v>210</v>
      </c>
      <c r="D678" s="66"/>
      <c r="E678" s="66" t="s">
        <v>20</v>
      </c>
      <c r="F678" s="66" t="s">
        <v>21</v>
      </c>
      <c r="G678" s="66" t="s">
        <v>211</v>
      </c>
      <c r="H678" s="66"/>
      <c r="I678" s="66" t="s">
        <v>216</v>
      </c>
      <c r="J678" s="66"/>
      <c r="K678" s="66" t="s">
        <v>217</v>
      </c>
      <c r="L678" s="67">
        <v>2018</v>
      </c>
      <c r="M678" s="66" t="s">
        <v>218</v>
      </c>
      <c r="N678" s="66" t="s">
        <v>24</v>
      </c>
      <c r="O678" s="66" t="s">
        <v>54</v>
      </c>
      <c r="P678" s="66" t="s">
        <v>25</v>
      </c>
      <c r="Q678" s="80">
        <v>616</v>
      </c>
      <c r="R678" s="80">
        <v>598</v>
      </c>
      <c r="S678" s="80">
        <v>591</v>
      </c>
      <c r="T678" s="90"/>
      <c r="U678" s="82" t="s">
        <v>69</v>
      </c>
      <c r="V678" s="83" t="s">
        <v>56</v>
      </c>
      <c r="W678" s="80">
        <v>17676000</v>
      </c>
      <c r="X678" s="68">
        <f t="shared" si="740"/>
        <v>28694.805194805194</v>
      </c>
      <c r="Y678" s="68">
        <f t="shared" si="741"/>
        <v>29558.528428093647</v>
      </c>
      <c r="Z678" s="68">
        <f t="shared" si="742"/>
        <v>29908.629441624365</v>
      </c>
      <c r="AA678" s="68">
        <v>0</v>
      </c>
      <c r="AB678" s="78" t="s">
        <v>73</v>
      </c>
      <c r="AC678" s="55"/>
      <c r="AD678" s="93">
        <f t="shared" ref="AD678" si="784">W678/AC666</f>
        <v>0.33992307692307694</v>
      </c>
    </row>
    <row r="679" spans="1:30" s="55" customFormat="1" ht="18.95" customHeight="1">
      <c r="A679" s="57"/>
      <c r="B679" s="58" t="s">
        <v>48</v>
      </c>
      <c r="C679" s="58" t="s">
        <v>210</v>
      </c>
      <c r="D679" s="58"/>
      <c r="E679" s="58" t="s">
        <v>20</v>
      </c>
      <c r="F679" s="58" t="s">
        <v>21</v>
      </c>
      <c r="G679" s="58" t="s">
        <v>211</v>
      </c>
      <c r="H679" s="58"/>
      <c r="I679" s="58" t="s">
        <v>219</v>
      </c>
      <c r="J679" s="58"/>
      <c r="K679" s="58" t="s">
        <v>220</v>
      </c>
      <c r="L679" s="59">
        <v>2019</v>
      </c>
      <c r="M679" s="58" t="s">
        <v>221</v>
      </c>
      <c r="N679" s="58" t="s">
        <v>24</v>
      </c>
      <c r="O679" s="58" t="s">
        <v>54</v>
      </c>
      <c r="P679" s="58" t="s">
        <v>25</v>
      </c>
      <c r="Q679" s="84">
        <v>3187</v>
      </c>
      <c r="R679" s="84">
        <v>2872</v>
      </c>
      <c r="S679" s="84">
        <v>2629</v>
      </c>
      <c r="T679" s="91"/>
      <c r="U679" s="86" t="s">
        <v>55</v>
      </c>
      <c r="V679" s="87" t="s">
        <v>56</v>
      </c>
      <c r="W679" s="84">
        <v>2028307</v>
      </c>
      <c r="X679" s="60">
        <f t="shared" si="740"/>
        <v>636.43144022591775</v>
      </c>
      <c r="Y679" s="60">
        <f t="shared" si="741"/>
        <v>706.23502785515325</v>
      </c>
      <c r="Z679" s="60">
        <f t="shared" si="742"/>
        <v>771.51274248763787</v>
      </c>
      <c r="AA679" s="60">
        <v>0</v>
      </c>
      <c r="AB679" s="77" t="s">
        <v>73</v>
      </c>
      <c r="AC679" s="92">
        <f t="shared" ref="AC679" si="785">SUM(W679:W691)</f>
        <v>48400000</v>
      </c>
      <c r="AD679" s="93">
        <f t="shared" ref="AD679" si="786">W679/AC679</f>
        <v>4.1907169421487603E-2</v>
      </c>
    </row>
    <row r="680" spans="1:30" s="55" customFormat="1" ht="18.95" customHeight="1">
      <c r="A680" s="57"/>
      <c r="B680" s="58" t="s">
        <v>48</v>
      </c>
      <c r="C680" s="58" t="s">
        <v>210</v>
      </c>
      <c r="D680" s="58"/>
      <c r="E680" s="58" t="s">
        <v>20</v>
      </c>
      <c r="F680" s="58" t="s">
        <v>21</v>
      </c>
      <c r="G680" s="58" t="s">
        <v>211</v>
      </c>
      <c r="H680" s="58"/>
      <c r="I680" s="58" t="s">
        <v>219</v>
      </c>
      <c r="J680" s="58"/>
      <c r="K680" s="58" t="s">
        <v>220</v>
      </c>
      <c r="L680" s="59">
        <v>2019</v>
      </c>
      <c r="M680" s="58" t="s">
        <v>221</v>
      </c>
      <c r="N680" s="58" t="s">
        <v>24</v>
      </c>
      <c r="O680" s="58" t="s">
        <v>54</v>
      </c>
      <c r="P680" s="58" t="s">
        <v>25</v>
      </c>
      <c r="Q680" s="84">
        <v>3187</v>
      </c>
      <c r="R680" s="84">
        <v>2872</v>
      </c>
      <c r="S680" s="84">
        <v>2629</v>
      </c>
      <c r="T680" s="91"/>
      <c r="U680" s="86" t="s">
        <v>58</v>
      </c>
      <c r="V680" s="87" t="s">
        <v>56</v>
      </c>
      <c r="W680" s="84">
        <v>6246135</v>
      </c>
      <c r="X680" s="60">
        <f t="shared" si="740"/>
        <v>1959.8791967367431</v>
      </c>
      <c r="Y680" s="60">
        <f t="shared" si="741"/>
        <v>2174.8380919220058</v>
      </c>
      <c r="Z680" s="60">
        <f t="shared" si="742"/>
        <v>2375.8596424496004</v>
      </c>
      <c r="AA680" s="60">
        <v>0</v>
      </c>
      <c r="AB680" s="77" t="s">
        <v>73</v>
      </c>
      <c r="AD680" s="93">
        <f t="shared" ref="AD680" si="787">W680/AC679</f>
        <v>0.12905237603305786</v>
      </c>
    </row>
    <row r="681" spans="1:30" s="55" customFormat="1" ht="18.95" customHeight="1">
      <c r="A681" s="57"/>
      <c r="B681" s="58" t="s">
        <v>48</v>
      </c>
      <c r="C681" s="58" t="s">
        <v>210</v>
      </c>
      <c r="D681" s="58"/>
      <c r="E681" s="58" t="s">
        <v>20</v>
      </c>
      <c r="F681" s="58" t="s">
        <v>21</v>
      </c>
      <c r="G681" s="58" t="s">
        <v>211</v>
      </c>
      <c r="H681" s="58"/>
      <c r="I681" s="58" t="s">
        <v>219</v>
      </c>
      <c r="J681" s="58"/>
      <c r="K681" s="58" t="s">
        <v>220</v>
      </c>
      <c r="L681" s="59">
        <v>2019</v>
      </c>
      <c r="M681" s="58" t="s">
        <v>221</v>
      </c>
      <c r="N681" s="58" t="s">
        <v>24</v>
      </c>
      <c r="O681" s="58" t="s">
        <v>54</v>
      </c>
      <c r="P681" s="58" t="s">
        <v>25</v>
      </c>
      <c r="Q681" s="84">
        <v>3187</v>
      </c>
      <c r="R681" s="84">
        <v>2872</v>
      </c>
      <c r="S681" s="84">
        <v>2629</v>
      </c>
      <c r="T681" s="91"/>
      <c r="U681" s="86" t="s">
        <v>59</v>
      </c>
      <c r="V681" s="87" t="s">
        <v>56</v>
      </c>
      <c r="W681" s="84">
        <v>2446020</v>
      </c>
      <c r="X681" s="60">
        <f t="shared" si="740"/>
        <v>767.49921556322556</v>
      </c>
      <c r="Y681" s="60">
        <f t="shared" si="741"/>
        <v>851.67827298050145</v>
      </c>
      <c r="Z681" s="60">
        <f t="shared" si="742"/>
        <v>930.39939140357546</v>
      </c>
      <c r="AA681" s="60">
        <v>0</v>
      </c>
      <c r="AB681" s="77" t="s">
        <v>73</v>
      </c>
      <c r="AD681" s="93">
        <f t="shared" ref="AD681" si="788">W681/AC679</f>
        <v>5.0537603305785127E-2</v>
      </c>
    </row>
    <row r="682" spans="1:30" s="55" customFormat="1" ht="18.95" customHeight="1">
      <c r="A682" s="57"/>
      <c r="B682" s="58" t="s">
        <v>48</v>
      </c>
      <c r="C682" s="58" t="s">
        <v>210</v>
      </c>
      <c r="D682" s="58"/>
      <c r="E682" s="58" t="s">
        <v>20</v>
      </c>
      <c r="F682" s="58" t="s">
        <v>21</v>
      </c>
      <c r="G682" s="58" t="s">
        <v>211</v>
      </c>
      <c r="H682" s="58"/>
      <c r="I682" s="58" t="s">
        <v>219</v>
      </c>
      <c r="J682" s="58"/>
      <c r="K682" s="58" t="s">
        <v>220</v>
      </c>
      <c r="L682" s="59">
        <v>2019</v>
      </c>
      <c r="M682" s="58" t="s">
        <v>221</v>
      </c>
      <c r="N682" s="58" t="s">
        <v>24</v>
      </c>
      <c r="O682" s="58" t="s">
        <v>54</v>
      </c>
      <c r="P682" s="58" t="s">
        <v>25</v>
      </c>
      <c r="Q682" s="84">
        <v>3187</v>
      </c>
      <c r="R682" s="84">
        <v>2872</v>
      </c>
      <c r="S682" s="84">
        <v>2629</v>
      </c>
      <c r="T682" s="91"/>
      <c r="U682" s="86" t="s">
        <v>60</v>
      </c>
      <c r="V682" s="87" t="s">
        <v>56</v>
      </c>
      <c r="W682" s="84">
        <v>2723360</v>
      </c>
      <c r="X682" s="60">
        <f t="shared" si="740"/>
        <v>854.52149356761845</v>
      </c>
      <c r="Y682" s="60">
        <f t="shared" si="741"/>
        <v>948.24512534818939</v>
      </c>
      <c r="Z682" s="60">
        <f t="shared" si="742"/>
        <v>1035.8919741346519</v>
      </c>
      <c r="AA682" s="60">
        <v>0</v>
      </c>
      <c r="AB682" s="77" t="s">
        <v>73</v>
      </c>
      <c r="AD682" s="93">
        <f t="shared" ref="AD682" si="789">W682/AC679</f>
        <v>5.6267768595041324E-2</v>
      </c>
    </row>
    <row r="683" spans="1:30" s="55" customFormat="1" ht="18.95" customHeight="1">
      <c r="A683" s="57"/>
      <c r="B683" s="58" t="s">
        <v>48</v>
      </c>
      <c r="C683" s="58" t="s">
        <v>210</v>
      </c>
      <c r="D683" s="58"/>
      <c r="E683" s="58" t="s">
        <v>20</v>
      </c>
      <c r="F683" s="58" t="s">
        <v>21</v>
      </c>
      <c r="G683" s="58" t="s">
        <v>211</v>
      </c>
      <c r="H683" s="58"/>
      <c r="I683" s="58" t="s">
        <v>219</v>
      </c>
      <c r="J683" s="58"/>
      <c r="K683" s="58" t="s">
        <v>220</v>
      </c>
      <c r="L683" s="59">
        <v>2019</v>
      </c>
      <c r="M683" s="58" t="s">
        <v>221</v>
      </c>
      <c r="N683" s="58" t="s">
        <v>24</v>
      </c>
      <c r="O683" s="58" t="s">
        <v>54</v>
      </c>
      <c r="P683" s="58" t="s">
        <v>25</v>
      </c>
      <c r="Q683" s="84">
        <v>3187</v>
      </c>
      <c r="R683" s="84">
        <v>2872</v>
      </c>
      <c r="S683" s="84">
        <v>2629</v>
      </c>
      <c r="T683" s="91"/>
      <c r="U683" s="86" t="s">
        <v>61</v>
      </c>
      <c r="V683" s="87" t="s">
        <v>56</v>
      </c>
      <c r="W683" s="84">
        <v>4549384</v>
      </c>
      <c r="X683" s="60">
        <f t="shared" si="740"/>
        <v>1427.4816441794792</v>
      </c>
      <c r="Y683" s="60">
        <f t="shared" si="741"/>
        <v>1584.0473537604457</v>
      </c>
      <c r="Z683" s="60">
        <f t="shared" si="742"/>
        <v>1730.4617725370863</v>
      </c>
      <c r="AA683" s="60">
        <v>0</v>
      </c>
      <c r="AB683" s="77" t="s">
        <v>73</v>
      </c>
      <c r="AD683" s="93">
        <f t="shared" ref="AD683" si="790">W683/AC679</f>
        <v>9.3995537190082648E-2</v>
      </c>
    </row>
    <row r="684" spans="1:30" s="55" customFormat="1" ht="18.95" customHeight="1">
      <c r="A684" s="57"/>
      <c r="B684" s="58" t="s">
        <v>48</v>
      </c>
      <c r="C684" s="58" t="s">
        <v>210</v>
      </c>
      <c r="D684" s="58"/>
      <c r="E684" s="58" t="s">
        <v>20</v>
      </c>
      <c r="F684" s="58" t="s">
        <v>21</v>
      </c>
      <c r="G684" s="58" t="s">
        <v>211</v>
      </c>
      <c r="H684" s="58"/>
      <c r="I684" s="58" t="s">
        <v>219</v>
      </c>
      <c r="J684" s="58"/>
      <c r="K684" s="58" t="s">
        <v>220</v>
      </c>
      <c r="L684" s="59">
        <v>2019</v>
      </c>
      <c r="M684" s="58" t="s">
        <v>221</v>
      </c>
      <c r="N684" s="58" t="s">
        <v>24</v>
      </c>
      <c r="O684" s="58" t="s">
        <v>54</v>
      </c>
      <c r="P684" s="58" t="s">
        <v>25</v>
      </c>
      <c r="Q684" s="84">
        <v>3187</v>
      </c>
      <c r="R684" s="84">
        <v>2872</v>
      </c>
      <c r="S684" s="84">
        <v>2629</v>
      </c>
      <c r="T684" s="91"/>
      <c r="U684" s="86" t="s">
        <v>62</v>
      </c>
      <c r="V684" s="87" t="s">
        <v>56</v>
      </c>
      <c r="W684" s="84">
        <v>433748</v>
      </c>
      <c r="X684" s="60">
        <f t="shared" si="740"/>
        <v>136.09915280828366</v>
      </c>
      <c r="Y684" s="60">
        <f t="shared" si="741"/>
        <v>151.02646239554318</v>
      </c>
      <c r="Z684" s="60">
        <f t="shared" si="742"/>
        <v>164.98592620768352</v>
      </c>
      <c r="AA684" s="60">
        <v>0</v>
      </c>
      <c r="AB684" s="77" t="s">
        <v>73</v>
      </c>
      <c r="AD684" s="93">
        <f t="shared" ref="AD684" si="791">W684/AC679</f>
        <v>8.9617355371900825E-3</v>
      </c>
    </row>
    <row r="685" spans="1:30" s="55" customFormat="1" ht="18.95" customHeight="1">
      <c r="A685" s="57"/>
      <c r="B685" s="58" t="s">
        <v>48</v>
      </c>
      <c r="C685" s="58" t="s">
        <v>210</v>
      </c>
      <c r="D685" s="58"/>
      <c r="E685" s="58" t="s">
        <v>20</v>
      </c>
      <c r="F685" s="58" t="s">
        <v>21</v>
      </c>
      <c r="G685" s="58" t="s">
        <v>211</v>
      </c>
      <c r="H685" s="58"/>
      <c r="I685" s="58" t="s">
        <v>219</v>
      </c>
      <c r="J685" s="58"/>
      <c r="K685" s="58" t="s">
        <v>220</v>
      </c>
      <c r="L685" s="59">
        <v>2019</v>
      </c>
      <c r="M685" s="58" t="s">
        <v>221</v>
      </c>
      <c r="N685" s="58" t="s">
        <v>24</v>
      </c>
      <c r="O685" s="58" t="s">
        <v>54</v>
      </c>
      <c r="P685" s="58" t="s">
        <v>25</v>
      </c>
      <c r="Q685" s="84">
        <v>3187</v>
      </c>
      <c r="R685" s="84">
        <v>2872</v>
      </c>
      <c r="S685" s="84">
        <v>2629</v>
      </c>
      <c r="T685" s="91"/>
      <c r="U685" s="86" t="s">
        <v>63</v>
      </c>
      <c r="V685" s="87" t="s">
        <v>56</v>
      </c>
      <c r="W685" s="84">
        <v>79100</v>
      </c>
      <c r="X685" s="60">
        <f t="shared" si="740"/>
        <v>24.819579541888924</v>
      </c>
      <c r="Y685" s="60">
        <f t="shared" si="741"/>
        <v>27.541782729805014</v>
      </c>
      <c r="Z685" s="60">
        <f t="shared" si="742"/>
        <v>30.0874857360213</v>
      </c>
      <c r="AA685" s="60">
        <v>0</v>
      </c>
      <c r="AB685" s="77" t="s">
        <v>73</v>
      </c>
      <c r="AD685" s="93">
        <f t="shared" ref="AD685" si="792">W685/AC679</f>
        <v>1.634297520661157E-3</v>
      </c>
    </row>
    <row r="686" spans="1:30" s="55" customFormat="1" ht="18.95" customHeight="1">
      <c r="A686" s="57"/>
      <c r="B686" s="58" t="s">
        <v>48</v>
      </c>
      <c r="C686" s="58" t="s">
        <v>210</v>
      </c>
      <c r="D686" s="58"/>
      <c r="E686" s="58" t="s">
        <v>20</v>
      </c>
      <c r="F686" s="58" t="s">
        <v>21</v>
      </c>
      <c r="G686" s="58" t="s">
        <v>211</v>
      </c>
      <c r="H686" s="58"/>
      <c r="I686" s="58" t="s">
        <v>219</v>
      </c>
      <c r="J686" s="58"/>
      <c r="K686" s="58" t="s">
        <v>220</v>
      </c>
      <c r="L686" s="59">
        <v>2019</v>
      </c>
      <c r="M686" s="58" t="s">
        <v>221</v>
      </c>
      <c r="N686" s="58" t="s">
        <v>24</v>
      </c>
      <c r="O686" s="58" t="s">
        <v>54</v>
      </c>
      <c r="P686" s="58" t="s">
        <v>25</v>
      </c>
      <c r="Q686" s="84">
        <v>3187</v>
      </c>
      <c r="R686" s="84">
        <v>2872</v>
      </c>
      <c r="S686" s="84">
        <v>2629</v>
      </c>
      <c r="T686" s="91"/>
      <c r="U686" s="86" t="s">
        <v>64</v>
      </c>
      <c r="V686" s="87" t="s">
        <v>56</v>
      </c>
      <c r="W686" s="84">
        <v>0</v>
      </c>
      <c r="X686" s="60">
        <f t="shared" si="740"/>
        <v>0</v>
      </c>
      <c r="Y686" s="60">
        <f t="shared" si="741"/>
        <v>0</v>
      </c>
      <c r="Z686" s="60">
        <f t="shared" si="742"/>
        <v>0</v>
      </c>
      <c r="AA686" s="60">
        <v>0</v>
      </c>
      <c r="AB686" s="77" t="s">
        <v>73</v>
      </c>
      <c r="AD686" s="93">
        <f t="shared" ref="AD686" si="793">W686/AC679</f>
        <v>0</v>
      </c>
    </row>
    <row r="687" spans="1:30" s="55" customFormat="1" ht="18.95" customHeight="1">
      <c r="A687" s="57"/>
      <c r="B687" s="58" t="s">
        <v>48</v>
      </c>
      <c r="C687" s="58" t="s">
        <v>210</v>
      </c>
      <c r="D687" s="58"/>
      <c r="E687" s="58" t="s">
        <v>20</v>
      </c>
      <c r="F687" s="58" t="s">
        <v>21</v>
      </c>
      <c r="G687" s="58" t="s">
        <v>211</v>
      </c>
      <c r="H687" s="58"/>
      <c r="I687" s="58" t="s">
        <v>219</v>
      </c>
      <c r="J687" s="58"/>
      <c r="K687" s="58" t="s">
        <v>220</v>
      </c>
      <c r="L687" s="59">
        <v>2019</v>
      </c>
      <c r="M687" s="58" t="s">
        <v>221</v>
      </c>
      <c r="N687" s="58" t="s">
        <v>24</v>
      </c>
      <c r="O687" s="58" t="s">
        <v>54</v>
      </c>
      <c r="P687" s="58" t="s">
        <v>25</v>
      </c>
      <c r="Q687" s="84">
        <v>3187</v>
      </c>
      <c r="R687" s="84">
        <v>2872</v>
      </c>
      <c r="S687" s="84">
        <v>2629</v>
      </c>
      <c r="T687" s="91"/>
      <c r="U687" s="86" t="s">
        <v>65</v>
      </c>
      <c r="V687" s="87" t="s">
        <v>56</v>
      </c>
      <c r="W687" s="84">
        <v>4963397</v>
      </c>
      <c r="X687" s="60">
        <f t="shared" si="740"/>
        <v>1557.388453090681</v>
      </c>
      <c r="Y687" s="60">
        <f t="shared" si="741"/>
        <v>1728.2022980501392</v>
      </c>
      <c r="Z687" s="60">
        <f t="shared" si="742"/>
        <v>1887.9410422213768</v>
      </c>
      <c r="AA687" s="60">
        <v>0</v>
      </c>
      <c r="AB687" s="77" t="s">
        <v>73</v>
      </c>
      <c r="AD687" s="93">
        <f t="shared" ref="AD687" si="794">W687/AC679</f>
        <v>0.10254952479338843</v>
      </c>
    </row>
    <row r="688" spans="1:30" s="55" customFormat="1" ht="18.95" customHeight="1">
      <c r="A688" s="57"/>
      <c r="B688" s="58" t="s">
        <v>48</v>
      </c>
      <c r="C688" s="58" t="s">
        <v>210</v>
      </c>
      <c r="D688" s="58"/>
      <c r="E688" s="58" t="s">
        <v>20</v>
      </c>
      <c r="F688" s="58" t="s">
        <v>21</v>
      </c>
      <c r="G688" s="58" t="s">
        <v>211</v>
      </c>
      <c r="H688" s="58"/>
      <c r="I688" s="58" t="s">
        <v>219</v>
      </c>
      <c r="J688" s="58"/>
      <c r="K688" s="58" t="s">
        <v>220</v>
      </c>
      <c r="L688" s="59">
        <v>2019</v>
      </c>
      <c r="M688" s="58" t="s">
        <v>221</v>
      </c>
      <c r="N688" s="58" t="s">
        <v>24</v>
      </c>
      <c r="O688" s="58" t="s">
        <v>54</v>
      </c>
      <c r="P688" s="58" t="s">
        <v>25</v>
      </c>
      <c r="Q688" s="84">
        <v>3187</v>
      </c>
      <c r="R688" s="84">
        <v>2872</v>
      </c>
      <c r="S688" s="84">
        <v>2629</v>
      </c>
      <c r="T688" s="91"/>
      <c r="U688" s="86" t="s">
        <v>66</v>
      </c>
      <c r="V688" s="87" t="s">
        <v>56</v>
      </c>
      <c r="W688" s="84">
        <v>14893113</v>
      </c>
      <c r="X688" s="60">
        <f t="shared" si="740"/>
        <v>4673.0822089739568</v>
      </c>
      <c r="Y688" s="60">
        <f t="shared" si="741"/>
        <v>5185.6243036211699</v>
      </c>
      <c r="Z688" s="60">
        <f t="shared" si="742"/>
        <v>5664.9345758843665</v>
      </c>
      <c r="AA688" s="60">
        <v>0</v>
      </c>
      <c r="AB688" s="77" t="s">
        <v>73</v>
      </c>
      <c r="AD688" s="93">
        <f t="shared" ref="AD688" si="795">W688/AC679</f>
        <v>0.30770894628099171</v>
      </c>
    </row>
    <row r="689" spans="1:30" s="55" customFormat="1" ht="18.95" customHeight="1">
      <c r="A689" s="57"/>
      <c r="B689" s="58" t="s">
        <v>48</v>
      </c>
      <c r="C689" s="58" t="s">
        <v>210</v>
      </c>
      <c r="D689" s="58"/>
      <c r="E689" s="58" t="s">
        <v>20</v>
      </c>
      <c r="F689" s="58" t="s">
        <v>21</v>
      </c>
      <c r="G689" s="58" t="s">
        <v>211</v>
      </c>
      <c r="H689" s="58"/>
      <c r="I689" s="58" t="s">
        <v>219</v>
      </c>
      <c r="J689" s="58"/>
      <c r="K689" s="58" t="s">
        <v>220</v>
      </c>
      <c r="L689" s="59">
        <v>2019</v>
      </c>
      <c r="M689" s="58" t="s">
        <v>221</v>
      </c>
      <c r="N689" s="58" t="s">
        <v>24</v>
      </c>
      <c r="O689" s="58" t="s">
        <v>54</v>
      </c>
      <c r="P689" s="58" t="s">
        <v>25</v>
      </c>
      <c r="Q689" s="84">
        <v>3187</v>
      </c>
      <c r="R689" s="84">
        <v>2872</v>
      </c>
      <c r="S689" s="84">
        <v>2629</v>
      </c>
      <c r="T689" s="91"/>
      <c r="U689" s="86" t="s">
        <v>67</v>
      </c>
      <c r="V689" s="87" t="s">
        <v>56</v>
      </c>
      <c r="W689" s="84">
        <v>1221000</v>
      </c>
      <c r="X689" s="60">
        <f t="shared" si="740"/>
        <v>383.11892061499844</v>
      </c>
      <c r="Y689" s="60">
        <f t="shared" si="741"/>
        <v>425.13927576601674</v>
      </c>
      <c r="Z689" s="60">
        <f t="shared" si="742"/>
        <v>464.43514644351467</v>
      </c>
      <c r="AA689" s="60">
        <v>0</v>
      </c>
      <c r="AB689" s="77" t="s">
        <v>73</v>
      </c>
      <c r="AD689" s="93">
        <f t="shared" ref="AD689" si="796">W689/AC679</f>
        <v>2.5227272727272727E-2</v>
      </c>
    </row>
    <row r="690" spans="1:30" s="55" customFormat="1" ht="18.95" customHeight="1">
      <c r="A690" s="57"/>
      <c r="B690" s="58" t="s">
        <v>48</v>
      </c>
      <c r="C690" s="58" t="s">
        <v>210</v>
      </c>
      <c r="D690" s="58"/>
      <c r="E690" s="58" t="s">
        <v>20</v>
      </c>
      <c r="F690" s="58" t="s">
        <v>21</v>
      </c>
      <c r="G690" s="58" t="s">
        <v>211</v>
      </c>
      <c r="H690" s="58"/>
      <c r="I690" s="58" t="s">
        <v>219</v>
      </c>
      <c r="J690" s="58"/>
      <c r="K690" s="58" t="s">
        <v>220</v>
      </c>
      <c r="L690" s="59">
        <v>2019</v>
      </c>
      <c r="M690" s="58" t="s">
        <v>221</v>
      </c>
      <c r="N690" s="58" t="s">
        <v>24</v>
      </c>
      <c r="O690" s="58" t="s">
        <v>54</v>
      </c>
      <c r="P690" s="58" t="s">
        <v>25</v>
      </c>
      <c r="Q690" s="84">
        <v>3187</v>
      </c>
      <c r="R690" s="84">
        <v>2872</v>
      </c>
      <c r="S690" s="84">
        <v>2629</v>
      </c>
      <c r="T690" s="91"/>
      <c r="U690" s="86" t="s">
        <v>68</v>
      </c>
      <c r="V690" s="87" t="s">
        <v>56</v>
      </c>
      <c r="W690" s="84">
        <v>3489743</v>
      </c>
      <c r="X690" s="60">
        <f t="shared" si="740"/>
        <v>1094.9930969563852</v>
      </c>
      <c r="Y690" s="60">
        <f t="shared" si="741"/>
        <v>1215.0915738161559</v>
      </c>
      <c r="Z690" s="60">
        <f t="shared" si="742"/>
        <v>1327.4031951312286</v>
      </c>
      <c r="AA690" s="60">
        <v>0</v>
      </c>
      <c r="AB690" s="77" t="s">
        <v>73</v>
      </c>
      <c r="AD690" s="93">
        <f t="shared" ref="AD690" si="797">W690/AC679</f>
        <v>7.210212809917356E-2</v>
      </c>
    </row>
    <row r="691" spans="1:30" s="55" customFormat="1" ht="18.95" customHeight="1">
      <c r="A691" s="57"/>
      <c r="B691" s="58" t="s">
        <v>48</v>
      </c>
      <c r="C691" s="58" t="s">
        <v>210</v>
      </c>
      <c r="D691" s="58"/>
      <c r="E691" s="58" t="s">
        <v>20</v>
      </c>
      <c r="F691" s="58" t="s">
        <v>21</v>
      </c>
      <c r="G691" s="58" t="s">
        <v>211</v>
      </c>
      <c r="H691" s="58"/>
      <c r="I691" s="58" t="s">
        <v>219</v>
      </c>
      <c r="J691" s="58"/>
      <c r="K691" s="58" t="s">
        <v>220</v>
      </c>
      <c r="L691" s="59">
        <v>2019</v>
      </c>
      <c r="M691" s="58" t="s">
        <v>221</v>
      </c>
      <c r="N691" s="58" t="s">
        <v>24</v>
      </c>
      <c r="O691" s="58" t="s">
        <v>54</v>
      </c>
      <c r="P691" s="58" t="s">
        <v>25</v>
      </c>
      <c r="Q691" s="84">
        <v>3187</v>
      </c>
      <c r="R691" s="84">
        <v>2872</v>
      </c>
      <c r="S691" s="84">
        <v>2629</v>
      </c>
      <c r="T691" s="91"/>
      <c r="U691" s="86" t="s">
        <v>69</v>
      </c>
      <c r="V691" s="87" t="s">
        <v>56</v>
      </c>
      <c r="W691" s="84">
        <v>5326693</v>
      </c>
      <c r="X691" s="60">
        <f t="shared" si="740"/>
        <v>1671.3815500470662</v>
      </c>
      <c r="Y691" s="60">
        <f t="shared" si="741"/>
        <v>1854.6981197771588</v>
      </c>
      <c r="Z691" s="60">
        <f t="shared" si="742"/>
        <v>2026.12894636744</v>
      </c>
      <c r="AA691" s="60">
        <v>0</v>
      </c>
      <c r="AB691" s="77" t="s">
        <v>73</v>
      </c>
      <c r="AD691" s="93">
        <f t="shared" ref="AD691" si="798">W691/AC679</f>
        <v>0.11005564049586777</v>
      </c>
    </row>
    <row r="692" spans="1:30" s="32" customFormat="1" ht="18.95" customHeight="1">
      <c r="A692" s="65"/>
      <c r="B692" s="66" t="s">
        <v>48</v>
      </c>
      <c r="C692" s="66" t="s">
        <v>210</v>
      </c>
      <c r="D692" s="66"/>
      <c r="E692" s="66" t="s">
        <v>20</v>
      </c>
      <c r="F692" s="66" t="s">
        <v>21</v>
      </c>
      <c r="G692" s="66" t="s">
        <v>211</v>
      </c>
      <c r="H692" s="66"/>
      <c r="I692" s="66" t="s">
        <v>222</v>
      </c>
      <c r="J692" s="66"/>
      <c r="K692" s="66" t="s">
        <v>223</v>
      </c>
      <c r="L692" s="67">
        <v>2020</v>
      </c>
      <c r="M692" s="66" t="s">
        <v>166</v>
      </c>
      <c r="N692" s="66" t="s">
        <v>24</v>
      </c>
      <c r="O692" s="66" t="s">
        <v>54</v>
      </c>
      <c r="P692" s="66" t="s">
        <v>25</v>
      </c>
      <c r="Q692" s="80">
        <v>20256</v>
      </c>
      <c r="R692" s="80">
        <v>15696</v>
      </c>
      <c r="S692" s="80">
        <v>8293</v>
      </c>
      <c r="T692" s="90"/>
      <c r="U692" s="82" t="s">
        <v>55</v>
      </c>
      <c r="V692" s="83" t="s">
        <v>56</v>
      </c>
      <c r="W692" s="80">
        <v>14640323.000000002</v>
      </c>
      <c r="X692" s="68">
        <f t="shared" si="711"/>
        <v>722.76476105845188</v>
      </c>
      <c r="Y692" s="68">
        <f t="shared" si="712"/>
        <v>932.74229102956178</v>
      </c>
      <c r="Z692" s="68">
        <f t="shared" si="713"/>
        <v>1765.383214759436</v>
      </c>
      <c r="AA692" s="68">
        <v>0</v>
      </c>
      <c r="AB692" s="78" t="s">
        <v>73</v>
      </c>
      <c r="AC692" s="92">
        <f t="shared" ref="AC692" si="799">SUM(W692:W704)</f>
        <v>361575823.84000003</v>
      </c>
      <c r="AD692" s="93">
        <f t="shared" ref="AD692" si="800">W692/AC692</f>
        <v>4.0490326052547286E-2</v>
      </c>
    </row>
    <row r="693" spans="1:30" s="32" customFormat="1" ht="18.95" customHeight="1">
      <c r="A693" s="65"/>
      <c r="B693" s="66" t="s">
        <v>48</v>
      </c>
      <c r="C693" s="66" t="s">
        <v>210</v>
      </c>
      <c r="D693" s="66"/>
      <c r="E693" s="66" t="s">
        <v>20</v>
      </c>
      <c r="F693" s="66" t="s">
        <v>21</v>
      </c>
      <c r="G693" s="66" t="s">
        <v>211</v>
      </c>
      <c r="H693" s="66"/>
      <c r="I693" s="66" t="s">
        <v>222</v>
      </c>
      <c r="J693" s="66"/>
      <c r="K693" s="66" t="s">
        <v>223</v>
      </c>
      <c r="L693" s="67">
        <v>2020</v>
      </c>
      <c r="M693" s="66" t="s">
        <v>166</v>
      </c>
      <c r="N693" s="66" t="s">
        <v>24</v>
      </c>
      <c r="O693" s="66" t="s">
        <v>54</v>
      </c>
      <c r="P693" s="66" t="s">
        <v>25</v>
      </c>
      <c r="Q693" s="80">
        <v>20256</v>
      </c>
      <c r="R693" s="80">
        <v>15696</v>
      </c>
      <c r="S693" s="80">
        <v>8293</v>
      </c>
      <c r="T693" s="90"/>
      <c r="U693" s="82" t="s">
        <v>58</v>
      </c>
      <c r="V693" s="83" t="s">
        <v>56</v>
      </c>
      <c r="W693" s="80">
        <v>140579086.70000002</v>
      </c>
      <c r="X693" s="68">
        <f t="shared" si="711"/>
        <v>6940.1207889020543</v>
      </c>
      <c r="Y693" s="68">
        <f t="shared" si="712"/>
        <v>8956.3638315494409</v>
      </c>
      <c r="Z693" s="68">
        <f t="shared" si="713"/>
        <v>16951.535837453277</v>
      </c>
      <c r="AA693" s="68">
        <v>0</v>
      </c>
      <c r="AB693" s="78" t="s">
        <v>73</v>
      </c>
      <c r="AC693" s="55"/>
      <c r="AD693" s="93">
        <f t="shared" ref="AD693" si="801">W693/AC692</f>
        <v>0.38879559260081309</v>
      </c>
    </row>
    <row r="694" spans="1:30" s="32" customFormat="1" ht="18.95" customHeight="1">
      <c r="A694" s="65"/>
      <c r="B694" s="66" t="s">
        <v>48</v>
      </c>
      <c r="C694" s="66" t="s">
        <v>210</v>
      </c>
      <c r="D694" s="66"/>
      <c r="E694" s="66" t="s">
        <v>20</v>
      </c>
      <c r="F694" s="66" t="s">
        <v>21</v>
      </c>
      <c r="G694" s="66" t="s">
        <v>211</v>
      </c>
      <c r="H694" s="66"/>
      <c r="I694" s="66" t="s">
        <v>222</v>
      </c>
      <c r="J694" s="66"/>
      <c r="K694" s="66" t="s">
        <v>223</v>
      </c>
      <c r="L694" s="67">
        <v>2020</v>
      </c>
      <c r="M694" s="66" t="s">
        <v>166</v>
      </c>
      <c r="N694" s="66" t="s">
        <v>24</v>
      </c>
      <c r="O694" s="66" t="s">
        <v>54</v>
      </c>
      <c r="P694" s="66" t="s">
        <v>25</v>
      </c>
      <c r="Q694" s="80">
        <v>20256</v>
      </c>
      <c r="R694" s="80">
        <v>15696</v>
      </c>
      <c r="S694" s="80">
        <v>8293</v>
      </c>
      <c r="T694" s="90"/>
      <c r="U694" s="82" t="s">
        <v>59</v>
      </c>
      <c r="V694" s="83" t="s">
        <v>56</v>
      </c>
      <c r="W694" s="80">
        <v>11046520.800000003</v>
      </c>
      <c r="X694" s="68">
        <f t="shared" si="711"/>
        <v>545.3456161137442</v>
      </c>
      <c r="Y694" s="68">
        <f t="shared" si="712"/>
        <v>703.77935779816528</v>
      </c>
      <c r="Z694" s="68">
        <f t="shared" si="713"/>
        <v>1332.0295188713376</v>
      </c>
      <c r="AA694" s="68">
        <v>0</v>
      </c>
      <c r="AB694" s="78" t="s">
        <v>73</v>
      </c>
      <c r="AC694" s="55"/>
      <c r="AD694" s="93">
        <f t="shared" ref="AD694" si="802">W694/AC692</f>
        <v>3.0551049245173455E-2</v>
      </c>
    </row>
    <row r="695" spans="1:30" s="32" customFormat="1" ht="18.95" customHeight="1">
      <c r="A695" s="65"/>
      <c r="B695" s="66" t="s">
        <v>48</v>
      </c>
      <c r="C695" s="66" t="s">
        <v>210</v>
      </c>
      <c r="D695" s="66"/>
      <c r="E695" s="66" t="s">
        <v>20</v>
      </c>
      <c r="F695" s="66" t="s">
        <v>21</v>
      </c>
      <c r="G695" s="66" t="s">
        <v>211</v>
      </c>
      <c r="H695" s="66"/>
      <c r="I695" s="66" t="s">
        <v>222</v>
      </c>
      <c r="J695" s="66"/>
      <c r="K695" s="66" t="s">
        <v>223</v>
      </c>
      <c r="L695" s="67">
        <v>2020</v>
      </c>
      <c r="M695" s="66" t="s">
        <v>166</v>
      </c>
      <c r="N695" s="66" t="s">
        <v>24</v>
      </c>
      <c r="O695" s="66" t="s">
        <v>54</v>
      </c>
      <c r="P695" s="66" t="s">
        <v>25</v>
      </c>
      <c r="Q695" s="80">
        <v>20256</v>
      </c>
      <c r="R695" s="80">
        <v>15696</v>
      </c>
      <c r="S695" s="80">
        <v>8293</v>
      </c>
      <c r="T695" s="90"/>
      <c r="U695" s="82" t="s">
        <v>60</v>
      </c>
      <c r="V695" s="83" t="s">
        <v>56</v>
      </c>
      <c r="W695" s="80">
        <v>3479352.06</v>
      </c>
      <c r="X695" s="68">
        <f t="shared" si="711"/>
        <v>171.76896030805688</v>
      </c>
      <c r="Y695" s="68">
        <f t="shared" si="712"/>
        <v>221.67125764525994</v>
      </c>
      <c r="Z695" s="68">
        <f t="shared" si="713"/>
        <v>419.55288315446762</v>
      </c>
      <c r="AA695" s="68">
        <v>0</v>
      </c>
      <c r="AB695" s="78" t="s">
        <v>73</v>
      </c>
      <c r="AC695" s="55"/>
      <c r="AD695" s="93">
        <f t="shared" ref="AD695" si="803">W695/AC692</f>
        <v>9.6227453015211521E-3</v>
      </c>
    </row>
    <row r="696" spans="1:30" s="32" customFormat="1" ht="18.95" customHeight="1">
      <c r="A696" s="65"/>
      <c r="B696" s="66" t="s">
        <v>48</v>
      </c>
      <c r="C696" s="66" t="s">
        <v>210</v>
      </c>
      <c r="D696" s="66"/>
      <c r="E696" s="66" t="s">
        <v>20</v>
      </c>
      <c r="F696" s="66" t="s">
        <v>21</v>
      </c>
      <c r="G696" s="66" t="s">
        <v>211</v>
      </c>
      <c r="H696" s="66"/>
      <c r="I696" s="66" t="s">
        <v>222</v>
      </c>
      <c r="J696" s="66"/>
      <c r="K696" s="66" t="s">
        <v>223</v>
      </c>
      <c r="L696" s="67">
        <v>2020</v>
      </c>
      <c r="M696" s="66" t="s">
        <v>166</v>
      </c>
      <c r="N696" s="66" t="s">
        <v>24</v>
      </c>
      <c r="O696" s="66" t="s">
        <v>54</v>
      </c>
      <c r="P696" s="66" t="s">
        <v>25</v>
      </c>
      <c r="Q696" s="80">
        <v>20256</v>
      </c>
      <c r="R696" s="80">
        <v>15696</v>
      </c>
      <c r="S696" s="80">
        <v>8293</v>
      </c>
      <c r="T696" s="90"/>
      <c r="U696" s="82" t="s">
        <v>61</v>
      </c>
      <c r="V696" s="83" t="s">
        <v>56</v>
      </c>
      <c r="W696" s="80">
        <v>29970113.369999997</v>
      </c>
      <c r="X696" s="68">
        <f t="shared" si="711"/>
        <v>1479.567208234597</v>
      </c>
      <c r="Y696" s="68">
        <f t="shared" si="712"/>
        <v>1909.4108925840976</v>
      </c>
      <c r="Z696" s="68">
        <f t="shared" si="713"/>
        <v>3613.9049041360181</v>
      </c>
      <c r="AA696" s="68">
        <v>0</v>
      </c>
      <c r="AB696" s="78" t="s">
        <v>73</v>
      </c>
      <c r="AC696" s="55"/>
      <c r="AD696" s="93">
        <f t="shared" ref="AD696" si="804">W696/AC692</f>
        <v>8.2887492453759828E-2</v>
      </c>
    </row>
    <row r="697" spans="1:30" s="32" customFormat="1" ht="18.95" customHeight="1">
      <c r="A697" s="65"/>
      <c r="B697" s="66" t="s">
        <v>48</v>
      </c>
      <c r="C697" s="66" t="s">
        <v>210</v>
      </c>
      <c r="D697" s="66"/>
      <c r="E697" s="66" t="s">
        <v>20</v>
      </c>
      <c r="F697" s="66" t="s">
        <v>21</v>
      </c>
      <c r="G697" s="66" t="s">
        <v>211</v>
      </c>
      <c r="H697" s="66"/>
      <c r="I697" s="66" t="s">
        <v>222</v>
      </c>
      <c r="J697" s="66"/>
      <c r="K697" s="66" t="s">
        <v>223</v>
      </c>
      <c r="L697" s="67">
        <v>2020</v>
      </c>
      <c r="M697" s="66" t="s">
        <v>166</v>
      </c>
      <c r="N697" s="66" t="s">
        <v>24</v>
      </c>
      <c r="O697" s="66" t="s">
        <v>54</v>
      </c>
      <c r="P697" s="66" t="s">
        <v>25</v>
      </c>
      <c r="Q697" s="80">
        <v>20256</v>
      </c>
      <c r="R697" s="80">
        <v>15696</v>
      </c>
      <c r="S697" s="80">
        <v>8293</v>
      </c>
      <c r="T697" s="90"/>
      <c r="U697" s="82" t="s">
        <v>62</v>
      </c>
      <c r="V697" s="83" t="s">
        <v>56</v>
      </c>
      <c r="W697" s="80">
        <v>6501364.4199999999</v>
      </c>
      <c r="X697" s="68">
        <f t="shared" si="711"/>
        <v>320.95993384676143</v>
      </c>
      <c r="Y697" s="68">
        <f t="shared" si="712"/>
        <v>414.20517456676862</v>
      </c>
      <c r="Z697" s="68">
        <f t="shared" si="713"/>
        <v>783.9580875437116</v>
      </c>
      <c r="AA697" s="68">
        <v>0</v>
      </c>
      <c r="AB697" s="78" t="s">
        <v>73</v>
      </c>
      <c r="AC697" s="55"/>
      <c r="AD697" s="93">
        <f t="shared" ref="AD697" si="805">W697/AC692</f>
        <v>1.7980639167061406E-2</v>
      </c>
    </row>
    <row r="698" spans="1:30" s="32" customFormat="1" ht="18.95" customHeight="1">
      <c r="A698" s="65"/>
      <c r="B698" s="66" t="s">
        <v>48</v>
      </c>
      <c r="C698" s="66" t="s">
        <v>210</v>
      </c>
      <c r="D698" s="66"/>
      <c r="E698" s="66" t="s">
        <v>20</v>
      </c>
      <c r="F698" s="66" t="s">
        <v>21</v>
      </c>
      <c r="G698" s="66" t="s">
        <v>211</v>
      </c>
      <c r="H698" s="66"/>
      <c r="I698" s="66" t="s">
        <v>222</v>
      </c>
      <c r="J698" s="66"/>
      <c r="K698" s="66" t="s">
        <v>223</v>
      </c>
      <c r="L698" s="67">
        <v>2020</v>
      </c>
      <c r="M698" s="66" t="s">
        <v>166</v>
      </c>
      <c r="N698" s="66" t="s">
        <v>24</v>
      </c>
      <c r="O698" s="66" t="s">
        <v>54</v>
      </c>
      <c r="P698" s="66" t="s">
        <v>25</v>
      </c>
      <c r="Q698" s="80">
        <v>20256</v>
      </c>
      <c r="R698" s="80">
        <v>15696</v>
      </c>
      <c r="S698" s="80">
        <v>8293</v>
      </c>
      <c r="T698" s="90"/>
      <c r="U698" s="82" t="s">
        <v>63</v>
      </c>
      <c r="V698" s="83" t="s">
        <v>56</v>
      </c>
      <c r="W698" s="80">
        <v>430097.56</v>
      </c>
      <c r="X698" s="68">
        <f t="shared" si="711"/>
        <v>21.233094391785151</v>
      </c>
      <c r="Y698" s="68">
        <f t="shared" si="712"/>
        <v>27.401730377166157</v>
      </c>
      <c r="Z698" s="68">
        <f t="shared" si="713"/>
        <v>51.862722778246713</v>
      </c>
      <c r="AA698" s="68">
        <v>0</v>
      </c>
      <c r="AB698" s="78" t="s">
        <v>73</v>
      </c>
      <c r="AC698" s="55"/>
      <c r="AD698" s="93">
        <f t="shared" ref="AD698" si="806">W698/AC692</f>
        <v>1.189508622098366E-3</v>
      </c>
    </row>
    <row r="699" spans="1:30" s="32" customFormat="1" ht="18.95" customHeight="1">
      <c r="A699" s="65"/>
      <c r="B699" s="66" t="s">
        <v>48</v>
      </c>
      <c r="C699" s="66" t="s">
        <v>210</v>
      </c>
      <c r="D699" s="66"/>
      <c r="E699" s="66" t="s">
        <v>20</v>
      </c>
      <c r="F699" s="66" t="s">
        <v>21</v>
      </c>
      <c r="G699" s="66" t="s">
        <v>211</v>
      </c>
      <c r="H699" s="66"/>
      <c r="I699" s="66" t="s">
        <v>222</v>
      </c>
      <c r="J699" s="66"/>
      <c r="K699" s="66" t="s">
        <v>223</v>
      </c>
      <c r="L699" s="67">
        <v>2020</v>
      </c>
      <c r="M699" s="66" t="s">
        <v>166</v>
      </c>
      <c r="N699" s="66" t="s">
        <v>24</v>
      </c>
      <c r="O699" s="66" t="s">
        <v>54</v>
      </c>
      <c r="P699" s="66" t="s">
        <v>25</v>
      </c>
      <c r="Q699" s="80">
        <v>20256</v>
      </c>
      <c r="R699" s="80">
        <v>15696</v>
      </c>
      <c r="S699" s="80">
        <v>8293</v>
      </c>
      <c r="T699" s="90"/>
      <c r="U699" s="82" t="s">
        <v>64</v>
      </c>
      <c r="V699" s="83" t="s">
        <v>56</v>
      </c>
      <c r="W699" s="80">
        <v>0</v>
      </c>
      <c r="X699" s="68">
        <f t="shared" si="711"/>
        <v>0</v>
      </c>
      <c r="Y699" s="68">
        <f t="shared" si="712"/>
        <v>0</v>
      </c>
      <c r="Z699" s="68">
        <f t="shared" si="713"/>
        <v>0</v>
      </c>
      <c r="AA699" s="68">
        <v>0</v>
      </c>
      <c r="AB699" s="78" t="s">
        <v>73</v>
      </c>
      <c r="AC699" s="55"/>
      <c r="AD699" s="93">
        <f t="shared" ref="AD699" si="807">W699/AC692</f>
        <v>0</v>
      </c>
    </row>
    <row r="700" spans="1:30" s="32" customFormat="1" ht="18.95" customHeight="1">
      <c r="A700" s="65"/>
      <c r="B700" s="66" t="s">
        <v>48</v>
      </c>
      <c r="C700" s="66" t="s">
        <v>210</v>
      </c>
      <c r="D700" s="66"/>
      <c r="E700" s="66" t="s">
        <v>20</v>
      </c>
      <c r="F700" s="66" t="s">
        <v>21</v>
      </c>
      <c r="G700" s="66" t="s">
        <v>211</v>
      </c>
      <c r="H700" s="66"/>
      <c r="I700" s="66" t="s">
        <v>222</v>
      </c>
      <c r="J700" s="66"/>
      <c r="K700" s="66" t="s">
        <v>223</v>
      </c>
      <c r="L700" s="67">
        <v>2020</v>
      </c>
      <c r="M700" s="66" t="s">
        <v>166</v>
      </c>
      <c r="N700" s="66" t="s">
        <v>24</v>
      </c>
      <c r="O700" s="66" t="s">
        <v>54</v>
      </c>
      <c r="P700" s="66" t="s">
        <v>25</v>
      </c>
      <c r="Q700" s="80">
        <v>20256</v>
      </c>
      <c r="R700" s="80">
        <v>15696</v>
      </c>
      <c r="S700" s="80">
        <v>8293</v>
      </c>
      <c r="T700" s="90"/>
      <c r="U700" s="82" t="s">
        <v>65</v>
      </c>
      <c r="V700" s="83" t="s">
        <v>56</v>
      </c>
      <c r="W700" s="80">
        <v>36370165.310000002</v>
      </c>
      <c r="X700" s="68">
        <f t="shared" si="711"/>
        <v>1795.5255386058452</v>
      </c>
      <c r="Y700" s="68">
        <f t="shared" si="712"/>
        <v>2317.1613984454639</v>
      </c>
      <c r="Z700" s="68">
        <f t="shared" si="713"/>
        <v>4385.6463656095502</v>
      </c>
      <c r="AA700" s="68">
        <v>0</v>
      </c>
      <c r="AB700" s="78" t="s">
        <v>73</v>
      </c>
      <c r="AC700" s="55"/>
      <c r="AD700" s="93">
        <f t="shared" ref="AD700" si="808">W700/AC692</f>
        <v>0.10058793456858461</v>
      </c>
    </row>
    <row r="701" spans="1:30" s="32" customFormat="1" ht="18.95" customHeight="1">
      <c r="A701" s="65"/>
      <c r="B701" s="66" t="s">
        <v>48</v>
      </c>
      <c r="C701" s="66" t="s">
        <v>210</v>
      </c>
      <c r="D701" s="66"/>
      <c r="E701" s="66" t="s">
        <v>20</v>
      </c>
      <c r="F701" s="66" t="s">
        <v>21</v>
      </c>
      <c r="G701" s="66" t="s">
        <v>211</v>
      </c>
      <c r="H701" s="66"/>
      <c r="I701" s="66" t="s">
        <v>222</v>
      </c>
      <c r="J701" s="66"/>
      <c r="K701" s="66" t="s">
        <v>223</v>
      </c>
      <c r="L701" s="67">
        <v>2020</v>
      </c>
      <c r="M701" s="66" t="s">
        <v>166</v>
      </c>
      <c r="N701" s="66" t="s">
        <v>24</v>
      </c>
      <c r="O701" s="66" t="s">
        <v>54</v>
      </c>
      <c r="P701" s="66" t="s">
        <v>25</v>
      </c>
      <c r="Q701" s="80">
        <v>20256</v>
      </c>
      <c r="R701" s="80">
        <v>15696</v>
      </c>
      <c r="S701" s="80">
        <v>8293</v>
      </c>
      <c r="T701" s="90"/>
      <c r="U701" s="82" t="s">
        <v>66</v>
      </c>
      <c r="V701" s="83" t="s">
        <v>56</v>
      </c>
      <c r="W701" s="80">
        <v>41297149.320000008</v>
      </c>
      <c r="X701" s="68">
        <f t="shared" si="711"/>
        <v>2038.7613210900479</v>
      </c>
      <c r="Y701" s="68">
        <f t="shared" si="712"/>
        <v>2631.0620107033642</v>
      </c>
      <c r="Z701" s="68">
        <f t="shared" si="713"/>
        <v>4979.7599565898963</v>
      </c>
      <c r="AA701" s="68">
        <v>0</v>
      </c>
      <c r="AB701" s="78" t="s">
        <v>73</v>
      </c>
      <c r="AC701" s="55"/>
      <c r="AD701" s="93">
        <f t="shared" ref="AD701" si="809">W701/AC692</f>
        <v>0.11421435449255672</v>
      </c>
    </row>
    <row r="702" spans="1:30" s="32" customFormat="1" ht="18.95" customHeight="1">
      <c r="A702" s="65"/>
      <c r="B702" s="66" t="s">
        <v>48</v>
      </c>
      <c r="C702" s="66" t="s">
        <v>210</v>
      </c>
      <c r="D702" s="66"/>
      <c r="E702" s="66" t="s">
        <v>20</v>
      </c>
      <c r="F702" s="66" t="s">
        <v>21</v>
      </c>
      <c r="G702" s="66" t="s">
        <v>211</v>
      </c>
      <c r="H702" s="66"/>
      <c r="I702" s="66" t="s">
        <v>222</v>
      </c>
      <c r="J702" s="66"/>
      <c r="K702" s="66" t="s">
        <v>223</v>
      </c>
      <c r="L702" s="67">
        <v>2020</v>
      </c>
      <c r="M702" s="66" t="s">
        <v>166</v>
      </c>
      <c r="N702" s="66" t="s">
        <v>24</v>
      </c>
      <c r="O702" s="66" t="s">
        <v>54</v>
      </c>
      <c r="P702" s="66" t="s">
        <v>25</v>
      </c>
      <c r="Q702" s="80">
        <v>20256</v>
      </c>
      <c r="R702" s="80">
        <v>15696</v>
      </c>
      <c r="S702" s="80">
        <v>8293</v>
      </c>
      <c r="T702" s="90"/>
      <c r="U702" s="82" t="s">
        <v>67</v>
      </c>
      <c r="V702" s="83" t="s">
        <v>56</v>
      </c>
      <c r="W702" s="80">
        <v>4449900</v>
      </c>
      <c r="X702" s="68">
        <f t="shared" si="711"/>
        <v>219.68305687203792</v>
      </c>
      <c r="Y702" s="68">
        <f t="shared" si="712"/>
        <v>283.50535168195717</v>
      </c>
      <c r="Z702" s="68">
        <f t="shared" si="713"/>
        <v>536.58507174725673</v>
      </c>
      <c r="AA702" s="68">
        <v>0</v>
      </c>
      <c r="AB702" s="78" t="s">
        <v>73</v>
      </c>
      <c r="AC702" s="55"/>
      <c r="AD702" s="93">
        <f t="shared" ref="AD702" si="810">W702/AC692</f>
        <v>1.2306962209865872E-2</v>
      </c>
    </row>
    <row r="703" spans="1:30" s="32" customFormat="1" ht="18.95" customHeight="1">
      <c r="A703" s="65"/>
      <c r="B703" s="66" t="s">
        <v>48</v>
      </c>
      <c r="C703" s="66" t="s">
        <v>210</v>
      </c>
      <c r="D703" s="66"/>
      <c r="E703" s="66" t="s">
        <v>20</v>
      </c>
      <c r="F703" s="66" t="s">
        <v>21</v>
      </c>
      <c r="G703" s="66" t="s">
        <v>211</v>
      </c>
      <c r="H703" s="66"/>
      <c r="I703" s="66" t="s">
        <v>222</v>
      </c>
      <c r="J703" s="66"/>
      <c r="K703" s="66" t="s">
        <v>223</v>
      </c>
      <c r="L703" s="67">
        <v>2020</v>
      </c>
      <c r="M703" s="66" t="s">
        <v>166</v>
      </c>
      <c r="N703" s="66" t="s">
        <v>24</v>
      </c>
      <c r="O703" s="66" t="s">
        <v>54</v>
      </c>
      <c r="P703" s="66" t="s">
        <v>25</v>
      </c>
      <c r="Q703" s="80">
        <v>20256</v>
      </c>
      <c r="R703" s="80">
        <v>15696</v>
      </c>
      <c r="S703" s="80">
        <v>8293</v>
      </c>
      <c r="T703" s="90"/>
      <c r="U703" s="82" t="s">
        <v>68</v>
      </c>
      <c r="V703" s="83" t="s">
        <v>56</v>
      </c>
      <c r="W703" s="80">
        <v>10311751.300000001</v>
      </c>
      <c r="X703" s="68">
        <f t="shared" si="711"/>
        <v>509.07145043443921</v>
      </c>
      <c r="Y703" s="68">
        <f t="shared" si="712"/>
        <v>656.96682594291542</v>
      </c>
      <c r="Z703" s="68">
        <f t="shared" si="713"/>
        <v>1243.4283492101774</v>
      </c>
      <c r="AA703" s="68">
        <v>0</v>
      </c>
      <c r="AB703" s="78" t="s">
        <v>73</v>
      </c>
      <c r="AC703" s="55"/>
      <c r="AD703" s="93">
        <f t="shared" ref="AD703" si="811">W703/AC692</f>
        <v>2.8518918080549065E-2</v>
      </c>
    </row>
    <row r="704" spans="1:30" s="32" customFormat="1" ht="18.95" customHeight="1">
      <c r="A704" s="65"/>
      <c r="B704" s="66" t="s">
        <v>48</v>
      </c>
      <c r="C704" s="66" t="s">
        <v>210</v>
      </c>
      <c r="D704" s="66"/>
      <c r="E704" s="66" t="s">
        <v>20</v>
      </c>
      <c r="F704" s="66" t="s">
        <v>21</v>
      </c>
      <c r="G704" s="66" t="s">
        <v>211</v>
      </c>
      <c r="H704" s="66"/>
      <c r="I704" s="66" t="s">
        <v>222</v>
      </c>
      <c r="J704" s="66"/>
      <c r="K704" s="66" t="s">
        <v>223</v>
      </c>
      <c r="L704" s="67">
        <v>2020</v>
      </c>
      <c r="M704" s="66" t="s">
        <v>166</v>
      </c>
      <c r="N704" s="66" t="s">
        <v>24</v>
      </c>
      <c r="O704" s="66" t="s">
        <v>54</v>
      </c>
      <c r="P704" s="66" t="s">
        <v>25</v>
      </c>
      <c r="Q704" s="80">
        <v>20256</v>
      </c>
      <c r="R704" s="80">
        <v>15696</v>
      </c>
      <c r="S704" s="80">
        <v>8293</v>
      </c>
      <c r="T704" s="90"/>
      <c r="U704" s="82" t="s">
        <v>69</v>
      </c>
      <c r="V704" s="83" t="s">
        <v>56</v>
      </c>
      <c r="W704" s="80">
        <v>62500000</v>
      </c>
      <c r="X704" s="68">
        <f t="shared" si="711"/>
        <v>3085.5055292259085</v>
      </c>
      <c r="Y704" s="68">
        <f t="shared" si="712"/>
        <v>3981.9062181447503</v>
      </c>
      <c r="Z704" s="68">
        <f t="shared" si="713"/>
        <v>7536.476546484987</v>
      </c>
      <c r="AA704" s="68">
        <v>0</v>
      </c>
      <c r="AB704" s="78" t="s">
        <v>73</v>
      </c>
      <c r="AC704" s="55"/>
      <c r="AD704" s="93">
        <f t="shared" ref="AD704" si="812">W704/AC692</f>
        <v>0.17285447720546912</v>
      </c>
    </row>
    <row r="705" spans="1:30" s="55" customFormat="1" ht="15" customHeight="1">
      <c r="A705" s="57"/>
      <c r="B705" s="58" t="s">
        <v>224</v>
      </c>
      <c r="C705" s="58" t="s">
        <v>225</v>
      </c>
      <c r="D705" s="58"/>
      <c r="E705" s="58" t="s">
        <v>20</v>
      </c>
      <c r="F705" s="58" t="s">
        <v>21</v>
      </c>
      <c r="G705" s="58" t="s">
        <v>226</v>
      </c>
      <c r="H705" s="58" t="s">
        <v>227</v>
      </c>
      <c r="I705" s="58" t="s">
        <v>228</v>
      </c>
      <c r="J705" s="58" t="s">
        <v>229</v>
      </c>
      <c r="K705" s="58" t="s">
        <v>230</v>
      </c>
      <c r="L705" s="59">
        <v>2017</v>
      </c>
      <c r="M705" s="58" t="s">
        <v>166</v>
      </c>
      <c r="N705" s="58" t="s">
        <v>24</v>
      </c>
      <c r="O705" s="58" t="s">
        <v>54</v>
      </c>
      <c r="P705" s="58" t="s">
        <v>25</v>
      </c>
      <c r="Q705" s="60"/>
      <c r="R705" s="60">
        <v>53363</v>
      </c>
      <c r="S705" s="61"/>
      <c r="T705" s="61"/>
      <c r="U705" s="62" t="s">
        <v>55</v>
      </c>
      <c r="V705" s="63" t="s">
        <v>56</v>
      </c>
      <c r="W705" s="60">
        <v>64703074.247648135</v>
      </c>
      <c r="X705" s="60" t="str">
        <f>IF(Q705&gt;0,$W705/Q705,"")</f>
        <v/>
      </c>
      <c r="Y705" s="60">
        <f t="shared" ref="Y705:AA720" si="813">IF(R705&gt;0,$W705/R705,"")</f>
        <v>1212.5081844657934</v>
      </c>
      <c r="Z705" s="60" t="str">
        <f t="shared" si="813"/>
        <v/>
      </c>
      <c r="AA705" s="60" t="str">
        <f t="shared" si="813"/>
        <v/>
      </c>
      <c r="AB705" s="64" t="s">
        <v>73</v>
      </c>
      <c r="AC705" s="92">
        <f t="shared" ref="AC705" si="814">SUM(W705:W717)</f>
        <v>406510649.1515916</v>
      </c>
      <c r="AD705" s="93">
        <f t="shared" ref="AD705" si="815">W705/AC705</f>
        <v>0.15916698463542528</v>
      </c>
    </row>
    <row r="706" spans="1:30" s="55" customFormat="1" ht="15.95">
      <c r="A706" s="57"/>
      <c r="B706" s="58" t="s">
        <v>224</v>
      </c>
      <c r="C706" s="58" t="s">
        <v>225</v>
      </c>
      <c r="D706" s="58"/>
      <c r="E706" s="58" t="s">
        <v>20</v>
      </c>
      <c r="F706" s="58" t="s">
        <v>21</v>
      </c>
      <c r="G706" s="58" t="s">
        <v>226</v>
      </c>
      <c r="H706" s="58" t="s">
        <v>227</v>
      </c>
      <c r="I706" s="58" t="s">
        <v>228</v>
      </c>
      <c r="J706" s="58" t="s">
        <v>229</v>
      </c>
      <c r="K706" s="58" t="s">
        <v>230</v>
      </c>
      <c r="L706" s="59">
        <v>2017</v>
      </c>
      <c r="M706" s="58" t="s">
        <v>166</v>
      </c>
      <c r="N706" s="58" t="s">
        <v>24</v>
      </c>
      <c r="O706" s="58" t="s">
        <v>54</v>
      </c>
      <c r="P706" s="58" t="s">
        <v>25</v>
      </c>
      <c r="Q706" s="60"/>
      <c r="R706" s="60">
        <v>53363</v>
      </c>
      <c r="S706" s="61"/>
      <c r="T706" s="61"/>
      <c r="U706" s="62" t="s">
        <v>58</v>
      </c>
      <c r="V706" s="63" t="s">
        <v>56</v>
      </c>
      <c r="W706" s="60">
        <v>69283151.650168106</v>
      </c>
      <c r="X706" s="60" t="str">
        <f t="shared" ref="X706:X717" si="816">IF(Q706&gt;0,$W706/Q706,"")</f>
        <v/>
      </c>
      <c r="Y706" s="60">
        <f t="shared" si="813"/>
        <v>1298.3368935436183</v>
      </c>
      <c r="Z706" s="60" t="str">
        <f t="shared" si="813"/>
        <v/>
      </c>
      <c r="AA706" s="60" t="str">
        <f t="shared" si="813"/>
        <v/>
      </c>
      <c r="AB706" s="64" t="s">
        <v>73</v>
      </c>
      <c r="AD706" s="93">
        <f t="shared" ref="AD706" si="817">W706/AC705</f>
        <v>0.17043379255811764</v>
      </c>
    </row>
    <row r="707" spans="1:30" s="55" customFormat="1" ht="15.95">
      <c r="A707" s="57"/>
      <c r="B707" s="58" t="s">
        <v>224</v>
      </c>
      <c r="C707" s="58" t="s">
        <v>225</v>
      </c>
      <c r="D707" s="58"/>
      <c r="E707" s="58" t="s">
        <v>20</v>
      </c>
      <c r="F707" s="58" t="s">
        <v>21</v>
      </c>
      <c r="G707" s="58" t="s">
        <v>226</v>
      </c>
      <c r="H707" s="58" t="s">
        <v>227</v>
      </c>
      <c r="I707" s="58" t="s">
        <v>228</v>
      </c>
      <c r="J707" s="58" t="s">
        <v>229</v>
      </c>
      <c r="K707" s="58" t="s">
        <v>230</v>
      </c>
      <c r="L707" s="59">
        <v>2017</v>
      </c>
      <c r="M707" s="58" t="s">
        <v>166</v>
      </c>
      <c r="N707" s="58" t="s">
        <v>24</v>
      </c>
      <c r="O707" s="58" t="s">
        <v>54</v>
      </c>
      <c r="P707" s="58" t="s">
        <v>25</v>
      </c>
      <c r="Q707" s="60"/>
      <c r="R707" s="60">
        <v>53363</v>
      </c>
      <c r="S707" s="61"/>
      <c r="T707" s="61"/>
      <c r="U707" s="62" t="s">
        <v>59</v>
      </c>
      <c r="V707" s="63" t="s">
        <v>56</v>
      </c>
      <c r="W707" s="60">
        <v>45078687.756383389</v>
      </c>
      <c r="X707" s="60" t="str">
        <f t="shared" si="816"/>
        <v/>
      </c>
      <c r="Y707" s="60">
        <f t="shared" si="813"/>
        <v>844.75550018521051</v>
      </c>
      <c r="Z707" s="60" t="str">
        <f t="shared" si="813"/>
        <v/>
      </c>
      <c r="AA707" s="60" t="str">
        <f t="shared" si="813"/>
        <v/>
      </c>
      <c r="AB707" s="64" t="s">
        <v>73</v>
      </c>
      <c r="AD707" s="93">
        <f t="shared" ref="AD707" si="818">W707/AC705</f>
        <v>0.11089177577626787</v>
      </c>
    </row>
    <row r="708" spans="1:30" s="55" customFormat="1" ht="15.95">
      <c r="A708" s="57"/>
      <c r="B708" s="58" t="s">
        <v>224</v>
      </c>
      <c r="C708" s="58" t="s">
        <v>225</v>
      </c>
      <c r="D708" s="58"/>
      <c r="E708" s="58" t="s">
        <v>20</v>
      </c>
      <c r="F708" s="58" t="s">
        <v>21</v>
      </c>
      <c r="G708" s="58" t="s">
        <v>226</v>
      </c>
      <c r="H708" s="58" t="s">
        <v>227</v>
      </c>
      <c r="I708" s="58" t="s">
        <v>228</v>
      </c>
      <c r="J708" s="58" t="s">
        <v>229</v>
      </c>
      <c r="K708" s="58" t="s">
        <v>230</v>
      </c>
      <c r="L708" s="59">
        <v>2017</v>
      </c>
      <c r="M708" s="58" t="s">
        <v>166</v>
      </c>
      <c r="N708" s="58" t="s">
        <v>24</v>
      </c>
      <c r="O708" s="58" t="s">
        <v>54</v>
      </c>
      <c r="P708" s="58" t="s">
        <v>25</v>
      </c>
      <c r="Q708" s="60"/>
      <c r="R708" s="60">
        <v>53363</v>
      </c>
      <c r="S708" s="61"/>
      <c r="T708" s="61"/>
      <c r="U708" s="62" t="s">
        <v>60</v>
      </c>
      <c r="V708" s="63" t="s">
        <v>56</v>
      </c>
      <c r="W708" s="60">
        <v>11429095.448635329</v>
      </c>
      <c r="X708" s="60" t="str">
        <f t="shared" si="816"/>
        <v/>
      </c>
      <c r="Y708" s="60">
        <f t="shared" si="813"/>
        <v>214.17640403716675</v>
      </c>
      <c r="Z708" s="60" t="str">
        <f t="shared" si="813"/>
        <v/>
      </c>
      <c r="AA708" s="60" t="str">
        <f t="shared" si="813"/>
        <v/>
      </c>
      <c r="AB708" s="64" t="s">
        <v>73</v>
      </c>
      <c r="AD708" s="93">
        <f t="shared" ref="AD708" si="819">W708/AC705</f>
        <v>2.8115119425501968E-2</v>
      </c>
    </row>
    <row r="709" spans="1:30" s="55" customFormat="1" ht="15.95">
      <c r="A709" s="57"/>
      <c r="B709" s="58" t="s">
        <v>224</v>
      </c>
      <c r="C709" s="58" t="s">
        <v>225</v>
      </c>
      <c r="D709" s="58"/>
      <c r="E709" s="58" t="s">
        <v>20</v>
      </c>
      <c r="F709" s="58" t="s">
        <v>21</v>
      </c>
      <c r="G709" s="58" t="s">
        <v>226</v>
      </c>
      <c r="H709" s="58" t="s">
        <v>227</v>
      </c>
      <c r="I709" s="58" t="s">
        <v>228</v>
      </c>
      <c r="J709" s="58" t="s">
        <v>229</v>
      </c>
      <c r="K709" s="58" t="s">
        <v>230</v>
      </c>
      <c r="L709" s="59">
        <v>2017</v>
      </c>
      <c r="M709" s="58" t="s">
        <v>166</v>
      </c>
      <c r="N709" s="58" t="s">
        <v>24</v>
      </c>
      <c r="O709" s="58" t="s">
        <v>54</v>
      </c>
      <c r="P709" s="58" t="s">
        <v>25</v>
      </c>
      <c r="Q709" s="60"/>
      <c r="R709" s="60">
        <v>53363</v>
      </c>
      <c r="S709" s="61"/>
      <c r="T709" s="61"/>
      <c r="U709" s="62" t="s">
        <v>61</v>
      </c>
      <c r="V709" s="63" t="s">
        <v>56</v>
      </c>
      <c r="W709" s="60">
        <v>14838840.64686075</v>
      </c>
      <c r="X709" s="60" t="str">
        <f t="shared" si="816"/>
        <v/>
      </c>
      <c r="Y709" s="60">
        <f t="shared" si="813"/>
        <v>278.07358369770719</v>
      </c>
      <c r="Z709" s="60" t="str">
        <f t="shared" si="813"/>
        <v/>
      </c>
      <c r="AA709" s="60" t="str">
        <f t="shared" si="813"/>
        <v/>
      </c>
      <c r="AB709" s="64" t="s">
        <v>73</v>
      </c>
      <c r="AD709" s="93">
        <f t="shared" ref="AD709" si="820">W709/AC705</f>
        <v>3.6502956756065713E-2</v>
      </c>
    </row>
    <row r="710" spans="1:30" s="55" customFormat="1" ht="15.95">
      <c r="A710" s="57"/>
      <c r="B710" s="58" t="s">
        <v>224</v>
      </c>
      <c r="C710" s="58" t="s">
        <v>225</v>
      </c>
      <c r="D710" s="58"/>
      <c r="E710" s="58" t="s">
        <v>20</v>
      </c>
      <c r="F710" s="58" t="s">
        <v>21</v>
      </c>
      <c r="G710" s="58" t="s">
        <v>226</v>
      </c>
      <c r="H710" s="58" t="s">
        <v>227</v>
      </c>
      <c r="I710" s="58" t="s">
        <v>228</v>
      </c>
      <c r="J710" s="58" t="s">
        <v>229</v>
      </c>
      <c r="K710" s="58" t="s">
        <v>230</v>
      </c>
      <c r="L710" s="59">
        <v>2017</v>
      </c>
      <c r="M710" s="58" t="s">
        <v>166</v>
      </c>
      <c r="N710" s="58" t="s">
        <v>24</v>
      </c>
      <c r="O710" s="58" t="s">
        <v>54</v>
      </c>
      <c r="P710" s="58" t="s">
        <v>25</v>
      </c>
      <c r="Q710" s="60"/>
      <c r="R710" s="60">
        <v>53363</v>
      </c>
      <c r="S710" s="61"/>
      <c r="T710" s="61"/>
      <c r="U710" s="62" t="s">
        <v>62</v>
      </c>
      <c r="V710" s="63" t="s">
        <v>56</v>
      </c>
      <c r="W710" s="60">
        <v>4258696.8558530873</v>
      </c>
      <c r="X710" s="60" t="str">
        <f t="shared" si="816"/>
        <v/>
      </c>
      <c r="Y710" s="60">
        <f t="shared" si="813"/>
        <v>79.806173863034076</v>
      </c>
      <c r="Z710" s="60" t="str">
        <f t="shared" si="813"/>
        <v/>
      </c>
      <c r="AA710" s="60" t="str">
        <f t="shared" si="813"/>
        <v/>
      </c>
      <c r="AB710" s="64" t="s">
        <v>73</v>
      </c>
      <c r="AD710" s="93">
        <f t="shared" ref="AD710" si="821">W710/AC705</f>
        <v>1.0476224582901345E-2</v>
      </c>
    </row>
    <row r="711" spans="1:30" s="55" customFormat="1" ht="15.95">
      <c r="A711" s="57"/>
      <c r="B711" s="58" t="s">
        <v>224</v>
      </c>
      <c r="C711" s="58" t="s">
        <v>225</v>
      </c>
      <c r="D711" s="58"/>
      <c r="E711" s="58" t="s">
        <v>20</v>
      </c>
      <c r="F711" s="58" t="s">
        <v>21</v>
      </c>
      <c r="G711" s="58" t="s">
        <v>226</v>
      </c>
      <c r="H711" s="58" t="s">
        <v>227</v>
      </c>
      <c r="I711" s="58" t="s">
        <v>228</v>
      </c>
      <c r="J711" s="58" t="s">
        <v>229</v>
      </c>
      <c r="K711" s="58" t="s">
        <v>230</v>
      </c>
      <c r="L711" s="59">
        <v>2017</v>
      </c>
      <c r="M711" s="58" t="s">
        <v>166</v>
      </c>
      <c r="N711" s="58" t="s">
        <v>24</v>
      </c>
      <c r="O711" s="58" t="s">
        <v>54</v>
      </c>
      <c r="P711" s="58" t="s">
        <v>25</v>
      </c>
      <c r="Q711" s="60"/>
      <c r="R711" s="60">
        <v>53363</v>
      </c>
      <c r="S711" s="61"/>
      <c r="T711" s="61"/>
      <c r="U711" s="62" t="s">
        <v>63</v>
      </c>
      <c r="V711" s="63" t="s">
        <v>56</v>
      </c>
      <c r="W711" s="60">
        <v>3059623.0416869819</v>
      </c>
      <c r="X711" s="60" t="str">
        <f t="shared" si="816"/>
        <v/>
      </c>
      <c r="Y711" s="60">
        <f t="shared" si="813"/>
        <v>57.33603886001503</v>
      </c>
      <c r="Z711" s="60" t="str">
        <f t="shared" si="813"/>
        <v/>
      </c>
      <c r="AA711" s="60" t="str">
        <f t="shared" si="813"/>
        <v/>
      </c>
      <c r="AB711" s="64" t="s">
        <v>73</v>
      </c>
      <c r="AD711" s="93">
        <f t="shared" ref="AD711" si="822">W711/AC705</f>
        <v>7.526550775662509E-3</v>
      </c>
    </row>
    <row r="712" spans="1:30" s="55" customFormat="1" ht="15.95">
      <c r="A712" s="57"/>
      <c r="B712" s="58" t="s">
        <v>224</v>
      </c>
      <c r="C712" s="58" t="s">
        <v>225</v>
      </c>
      <c r="D712" s="58"/>
      <c r="E712" s="58" t="s">
        <v>20</v>
      </c>
      <c r="F712" s="58" t="s">
        <v>21</v>
      </c>
      <c r="G712" s="58" t="s">
        <v>226</v>
      </c>
      <c r="H712" s="58" t="s">
        <v>227</v>
      </c>
      <c r="I712" s="58" t="s">
        <v>228</v>
      </c>
      <c r="J712" s="58" t="s">
        <v>229</v>
      </c>
      <c r="K712" s="58" t="s">
        <v>230</v>
      </c>
      <c r="L712" s="59">
        <v>2017</v>
      </c>
      <c r="M712" s="58" t="s">
        <v>166</v>
      </c>
      <c r="N712" s="58" t="s">
        <v>24</v>
      </c>
      <c r="O712" s="58" t="s">
        <v>54</v>
      </c>
      <c r="P712" s="58" t="s">
        <v>25</v>
      </c>
      <c r="Q712" s="60"/>
      <c r="R712" s="60">
        <v>53363</v>
      </c>
      <c r="S712" s="61"/>
      <c r="T712" s="61"/>
      <c r="U712" s="62" t="s">
        <v>64</v>
      </c>
      <c r="V712" s="63" t="s">
        <v>56</v>
      </c>
      <c r="W712" s="60">
        <v>0</v>
      </c>
      <c r="X712" s="60" t="str">
        <f t="shared" si="816"/>
        <v/>
      </c>
      <c r="Y712" s="60">
        <f t="shared" si="813"/>
        <v>0</v>
      </c>
      <c r="Z712" s="60" t="str">
        <f t="shared" si="813"/>
        <v/>
      </c>
      <c r="AA712" s="60" t="str">
        <f t="shared" si="813"/>
        <v/>
      </c>
      <c r="AB712" s="64" t="s">
        <v>73</v>
      </c>
      <c r="AD712" s="93">
        <f t="shared" ref="AD712" si="823">W712/AC705</f>
        <v>0</v>
      </c>
    </row>
    <row r="713" spans="1:30" s="55" customFormat="1" ht="15.95">
      <c r="A713" s="57"/>
      <c r="B713" s="58" t="s">
        <v>224</v>
      </c>
      <c r="C713" s="58" t="s">
        <v>225</v>
      </c>
      <c r="D713" s="58"/>
      <c r="E713" s="58" t="s">
        <v>20</v>
      </c>
      <c r="F713" s="58" t="s">
        <v>21</v>
      </c>
      <c r="G713" s="58" t="s">
        <v>226</v>
      </c>
      <c r="H713" s="58" t="s">
        <v>227</v>
      </c>
      <c r="I713" s="58" t="s">
        <v>228</v>
      </c>
      <c r="J713" s="58" t="s">
        <v>229</v>
      </c>
      <c r="K713" s="58" t="s">
        <v>230</v>
      </c>
      <c r="L713" s="59">
        <v>2017</v>
      </c>
      <c r="M713" s="58" t="s">
        <v>166</v>
      </c>
      <c r="N713" s="58" t="s">
        <v>24</v>
      </c>
      <c r="O713" s="58" t="s">
        <v>54</v>
      </c>
      <c r="P713" s="58" t="s">
        <v>25</v>
      </c>
      <c r="Q713" s="60"/>
      <c r="R713" s="60">
        <v>53363</v>
      </c>
      <c r="S713" s="61"/>
      <c r="T713" s="61"/>
      <c r="U713" s="62" t="s">
        <v>65</v>
      </c>
      <c r="V713" s="63" t="s">
        <v>56</v>
      </c>
      <c r="W713" s="60">
        <v>42844753.468393065</v>
      </c>
      <c r="X713" s="60" t="str">
        <f t="shared" si="816"/>
        <v/>
      </c>
      <c r="Y713" s="60">
        <f t="shared" si="813"/>
        <v>802.89251856891599</v>
      </c>
      <c r="Z713" s="60" t="str">
        <f t="shared" si="813"/>
        <v/>
      </c>
      <c r="AA713" s="60" t="str">
        <f t="shared" si="813"/>
        <v/>
      </c>
      <c r="AB713" s="64" t="s">
        <v>73</v>
      </c>
      <c r="AD713" s="93">
        <f t="shared" ref="AD713" si="824">W713/AC705</f>
        <v>0.10539638643615425</v>
      </c>
    </row>
    <row r="714" spans="1:30" s="55" customFormat="1" ht="15.95">
      <c r="A714" s="57"/>
      <c r="B714" s="58" t="s">
        <v>224</v>
      </c>
      <c r="C714" s="58" t="s">
        <v>225</v>
      </c>
      <c r="D714" s="58"/>
      <c r="E714" s="58" t="s">
        <v>20</v>
      </c>
      <c r="F714" s="58" t="s">
        <v>21</v>
      </c>
      <c r="G714" s="58" t="s">
        <v>226</v>
      </c>
      <c r="H714" s="58" t="s">
        <v>227</v>
      </c>
      <c r="I714" s="58" t="s">
        <v>228</v>
      </c>
      <c r="J714" s="58" t="s">
        <v>229</v>
      </c>
      <c r="K714" s="58" t="s">
        <v>230</v>
      </c>
      <c r="L714" s="59">
        <v>2017</v>
      </c>
      <c r="M714" s="58" t="s">
        <v>166</v>
      </c>
      <c r="N714" s="58" t="s">
        <v>24</v>
      </c>
      <c r="O714" s="58" t="s">
        <v>54</v>
      </c>
      <c r="P714" s="58" t="s">
        <v>25</v>
      </c>
      <c r="Q714" s="60"/>
      <c r="R714" s="60">
        <v>53363</v>
      </c>
      <c r="S714" s="61"/>
      <c r="T714" s="61"/>
      <c r="U714" s="62" t="s">
        <v>66</v>
      </c>
      <c r="V714" s="63" t="s">
        <v>56</v>
      </c>
      <c r="W714" s="60">
        <v>38825848.906706236</v>
      </c>
      <c r="X714" s="60" t="str">
        <f t="shared" si="816"/>
        <v/>
      </c>
      <c r="Y714" s="60">
        <f t="shared" si="813"/>
        <v>727.57995065319108</v>
      </c>
      <c r="Z714" s="60" t="str">
        <f t="shared" si="813"/>
        <v/>
      </c>
      <c r="AA714" s="60" t="str">
        <f t="shared" si="813"/>
        <v/>
      </c>
      <c r="AB714" s="64" t="s">
        <v>73</v>
      </c>
      <c r="AD714" s="93">
        <f t="shared" ref="AD714" si="825">W714/AC705</f>
        <v>9.551004134267517E-2</v>
      </c>
    </row>
    <row r="715" spans="1:30" s="55" customFormat="1" ht="15.95">
      <c r="A715" s="57"/>
      <c r="B715" s="58" t="s">
        <v>224</v>
      </c>
      <c r="C715" s="58" t="s">
        <v>225</v>
      </c>
      <c r="D715" s="58"/>
      <c r="E715" s="58" t="s">
        <v>20</v>
      </c>
      <c r="F715" s="58" t="s">
        <v>21</v>
      </c>
      <c r="G715" s="58" t="s">
        <v>226</v>
      </c>
      <c r="H715" s="58" t="s">
        <v>227</v>
      </c>
      <c r="I715" s="58" t="s">
        <v>228</v>
      </c>
      <c r="J715" s="58" t="s">
        <v>229</v>
      </c>
      <c r="K715" s="58" t="s">
        <v>230</v>
      </c>
      <c r="L715" s="59">
        <v>2017</v>
      </c>
      <c r="M715" s="58" t="s">
        <v>166</v>
      </c>
      <c r="N715" s="58" t="s">
        <v>24</v>
      </c>
      <c r="O715" s="58" t="s">
        <v>54</v>
      </c>
      <c r="P715" s="58" t="s">
        <v>25</v>
      </c>
      <c r="Q715" s="60"/>
      <c r="R715" s="60">
        <v>53363</v>
      </c>
      <c r="S715" s="61"/>
      <c r="T715" s="61"/>
      <c r="U715" s="62" t="s">
        <v>67</v>
      </c>
      <c r="V715" s="63" t="s">
        <v>56</v>
      </c>
      <c r="W715" s="60">
        <v>9534143.1530618891</v>
      </c>
      <c r="X715" s="60" t="str">
        <f t="shared" si="816"/>
        <v/>
      </c>
      <c r="Y715" s="60">
        <f t="shared" si="813"/>
        <v>178.66580126795512</v>
      </c>
      <c r="Z715" s="60" t="str">
        <f t="shared" si="813"/>
        <v/>
      </c>
      <c r="AA715" s="60" t="str">
        <f t="shared" si="813"/>
        <v/>
      </c>
      <c r="AB715" s="64" t="s">
        <v>73</v>
      </c>
      <c r="AD715" s="93">
        <f t="shared" ref="AD715" si="826">W715/AC705</f>
        <v>2.3453612280416591E-2</v>
      </c>
    </row>
    <row r="716" spans="1:30" s="55" customFormat="1" ht="15.95">
      <c r="A716" s="57"/>
      <c r="B716" s="58" t="s">
        <v>224</v>
      </c>
      <c r="C716" s="58" t="s">
        <v>225</v>
      </c>
      <c r="D716" s="58"/>
      <c r="E716" s="58" t="s">
        <v>20</v>
      </c>
      <c r="F716" s="58" t="s">
        <v>21</v>
      </c>
      <c r="G716" s="58" t="s">
        <v>226</v>
      </c>
      <c r="H716" s="58" t="s">
        <v>227</v>
      </c>
      <c r="I716" s="58" t="s">
        <v>228</v>
      </c>
      <c r="J716" s="58" t="s">
        <v>229</v>
      </c>
      <c r="K716" s="58" t="s">
        <v>230</v>
      </c>
      <c r="L716" s="59">
        <v>2017</v>
      </c>
      <c r="M716" s="58" t="s">
        <v>166</v>
      </c>
      <c r="N716" s="58" t="s">
        <v>24</v>
      </c>
      <c r="O716" s="58" t="s">
        <v>54</v>
      </c>
      <c r="P716" s="58" t="s">
        <v>25</v>
      </c>
      <c r="Q716" s="60"/>
      <c r="R716" s="60">
        <v>53363</v>
      </c>
      <c r="S716" s="61"/>
      <c r="T716" s="61"/>
      <c r="U716" s="62" t="s">
        <v>68</v>
      </c>
      <c r="V716" s="63" t="s">
        <v>56</v>
      </c>
      <c r="W716" s="60">
        <v>35891910.726038434</v>
      </c>
      <c r="X716" s="60" t="str">
        <f t="shared" si="816"/>
        <v/>
      </c>
      <c r="Y716" s="60">
        <f t="shared" si="813"/>
        <v>672.5991928122188</v>
      </c>
      <c r="Z716" s="60" t="str">
        <f t="shared" si="813"/>
        <v/>
      </c>
      <c r="AA716" s="60" t="str">
        <f t="shared" si="813"/>
        <v/>
      </c>
      <c r="AB716" s="64" t="s">
        <v>73</v>
      </c>
      <c r="AD716" s="93">
        <f t="shared" ref="AD716" si="827">W716/AC705</f>
        <v>8.8292670317362348E-2</v>
      </c>
    </row>
    <row r="717" spans="1:30" s="55" customFormat="1" ht="15.95">
      <c r="A717" s="57"/>
      <c r="B717" s="58" t="s">
        <v>224</v>
      </c>
      <c r="C717" s="58" t="s">
        <v>225</v>
      </c>
      <c r="D717" s="58"/>
      <c r="E717" s="58" t="s">
        <v>20</v>
      </c>
      <c r="F717" s="58" t="s">
        <v>21</v>
      </c>
      <c r="G717" s="58" t="s">
        <v>226</v>
      </c>
      <c r="H717" s="58" t="s">
        <v>227</v>
      </c>
      <c r="I717" s="58" t="s">
        <v>228</v>
      </c>
      <c r="J717" s="58" t="s">
        <v>229</v>
      </c>
      <c r="K717" s="58" t="s">
        <v>230</v>
      </c>
      <c r="L717" s="59">
        <v>2017</v>
      </c>
      <c r="M717" s="58" t="s">
        <v>166</v>
      </c>
      <c r="N717" s="58" t="s">
        <v>24</v>
      </c>
      <c r="O717" s="58" t="s">
        <v>54</v>
      </c>
      <c r="P717" s="58" t="s">
        <v>25</v>
      </c>
      <c r="Q717" s="60"/>
      <c r="R717" s="60">
        <v>53363</v>
      </c>
      <c r="S717" s="61"/>
      <c r="T717" s="61"/>
      <c r="U717" s="62" t="s">
        <v>69</v>
      </c>
      <c r="V717" s="63" t="s">
        <v>56</v>
      </c>
      <c r="W717" s="60">
        <v>66762823.250156216</v>
      </c>
      <c r="X717" s="60" t="str">
        <f t="shared" si="816"/>
        <v/>
      </c>
      <c r="Y717" s="60">
        <f t="shared" si="813"/>
        <v>1251.1070076674141</v>
      </c>
      <c r="Z717" s="60" t="str">
        <f t="shared" si="813"/>
        <v/>
      </c>
      <c r="AA717" s="60" t="str">
        <f t="shared" si="813"/>
        <v/>
      </c>
      <c r="AB717" s="64" t="s">
        <v>73</v>
      </c>
      <c r="AD717" s="93">
        <f t="shared" ref="AD717" si="828">W717/AC705</f>
        <v>0.16423388511344936</v>
      </c>
    </row>
    <row r="718" spans="1:30" s="32" customFormat="1" ht="15" customHeight="1">
      <c r="A718" s="65"/>
      <c r="B718" s="66" t="s">
        <v>224</v>
      </c>
      <c r="C718" s="66" t="s">
        <v>193</v>
      </c>
      <c r="D718" s="66"/>
      <c r="E718" s="66" t="s">
        <v>20</v>
      </c>
      <c r="F718" s="66" t="s">
        <v>21</v>
      </c>
      <c r="G718" s="66" t="s">
        <v>226</v>
      </c>
      <c r="H718" s="66" t="s">
        <v>227</v>
      </c>
      <c r="I718" s="66" t="s">
        <v>231</v>
      </c>
      <c r="J718" s="66" t="s">
        <v>229</v>
      </c>
      <c r="K718" s="66" t="s">
        <v>232</v>
      </c>
      <c r="L718" s="67">
        <v>2017</v>
      </c>
      <c r="M718" s="66" t="s">
        <v>166</v>
      </c>
      <c r="N718" s="66" t="s">
        <v>24</v>
      </c>
      <c r="O718" s="66" t="s">
        <v>54</v>
      </c>
      <c r="P718" s="66" t="s">
        <v>25</v>
      </c>
      <c r="Q718" s="68"/>
      <c r="R718" s="68">
        <v>92618</v>
      </c>
      <c r="S718" s="69"/>
      <c r="T718" s="69"/>
      <c r="U718" s="70" t="s">
        <v>55</v>
      </c>
      <c r="V718" s="71" t="s">
        <v>56</v>
      </c>
      <c r="W718" s="72">
        <v>134995884.57189316</v>
      </c>
      <c r="X718" s="68" t="str">
        <f>IF(Q718&gt;0,$W718/Q718,"")</f>
        <v/>
      </c>
      <c r="Y718" s="68">
        <f t="shared" si="813"/>
        <v>1457.5556001197733</v>
      </c>
      <c r="Z718" s="68" t="str">
        <f t="shared" si="813"/>
        <v/>
      </c>
      <c r="AA718" s="68" t="str">
        <f t="shared" si="813"/>
        <v/>
      </c>
      <c r="AB718" s="73" t="s">
        <v>73</v>
      </c>
      <c r="AC718" s="92">
        <f t="shared" ref="AC718" si="829">SUM(W718:W730)</f>
        <v>620171165.7545042</v>
      </c>
      <c r="AD718" s="93">
        <f t="shared" ref="AD718" si="830">W718/AC718</f>
        <v>0.21767520327659268</v>
      </c>
    </row>
    <row r="719" spans="1:30" s="32" customFormat="1" ht="15" customHeight="1">
      <c r="A719" s="65"/>
      <c r="B719" s="66" t="s">
        <v>224</v>
      </c>
      <c r="C719" s="66" t="s">
        <v>193</v>
      </c>
      <c r="D719" s="66"/>
      <c r="E719" s="66" t="s">
        <v>20</v>
      </c>
      <c r="F719" s="66" t="s">
        <v>21</v>
      </c>
      <c r="G719" s="66" t="s">
        <v>226</v>
      </c>
      <c r="H719" s="66" t="s">
        <v>227</v>
      </c>
      <c r="I719" s="66" t="s">
        <v>231</v>
      </c>
      <c r="J719" s="66" t="s">
        <v>229</v>
      </c>
      <c r="K719" s="66" t="s">
        <v>232</v>
      </c>
      <c r="L719" s="67">
        <v>2017</v>
      </c>
      <c r="M719" s="66" t="s">
        <v>166</v>
      </c>
      <c r="N719" s="66" t="s">
        <v>24</v>
      </c>
      <c r="O719" s="66" t="s">
        <v>54</v>
      </c>
      <c r="P719" s="66" t="s">
        <v>25</v>
      </c>
      <c r="Q719" s="68"/>
      <c r="R719" s="68">
        <v>92618</v>
      </c>
      <c r="S719" s="69"/>
      <c r="T719" s="69"/>
      <c r="U719" s="70" t="s">
        <v>58</v>
      </c>
      <c r="V719" s="71" t="s">
        <v>56</v>
      </c>
      <c r="W719" s="72">
        <v>69449521.974238575</v>
      </c>
      <c r="X719" s="68" t="str">
        <f t="shared" ref="X719:AA734" si="831">IF(Q719&gt;0,$W719/Q719,"")</f>
        <v/>
      </c>
      <c r="Y719" s="68">
        <f t="shared" si="813"/>
        <v>749.84907873457189</v>
      </c>
      <c r="Z719" s="68" t="str">
        <f t="shared" si="813"/>
        <v/>
      </c>
      <c r="AA719" s="68" t="str">
        <f t="shared" si="813"/>
        <v/>
      </c>
      <c r="AB719" s="73" t="s">
        <v>73</v>
      </c>
      <c r="AC719" s="55"/>
      <c r="AD719" s="93">
        <f t="shared" ref="AD719" si="832">W719/AC718</f>
        <v>0.11198444205277722</v>
      </c>
    </row>
    <row r="720" spans="1:30" s="32" customFormat="1" ht="15" customHeight="1">
      <c r="A720" s="65"/>
      <c r="B720" s="66" t="s">
        <v>224</v>
      </c>
      <c r="C720" s="66" t="s">
        <v>193</v>
      </c>
      <c r="D720" s="66"/>
      <c r="E720" s="66" t="s">
        <v>20</v>
      </c>
      <c r="F720" s="66" t="s">
        <v>21</v>
      </c>
      <c r="G720" s="66" t="s">
        <v>226</v>
      </c>
      <c r="H720" s="66" t="s">
        <v>227</v>
      </c>
      <c r="I720" s="66" t="s">
        <v>231</v>
      </c>
      <c r="J720" s="66" t="s">
        <v>229</v>
      </c>
      <c r="K720" s="66" t="s">
        <v>232</v>
      </c>
      <c r="L720" s="67">
        <v>2017</v>
      </c>
      <c r="M720" s="66" t="s">
        <v>166</v>
      </c>
      <c r="N720" s="66" t="s">
        <v>24</v>
      </c>
      <c r="O720" s="66" t="s">
        <v>54</v>
      </c>
      <c r="P720" s="66" t="s">
        <v>25</v>
      </c>
      <c r="Q720" s="68"/>
      <c r="R720" s="68">
        <v>92618</v>
      </c>
      <c r="S720" s="69"/>
      <c r="T720" s="69"/>
      <c r="U720" s="70" t="s">
        <v>59</v>
      </c>
      <c r="V720" s="71" t="s">
        <v>56</v>
      </c>
      <c r="W720" s="72">
        <v>40456096.787905358</v>
      </c>
      <c r="X720" s="68" t="str">
        <f t="shared" si="831"/>
        <v/>
      </c>
      <c r="Y720" s="68">
        <f t="shared" si="813"/>
        <v>436.80598574688889</v>
      </c>
      <c r="Z720" s="68" t="str">
        <f t="shared" si="813"/>
        <v/>
      </c>
      <c r="AA720" s="68" t="str">
        <f t="shared" si="813"/>
        <v/>
      </c>
      <c r="AB720" s="73" t="s">
        <v>73</v>
      </c>
      <c r="AC720" s="55"/>
      <c r="AD720" s="93">
        <f t="shared" ref="AD720" si="833">W720/AC718</f>
        <v>6.5233759680984549E-2</v>
      </c>
    </row>
    <row r="721" spans="1:30" s="32" customFormat="1" ht="15.95">
      <c r="A721" s="65"/>
      <c r="B721" s="66" t="s">
        <v>224</v>
      </c>
      <c r="C721" s="66" t="s">
        <v>193</v>
      </c>
      <c r="D721" s="66"/>
      <c r="E721" s="66" t="s">
        <v>20</v>
      </c>
      <c r="F721" s="66" t="s">
        <v>21</v>
      </c>
      <c r="G721" s="66" t="s">
        <v>226</v>
      </c>
      <c r="H721" s="66" t="s">
        <v>227</v>
      </c>
      <c r="I721" s="66" t="s">
        <v>231</v>
      </c>
      <c r="J721" s="66" t="s">
        <v>229</v>
      </c>
      <c r="K721" s="66" t="s">
        <v>232</v>
      </c>
      <c r="L721" s="67">
        <v>2017</v>
      </c>
      <c r="M721" s="66" t="s">
        <v>166</v>
      </c>
      <c r="N721" s="66" t="s">
        <v>24</v>
      </c>
      <c r="O721" s="66" t="s">
        <v>54</v>
      </c>
      <c r="P721" s="66" t="s">
        <v>25</v>
      </c>
      <c r="Q721" s="68"/>
      <c r="R721" s="68">
        <v>92618</v>
      </c>
      <c r="S721" s="69"/>
      <c r="T721" s="69"/>
      <c r="U721" s="70" t="s">
        <v>60</v>
      </c>
      <c r="V721" s="71" t="s">
        <v>56</v>
      </c>
      <c r="W721" s="72">
        <v>16136424.817168796</v>
      </c>
      <c r="X721" s="68" t="str">
        <f t="shared" si="831"/>
        <v/>
      </c>
      <c r="Y721" s="68">
        <f t="shared" si="831"/>
        <v>174.22558052612663</v>
      </c>
      <c r="Z721" s="68" t="str">
        <f t="shared" si="831"/>
        <v/>
      </c>
      <c r="AA721" s="68" t="str">
        <f t="shared" si="831"/>
        <v/>
      </c>
      <c r="AB721" s="73" t="s">
        <v>73</v>
      </c>
      <c r="AC721" s="55"/>
      <c r="AD721" s="93">
        <f t="shared" ref="AD721" si="834">W721/AC718</f>
        <v>2.6019308391316644E-2</v>
      </c>
    </row>
    <row r="722" spans="1:30" s="32" customFormat="1" ht="15.95">
      <c r="A722" s="65"/>
      <c r="B722" s="66" t="s">
        <v>224</v>
      </c>
      <c r="C722" s="66" t="s">
        <v>193</v>
      </c>
      <c r="D722" s="66"/>
      <c r="E722" s="66" t="s">
        <v>20</v>
      </c>
      <c r="F722" s="66" t="s">
        <v>21</v>
      </c>
      <c r="G722" s="66" t="s">
        <v>226</v>
      </c>
      <c r="H722" s="66" t="s">
        <v>227</v>
      </c>
      <c r="I722" s="66" t="s">
        <v>231</v>
      </c>
      <c r="J722" s="66" t="s">
        <v>229</v>
      </c>
      <c r="K722" s="66" t="s">
        <v>232</v>
      </c>
      <c r="L722" s="67">
        <v>2017</v>
      </c>
      <c r="M722" s="66" t="s">
        <v>166</v>
      </c>
      <c r="N722" s="66" t="s">
        <v>24</v>
      </c>
      <c r="O722" s="66" t="s">
        <v>54</v>
      </c>
      <c r="P722" s="66" t="s">
        <v>25</v>
      </c>
      <c r="Q722" s="68"/>
      <c r="R722" s="68">
        <v>92618</v>
      </c>
      <c r="S722" s="69"/>
      <c r="T722" s="69"/>
      <c r="U722" s="70" t="s">
        <v>61</v>
      </c>
      <c r="V722" s="71" t="s">
        <v>56</v>
      </c>
      <c r="W722" s="72">
        <v>30072666.113899793</v>
      </c>
      <c r="X722" s="68" t="str">
        <f t="shared" si="831"/>
        <v/>
      </c>
      <c r="Y722" s="68">
        <f t="shared" si="831"/>
        <v>324.69569753071534</v>
      </c>
      <c r="Z722" s="68" t="str">
        <f t="shared" si="831"/>
        <v/>
      </c>
      <c r="AA722" s="68" t="str">
        <f t="shared" si="831"/>
        <v/>
      </c>
      <c r="AB722" s="73" t="s">
        <v>73</v>
      </c>
      <c r="AC722" s="55"/>
      <c r="AD722" s="93">
        <f t="shared" ref="AD722" si="835">W722/AC718</f>
        <v>4.8490913113177707E-2</v>
      </c>
    </row>
    <row r="723" spans="1:30" s="32" customFormat="1" ht="15.95">
      <c r="A723" s="65"/>
      <c r="B723" s="66" t="s">
        <v>224</v>
      </c>
      <c r="C723" s="66" t="s">
        <v>193</v>
      </c>
      <c r="D723" s="66"/>
      <c r="E723" s="66" t="s">
        <v>20</v>
      </c>
      <c r="F723" s="66" t="s">
        <v>21</v>
      </c>
      <c r="G723" s="66" t="s">
        <v>226</v>
      </c>
      <c r="H723" s="66" t="s">
        <v>227</v>
      </c>
      <c r="I723" s="66" t="s">
        <v>231</v>
      </c>
      <c r="J723" s="66" t="s">
        <v>229</v>
      </c>
      <c r="K723" s="66" t="s">
        <v>232</v>
      </c>
      <c r="L723" s="67">
        <v>2017</v>
      </c>
      <c r="M723" s="66" t="s">
        <v>166</v>
      </c>
      <c r="N723" s="66" t="s">
        <v>24</v>
      </c>
      <c r="O723" s="66" t="s">
        <v>54</v>
      </c>
      <c r="P723" s="66" t="s">
        <v>25</v>
      </c>
      <c r="Q723" s="68"/>
      <c r="R723" s="68">
        <v>92618</v>
      </c>
      <c r="S723" s="69"/>
      <c r="T723" s="69"/>
      <c r="U723" s="70" t="s">
        <v>62</v>
      </c>
      <c r="V723" s="71" t="s">
        <v>56</v>
      </c>
      <c r="W723" s="72">
        <v>5233648.0173035506</v>
      </c>
      <c r="X723" s="68" t="str">
        <f t="shared" si="831"/>
        <v/>
      </c>
      <c r="Y723" s="68">
        <f t="shared" si="831"/>
        <v>56.507892821088241</v>
      </c>
      <c r="Z723" s="68" t="str">
        <f t="shared" si="831"/>
        <v/>
      </c>
      <c r="AA723" s="68" t="str">
        <f t="shared" si="831"/>
        <v/>
      </c>
      <c r="AB723" s="73" t="s">
        <v>73</v>
      </c>
      <c r="AC723" s="55"/>
      <c r="AD723" s="93">
        <f t="shared" ref="AD723" si="836">W723/AC718</f>
        <v>8.439037972583361E-3</v>
      </c>
    </row>
    <row r="724" spans="1:30" s="32" customFormat="1" ht="15.95">
      <c r="A724" s="65"/>
      <c r="B724" s="66" t="s">
        <v>224</v>
      </c>
      <c r="C724" s="66" t="s">
        <v>193</v>
      </c>
      <c r="D724" s="66"/>
      <c r="E724" s="66" t="s">
        <v>20</v>
      </c>
      <c r="F724" s="66" t="s">
        <v>21</v>
      </c>
      <c r="G724" s="66" t="s">
        <v>226</v>
      </c>
      <c r="H724" s="66" t="s">
        <v>227</v>
      </c>
      <c r="I724" s="66" t="s">
        <v>231</v>
      </c>
      <c r="J724" s="66" t="s">
        <v>229</v>
      </c>
      <c r="K724" s="66" t="s">
        <v>232</v>
      </c>
      <c r="L724" s="67">
        <v>2017</v>
      </c>
      <c r="M724" s="66" t="s">
        <v>166</v>
      </c>
      <c r="N724" s="66" t="s">
        <v>24</v>
      </c>
      <c r="O724" s="66" t="s">
        <v>54</v>
      </c>
      <c r="P724" s="66" t="s">
        <v>25</v>
      </c>
      <c r="Q724" s="68"/>
      <c r="R724" s="68">
        <v>92618</v>
      </c>
      <c r="S724" s="69"/>
      <c r="T724" s="69"/>
      <c r="U724" s="74" t="s">
        <v>63</v>
      </c>
      <c r="V724" s="75" t="s">
        <v>56</v>
      </c>
      <c r="W724" s="68">
        <v>3676707.2591924686</v>
      </c>
      <c r="X724" s="68" t="str">
        <f t="shared" si="831"/>
        <v/>
      </c>
      <c r="Y724" s="68">
        <f t="shared" si="831"/>
        <v>39.697545392822867</v>
      </c>
      <c r="Z724" s="68" t="str">
        <f t="shared" si="831"/>
        <v/>
      </c>
      <c r="AA724" s="68" t="str">
        <f t="shared" si="831"/>
        <v/>
      </c>
      <c r="AB724" s="73" t="s">
        <v>73</v>
      </c>
      <c r="AC724" s="55"/>
      <c r="AD724" s="93">
        <f t="shared" ref="AD724" si="837">W724/AC718</f>
        <v>5.9285362851711479E-3</v>
      </c>
    </row>
    <row r="725" spans="1:30" s="32" customFormat="1" ht="15.95">
      <c r="A725" s="65"/>
      <c r="B725" s="66" t="s">
        <v>224</v>
      </c>
      <c r="C725" s="66" t="s">
        <v>193</v>
      </c>
      <c r="D725" s="66"/>
      <c r="E725" s="66" t="s">
        <v>20</v>
      </c>
      <c r="F725" s="66" t="s">
        <v>21</v>
      </c>
      <c r="G725" s="66" t="s">
        <v>226</v>
      </c>
      <c r="H725" s="66" t="s">
        <v>227</v>
      </c>
      <c r="I725" s="66" t="s">
        <v>231</v>
      </c>
      <c r="J725" s="66" t="s">
        <v>229</v>
      </c>
      <c r="K725" s="66" t="s">
        <v>232</v>
      </c>
      <c r="L725" s="67">
        <v>2017</v>
      </c>
      <c r="M725" s="66" t="s">
        <v>166</v>
      </c>
      <c r="N725" s="66" t="s">
        <v>24</v>
      </c>
      <c r="O725" s="66" t="s">
        <v>54</v>
      </c>
      <c r="P725" s="66" t="s">
        <v>25</v>
      </c>
      <c r="Q725" s="68"/>
      <c r="R725" s="68">
        <v>92618</v>
      </c>
      <c r="S725" s="69"/>
      <c r="T725" s="69"/>
      <c r="U725" s="74" t="s">
        <v>64</v>
      </c>
      <c r="V725" s="75" t="s">
        <v>56</v>
      </c>
      <c r="W725" s="68">
        <v>0</v>
      </c>
      <c r="X725" s="68" t="str">
        <f t="shared" si="831"/>
        <v/>
      </c>
      <c r="Y725" s="68">
        <f t="shared" si="831"/>
        <v>0</v>
      </c>
      <c r="Z725" s="68" t="str">
        <f t="shared" si="831"/>
        <v/>
      </c>
      <c r="AA725" s="68" t="str">
        <f t="shared" si="831"/>
        <v/>
      </c>
      <c r="AB725" s="73" t="s">
        <v>73</v>
      </c>
      <c r="AC725" s="55"/>
      <c r="AD725" s="93">
        <f t="shared" ref="AD725" si="838">W725/AC718</f>
        <v>0</v>
      </c>
    </row>
    <row r="726" spans="1:30" s="32" customFormat="1" ht="15.95">
      <c r="A726" s="65"/>
      <c r="B726" s="66" t="s">
        <v>224</v>
      </c>
      <c r="C726" s="66" t="s">
        <v>193</v>
      </c>
      <c r="D726" s="66"/>
      <c r="E726" s="66" t="s">
        <v>20</v>
      </c>
      <c r="F726" s="66" t="s">
        <v>21</v>
      </c>
      <c r="G726" s="66" t="s">
        <v>226</v>
      </c>
      <c r="H726" s="66" t="s">
        <v>227</v>
      </c>
      <c r="I726" s="66" t="s">
        <v>231</v>
      </c>
      <c r="J726" s="66" t="s">
        <v>229</v>
      </c>
      <c r="K726" s="66" t="s">
        <v>232</v>
      </c>
      <c r="L726" s="67">
        <v>2017</v>
      </c>
      <c r="M726" s="66" t="s">
        <v>166</v>
      </c>
      <c r="N726" s="66" t="s">
        <v>24</v>
      </c>
      <c r="O726" s="66" t="s">
        <v>54</v>
      </c>
      <c r="P726" s="66" t="s">
        <v>25</v>
      </c>
      <c r="Q726" s="68"/>
      <c r="R726" s="68">
        <v>92618</v>
      </c>
      <c r="S726" s="69"/>
      <c r="T726" s="69"/>
      <c r="U726" s="74" t="s">
        <v>65</v>
      </c>
      <c r="V726" s="75" t="s">
        <v>56</v>
      </c>
      <c r="W726" s="68">
        <v>78591028.791275516</v>
      </c>
      <c r="X726" s="68" t="str">
        <f t="shared" si="831"/>
        <v/>
      </c>
      <c r="Y726" s="68">
        <f t="shared" si="831"/>
        <v>848.55026875202998</v>
      </c>
      <c r="Z726" s="68" t="str">
        <f t="shared" si="831"/>
        <v/>
      </c>
      <c r="AA726" s="68" t="str">
        <f t="shared" si="831"/>
        <v/>
      </c>
      <c r="AB726" s="73" t="s">
        <v>73</v>
      </c>
      <c r="AC726" s="55"/>
      <c r="AD726" s="93">
        <f t="shared" ref="AD726" si="839">W726/AC718</f>
        <v>0.12672473847709634</v>
      </c>
    </row>
    <row r="727" spans="1:30" s="32" customFormat="1" ht="15.95">
      <c r="A727" s="65"/>
      <c r="B727" s="66" t="s">
        <v>224</v>
      </c>
      <c r="C727" s="66" t="s">
        <v>193</v>
      </c>
      <c r="D727" s="66"/>
      <c r="E727" s="66" t="s">
        <v>20</v>
      </c>
      <c r="F727" s="66" t="s">
        <v>21</v>
      </c>
      <c r="G727" s="66" t="s">
        <v>226</v>
      </c>
      <c r="H727" s="66" t="s">
        <v>227</v>
      </c>
      <c r="I727" s="66" t="s">
        <v>231</v>
      </c>
      <c r="J727" s="66" t="s">
        <v>229</v>
      </c>
      <c r="K727" s="66" t="s">
        <v>232</v>
      </c>
      <c r="L727" s="67">
        <v>2017</v>
      </c>
      <c r="M727" s="66" t="s">
        <v>166</v>
      </c>
      <c r="N727" s="66" t="s">
        <v>24</v>
      </c>
      <c r="O727" s="66" t="s">
        <v>54</v>
      </c>
      <c r="P727" s="66" t="s">
        <v>25</v>
      </c>
      <c r="Q727" s="68"/>
      <c r="R727" s="68">
        <v>92618</v>
      </c>
      <c r="S727" s="69"/>
      <c r="T727" s="69"/>
      <c r="U727" s="74" t="s">
        <v>66</v>
      </c>
      <c r="V727" s="75" t="s">
        <v>56</v>
      </c>
      <c r="W727" s="68">
        <v>108609088.4889362</v>
      </c>
      <c r="X727" s="68" t="str">
        <f t="shared" si="831"/>
        <v/>
      </c>
      <c r="Y727" s="68">
        <f t="shared" si="831"/>
        <v>1172.6563787701764</v>
      </c>
      <c r="Z727" s="68" t="str">
        <f t="shared" si="831"/>
        <v/>
      </c>
      <c r="AA727" s="68" t="str">
        <f t="shared" si="831"/>
        <v/>
      </c>
      <c r="AB727" s="73" t="s">
        <v>73</v>
      </c>
      <c r="AC727" s="55"/>
      <c r="AD727" s="93">
        <f t="shared" ref="AD727" si="840">W727/AC718</f>
        <v>0.17512760103382377</v>
      </c>
    </row>
    <row r="728" spans="1:30" s="32" customFormat="1" ht="15.95">
      <c r="A728" s="65"/>
      <c r="B728" s="66" t="s">
        <v>224</v>
      </c>
      <c r="C728" s="66" t="s">
        <v>193</v>
      </c>
      <c r="D728" s="66"/>
      <c r="E728" s="66" t="s">
        <v>20</v>
      </c>
      <c r="F728" s="66" t="s">
        <v>21</v>
      </c>
      <c r="G728" s="66" t="s">
        <v>226</v>
      </c>
      <c r="H728" s="66" t="s">
        <v>227</v>
      </c>
      <c r="I728" s="66" t="s">
        <v>231</v>
      </c>
      <c r="J728" s="66" t="s">
        <v>229</v>
      </c>
      <c r="K728" s="66" t="s">
        <v>232</v>
      </c>
      <c r="L728" s="67">
        <v>2017</v>
      </c>
      <c r="M728" s="66" t="s">
        <v>166</v>
      </c>
      <c r="N728" s="66" t="s">
        <v>24</v>
      </c>
      <c r="O728" s="66" t="s">
        <v>54</v>
      </c>
      <c r="P728" s="66" t="s">
        <v>25</v>
      </c>
      <c r="Q728" s="68"/>
      <c r="R728" s="68">
        <v>92618</v>
      </c>
      <c r="S728" s="69"/>
      <c r="T728" s="69"/>
      <c r="U728" s="74" t="s">
        <v>67</v>
      </c>
      <c r="V728" s="75" t="s">
        <v>56</v>
      </c>
      <c r="W728" s="68">
        <v>16323746.805938613</v>
      </c>
      <c r="X728" s="68" t="str">
        <f t="shared" si="831"/>
        <v/>
      </c>
      <c r="Y728" s="68">
        <f t="shared" si="831"/>
        <v>176.24810302466705</v>
      </c>
      <c r="Z728" s="68" t="str">
        <f t="shared" si="831"/>
        <v/>
      </c>
      <c r="AA728" s="68" t="str">
        <f t="shared" si="831"/>
        <v/>
      </c>
      <c r="AB728" s="73" t="s">
        <v>73</v>
      </c>
      <c r="AC728" s="55"/>
      <c r="AD728" s="93">
        <f t="shared" ref="AD728" si="841">W728/AC718</f>
        <v>2.6321357243494284E-2</v>
      </c>
    </row>
    <row r="729" spans="1:30" s="32" customFormat="1" ht="15.95">
      <c r="A729" s="65"/>
      <c r="B729" s="66" t="s">
        <v>224</v>
      </c>
      <c r="C729" s="66" t="s">
        <v>193</v>
      </c>
      <c r="D729" s="66"/>
      <c r="E729" s="66" t="s">
        <v>20</v>
      </c>
      <c r="F729" s="66" t="s">
        <v>21</v>
      </c>
      <c r="G729" s="66" t="s">
        <v>226</v>
      </c>
      <c r="H729" s="66" t="s">
        <v>227</v>
      </c>
      <c r="I729" s="66" t="s">
        <v>231</v>
      </c>
      <c r="J729" s="66" t="s">
        <v>229</v>
      </c>
      <c r="K729" s="66" t="s">
        <v>232</v>
      </c>
      <c r="L729" s="67">
        <v>2017</v>
      </c>
      <c r="M729" s="66" t="s">
        <v>166</v>
      </c>
      <c r="N729" s="66" t="s">
        <v>24</v>
      </c>
      <c r="O729" s="66" t="s">
        <v>54</v>
      </c>
      <c r="P729" s="66" t="s">
        <v>25</v>
      </c>
      <c r="Q729" s="68"/>
      <c r="R729" s="68">
        <v>92618</v>
      </c>
      <c r="S729" s="69"/>
      <c r="T729" s="69"/>
      <c r="U729" s="74" t="s">
        <v>68</v>
      </c>
      <c r="V729" s="75" t="s">
        <v>56</v>
      </c>
      <c r="W729" s="68">
        <v>7808180.3287814856</v>
      </c>
      <c r="X729" s="68" t="str">
        <f t="shared" si="831"/>
        <v/>
      </c>
      <c r="Y729" s="68">
        <f t="shared" si="831"/>
        <v>84.305214200063546</v>
      </c>
      <c r="Z729" s="68" t="str">
        <f t="shared" si="831"/>
        <v/>
      </c>
      <c r="AA729" s="68" t="str">
        <f t="shared" si="831"/>
        <v/>
      </c>
      <c r="AB729" s="73" t="s">
        <v>73</v>
      </c>
      <c r="AC729" s="55"/>
      <c r="AD729" s="93">
        <f t="shared" ref="AD729" si="842">W729/AC718</f>
        <v>1.2590363370541428E-2</v>
      </c>
    </row>
    <row r="730" spans="1:30" s="32" customFormat="1" ht="15.95">
      <c r="A730" s="65"/>
      <c r="B730" s="66" t="s">
        <v>224</v>
      </c>
      <c r="C730" s="66" t="s">
        <v>193</v>
      </c>
      <c r="D730" s="66"/>
      <c r="E730" s="66" t="s">
        <v>20</v>
      </c>
      <c r="F730" s="66" t="s">
        <v>21</v>
      </c>
      <c r="G730" s="66" t="s">
        <v>226</v>
      </c>
      <c r="H730" s="66" t="s">
        <v>227</v>
      </c>
      <c r="I730" s="66" t="s">
        <v>231</v>
      </c>
      <c r="J730" s="66" t="s">
        <v>229</v>
      </c>
      <c r="K730" s="66" t="s">
        <v>232</v>
      </c>
      <c r="L730" s="67">
        <v>2017</v>
      </c>
      <c r="M730" s="66" t="s">
        <v>166</v>
      </c>
      <c r="N730" s="66" t="s">
        <v>24</v>
      </c>
      <c r="O730" s="66" t="s">
        <v>54</v>
      </c>
      <c r="P730" s="66" t="s">
        <v>25</v>
      </c>
      <c r="Q730" s="68"/>
      <c r="R730" s="68">
        <v>92618</v>
      </c>
      <c r="S730" s="69"/>
      <c r="T730" s="69"/>
      <c r="U730" s="74" t="s">
        <v>69</v>
      </c>
      <c r="V730" s="75" t="s">
        <v>56</v>
      </c>
      <c r="W730" s="68">
        <v>108818171.79797082</v>
      </c>
      <c r="X730" s="68" t="str">
        <f t="shared" si="831"/>
        <v/>
      </c>
      <c r="Y730" s="68">
        <f t="shared" si="831"/>
        <v>1174.9138590551602</v>
      </c>
      <c r="Z730" s="68" t="str">
        <f t="shared" si="831"/>
        <v/>
      </c>
      <c r="AA730" s="68" t="str">
        <f t="shared" si="831"/>
        <v/>
      </c>
      <c r="AB730" s="73" t="s">
        <v>73</v>
      </c>
      <c r="AC730" s="55"/>
      <c r="AD730" s="93">
        <f t="shared" ref="AD730" si="843">W730/AC718</f>
        <v>0.17546473910244106</v>
      </c>
    </row>
    <row r="731" spans="1:30" s="55" customFormat="1" ht="15" customHeight="1">
      <c r="A731" s="57"/>
      <c r="B731" s="58" t="s">
        <v>224</v>
      </c>
      <c r="C731" s="58" t="s">
        <v>180</v>
      </c>
      <c r="D731" s="58"/>
      <c r="E731" s="58" t="s">
        <v>20</v>
      </c>
      <c r="F731" s="58" t="s">
        <v>21</v>
      </c>
      <c r="G731" s="58" t="s">
        <v>226</v>
      </c>
      <c r="H731" s="58" t="s">
        <v>227</v>
      </c>
      <c r="I731" s="58" t="s">
        <v>233</v>
      </c>
      <c r="J731" s="58" t="s">
        <v>229</v>
      </c>
      <c r="K731" s="58" t="s">
        <v>234</v>
      </c>
      <c r="L731" s="59">
        <v>2017</v>
      </c>
      <c r="M731" s="58" t="s">
        <v>166</v>
      </c>
      <c r="N731" s="58" t="s">
        <v>24</v>
      </c>
      <c r="O731" s="58" t="s">
        <v>54</v>
      </c>
      <c r="P731" s="58" t="s">
        <v>25</v>
      </c>
      <c r="Q731" s="60"/>
      <c r="R731" s="60">
        <v>47401</v>
      </c>
      <c r="S731" s="61"/>
      <c r="T731" s="61">
        <v>140</v>
      </c>
      <c r="U731" s="62" t="s">
        <v>55</v>
      </c>
      <c r="V731" s="63" t="s">
        <v>56</v>
      </c>
      <c r="W731" s="60">
        <v>51600281.857478738</v>
      </c>
      <c r="X731" s="60" t="str">
        <f>IF(Q731&gt;0,$W731/Q731,"")</f>
        <v/>
      </c>
      <c r="Y731" s="60">
        <f t="shared" si="831"/>
        <v>1088.5905752511285</v>
      </c>
      <c r="Z731" s="60" t="str">
        <f t="shared" si="831"/>
        <v/>
      </c>
      <c r="AA731" s="60">
        <f t="shared" si="831"/>
        <v>368573.44183913385</v>
      </c>
      <c r="AB731" s="64" t="s">
        <v>73</v>
      </c>
      <c r="AC731" s="92">
        <f t="shared" ref="AC731" si="844">SUM(W731:W743)</f>
        <v>602515054.91103315</v>
      </c>
      <c r="AD731" s="93">
        <f t="shared" ref="AD731" si="845">W731/AC731</f>
        <v>8.5641481381901724E-2</v>
      </c>
    </row>
    <row r="732" spans="1:30" s="55" customFormat="1" ht="15.95">
      <c r="A732" s="57"/>
      <c r="B732" s="58" t="s">
        <v>224</v>
      </c>
      <c r="C732" s="58" t="s">
        <v>180</v>
      </c>
      <c r="D732" s="58"/>
      <c r="E732" s="58" t="s">
        <v>20</v>
      </c>
      <c r="F732" s="58" t="s">
        <v>21</v>
      </c>
      <c r="G732" s="58" t="s">
        <v>226</v>
      </c>
      <c r="H732" s="58" t="s">
        <v>227</v>
      </c>
      <c r="I732" s="58" t="s">
        <v>233</v>
      </c>
      <c r="J732" s="58" t="s">
        <v>229</v>
      </c>
      <c r="K732" s="58" t="s">
        <v>234</v>
      </c>
      <c r="L732" s="59">
        <v>2017</v>
      </c>
      <c r="M732" s="58" t="s">
        <v>166</v>
      </c>
      <c r="N732" s="58" t="s">
        <v>24</v>
      </c>
      <c r="O732" s="58" t="s">
        <v>54</v>
      </c>
      <c r="P732" s="58" t="s">
        <v>25</v>
      </c>
      <c r="Q732" s="60"/>
      <c r="R732" s="60">
        <v>47401</v>
      </c>
      <c r="S732" s="61"/>
      <c r="T732" s="61">
        <v>140</v>
      </c>
      <c r="U732" s="62" t="s">
        <v>58</v>
      </c>
      <c r="V732" s="63" t="s">
        <v>56</v>
      </c>
      <c r="W732" s="60">
        <v>67961200.35915938</v>
      </c>
      <c r="X732" s="60" t="str">
        <f t="shared" ref="X732:AA747" si="846">IF(Q732&gt;0,$W732/Q732,"")</f>
        <v/>
      </c>
      <c r="Y732" s="60">
        <f t="shared" si="831"/>
        <v>1433.7503503968139</v>
      </c>
      <c r="Z732" s="60" t="str">
        <f t="shared" si="831"/>
        <v/>
      </c>
      <c r="AA732" s="60">
        <f t="shared" si="831"/>
        <v>485437.14542256697</v>
      </c>
      <c r="AB732" s="64" t="s">
        <v>73</v>
      </c>
      <c r="AD732" s="93">
        <f t="shared" ref="AD732" si="847">W732/AC731</f>
        <v>0.11279585431968081</v>
      </c>
    </row>
    <row r="733" spans="1:30" s="55" customFormat="1" ht="15.95">
      <c r="A733" s="57"/>
      <c r="B733" s="58" t="s">
        <v>224</v>
      </c>
      <c r="C733" s="58" t="s">
        <v>180</v>
      </c>
      <c r="D733" s="58"/>
      <c r="E733" s="58" t="s">
        <v>20</v>
      </c>
      <c r="F733" s="58" t="s">
        <v>21</v>
      </c>
      <c r="G733" s="58" t="s">
        <v>226</v>
      </c>
      <c r="H733" s="58" t="s">
        <v>227</v>
      </c>
      <c r="I733" s="58" t="s">
        <v>233</v>
      </c>
      <c r="J733" s="58" t="s">
        <v>229</v>
      </c>
      <c r="K733" s="58" t="s">
        <v>234</v>
      </c>
      <c r="L733" s="59">
        <v>2017</v>
      </c>
      <c r="M733" s="58" t="s">
        <v>166</v>
      </c>
      <c r="N733" s="58" t="s">
        <v>24</v>
      </c>
      <c r="O733" s="58" t="s">
        <v>54</v>
      </c>
      <c r="P733" s="58" t="s">
        <v>25</v>
      </c>
      <c r="Q733" s="60"/>
      <c r="R733" s="60">
        <v>47401</v>
      </c>
      <c r="S733" s="61"/>
      <c r="T733" s="61">
        <v>140</v>
      </c>
      <c r="U733" s="62" t="s">
        <v>59</v>
      </c>
      <c r="V733" s="63" t="s">
        <v>56</v>
      </c>
      <c r="W733" s="60">
        <v>57512692.139809452</v>
      </c>
      <c r="X733" s="60" t="str">
        <f t="shared" si="846"/>
        <v/>
      </c>
      <c r="Y733" s="60">
        <f t="shared" si="831"/>
        <v>1213.3223379213402</v>
      </c>
      <c r="Z733" s="60" t="str">
        <f t="shared" si="831"/>
        <v/>
      </c>
      <c r="AA733" s="60">
        <f t="shared" si="831"/>
        <v>410804.94385578181</v>
      </c>
      <c r="AB733" s="64" t="s">
        <v>73</v>
      </c>
      <c r="AD733" s="93">
        <f t="shared" ref="AD733" si="848">W733/AC731</f>
        <v>9.5454365282709369E-2</v>
      </c>
    </row>
    <row r="734" spans="1:30" s="55" customFormat="1" ht="15.95">
      <c r="A734" s="57"/>
      <c r="B734" s="58" t="s">
        <v>224</v>
      </c>
      <c r="C734" s="58" t="s">
        <v>180</v>
      </c>
      <c r="D734" s="58"/>
      <c r="E734" s="58" t="s">
        <v>20</v>
      </c>
      <c r="F734" s="58" t="s">
        <v>21</v>
      </c>
      <c r="G734" s="58" t="s">
        <v>226</v>
      </c>
      <c r="H734" s="58" t="s">
        <v>227</v>
      </c>
      <c r="I734" s="58" t="s">
        <v>233</v>
      </c>
      <c r="J734" s="58" t="s">
        <v>229</v>
      </c>
      <c r="K734" s="58" t="s">
        <v>234</v>
      </c>
      <c r="L734" s="59">
        <v>2017</v>
      </c>
      <c r="M734" s="58" t="s">
        <v>166</v>
      </c>
      <c r="N734" s="58" t="s">
        <v>24</v>
      </c>
      <c r="O734" s="58" t="s">
        <v>54</v>
      </c>
      <c r="P734" s="58" t="s">
        <v>25</v>
      </c>
      <c r="Q734" s="60"/>
      <c r="R734" s="60">
        <v>47401</v>
      </c>
      <c r="S734" s="61"/>
      <c r="T734" s="61">
        <v>140</v>
      </c>
      <c r="U734" s="62" t="s">
        <v>60</v>
      </c>
      <c r="V734" s="63" t="s">
        <v>56</v>
      </c>
      <c r="W734" s="60">
        <v>10223995.941140886</v>
      </c>
      <c r="X734" s="60" t="str">
        <f t="shared" si="846"/>
        <v/>
      </c>
      <c r="Y734" s="60">
        <f t="shared" si="831"/>
        <v>215.69156644671813</v>
      </c>
      <c r="Z734" s="60" t="str">
        <f t="shared" si="831"/>
        <v/>
      </c>
      <c r="AA734" s="60">
        <f t="shared" si="831"/>
        <v>73028.542436720614</v>
      </c>
      <c r="AB734" s="64" t="s">
        <v>73</v>
      </c>
      <c r="AD734" s="93">
        <f t="shared" ref="AD734" si="849">W734/AC731</f>
        <v>1.6968863861253312E-2</v>
      </c>
    </row>
    <row r="735" spans="1:30" s="55" customFormat="1" ht="15.95">
      <c r="A735" s="57"/>
      <c r="B735" s="58" t="s">
        <v>224</v>
      </c>
      <c r="C735" s="58" t="s">
        <v>180</v>
      </c>
      <c r="D735" s="58"/>
      <c r="E735" s="58" t="s">
        <v>20</v>
      </c>
      <c r="F735" s="58" t="s">
        <v>21</v>
      </c>
      <c r="G735" s="58" t="s">
        <v>226</v>
      </c>
      <c r="H735" s="58" t="s">
        <v>227</v>
      </c>
      <c r="I735" s="58" t="s">
        <v>233</v>
      </c>
      <c r="J735" s="58" t="s">
        <v>229</v>
      </c>
      <c r="K735" s="58" t="s">
        <v>234</v>
      </c>
      <c r="L735" s="59">
        <v>2017</v>
      </c>
      <c r="M735" s="58" t="s">
        <v>166</v>
      </c>
      <c r="N735" s="58" t="s">
        <v>24</v>
      </c>
      <c r="O735" s="58" t="s">
        <v>54</v>
      </c>
      <c r="P735" s="58" t="s">
        <v>25</v>
      </c>
      <c r="Q735" s="60"/>
      <c r="R735" s="60">
        <v>47401</v>
      </c>
      <c r="S735" s="61"/>
      <c r="T735" s="61">
        <v>140</v>
      </c>
      <c r="U735" s="62" t="s">
        <v>61</v>
      </c>
      <c r="V735" s="63" t="s">
        <v>56</v>
      </c>
      <c r="W735" s="60">
        <v>108338766.69115776</v>
      </c>
      <c r="X735" s="60" t="str">
        <f t="shared" si="846"/>
        <v/>
      </c>
      <c r="Y735" s="60">
        <f t="shared" si="846"/>
        <v>2285.5797702824361</v>
      </c>
      <c r="Z735" s="60" t="str">
        <f t="shared" si="846"/>
        <v/>
      </c>
      <c r="AA735" s="60">
        <f t="shared" si="846"/>
        <v>773848.33350826974</v>
      </c>
      <c r="AB735" s="64" t="s">
        <v>73</v>
      </c>
      <c r="AD735" s="93">
        <f t="shared" ref="AD735" si="850">W735/AC731</f>
        <v>0.17981088739293821</v>
      </c>
    </row>
    <row r="736" spans="1:30" s="55" customFormat="1" ht="15.95">
      <c r="A736" s="57"/>
      <c r="B736" s="58" t="s">
        <v>224</v>
      </c>
      <c r="C736" s="58" t="s">
        <v>180</v>
      </c>
      <c r="D736" s="58"/>
      <c r="E736" s="58" t="s">
        <v>20</v>
      </c>
      <c r="F736" s="58" t="s">
        <v>21</v>
      </c>
      <c r="G736" s="58" t="s">
        <v>226</v>
      </c>
      <c r="H736" s="58" t="s">
        <v>227</v>
      </c>
      <c r="I736" s="58" t="s">
        <v>233</v>
      </c>
      <c r="J736" s="58" t="s">
        <v>229</v>
      </c>
      <c r="K736" s="58" t="s">
        <v>234</v>
      </c>
      <c r="L736" s="59">
        <v>2017</v>
      </c>
      <c r="M736" s="58" t="s">
        <v>166</v>
      </c>
      <c r="N736" s="58" t="s">
        <v>24</v>
      </c>
      <c r="O736" s="58" t="s">
        <v>54</v>
      </c>
      <c r="P736" s="58" t="s">
        <v>25</v>
      </c>
      <c r="Q736" s="60"/>
      <c r="R736" s="60">
        <v>47401</v>
      </c>
      <c r="S736" s="61"/>
      <c r="T736" s="61">
        <v>140</v>
      </c>
      <c r="U736" s="62" t="s">
        <v>62</v>
      </c>
      <c r="V736" s="63" t="s">
        <v>56</v>
      </c>
      <c r="W736" s="60">
        <v>62487761.702616096</v>
      </c>
      <c r="X736" s="60" t="str">
        <f t="shared" si="846"/>
        <v/>
      </c>
      <c r="Y736" s="60">
        <f t="shared" si="846"/>
        <v>1318.2793971143244</v>
      </c>
      <c r="Z736" s="60" t="str">
        <f t="shared" si="846"/>
        <v/>
      </c>
      <c r="AA736" s="60">
        <f t="shared" si="846"/>
        <v>446341.15501868638</v>
      </c>
      <c r="AB736" s="64" t="s">
        <v>73</v>
      </c>
      <c r="AD736" s="93">
        <f t="shared" ref="AD736" si="851">W736/AC731</f>
        <v>0.10371153582518031</v>
      </c>
    </row>
    <row r="737" spans="1:30" s="55" customFormat="1" ht="15.95">
      <c r="A737" s="57"/>
      <c r="B737" s="58" t="s">
        <v>224</v>
      </c>
      <c r="C737" s="58" t="s">
        <v>180</v>
      </c>
      <c r="D737" s="58"/>
      <c r="E737" s="58" t="s">
        <v>20</v>
      </c>
      <c r="F737" s="58" t="s">
        <v>21</v>
      </c>
      <c r="G737" s="58" t="s">
        <v>226</v>
      </c>
      <c r="H737" s="58" t="s">
        <v>227</v>
      </c>
      <c r="I737" s="58" t="s">
        <v>233</v>
      </c>
      <c r="J737" s="58" t="s">
        <v>229</v>
      </c>
      <c r="K737" s="58" t="s">
        <v>234</v>
      </c>
      <c r="L737" s="59">
        <v>2017</v>
      </c>
      <c r="M737" s="58" t="s">
        <v>166</v>
      </c>
      <c r="N737" s="58" t="s">
        <v>24</v>
      </c>
      <c r="O737" s="58" t="s">
        <v>54</v>
      </c>
      <c r="P737" s="58" t="s">
        <v>25</v>
      </c>
      <c r="Q737" s="60"/>
      <c r="R737" s="60">
        <v>47401</v>
      </c>
      <c r="S737" s="61"/>
      <c r="T737" s="61">
        <v>140</v>
      </c>
      <c r="U737" s="62" t="s">
        <v>63</v>
      </c>
      <c r="V737" s="63" t="s">
        <v>56</v>
      </c>
      <c r="W737" s="60">
        <v>8044718.2065546419</v>
      </c>
      <c r="X737" s="60" t="str">
        <f t="shared" si="846"/>
        <v/>
      </c>
      <c r="Y737" s="60">
        <f t="shared" si="846"/>
        <v>169.71621287640855</v>
      </c>
      <c r="Z737" s="60" t="str">
        <f t="shared" si="846"/>
        <v/>
      </c>
      <c r="AA737" s="60">
        <f t="shared" si="846"/>
        <v>57462.272903961726</v>
      </c>
      <c r="AB737" s="64" t="s">
        <v>73</v>
      </c>
      <c r="AD737" s="93">
        <f t="shared" ref="AD737" si="852">W737/AC731</f>
        <v>1.3351895759256204E-2</v>
      </c>
    </row>
    <row r="738" spans="1:30" s="55" customFormat="1" ht="15.95">
      <c r="A738" s="57"/>
      <c r="B738" s="58" t="s">
        <v>224</v>
      </c>
      <c r="C738" s="58" t="s">
        <v>180</v>
      </c>
      <c r="D738" s="58"/>
      <c r="E738" s="58" t="s">
        <v>20</v>
      </c>
      <c r="F738" s="58" t="s">
        <v>21</v>
      </c>
      <c r="G738" s="58" t="s">
        <v>226</v>
      </c>
      <c r="H738" s="58" t="s">
        <v>227</v>
      </c>
      <c r="I738" s="58" t="s">
        <v>233</v>
      </c>
      <c r="J738" s="58" t="s">
        <v>229</v>
      </c>
      <c r="K738" s="58" t="s">
        <v>234</v>
      </c>
      <c r="L738" s="59">
        <v>2017</v>
      </c>
      <c r="M738" s="58" t="s">
        <v>166</v>
      </c>
      <c r="N738" s="58" t="s">
        <v>24</v>
      </c>
      <c r="O738" s="58" t="s">
        <v>54</v>
      </c>
      <c r="P738" s="58" t="s">
        <v>25</v>
      </c>
      <c r="Q738" s="60"/>
      <c r="R738" s="60">
        <v>47401</v>
      </c>
      <c r="S738" s="61"/>
      <c r="T738" s="61">
        <v>140</v>
      </c>
      <c r="U738" s="62" t="s">
        <v>64</v>
      </c>
      <c r="V738" s="63" t="s">
        <v>56</v>
      </c>
      <c r="W738" s="60">
        <v>14950844.829822833</v>
      </c>
      <c r="X738" s="60" t="str">
        <f t="shared" si="846"/>
        <v/>
      </c>
      <c r="Y738" s="60">
        <f t="shared" si="846"/>
        <v>315.41201303396201</v>
      </c>
      <c r="Z738" s="60" t="str">
        <f t="shared" si="846"/>
        <v/>
      </c>
      <c r="AA738" s="60">
        <f t="shared" si="846"/>
        <v>106791.74878444881</v>
      </c>
      <c r="AB738" s="64" t="s">
        <v>73</v>
      </c>
      <c r="AD738" s="93">
        <f t="shared" ref="AD738" si="853">W738/AC731</f>
        <v>2.4814060176521997E-2</v>
      </c>
    </row>
    <row r="739" spans="1:30" s="55" customFormat="1" ht="15.95">
      <c r="A739" s="57"/>
      <c r="B739" s="58" t="s">
        <v>224</v>
      </c>
      <c r="C739" s="58" t="s">
        <v>180</v>
      </c>
      <c r="D739" s="58"/>
      <c r="E739" s="58" t="s">
        <v>20</v>
      </c>
      <c r="F739" s="58" t="s">
        <v>21</v>
      </c>
      <c r="G739" s="58" t="s">
        <v>226</v>
      </c>
      <c r="H739" s="58" t="s">
        <v>227</v>
      </c>
      <c r="I739" s="58" t="s">
        <v>233</v>
      </c>
      <c r="J739" s="58" t="s">
        <v>229</v>
      </c>
      <c r="K739" s="58" t="s">
        <v>234</v>
      </c>
      <c r="L739" s="59">
        <v>2017</v>
      </c>
      <c r="M739" s="58" t="s">
        <v>166</v>
      </c>
      <c r="N739" s="58" t="s">
        <v>24</v>
      </c>
      <c r="O739" s="58" t="s">
        <v>54</v>
      </c>
      <c r="P739" s="58" t="s">
        <v>25</v>
      </c>
      <c r="Q739" s="60"/>
      <c r="R739" s="60">
        <v>47401</v>
      </c>
      <c r="S739" s="61"/>
      <c r="T739" s="61">
        <v>140</v>
      </c>
      <c r="U739" s="62" t="s">
        <v>65</v>
      </c>
      <c r="V739" s="63" t="s">
        <v>56</v>
      </c>
      <c r="W739" s="60">
        <v>46380390.58161822</v>
      </c>
      <c r="X739" s="60" t="str">
        <f t="shared" si="846"/>
        <v/>
      </c>
      <c r="Y739" s="60">
        <f t="shared" si="846"/>
        <v>978.46860997907686</v>
      </c>
      <c r="Z739" s="60" t="str">
        <f t="shared" si="846"/>
        <v/>
      </c>
      <c r="AA739" s="60">
        <f t="shared" si="846"/>
        <v>331288.50415441586</v>
      </c>
      <c r="AB739" s="64" t="s">
        <v>73</v>
      </c>
      <c r="AD739" s="93">
        <f t="shared" ref="AD739" si="854">W739/AC731</f>
        <v>7.6977977900430566E-2</v>
      </c>
    </row>
    <row r="740" spans="1:30" s="55" customFormat="1" ht="15.95">
      <c r="A740" s="57"/>
      <c r="B740" s="58" t="s">
        <v>224</v>
      </c>
      <c r="C740" s="58" t="s">
        <v>180</v>
      </c>
      <c r="D740" s="58"/>
      <c r="E740" s="58" t="s">
        <v>20</v>
      </c>
      <c r="F740" s="58" t="s">
        <v>21</v>
      </c>
      <c r="G740" s="58" t="s">
        <v>226</v>
      </c>
      <c r="H740" s="58" t="s">
        <v>227</v>
      </c>
      <c r="I740" s="58" t="s">
        <v>233</v>
      </c>
      <c r="J740" s="58" t="s">
        <v>229</v>
      </c>
      <c r="K740" s="58" t="s">
        <v>234</v>
      </c>
      <c r="L740" s="59">
        <v>2017</v>
      </c>
      <c r="M740" s="58" t="s">
        <v>166</v>
      </c>
      <c r="N740" s="58" t="s">
        <v>24</v>
      </c>
      <c r="O740" s="58" t="s">
        <v>54</v>
      </c>
      <c r="P740" s="58" t="s">
        <v>25</v>
      </c>
      <c r="Q740" s="60"/>
      <c r="R740" s="60">
        <v>47401</v>
      </c>
      <c r="S740" s="61"/>
      <c r="T740" s="61">
        <v>140</v>
      </c>
      <c r="U740" s="62" t="s">
        <v>66</v>
      </c>
      <c r="V740" s="63" t="s">
        <v>56</v>
      </c>
      <c r="W740" s="60">
        <v>74220027.242803827</v>
      </c>
      <c r="X740" s="60" t="str">
        <f t="shared" si="846"/>
        <v/>
      </c>
      <c r="Y740" s="60">
        <f t="shared" si="846"/>
        <v>1565.7903260016419</v>
      </c>
      <c r="Z740" s="60" t="str">
        <f t="shared" si="846"/>
        <v/>
      </c>
      <c r="AA740" s="60">
        <f t="shared" si="846"/>
        <v>530143.05173431302</v>
      </c>
      <c r="AB740" s="64" t="s">
        <v>73</v>
      </c>
      <c r="AD740" s="93">
        <f t="shared" ref="AD740" si="855">W740/AC731</f>
        <v>0.12318368916734054</v>
      </c>
    </row>
    <row r="741" spans="1:30" s="55" customFormat="1" ht="15.95">
      <c r="A741" s="57"/>
      <c r="B741" s="58" t="s">
        <v>224</v>
      </c>
      <c r="C741" s="58" t="s">
        <v>180</v>
      </c>
      <c r="D741" s="58"/>
      <c r="E741" s="58" t="s">
        <v>20</v>
      </c>
      <c r="F741" s="58" t="s">
        <v>21</v>
      </c>
      <c r="G741" s="58" t="s">
        <v>226</v>
      </c>
      <c r="H741" s="58" t="s">
        <v>227</v>
      </c>
      <c r="I741" s="58" t="s">
        <v>233</v>
      </c>
      <c r="J741" s="58" t="s">
        <v>229</v>
      </c>
      <c r="K741" s="58" t="s">
        <v>234</v>
      </c>
      <c r="L741" s="59">
        <v>2017</v>
      </c>
      <c r="M741" s="58" t="s">
        <v>166</v>
      </c>
      <c r="N741" s="58" t="s">
        <v>24</v>
      </c>
      <c r="O741" s="58" t="s">
        <v>54</v>
      </c>
      <c r="P741" s="58" t="s">
        <v>25</v>
      </c>
      <c r="Q741" s="60"/>
      <c r="R741" s="60">
        <v>47401</v>
      </c>
      <c r="S741" s="61"/>
      <c r="T741" s="61">
        <v>140</v>
      </c>
      <c r="U741" s="62" t="s">
        <v>67</v>
      </c>
      <c r="V741" s="63" t="s">
        <v>56</v>
      </c>
      <c r="W741" s="60">
        <v>11371040.329299899</v>
      </c>
      <c r="X741" s="60" t="str">
        <f t="shared" si="846"/>
        <v/>
      </c>
      <c r="Y741" s="60">
        <f t="shared" si="846"/>
        <v>239.89030462015356</v>
      </c>
      <c r="Z741" s="60" t="str">
        <f t="shared" si="846"/>
        <v/>
      </c>
      <c r="AA741" s="60">
        <f t="shared" si="846"/>
        <v>81221.716637856414</v>
      </c>
      <c r="AB741" s="64" t="s">
        <v>73</v>
      </c>
      <c r="AD741" s="93">
        <f t="shared" ref="AD741" si="856">W741/AC731</f>
        <v>1.8872624404346106E-2</v>
      </c>
    </row>
    <row r="742" spans="1:30" s="55" customFormat="1" ht="15.95">
      <c r="A742" s="57"/>
      <c r="B742" s="58" t="s">
        <v>224</v>
      </c>
      <c r="C742" s="58" t="s">
        <v>180</v>
      </c>
      <c r="D742" s="58"/>
      <c r="E742" s="58" t="s">
        <v>20</v>
      </c>
      <c r="F742" s="58" t="s">
        <v>21</v>
      </c>
      <c r="G742" s="58" t="s">
        <v>226</v>
      </c>
      <c r="H742" s="58" t="s">
        <v>227</v>
      </c>
      <c r="I742" s="58" t="s">
        <v>233</v>
      </c>
      <c r="J742" s="58" t="s">
        <v>229</v>
      </c>
      <c r="K742" s="58" t="s">
        <v>234</v>
      </c>
      <c r="L742" s="59">
        <v>2017</v>
      </c>
      <c r="M742" s="58" t="s">
        <v>166</v>
      </c>
      <c r="N742" s="58" t="s">
        <v>24</v>
      </c>
      <c r="O742" s="58" t="s">
        <v>54</v>
      </c>
      <c r="P742" s="58" t="s">
        <v>25</v>
      </c>
      <c r="Q742" s="60"/>
      <c r="R742" s="60">
        <v>47401</v>
      </c>
      <c r="S742" s="61"/>
      <c r="T742" s="61">
        <v>140</v>
      </c>
      <c r="U742" s="62" t="s">
        <v>68</v>
      </c>
      <c r="V742" s="63" t="s">
        <v>56</v>
      </c>
      <c r="W742" s="60">
        <v>33104595.575266376</v>
      </c>
      <c r="X742" s="60" t="str">
        <f t="shared" si="846"/>
        <v/>
      </c>
      <c r="Y742" s="60">
        <f t="shared" si="846"/>
        <v>698.39445529137311</v>
      </c>
      <c r="Z742" s="60" t="str">
        <f t="shared" si="846"/>
        <v/>
      </c>
      <c r="AA742" s="60">
        <f t="shared" si="846"/>
        <v>236461.39696618839</v>
      </c>
      <c r="AB742" s="64" t="s">
        <v>73</v>
      </c>
      <c r="AD742" s="93">
        <f t="shared" ref="AD742" si="857">W742/AC731</f>
        <v>5.494401393863025E-2</v>
      </c>
    </row>
    <row r="743" spans="1:30" s="55" customFormat="1" ht="15.95">
      <c r="A743" s="57"/>
      <c r="B743" s="58" t="s">
        <v>224</v>
      </c>
      <c r="C743" s="58" t="s">
        <v>180</v>
      </c>
      <c r="D743" s="58"/>
      <c r="E743" s="58" t="s">
        <v>20</v>
      </c>
      <c r="F743" s="58" t="s">
        <v>21</v>
      </c>
      <c r="G743" s="58" t="s">
        <v>226</v>
      </c>
      <c r="H743" s="58" t="s">
        <v>227</v>
      </c>
      <c r="I743" s="58" t="s">
        <v>233</v>
      </c>
      <c r="J743" s="58" t="s">
        <v>229</v>
      </c>
      <c r="K743" s="58" t="s">
        <v>234</v>
      </c>
      <c r="L743" s="59">
        <v>2017</v>
      </c>
      <c r="M743" s="58" t="s">
        <v>166</v>
      </c>
      <c r="N743" s="58" t="s">
        <v>24</v>
      </c>
      <c r="O743" s="58" t="s">
        <v>54</v>
      </c>
      <c r="P743" s="58" t="s">
        <v>25</v>
      </c>
      <c r="Q743" s="60"/>
      <c r="R743" s="60">
        <v>47401</v>
      </c>
      <c r="S743" s="61"/>
      <c r="T743" s="61">
        <v>140</v>
      </c>
      <c r="U743" s="62" t="s">
        <v>69</v>
      </c>
      <c r="V743" s="63" t="s">
        <v>56</v>
      </c>
      <c r="W743" s="60">
        <v>56318739.454305097</v>
      </c>
      <c r="X743" s="60" t="str">
        <f t="shared" si="846"/>
        <v/>
      </c>
      <c r="Y743" s="60">
        <f t="shared" si="846"/>
        <v>1188.1339940993882</v>
      </c>
      <c r="Z743" s="60" t="str">
        <f t="shared" si="846"/>
        <v/>
      </c>
      <c r="AA743" s="60">
        <f t="shared" si="846"/>
        <v>402276.71038789354</v>
      </c>
      <c r="AB743" s="64" t="s">
        <v>73</v>
      </c>
      <c r="AD743" s="93">
        <f t="shared" ref="AD743" si="858">W743/AC731</f>
        <v>9.3472750589810694E-2</v>
      </c>
    </row>
    <row r="744" spans="1:30" s="32" customFormat="1" ht="15" customHeight="1">
      <c r="A744" s="65"/>
      <c r="B744" s="66" t="s">
        <v>224</v>
      </c>
      <c r="C744" s="66" t="s">
        <v>180</v>
      </c>
      <c r="D744" s="66"/>
      <c r="E744" s="66" t="s">
        <v>20</v>
      </c>
      <c r="F744" s="66" t="s">
        <v>21</v>
      </c>
      <c r="G744" s="66" t="s">
        <v>226</v>
      </c>
      <c r="H744" s="66" t="s">
        <v>227</v>
      </c>
      <c r="I744" s="66" t="s">
        <v>235</v>
      </c>
      <c r="J744" s="66" t="s">
        <v>229</v>
      </c>
      <c r="K744" s="66" t="s">
        <v>236</v>
      </c>
      <c r="L744" s="67">
        <v>2017</v>
      </c>
      <c r="M744" s="66" t="s">
        <v>166</v>
      </c>
      <c r="N744" s="66" t="s">
        <v>24</v>
      </c>
      <c r="O744" s="66" t="s">
        <v>54</v>
      </c>
      <c r="P744" s="66" t="s">
        <v>25</v>
      </c>
      <c r="Q744" s="68"/>
      <c r="R744" s="68">
        <v>42966</v>
      </c>
      <c r="S744" s="69"/>
      <c r="T744" s="69">
        <v>132</v>
      </c>
      <c r="U744" s="70" t="s">
        <v>55</v>
      </c>
      <c r="V744" s="71" t="s">
        <v>56</v>
      </c>
      <c r="W744" s="72">
        <v>45173161.096132688</v>
      </c>
      <c r="X744" s="68" t="str">
        <f>IF(Q744&gt;0,$W744/Q744,"")</f>
        <v/>
      </c>
      <c r="Y744" s="68">
        <f t="shared" si="846"/>
        <v>1051.3699459138084</v>
      </c>
      <c r="Z744" s="68" t="str">
        <f t="shared" si="846"/>
        <v/>
      </c>
      <c r="AA744" s="68">
        <f t="shared" si="846"/>
        <v>342220.91739494458</v>
      </c>
      <c r="AB744" s="73" t="s">
        <v>73</v>
      </c>
      <c r="AC744" s="92">
        <f t="shared" ref="AC744" si="859">SUM(W744:W756)</f>
        <v>579596477.50598371</v>
      </c>
      <c r="AD744" s="93">
        <f t="shared" ref="AD744" si="860">W744/AC744</f>
        <v>7.7938984878779427E-2</v>
      </c>
    </row>
    <row r="745" spans="1:30" s="32" customFormat="1" ht="15" customHeight="1">
      <c r="A745" s="65"/>
      <c r="B745" s="66" t="s">
        <v>224</v>
      </c>
      <c r="C745" s="66" t="s">
        <v>180</v>
      </c>
      <c r="D745" s="66"/>
      <c r="E745" s="66" t="s">
        <v>20</v>
      </c>
      <c r="F745" s="66" t="s">
        <v>21</v>
      </c>
      <c r="G745" s="66" t="s">
        <v>226</v>
      </c>
      <c r="H745" s="66" t="s">
        <v>227</v>
      </c>
      <c r="I745" s="66" t="s">
        <v>235</v>
      </c>
      <c r="J745" s="66" t="s">
        <v>229</v>
      </c>
      <c r="K745" s="66" t="s">
        <v>236</v>
      </c>
      <c r="L745" s="67">
        <v>2017</v>
      </c>
      <c r="M745" s="66" t="s">
        <v>166</v>
      </c>
      <c r="N745" s="66" t="s">
        <v>24</v>
      </c>
      <c r="O745" s="66" t="s">
        <v>54</v>
      </c>
      <c r="P745" s="66" t="s">
        <v>25</v>
      </c>
      <c r="Q745" s="68"/>
      <c r="R745" s="68">
        <v>42966</v>
      </c>
      <c r="S745" s="69"/>
      <c r="T745" s="69">
        <v>132</v>
      </c>
      <c r="U745" s="70" t="s">
        <v>58</v>
      </c>
      <c r="V745" s="71" t="s">
        <v>56</v>
      </c>
      <c r="W745" s="72">
        <v>62401885.989028305</v>
      </c>
      <c r="X745" s="68" t="str">
        <f t="shared" ref="X745:AA760" si="861">IF(Q745&gt;0,$W745/Q745,"")</f>
        <v/>
      </c>
      <c r="Y745" s="68">
        <f t="shared" si="846"/>
        <v>1452.3550246480545</v>
      </c>
      <c r="Z745" s="68" t="str">
        <f t="shared" si="846"/>
        <v/>
      </c>
      <c r="AA745" s="68">
        <f t="shared" si="846"/>
        <v>472741.5605229417</v>
      </c>
      <c r="AB745" s="73" t="s">
        <v>73</v>
      </c>
      <c r="AC745" s="55"/>
      <c r="AD745" s="93">
        <f t="shared" ref="AD745" si="862">W745/AC744</f>
        <v>0.10766436376139651</v>
      </c>
    </row>
    <row r="746" spans="1:30" s="32" customFormat="1" ht="15" customHeight="1">
      <c r="A746" s="65"/>
      <c r="B746" s="66" t="s">
        <v>224</v>
      </c>
      <c r="C746" s="66" t="s">
        <v>180</v>
      </c>
      <c r="D746" s="66"/>
      <c r="E746" s="66" t="s">
        <v>20</v>
      </c>
      <c r="F746" s="66" t="s">
        <v>21</v>
      </c>
      <c r="G746" s="66" t="s">
        <v>226</v>
      </c>
      <c r="H746" s="66" t="s">
        <v>227</v>
      </c>
      <c r="I746" s="66" t="s">
        <v>235</v>
      </c>
      <c r="J746" s="66" t="s">
        <v>229</v>
      </c>
      <c r="K746" s="66" t="s">
        <v>236</v>
      </c>
      <c r="L746" s="67">
        <v>2017</v>
      </c>
      <c r="M746" s="66" t="s">
        <v>166</v>
      </c>
      <c r="N746" s="66" t="s">
        <v>24</v>
      </c>
      <c r="O746" s="66" t="s">
        <v>54</v>
      </c>
      <c r="P746" s="66" t="s">
        <v>25</v>
      </c>
      <c r="Q746" s="68"/>
      <c r="R746" s="68">
        <v>42966</v>
      </c>
      <c r="S746" s="69"/>
      <c r="T746" s="69">
        <v>132</v>
      </c>
      <c r="U746" s="70" t="s">
        <v>59</v>
      </c>
      <c r="V746" s="71" t="s">
        <v>56</v>
      </c>
      <c r="W746" s="72">
        <v>49320313.34028732</v>
      </c>
      <c r="X746" s="68" t="str">
        <f t="shared" si="861"/>
        <v/>
      </c>
      <c r="Y746" s="68">
        <f t="shared" si="846"/>
        <v>1147.8916664406117</v>
      </c>
      <c r="Z746" s="68" t="str">
        <f t="shared" si="846"/>
        <v/>
      </c>
      <c r="AA746" s="68">
        <f t="shared" si="846"/>
        <v>373638.7374264191</v>
      </c>
      <c r="AB746" s="73" t="s">
        <v>73</v>
      </c>
      <c r="AC746" s="55"/>
      <c r="AD746" s="93">
        <f t="shared" ref="AD746" si="863">W746/AC744</f>
        <v>8.5094225473063098E-2</v>
      </c>
    </row>
    <row r="747" spans="1:30" s="32" customFormat="1" ht="15" customHeight="1">
      <c r="A747" s="65"/>
      <c r="B747" s="66" t="s">
        <v>224</v>
      </c>
      <c r="C747" s="66" t="s">
        <v>180</v>
      </c>
      <c r="D747" s="66"/>
      <c r="E747" s="66" t="s">
        <v>20</v>
      </c>
      <c r="F747" s="66" t="s">
        <v>21</v>
      </c>
      <c r="G747" s="66" t="s">
        <v>226</v>
      </c>
      <c r="H747" s="66" t="s">
        <v>227</v>
      </c>
      <c r="I747" s="66" t="s">
        <v>235</v>
      </c>
      <c r="J747" s="66" t="s">
        <v>229</v>
      </c>
      <c r="K747" s="66" t="s">
        <v>236</v>
      </c>
      <c r="L747" s="67">
        <v>2017</v>
      </c>
      <c r="M747" s="66" t="s">
        <v>166</v>
      </c>
      <c r="N747" s="66" t="s">
        <v>24</v>
      </c>
      <c r="O747" s="66" t="s">
        <v>54</v>
      </c>
      <c r="P747" s="66" t="s">
        <v>25</v>
      </c>
      <c r="Q747" s="68"/>
      <c r="R747" s="68">
        <v>42966</v>
      </c>
      <c r="S747" s="69"/>
      <c r="T747" s="69">
        <v>132</v>
      </c>
      <c r="U747" s="70" t="s">
        <v>60</v>
      </c>
      <c r="V747" s="71" t="s">
        <v>56</v>
      </c>
      <c r="W747" s="72">
        <v>8719640.2041442636</v>
      </c>
      <c r="X747" s="68" t="str">
        <f t="shared" si="861"/>
        <v/>
      </c>
      <c r="Y747" s="68">
        <f t="shared" si="846"/>
        <v>202.94279672634789</v>
      </c>
      <c r="Z747" s="68" t="str">
        <f t="shared" si="846"/>
        <v/>
      </c>
      <c r="AA747" s="68">
        <f t="shared" si="846"/>
        <v>66057.880334426241</v>
      </c>
      <c r="AB747" s="73" t="s">
        <v>73</v>
      </c>
      <c r="AC747" s="55"/>
      <c r="AD747" s="93">
        <f t="shared" ref="AD747" si="864">W747/AC744</f>
        <v>1.5044329188584903E-2</v>
      </c>
    </row>
    <row r="748" spans="1:30" s="32" customFormat="1" ht="15" customHeight="1">
      <c r="A748" s="65"/>
      <c r="B748" s="66" t="s">
        <v>224</v>
      </c>
      <c r="C748" s="66" t="s">
        <v>180</v>
      </c>
      <c r="D748" s="66"/>
      <c r="E748" s="66" t="s">
        <v>20</v>
      </c>
      <c r="F748" s="66" t="s">
        <v>21</v>
      </c>
      <c r="G748" s="66" t="s">
        <v>226</v>
      </c>
      <c r="H748" s="66" t="s">
        <v>227</v>
      </c>
      <c r="I748" s="66" t="s">
        <v>235</v>
      </c>
      <c r="J748" s="66" t="s">
        <v>229</v>
      </c>
      <c r="K748" s="66" t="s">
        <v>236</v>
      </c>
      <c r="L748" s="67">
        <v>2017</v>
      </c>
      <c r="M748" s="66" t="s">
        <v>166</v>
      </c>
      <c r="N748" s="66" t="s">
        <v>24</v>
      </c>
      <c r="O748" s="66" t="s">
        <v>54</v>
      </c>
      <c r="P748" s="66" t="s">
        <v>25</v>
      </c>
      <c r="Q748" s="68"/>
      <c r="R748" s="68">
        <v>42966</v>
      </c>
      <c r="S748" s="69"/>
      <c r="T748" s="69">
        <v>132</v>
      </c>
      <c r="U748" s="70" t="s">
        <v>61</v>
      </c>
      <c r="V748" s="71" t="s">
        <v>56</v>
      </c>
      <c r="W748" s="72">
        <v>136890316.16766119</v>
      </c>
      <c r="X748" s="68" t="str">
        <f t="shared" si="861"/>
        <v/>
      </c>
      <c r="Y748" s="68">
        <f t="shared" si="861"/>
        <v>3186.0148994009492</v>
      </c>
      <c r="Z748" s="68" t="str">
        <f t="shared" si="861"/>
        <v/>
      </c>
      <c r="AA748" s="68">
        <f t="shared" si="861"/>
        <v>1037047.8497550091</v>
      </c>
      <c r="AB748" s="73" t="s">
        <v>73</v>
      </c>
      <c r="AC748" s="55"/>
      <c r="AD748" s="93">
        <f t="shared" ref="AD748" si="865">W748/AC744</f>
        <v>0.23618210510302479</v>
      </c>
    </row>
    <row r="749" spans="1:30" s="32" customFormat="1" ht="15" customHeight="1">
      <c r="A749" s="65"/>
      <c r="B749" s="66" t="s">
        <v>224</v>
      </c>
      <c r="C749" s="66" t="s">
        <v>180</v>
      </c>
      <c r="D749" s="66"/>
      <c r="E749" s="66" t="s">
        <v>20</v>
      </c>
      <c r="F749" s="66" t="s">
        <v>21</v>
      </c>
      <c r="G749" s="66" t="s">
        <v>226</v>
      </c>
      <c r="H749" s="66" t="s">
        <v>227</v>
      </c>
      <c r="I749" s="66" t="s">
        <v>235</v>
      </c>
      <c r="J749" s="66" t="s">
        <v>229</v>
      </c>
      <c r="K749" s="66" t="s">
        <v>236</v>
      </c>
      <c r="L749" s="67">
        <v>2017</v>
      </c>
      <c r="M749" s="66" t="s">
        <v>166</v>
      </c>
      <c r="N749" s="66" t="s">
        <v>24</v>
      </c>
      <c r="O749" s="66" t="s">
        <v>54</v>
      </c>
      <c r="P749" s="66" t="s">
        <v>25</v>
      </c>
      <c r="Q749" s="68"/>
      <c r="R749" s="68">
        <v>42966</v>
      </c>
      <c r="S749" s="69"/>
      <c r="T749" s="69">
        <v>132</v>
      </c>
      <c r="U749" s="70" t="s">
        <v>62</v>
      </c>
      <c r="V749" s="71" t="s">
        <v>56</v>
      </c>
      <c r="W749" s="72">
        <v>55529658.009442978</v>
      </c>
      <c r="X749" s="68" t="str">
        <f t="shared" si="861"/>
        <v/>
      </c>
      <c r="Y749" s="68">
        <f t="shared" si="861"/>
        <v>1292.4093005968202</v>
      </c>
      <c r="Z749" s="68" t="str">
        <f t="shared" si="861"/>
        <v/>
      </c>
      <c r="AA749" s="68">
        <f t="shared" si="861"/>
        <v>420679.22734426497</v>
      </c>
      <c r="AB749" s="73" t="s">
        <v>73</v>
      </c>
      <c r="AC749" s="55"/>
      <c r="AD749" s="93">
        <f t="shared" ref="AD749" si="866">W749/AC744</f>
        <v>9.5807445635950561E-2</v>
      </c>
    </row>
    <row r="750" spans="1:30" s="32" customFormat="1" ht="15" customHeight="1">
      <c r="A750" s="65"/>
      <c r="B750" s="66" t="s">
        <v>224</v>
      </c>
      <c r="C750" s="66" t="s">
        <v>180</v>
      </c>
      <c r="D750" s="66"/>
      <c r="E750" s="66" t="s">
        <v>20</v>
      </c>
      <c r="F750" s="66" t="s">
        <v>21</v>
      </c>
      <c r="G750" s="66" t="s">
        <v>226</v>
      </c>
      <c r="H750" s="66" t="s">
        <v>227</v>
      </c>
      <c r="I750" s="66" t="s">
        <v>235</v>
      </c>
      <c r="J750" s="66" t="s">
        <v>229</v>
      </c>
      <c r="K750" s="66" t="s">
        <v>236</v>
      </c>
      <c r="L750" s="67">
        <v>2017</v>
      </c>
      <c r="M750" s="66" t="s">
        <v>166</v>
      </c>
      <c r="N750" s="66" t="s">
        <v>24</v>
      </c>
      <c r="O750" s="66" t="s">
        <v>54</v>
      </c>
      <c r="P750" s="66" t="s">
        <v>25</v>
      </c>
      <c r="Q750" s="68"/>
      <c r="R750" s="68">
        <v>42966</v>
      </c>
      <c r="S750" s="69"/>
      <c r="T750" s="69">
        <v>132</v>
      </c>
      <c r="U750" s="70" t="s">
        <v>63</v>
      </c>
      <c r="V750" s="71" t="s">
        <v>56</v>
      </c>
      <c r="W750" s="72">
        <v>6642348.2290682178</v>
      </c>
      <c r="X750" s="68" t="str">
        <f t="shared" si="861"/>
        <v/>
      </c>
      <c r="Y750" s="68">
        <f t="shared" si="861"/>
        <v>154.59545289457287</v>
      </c>
      <c r="Z750" s="68" t="str">
        <f t="shared" si="861"/>
        <v/>
      </c>
      <c r="AA750" s="68">
        <f t="shared" si="861"/>
        <v>50320.819917183471</v>
      </c>
      <c r="AB750" s="73" t="s">
        <v>73</v>
      </c>
      <c r="AC750" s="55"/>
      <c r="AD750" s="93">
        <f t="shared" ref="AD750" si="867">W750/AC744</f>
        <v>1.1460297787954798E-2</v>
      </c>
    </row>
    <row r="751" spans="1:30" s="32" customFormat="1" ht="15" customHeight="1">
      <c r="A751" s="65"/>
      <c r="B751" s="66" t="s">
        <v>224</v>
      </c>
      <c r="C751" s="66" t="s">
        <v>180</v>
      </c>
      <c r="D751" s="66"/>
      <c r="E751" s="66" t="s">
        <v>20</v>
      </c>
      <c r="F751" s="66" t="s">
        <v>21</v>
      </c>
      <c r="G751" s="66" t="s">
        <v>226</v>
      </c>
      <c r="H751" s="66" t="s">
        <v>227</v>
      </c>
      <c r="I751" s="66" t="s">
        <v>235</v>
      </c>
      <c r="J751" s="66" t="s">
        <v>229</v>
      </c>
      <c r="K751" s="66" t="s">
        <v>236</v>
      </c>
      <c r="L751" s="67">
        <v>2017</v>
      </c>
      <c r="M751" s="66" t="s">
        <v>166</v>
      </c>
      <c r="N751" s="66" t="s">
        <v>24</v>
      </c>
      <c r="O751" s="66" t="s">
        <v>54</v>
      </c>
      <c r="P751" s="66" t="s">
        <v>25</v>
      </c>
      <c r="Q751" s="68"/>
      <c r="R751" s="68">
        <v>42966</v>
      </c>
      <c r="S751" s="69"/>
      <c r="T751" s="69">
        <v>132</v>
      </c>
      <c r="U751" s="70" t="s">
        <v>64</v>
      </c>
      <c r="V751" s="71" t="s">
        <v>56</v>
      </c>
      <c r="W751" s="72">
        <v>10024405.169184553</v>
      </c>
      <c r="X751" s="68" t="str">
        <f t="shared" si="861"/>
        <v/>
      </c>
      <c r="Y751" s="68">
        <f t="shared" si="861"/>
        <v>233.3101794252328</v>
      </c>
      <c r="Z751" s="68" t="str">
        <f t="shared" si="861"/>
        <v/>
      </c>
      <c r="AA751" s="68">
        <f t="shared" si="861"/>
        <v>75942.463402913272</v>
      </c>
      <c r="AB751" s="73" t="s">
        <v>73</v>
      </c>
      <c r="AC751" s="55"/>
      <c r="AD751" s="93">
        <f t="shared" ref="AD751" si="868">W751/AC744</f>
        <v>1.7295490152596831E-2</v>
      </c>
    </row>
    <row r="752" spans="1:30" s="32" customFormat="1" ht="15" customHeight="1">
      <c r="A752" s="65"/>
      <c r="B752" s="66" t="s">
        <v>224</v>
      </c>
      <c r="C752" s="66" t="s">
        <v>180</v>
      </c>
      <c r="D752" s="66"/>
      <c r="E752" s="66" t="s">
        <v>20</v>
      </c>
      <c r="F752" s="66" t="s">
        <v>21</v>
      </c>
      <c r="G752" s="66" t="s">
        <v>226</v>
      </c>
      <c r="H752" s="66" t="s">
        <v>227</v>
      </c>
      <c r="I752" s="66" t="s">
        <v>235</v>
      </c>
      <c r="J752" s="66" t="s">
        <v>229</v>
      </c>
      <c r="K752" s="66" t="s">
        <v>236</v>
      </c>
      <c r="L752" s="67">
        <v>2017</v>
      </c>
      <c r="M752" s="66" t="s">
        <v>166</v>
      </c>
      <c r="N752" s="66" t="s">
        <v>24</v>
      </c>
      <c r="O752" s="66" t="s">
        <v>54</v>
      </c>
      <c r="P752" s="66" t="s">
        <v>25</v>
      </c>
      <c r="Q752" s="68"/>
      <c r="R752" s="68">
        <v>42966</v>
      </c>
      <c r="S752" s="69"/>
      <c r="T752" s="69">
        <v>132</v>
      </c>
      <c r="U752" s="70" t="s">
        <v>65</v>
      </c>
      <c r="V752" s="71" t="s">
        <v>56</v>
      </c>
      <c r="W752" s="72">
        <v>40031383.322366126</v>
      </c>
      <c r="X752" s="68" t="str">
        <f t="shared" si="861"/>
        <v/>
      </c>
      <c r="Y752" s="68">
        <f t="shared" si="861"/>
        <v>931.69909515351969</v>
      </c>
      <c r="Z752" s="68" t="str">
        <f t="shared" si="861"/>
        <v/>
      </c>
      <c r="AA752" s="68">
        <f t="shared" si="861"/>
        <v>303268.05547247065</v>
      </c>
      <c r="AB752" s="73" t="s">
        <v>73</v>
      </c>
      <c r="AC752" s="55"/>
      <c r="AD752" s="93">
        <f t="shared" ref="AD752" si="869">W752/AC744</f>
        <v>6.9067678766134052E-2</v>
      </c>
    </row>
    <row r="753" spans="1:30" s="32" customFormat="1" ht="15" customHeight="1">
      <c r="A753" s="65"/>
      <c r="B753" s="66" t="s">
        <v>224</v>
      </c>
      <c r="C753" s="66" t="s">
        <v>180</v>
      </c>
      <c r="D753" s="66"/>
      <c r="E753" s="66" t="s">
        <v>20</v>
      </c>
      <c r="F753" s="66" t="s">
        <v>21</v>
      </c>
      <c r="G753" s="66" t="s">
        <v>226</v>
      </c>
      <c r="H753" s="66" t="s">
        <v>227</v>
      </c>
      <c r="I753" s="66" t="s">
        <v>235</v>
      </c>
      <c r="J753" s="66" t="s">
        <v>229</v>
      </c>
      <c r="K753" s="66" t="s">
        <v>236</v>
      </c>
      <c r="L753" s="67">
        <v>2017</v>
      </c>
      <c r="M753" s="66" t="s">
        <v>166</v>
      </c>
      <c r="N753" s="66" t="s">
        <v>24</v>
      </c>
      <c r="O753" s="66" t="s">
        <v>54</v>
      </c>
      <c r="P753" s="66" t="s">
        <v>25</v>
      </c>
      <c r="Q753" s="68"/>
      <c r="R753" s="68">
        <v>42966</v>
      </c>
      <c r="S753" s="69"/>
      <c r="T753" s="69">
        <v>132</v>
      </c>
      <c r="U753" s="70" t="s">
        <v>66</v>
      </c>
      <c r="V753" s="71" t="s">
        <v>56</v>
      </c>
      <c r="W753" s="72">
        <v>68125442.388429701</v>
      </c>
      <c r="X753" s="68" t="str">
        <f t="shared" si="861"/>
        <v/>
      </c>
      <c r="Y753" s="68">
        <f t="shared" si="861"/>
        <v>1585.5663172841246</v>
      </c>
      <c r="Z753" s="68" t="str">
        <f t="shared" si="861"/>
        <v/>
      </c>
      <c r="AA753" s="68">
        <f t="shared" si="861"/>
        <v>516101.83627598261</v>
      </c>
      <c r="AB753" s="73" t="s">
        <v>73</v>
      </c>
      <c r="AC753" s="55"/>
      <c r="AD753" s="93">
        <f t="shared" ref="AD753" si="870">W753/AC744</f>
        <v>0.11753943481778041</v>
      </c>
    </row>
    <row r="754" spans="1:30" s="32" customFormat="1" ht="15" customHeight="1">
      <c r="A754" s="65"/>
      <c r="B754" s="66" t="s">
        <v>224</v>
      </c>
      <c r="C754" s="66" t="s">
        <v>180</v>
      </c>
      <c r="D754" s="66"/>
      <c r="E754" s="66" t="s">
        <v>20</v>
      </c>
      <c r="F754" s="66" t="s">
        <v>21</v>
      </c>
      <c r="G754" s="66" t="s">
        <v>226</v>
      </c>
      <c r="H754" s="66" t="s">
        <v>227</v>
      </c>
      <c r="I754" s="66" t="s">
        <v>235</v>
      </c>
      <c r="J754" s="66" t="s">
        <v>229</v>
      </c>
      <c r="K754" s="66" t="s">
        <v>236</v>
      </c>
      <c r="L754" s="67">
        <v>2017</v>
      </c>
      <c r="M754" s="66" t="s">
        <v>166</v>
      </c>
      <c r="N754" s="66" t="s">
        <v>24</v>
      </c>
      <c r="O754" s="66" t="s">
        <v>54</v>
      </c>
      <c r="P754" s="66" t="s">
        <v>25</v>
      </c>
      <c r="Q754" s="68"/>
      <c r="R754" s="68">
        <v>42966</v>
      </c>
      <c r="S754" s="69"/>
      <c r="T754" s="69">
        <v>132</v>
      </c>
      <c r="U754" s="70" t="s">
        <v>67</v>
      </c>
      <c r="V754" s="71" t="s">
        <v>56</v>
      </c>
      <c r="W754" s="72">
        <v>9865620.934636496</v>
      </c>
      <c r="X754" s="68" t="str">
        <f t="shared" si="861"/>
        <v/>
      </c>
      <c r="Y754" s="68">
        <f t="shared" si="861"/>
        <v>229.61460072235013</v>
      </c>
      <c r="Z754" s="68" t="str">
        <f t="shared" si="861"/>
        <v/>
      </c>
      <c r="AA754" s="68">
        <f t="shared" si="861"/>
        <v>74739.552535124967</v>
      </c>
      <c r="AB754" s="73" t="s">
        <v>73</v>
      </c>
      <c r="AC754" s="55"/>
      <c r="AD754" s="93">
        <f t="shared" ref="AD754" si="871">W754/AC744</f>
        <v>1.7021533631619845E-2</v>
      </c>
    </row>
    <row r="755" spans="1:30" s="32" customFormat="1" ht="15" customHeight="1">
      <c r="A755" s="65"/>
      <c r="B755" s="66" t="s">
        <v>224</v>
      </c>
      <c r="C755" s="66" t="s">
        <v>180</v>
      </c>
      <c r="D755" s="66"/>
      <c r="E755" s="66" t="s">
        <v>20</v>
      </c>
      <c r="F755" s="66" t="s">
        <v>21</v>
      </c>
      <c r="G755" s="66" t="s">
        <v>226</v>
      </c>
      <c r="H755" s="66" t="s">
        <v>227</v>
      </c>
      <c r="I755" s="66" t="s">
        <v>235</v>
      </c>
      <c r="J755" s="66" t="s">
        <v>229</v>
      </c>
      <c r="K755" s="66" t="s">
        <v>236</v>
      </c>
      <c r="L755" s="67">
        <v>2017</v>
      </c>
      <c r="M755" s="66" t="s">
        <v>166</v>
      </c>
      <c r="N755" s="66" t="s">
        <v>24</v>
      </c>
      <c r="O755" s="66" t="s">
        <v>54</v>
      </c>
      <c r="P755" s="66" t="s">
        <v>25</v>
      </c>
      <c r="Q755" s="68"/>
      <c r="R755" s="68">
        <v>42966</v>
      </c>
      <c r="S755" s="69"/>
      <c r="T755" s="69">
        <v>132</v>
      </c>
      <c r="U755" s="70" t="s">
        <v>68</v>
      </c>
      <c r="V755" s="71" t="s">
        <v>56</v>
      </c>
      <c r="W755" s="72">
        <v>20794055.573625699</v>
      </c>
      <c r="X755" s="68" t="str">
        <f t="shared" si="861"/>
        <v/>
      </c>
      <c r="Y755" s="68">
        <f t="shared" si="861"/>
        <v>483.96535804184003</v>
      </c>
      <c r="Z755" s="68" t="str">
        <f t="shared" si="861"/>
        <v/>
      </c>
      <c r="AA755" s="68">
        <f t="shared" si="861"/>
        <v>157530.72404261894</v>
      </c>
      <c r="AB755" s="73" t="s">
        <v>73</v>
      </c>
      <c r="AC755" s="55"/>
      <c r="AD755" s="93">
        <f t="shared" ref="AD755" si="872">W755/AC744</f>
        <v>3.5876780450949206E-2</v>
      </c>
    </row>
    <row r="756" spans="1:30" s="32" customFormat="1" ht="15" customHeight="1">
      <c r="A756" s="65"/>
      <c r="B756" s="66" t="s">
        <v>224</v>
      </c>
      <c r="C756" s="66" t="s">
        <v>180</v>
      </c>
      <c r="D756" s="66"/>
      <c r="E756" s="66" t="s">
        <v>20</v>
      </c>
      <c r="F756" s="66" t="s">
        <v>21</v>
      </c>
      <c r="G756" s="66" t="s">
        <v>226</v>
      </c>
      <c r="H756" s="66" t="s">
        <v>227</v>
      </c>
      <c r="I756" s="66" t="s">
        <v>235</v>
      </c>
      <c r="J756" s="66" t="s">
        <v>229</v>
      </c>
      <c r="K756" s="66" t="s">
        <v>236</v>
      </c>
      <c r="L756" s="67">
        <v>2017</v>
      </c>
      <c r="M756" s="66" t="s">
        <v>166</v>
      </c>
      <c r="N756" s="66" t="s">
        <v>24</v>
      </c>
      <c r="O756" s="66" t="s">
        <v>54</v>
      </c>
      <c r="P756" s="66" t="s">
        <v>25</v>
      </c>
      <c r="Q756" s="68"/>
      <c r="R756" s="68">
        <v>42966</v>
      </c>
      <c r="S756" s="69"/>
      <c r="T756" s="69">
        <v>132</v>
      </c>
      <c r="U756" s="70" t="s">
        <v>69</v>
      </c>
      <c r="V756" s="71" t="s">
        <v>56</v>
      </c>
      <c r="W756" s="72">
        <v>66078247.081976168</v>
      </c>
      <c r="X756" s="68" t="str">
        <f t="shared" si="861"/>
        <v/>
      </c>
      <c r="Y756" s="68">
        <f t="shared" si="861"/>
        <v>1537.9194498435081</v>
      </c>
      <c r="Z756" s="68" t="str">
        <f t="shared" si="861"/>
        <v/>
      </c>
      <c r="AA756" s="68">
        <f t="shared" si="861"/>
        <v>500592.7809240619</v>
      </c>
      <c r="AB756" s="73" t="s">
        <v>73</v>
      </c>
      <c r="AC756" s="55"/>
      <c r="AD756" s="93">
        <f t="shared" ref="AD756" si="873">W756/AC744</f>
        <v>0.11400733035216554</v>
      </c>
    </row>
    <row r="757" spans="1:30" s="55" customFormat="1" ht="15" customHeight="1">
      <c r="A757" s="57"/>
      <c r="B757" s="58" t="s">
        <v>224</v>
      </c>
      <c r="C757" s="58" t="s">
        <v>180</v>
      </c>
      <c r="D757" s="58"/>
      <c r="E757" s="58" t="s">
        <v>20</v>
      </c>
      <c r="F757" s="58" t="s">
        <v>21</v>
      </c>
      <c r="G757" s="58" t="s">
        <v>226</v>
      </c>
      <c r="H757" s="58" t="s">
        <v>227</v>
      </c>
      <c r="I757" s="58" t="s">
        <v>237</v>
      </c>
      <c r="J757" s="58" t="s">
        <v>229</v>
      </c>
      <c r="K757" s="58" t="s">
        <v>238</v>
      </c>
      <c r="L757" s="59">
        <v>2017</v>
      </c>
      <c r="M757" s="58" t="s">
        <v>166</v>
      </c>
      <c r="N757" s="58" t="s">
        <v>24</v>
      </c>
      <c r="O757" s="58" t="s">
        <v>54</v>
      </c>
      <c r="P757" s="58" t="s">
        <v>25</v>
      </c>
      <c r="Q757" s="60"/>
      <c r="R757" s="60">
        <v>45052</v>
      </c>
      <c r="S757" s="61"/>
      <c r="T757" s="61">
        <v>89</v>
      </c>
      <c r="U757" s="62" t="s">
        <v>55</v>
      </c>
      <c r="V757" s="63" t="s">
        <v>56</v>
      </c>
      <c r="W757" s="60">
        <v>53989034.605609</v>
      </c>
      <c r="X757" s="60" t="str">
        <f>IF(Q757&gt;0,$W757/Q757,"")</f>
        <v/>
      </c>
      <c r="Y757" s="60">
        <f t="shared" si="861"/>
        <v>1198.3715396787934</v>
      </c>
      <c r="Z757" s="60" t="str">
        <f t="shared" si="861"/>
        <v/>
      </c>
      <c r="AA757" s="60">
        <f t="shared" si="861"/>
        <v>606618.36635515734</v>
      </c>
      <c r="AB757" s="64" t="s">
        <v>73</v>
      </c>
      <c r="AC757" s="92">
        <f t="shared" ref="AC757" si="874">SUM(W757:W769)</f>
        <v>584898345.21728051</v>
      </c>
      <c r="AD757" s="93">
        <f t="shared" ref="AD757" si="875">W757/AC757</f>
        <v>9.2304987776214209E-2</v>
      </c>
    </row>
    <row r="758" spans="1:30" s="55" customFormat="1" ht="15.95">
      <c r="A758" s="57"/>
      <c r="B758" s="58" t="s">
        <v>224</v>
      </c>
      <c r="C758" s="58" t="s">
        <v>180</v>
      </c>
      <c r="D758" s="58"/>
      <c r="E758" s="58" t="s">
        <v>20</v>
      </c>
      <c r="F758" s="58" t="s">
        <v>21</v>
      </c>
      <c r="G758" s="58" t="s">
        <v>226</v>
      </c>
      <c r="H758" s="58" t="s">
        <v>227</v>
      </c>
      <c r="I758" s="58" t="s">
        <v>237</v>
      </c>
      <c r="J758" s="58" t="s">
        <v>229</v>
      </c>
      <c r="K758" s="58" t="s">
        <v>238</v>
      </c>
      <c r="L758" s="59">
        <v>2017</v>
      </c>
      <c r="M758" s="58" t="s">
        <v>166</v>
      </c>
      <c r="N758" s="58" t="s">
        <v>24</v>
      </c>
      <c r="O758" s="58" t="s">
        <v>54</v>
      </c>
      <c r="P758" s="58" t="s">
        <v>25</v>
      </c>
      <c r="Q758" s="60"/>
      <c r="R758" s="60">
        <v>45052</v>
      </c>
      <c r="S758" s="61"/>
      <c r="T758" s="61">
        <v>89</v>
      </c>
      <c r="U758" s="62" t="s">
        <v>58</v>
      </c>
      <c r="V758" s="63" t="s">
        <v>56</v>
      </c>
      <c r="W758" s="60">
        <v>53386854.468679667</v>
      </c>
      <c r="X758" s="60" t="str">
        <f t="shared" ref="X758:AA773" si="876">IF(Q758&gt;0,$W758/Q758,"")</f>
        <v/>
      </c>
      <c r="Y758" s="60">
        <f t="shared" si="861"/>
        <v>1185.005204401129</v>
      </c>
      <c r="Z758" s="60" t="str">
        <f t="shared" si="861"/>
        <v/>
      </c>
      <c r="AA758" s="60">
        <f t="shared" si="861"/>
        <v>599852.29740089516</v>
      </c>
      <c r="AB758" s="64" t="s">
        <v>73</v>
      </c>
      <c r="AD758" s="93">
        <f t="shared" ref="AD758" si="877">W758/AC757</f>
        <v>9.1275441117630945E-2</v>
      </c>
    </row>
    <row r="759" spans="1:30" s="55" customFormat="1" ht="15.95">
      <c r="A759" s="57"/>
      <c r="B759" s="58" t="s">
        <v>224</v>
      </c>
      <c r="C759" s="58" t="s">
        <v>180</v>
      </c>
      <c r="D759" s="58"/>
      <c r="E759" s="58" t="s">
        <v>20</v>
      </c>
      <c r="F759" s="58" t="s">
        <v>21</v>
      </c>
      <c r="G759" s="58" t="s">
        <v>226</v>
      </c>
      <c r="H759" s="58" t="s">
        <v>227</v>
      </c>
      <c r="I759" s="58" t="s">
        <v>237</v>
      </c>
      <c r="J759" s="58" t="s">
        <v>229</v>
      </c>
      <c r="K759" s="58" t="s">
        <v>238</v>
      </c>
      <c r="L759" s="59">
        <v>2017</v>
      </c>
      <c r="M759" s="58" t="s">
        <v>166</v>
      </c>
      <c r="N759" s="58" t="s">
        <v>24</v>
      </c>
      <c r="O759" s="58" t="s">
        <v>54</v>
      </c>
      <c r="P759" s="58" t="s">
        <v>25</v>
      </c>
      <c r="Q759" s="60"/>
      <c r="R759" s="60">
        <v>45052</v>
      </c>
      <c r="S759" s="61"/>
      <c r="T759" s="61">
        <v>89</v>
      </c>
      <c r="U759" s="62" t="s">
        <v>59</v>
      </c>
      <c r="V759" s="63" t="s">
        <v>56</v>
      </c>
      <c r="W759" s="60">
        <v>45471494.624736339</v>
      </c>
      <c r="X759" s="60" t="str">
        <f t="shared" si="876"/>
        <v/>
      </c>
      <c r="Y759" s="60">
        <f t="shared" si="861"/>
        <v>1009.3113429977878</v>
      </c>
      <c r="Z759" s="60" t="str">
        <f t="shared" si="861"/>
        <v/>
      </c>
      <c r="AA759" s="60">
        <f t="shared" si="861"/>
        <v>510915.66994085774</v>
      </c>
      <c r="AB759" s="64" t="s">
        <v>73</v>
      </c>
      <c r="AD759" s="93">
        <f t="shared" ref="AD759" si="878">W759/AC757</f>
        <v>7.7742559876527603E-2</v>
      </c>
    </row>
    <row r="760" spans="1:30" s="55" customFormat="1" ht="15.95">
      <c r="A760" s="57"/>
      <c r="B760" s="58" t="s">
        <v>224</v>
      </c>
      <c r="C760" s="58" t="s">
        <v>180</v>
      </c>
      <c r="D760" s="58"/>
      <c r="E760" s="58" t="s">
        <v>20</v>
      </c>
      <c r="F760" s="58" t="s">
        <v>21</v>
      </c>
      <c r="G760" s="58" t="s">
        <v>226</v>
      </c>
      <c r="H760" s="58" t="s">
        <v>227</v>
      </c>
      <c r="I760" s="58" t="s">
        <v>237</v>
      </c>
      <c r="J760" s="58" t="s">
        <v>229</v>
      </c>
      <c r="K760" s="58" t="s">
        <v>238</v>
      </c>
      <c r="L760" s="59">
        <v>2017</v>
      </c>
      <c r="M760" s="58" t="s">
        <v>166</v>
      </c>
      <c r="N760" s="58" t="s">
        <v>24</v>
      </c>
      <c r="O760" s="58" t="s">
        <v>54</v>
      </c>
      <c r="P760" s="58" t="s">
        <v>25</v>
      </c>
      <c r="Q760" s="60"/>
      <c r="R760" s="60">
        <v>45052</v>
      </c>
      <c r="S760" s="61"/>
      <c r="T760" s="61">
        <v>89</v>
      </c>
      <c r="U760" s="62" t="s">
        <v>60</v>
      </c>
      <c r="V760" s="63" t="s">
        <v>56</v>
      </c>
      <c r="W760" s="60">
        <v>14838769.374062944</v>
      </c>
      <c r="X760" s="60" t="str">
        <f t="shared" si="876"/>
        <v/>
      </c>
      <c r="Y760" s="60">
        <f t="shared" si="861"/>
        <v>329.36982540315512</v>
      </c>
      <c r="Z760" s="60" t="str">
        <f t="shared" si="861"/>
        <v/>
      </c>
      <c r="AA760" s="60">
        <f t="shared" si="861"/>
        <v>166727.74577598815</v>
      </c>
      <c r="AB760" s="64" t="s">
        <v>73</v>
      </c>
      <c r="AD760" s="93">
        <f t="shared" ref="AD760" si="879">W760/AC757</f>
        <v>2.5369826219204937E-2</v>
      </c>
    </row>
    <row r="761" spans="1:30" s="55" customFormat="1" ht="15.95">
      <c r="A761" s="57"/>
      <c r="B761" s="58" t="s">
        <v>224</v>
      </c>
      <c r="C761" s="58" t="s">
        <v>180</v>
      </c>
      <c r="D761" s="58"/>
      <c r="E761" s="58" t="s">
        <v>20</v>
      </c>
      <c r="F761" s="58" t="s">
        <v>21</v>
      </c>
      <c r="G761" s="58" t="s">
        <v>226</v>
      </c>
      <c r="H761" s="58" t="s">
        <v>227</v>
      </c>
      <c r="I761" s="58" t="s">
        <v>237</v>
      </c>
      <c r="J761" s="58" t="s">
        <v>229</v>
      </c>
      <c r="K761" s="58" t="s">
        <v>238</v>
      </c>
      <c r="L761" s="59">
        <v>2017</v>
      </c>
      <c r="M761" s="58" t="s">
        <v>166</v>
      </c>
      <c r="N761" s="58" t="s">
        <v>24</v>
      </c>
      <c r="O761" s="58" t="s">
        <v>54</v>
      </c>
      <c r="P761" s="58" t="s">
        <v>25</v>
      </c>
      <c r="Q761" s="60"/>
      <c r="R761" s="60">
        <v>45052</v>
      </c>
      <c r="S761" s="61"/>
      <c r="T761" s="61">
        <v>89</v>
      </c>
      <c r="U761" s="62" t="s">
        <v>61</v>
      </c>
      <c r="V761" s="63" t="s">
        <v>56</v>
      </c>
      <c r="W761" s="60">
        <v>114580934.28761972</v>
      </c>
      <c r="X761" s="60" t="str">
        <f t="shared" si="876"/>
        <v/>
      </c>
      <c r="Y761" s="60">
        <f t="shared" si="876"/>
        <v>2543.3040550390597</v>
      </c>
      <c r="Z761" s="60" t="str">
        <f t="shared" si="876"/>
        <v/>
      </c>
      <c r="AA761" s="60">
        <f t="shared" si="876"/>
        <v>1287426.2279507834</v>
      </c>
      <c r="AB761" s="64" t="s">
        <v>73</v>
      </c>
      <c r="AD761" s="93">
        <f t="shared" ref="AD761" si="880">W761/AC757</f>
        <v>0.19589888606208095</v>
      </c>
    </row>
    <row r="762" spans="1:30" s="55" customFormat="1" ht="15.95">
      <c r="A762" s="57"/>
      <c r="B762" s="58" t="s">
        <v>224</v>
      </c>
      <c r="C762" s="58" t="s">
        <v>180</v>
      </c>
      <c r="D762" s="58"/>
      <c r="E762" s="58" t="s">
        <v>20</v>
      </c>
      <c r="F762" s="58" t="s">
        <v>21</v>
      </c>
      <c r="G762" s="58" t="s">
        <v>226</v>
      </c>
      <c r="H762" s="58" t="s">
        <v>227</v>
      </c>
      <c r="I762" s="58" t="s">
        <v>237</v>
      </c>
      <c r="J762" s="58" t="s">
        <v>229</v>
      </c>
      <c r="K762" s="58" t="s">
        <v>238</v>
      </c>
      <c r="L762" s="59">
        <v>2017</v>
      </c>
      <c r="M762" s="58" t="s">
        <v>166</v>
      </c>
      <c r="N762" s="58" t="s">
        <v>24</v>
      </c>
      <c r="O762" s="58" t="s">
        <v>54</v>
      </c>
      <c r="P762" s="58" t="s">
        <v>25</v>
      </c>
      <c r="Q762" s="60"/>
      <c r="R762" s="60">
        <v>45052</v>
      </c>
      <c r="S762" s="61"/>
      <c r="T762" s="61">
        <v>89</v>
      </c>
      <c r="U762" s="62" t="s">
        <v>62</v>
      </c>
      <c r="V762" s="63" t="s">
        <v>56</v>
      </c>
      <c r="W762" s="60">
        <v>77349056.649065569</v>
      </c>
      <c r="X762" s="60" t="str">
        <f t="shared" si="876"/>
        <v/>
      </c>
      <c r="Y762" s="60">
        <f t="shared" si="876"/>
        <v>1716.8839707241759</v>
      </c>
      <c r="Z762" s="60" t="str">
        <f t="shared" si="876"/>
        <v/>
      </c>
      <c r="AA762" s="60">
        <f t="shared" si="876"/>
        <v>869090.52414680412</v>
      </c>
      <c r="AB762" s="64" t="s">
        <v>73</v>
      </c>
      <c r="AD762" s="93">
        <f t="shared" ref="AD762" si="881">W762/AC757</f>
        <v>0.13224358947422157</v>
      </c>
    </row>
    <row r="763" spans="1:30" s="55" customFormat="1" ht="15.95">
      <c r="A763" s="57"/>
      <c r="B763" s="58" t="s">
        <v>224</v>
      </c>
      <c r="C763" s="58" t="s">
        <v>180</v>
      </c>
      <c r="D763" s="58"/>
      <c r="E763" s="58" t="s">
        <v>20</v>
      </c>
      <c r="F763" s="58" t="s">
        <v>21</v>
      </c>
      <c r="G763" s="58" t="s">
        <v>226</v>
      </c>
      <c r="H763" s="58" t="s">
        <v>227</v>
      </c>
      <c r="I763" s="58" t="s">
        <v>237</v>
      </c>
      <c r="J763" s="58" t="s">
        <v>229</v>
      </c>
      <c r="K763" s="58" t="s">
        <v>238</v>
      </c>
      <c r="L763" s="59">
        <v>2017</v>
      </c>
      <c r="M763" s="58" t="s">
        <v>166</v>
      </c>
      <c r="N763" s="58" t="s">
        <v>24</v>
      </c>
      <c r="O763" s="58" t="s">
        <v>54</v>
      </c>
      <c r="P763" s="58" t="s">
        <v>25</v>
      </c>
      <c r="Q763" s="60"/>
      <c r="R763" s="60">
        <v>45052</v>
      </c>
      <c r="S763" s="61"/>
      <c r="T763" s="61">
        <v>89</v>
      </c>
      <c r="U763" s="62" t="s">
        <v>63</v>
      </c>
      <c r="V763" s="63" t="s">
        <v>56</v>
      </c>
      <c r="W763" s="60">
        <v>4949276.5583452517</v>
      </c>
      <c r="X763" s="60" t="str">
        <f t="shared" si="876"/>
        <v/>
      </c>
      <c r="Y763" s="60">
        <f t="shared" si="876"/>
        <v>109.85697767791112</v>
      </c>
      <c r="Z763" s="60" t="str">
        <f t="shared" si="876"/>
        <v/>
      </c>
      <c r="AA763" s="60">
        <f t="shared" si="876"/>
        <v>55609.84897017137</v>
      </c>
      <c r="AB763" s="64" t="s">
        <v>73</v>
      </c>
      <c r="AD763" s="93">
        <f t="shared" ref="AD763" si="882">W763/AC757</f>
        <v>8.4617722016407382E-3</v>
      </c>
    </row>
    <row r="764" spans="1:30" s="55" customFormat="1" ht="15.95">
      <c r="A764" s="57"/>
      <c r="B764" s="58" t="s">
        <v>224</v>
      </c>
      <c r="C764" s="58" t="s">
        <v>180</v>
      </c>
      <c r="D764" s="58"/>
      <c r="E764" s="58" t="s">
        <v>20</v>
      </c>
      <c r="F764" s="58" t="s">
        <v>21</v>
      </c>
      <c r="G764" s="58" t="s">
        <v>226</v>
      </c>
      <c r="H764" s="58" t="s">
        <v>227</v>
      </c>
      <c r="I764" s="58" t="s">
        <v>237</v>
      </c>
      <c r="J764" s="58" t="s">
        <v>229</v>
      </c>
      <c r="K764" s="58" t="s">
        <v>238</v>
      </c>
      <c r="L764" s="59">
        <v>2017</v>
      </c>
      <c r="M764" s="58" t="s">
        <v>166</v>
      </c>
      <c r="N764" s="58" t="s">
        <v>24</v>
      </c>
      <c r="O764" s="58" t="s">
        <v>54</v>
      </c>
      <c r="P764" s="58" t="s">
        <v>25</v>
      </c>
      <c r="Q764" s="60"/>
      <c r="R764" s="60">
        <v>45052</v>
      </c>
      <c r="S764" s="61"/>
      <c r="T764" s="61">
        <v>89</v>
      </c>
      <c r="U764" s="62" t="s">
        <v>64</v>
      </c>
      <c r="V764" s="63" t="s">
        <v>56</v>
      </c>
      <c r="W764" s="60">
        <v>18022643.730992615</v>
      </c>
      <c r="X764" s="60" t="str">
        <f t="shared" si="876"/>
        <v/>
      </c>
      <c r="Y764" s="60">
        <f t="shared" si="876"/>
        <v>400.04092450929181</v>
      </c>
      <c r="Z764" s="60" t="str">
        <f t="shared" si="876"/>
        <v/>
      </c>
      <c r="AA764" s="60">
        <f t="shared" si="876"/>
        <v>202501.61495497319</v>
      </c>
      <c r="AB764" s="64" t="s">
        <v>73</v>
      </c>
      <c r="AD764" s="93">
        <f t="shared" ref="AD764" si="883">W764/AC757</f>
        <v>3.0813292392368605E-2</v>
      </c>
    </row>
    <row r="765" spans="1:30" s="55" customFormat="1" ht="15.95">
      <c r="A765" s="57"/>
      <c r="B765" s="58" t="s">
        <v>224</v>
      </c>
      <c r="C765" s="58" t="s">
        <v>180</v>
      </c>
      <c r="D765" s="58"/>
      <c r="E765" s="58" t="s">
        <v>20</v>
      </c>
      <c r="F765" s="58" t="s">
        <v>21</v>
      </c>
      <c r="G765" s="58" t="s">
        <v>226</v>
      </c>
      <c r="H765" s="58" t="s">
        <v>227</v>
      </c>
      <c r="I765" s="58" t="s">
        <v>237</v>
      </c>
      <c r="J765" s="58" t="s">
        <v>229</v>
      </c>
      <c r="K765" s="58" t="s">
        <v>238</v>
      </c>
      <c r="L765" s="59">
        <v>2017</v>
      </c>
      <c r="M765" s="58" t="s">
        <v>166</v>
      </c>
      <c r="N765" s="58" t="s">
        <v>24</v>
      </c>
      <c r="O765" s="58" t="s">
        <v>54</v>
      </c>
      <c r="P765" s="58" t="s">
        <v>25</v>
      </c>
      <c r="Q765" s="60"/>
      <c r="R765" s="60">
        <v>45052</v>
      </c>
      <c r="S765" s="61"/>
      <c r="T765" s="61">
        <v>89</v>
      </c>
      <c r="U765" s="62" t="s">
        <v>65</v>
      </c>
      <c r="V765" s="63" t="s">
        <v>56</v>
      </c>
      <c r="W765" s="60">
        <v>44689549.186893046</v>
      </c>
      <c r="X765" s="60" t="str">
        <f t="shared" si="876"/>
        <v/>
      </c>
      <c r="Y765" s="60">
        <f t="shared" si="876"/>
        <v>991.95483412263707</v>
      </c>
      <c r="Z765" s="60" t="str">
        <f t="shared" si="876"/>
        <v/>
      </c>
      <c r="AA765" s="60">
        <f t="shared" si="876"/>
        <v>502129.76614486566</v>
      </c>
      <c r="AB765" s="64" t="s">
        <v>73</v>
      </c>
      <c r="AD765" s="93">
        <f t="shared" ref="AD765" si="884">W765/AC757</f>
        <v>7.6405668698364307E-2</v>
      </c>
    </row>
    <row r="766" spans="1:30" s="55" customFormat="1" ht="15.95">
      <c r="A766" s="57"/>
      <c r="B766" s="58" t="s">
        <v>224</v>
      </c>
      <c r="C766" s="58" t="s">
        <v>180</v>
      </c>
      <c r="D766" s="58"/>
      <c r="E766" s="58" t="s">
        <v>20</v>
      </c>
      <c r="F766" s="58" t="s">
        <v>21</v>
      </c>
      <c r="G766" s="58" t="s">
        <v>226</v>
      </c>
      <c r="H766" s="58" t="s">
        <v>227</v>
      </c>
      <c r="I766" s="58" t="s">
        <v>237</v>
      </c>
      <c r="J766" s="58" t="s">
        <v>229</v>
      </c>
      <c r="K766" s="58" t="s">
        <v>238</v>
      </c>
      <c r="L766" s="59">
        <v>2017</v>
      </c>
      <c r="M766" s="58" t="s">
        <v>166</v>
      </c>
      <c r="N766" s="58" t="s">
        <v>24</v>
      </c>
      <c r="O766" s="58" t="s">
        <v>54</v>
      </c>
      <c r="P766" s="58" t="s">
        <v>25</v>
      </c>
      <c r="Q766" s="60"/>
      <c r="R766" s="60">
        <v>45052</v>
      </c>
      <c r="S766" s="61"/>
      <c r="T766" s="61">
        <v>89</v>
      </c>
      <c r="U766" s="62" t="s">
        <v>66</v>
      </c>
      <c r="V766" s="63" t="s">
        <v>56</v>
      </c>
      <c r="W766" s="60">
        <v>68870431.684303403</v>
      </c>
      <c r="X766" s="60" t="str">
        <f t="shared" si="876"/>
        <v/>
      </c>
      <c r="Y766" s="60">
        <f t="shared" si="876"/>
        <v>1528.6875540331928</v>
      </c>
      <c r="Z766" s="60" t="str">
        <f t="shared" si="876"/>
        <v/>
      </c>
      <c r="AA766" s="60">
        <f t="shared" si="876"/>
        <v>773825.07510453265</v>
      </c>
      <c r="AB766" s="64" t="s">
        <v>73</v>
      </c>
      <c r="AD766" s="93">
        <f t="shared" ref="AD766" si="885">W766/AC757</f>
        <v>0.11774769453095157</v>
      </c>
    </row>
    <row r="767" spans="1:30" s="55" customFormat="1" ht="15.95">
      <c r="A767" s="57"/>
      <c r="B767" s="58" t="s">
        <v>224</v>
      </c>
      <c r="C767" s="58" t="s">
        <v>180</v>
      </c>
      <c r="D767" s="58"/>
      <c r="E767" s="58" t="s">
        <v>20</v>
      </c>
      <c r="F767" s="58" t="s">
        <v>21</v>
      </c>
      <c r="G767" s="58" t="s">
        <v>226</v>
      </c>
      <c r="H767" s="58" t="s">
        <v>227</v>
      </c>
      <c r="I767" s="58" t="s">
        <v>237</v>
      </c>
      <c r="J767" s="58" t="s">
        <v>229</v>
      </c>
      <c r="K767" s="58" t="s">
        <v>238</v>
      </c>
      <c r="L767" s="59">
        <v>2017</v>
      </c>
      <c r="M767" s="58" t="s">
        <v>166</v>
      </c>
      <c r="N767" s="58" t="s">
        <v>24</v>
      </c>
      <c r="O767" s="58" t="s">
        <v>54</v>
      </c>
      <c r="P767" s="58" t="s">
        <v>25</v>
      </c>
      <c r="Q767" s="60"/>
      <c r="R767" s="60">
        <v>45052</v>
      </c>
      <c r="S767" s="61"/>
      <c r="T767" s="61">
        <v>89</v>
      </c>
      <c r="U767" s="62" t="s">
        <v>67</v>
      </c>
      <c r="V767" s="63" t="s">
        <v>56</v>
      </c>
      <c r="W767" s="60">
        <v>11911130.91313101</v>
      </c>
      <c r="X767" s="60" t="str">
        <f t="shared" si="876"/>
        <v/>
      </c>
      <c r="Y767" s="60">
        <f t="shared" si="876"/>
        <v>264.38628502909995</v>
      </c>
      <c r="Z767" s="60" t="str">
        <f t="shared" si="876"/>
        <v/>
      </c>
      <c r="AA767" s="60">
        <f t="shared" si="876"/>
        <v>133832.93160821361</v>
      </c>
      <c r="AB767" s="64" t="s">
        <v>73</v>
      </c>
      <c r="AD767" s="93">
        <f t="shared" ref="AD767" si="886">W767/AC757</f>
        <v>2.0364446250409909E-2</v>
      </c>
    </row>
    <row r="768" spans="1:30" s="55" customFormat="1" ht="15.95">
      <c r="A768" s="57"/>
      <c r="B768" s="58" t="s">
        <v>224</v>
      </c>
      <c r="C768" s="58" t="s">
        <v>180</v>
      </c>
      <c r="D768" s="58"/>
      <c r="E768" s="58" t="s">
        <v>20</v>
      </c>
      <c r="F768" s="58" t="s">
        <v>21</v>
      </c>
      <c r="G768" s="58" t="s">
        <v>226</v>
      </c>
      <c r="H768" s="58" t="s">
        <v>227</v>
      </c>
      <c r="I768" s="58" t="s">
        <v>237</v>
      </c>
      <c r="J768" s="58" t="s">
        <v>229</v>
      </c>
      <c r="K768" s="58" t="s">
        <v>238</v>
      </c>
      <c r="L768" s="59">
        <v>2017</v>
      </c>
      <c r="M768" s="58" t="s">
        <v>166</v>
      </c>
      <c r="N768" s="58" t="s">
        <v>24</v>
      </c>
      <c r="O768" s="58" t="s">
        <v>54</v>
      </c>
      <c r="P768" s="58" t="s">
        <v>25</v>
      </c>
      <c r="Q768" s="60"/>
      <c r="R768" s="60">
        <v>45052</v>
      </c>
      <c r="S768" s="61"/>
      <c r="T768" s="61">
        <v>89</v>
      </c>
      <c r="U768" s="62" t="s">
        <v>68</v>
      </c>
      <c r="V768" s="63" t="s">
        <v>56</v>
      </c>
      <c r="W768" s="60">
        <v>23201414.953761108</v>
      </c>
      <c r="X768" s="60" t="str">
        <f t="shared" si="876"/>
        <v/>
      </c>
      <c r="Y768" s="60">
        <f t="shared" si="876"/>
        <v>514.99189722456515</v>
      </c>
      <c r="Z768" s="60" t="str">
        <f t="shared" si="876"/>
        <v/>
      </c>
      <c r="AA768" s="60">
        <f t="shared" si="876"/>
        <v>260690.05566023718</v>
      </c>
      <c r="AB768" s="64" t="s">
        <v>73</v>
      </c>
      <c r="AD768" s="93">
        <f t="shared" ref="AD768" si="887">W768/AC757</f>
        <v>3.9667431346796081E-2</v>
      </c>
    </row>
    <row r="769" spans="1:30" s="55" customFormat="1" ht="15.95">
      <c r="A769" s="57"/>
      <c r="B769" s="58" t="s">
        <v>224</v>
      </c>
      <c r="C769" s="58" t="s">
        <v>180</v>
      </c>
      <c r="D769" s="58"/>
      <c r="E769" s="58" t="s">
        <v>20</v>
      </c>
      <c r="F769" s="58" t="s">
        <v>21</v>
      </c>
      <c r="G769" s="58" t="s">
        <v>226</v>
      </c>
      <c r="H769" s="58" t="s">
        <v>227</v>
      </c>
      <c r="I769" s="58" t="s">
        <v>237</v>
      </c>
      <c r="J769" s="58" t="s">
        <v>229</v>
      </c>
      <c r="K769" s="58" t="s">
        <v>238</v>
      </c>
      <c r="L769" s="59">
        <v>2017</v>
      </c>
      <c r="M769" s="58" t="s">
        <v>166</v>
      </c>
      <c r="N769" s="58" t="s">
        <v>24</v>
      </c>
      <c r="O769" s="58" t="s">
        <v>54</v>
      </c>
      <c r="P769" s="58" t="s">
        <v>25</v>
      </c>
      <c r="Q769" s="60"/>
      <c r="R769" s="60">
        <v>45052</v>
      </c>
      <c r="S769" s="61"/>
      <c r="T769" s="61">
        <v>89</v>
      </c>
      <c r="U769" s="62" t="s">
        <v>69</v>
      </c>
      <c r="V769" s="63" t="s">
        <v>56</v>
      </c>
      <c r="W769" s="60">
        <v>53637754.180080853</v>
      </c>
      <c r="X769" s="60" t="str">
        <f t="shared" si="876"/>
        <v/>
      </c>
      <c r="Y769" s="60">
        <f t="shared" si="876"/>
        <v>1190.5743181230766</v>
      </c>
      <c r="Z769" s="60" t="str">
        <f t="shared" si="876"/>
        <v/>
      </c>
      <c r="AA769" s="60">
        <f t="shared" si="876"/>
        <v>602671.39528180729</v>
      </c>
      <c r="AB769" s="64" t="s">
        <v>73</v>
      </c>
      <c r="AD769" s="93">
        <f t="shared" ref="AD769" si="888">W769/AC757</f>
        <v>9.1704404053588623E-2</v>
      </c>
    </row>
    <row r="770" spans="1:30" s="32" customFormat="1" ht="15" customHeight="1">
      <c r="A770" s="65"/>
      <c r="B770" s="66" t="s">
        <v>224</v>
      </c>
      <c r="C770" s="66" t="s">
        <v>118</v>
      </c>
      <c r="D770" s="66"/>
      <c r="E770" s="66" t="s">
        <v>20</v>
      </c>
      <c r="F770" s="66" t="s">
        <v>21</v>
      </c>
      <c r="G770" s="66" t="s">
        <v>226</v>
      </c>
      <c r="H770" s="66" t="s">
        <v>227</v>
      </c>
      <c r="I770" s="66" t="s">
        <v>239</v>
      </c>
      <c r="J770" s="66" t="s">
        <v>229</v>
      </c>
      <c r="K770" s="66" t="s">
        <v>240</v>
      </c>
      <c r="L770" s="67">
        <v>2017</v>
      </c>
      <c r="M770" s="66" t="s">
        <v>166</v>
      </c>
      <c r="N770" s="66" t="s">
        <v>24</v>
      </c>
      <c r="O770" s="66" t="s">
        <v>54</v>
      </c>
      <c r="P770" s="66" t="s">
        <v>25</v>
      </c>
      <c r="Q770" s="68"/>
      <c r="R770" s="68">
        <v>23597</v>
      </c>
      <c r="S770" s="69"/>
      <c r="T770" s="69">
        <v>94</v>
      </c>
      <c r="U770" s="70" t="s">
        <v>55</v>
      </c>
      <c r="V770" s="71" t="s">
        <v>56</v>
      </c>
      <c r="W770" s="72">
        <v>22770467.624437012</v>
      </c>
      <c r="X770" s="68" t="str">
        <f>IF(Q770&gt;0,$W770/Q770,"")</f>
        <v/>
      </c>
      <c r="Y770" s="68">
        <f t="shared" si="876"/>
        <v>964.9729891273048</v>
      </c>
      <c r="Z770" s="68" t="str">
        <f t="shared" si="876"/>
        <v/>
      </c>
      <c r="AA770" s="68">
        <f t="shared" si="876"/>
        <v>242239.0172812448</v>
      </c>
      <c r="AB770" s="73" t="s">
        <v>73</v>
      </c>
      <c r="AC770" s="92">
        <f t="shared" ref="AC770" si="889">SUM(W770:W782)</f>
        <v>288778514.29425061</v>
      </c>
      <c r="AD770" s="93">
        <f t="shared" ref="AD770" si="890">W770/AC770</f>
        <v>7.8850975738572651E-2</v>
      </c>
    </row>
    <row r="771" spans="1:30" s="32" customFormat="1" ht="15" customHeight="1">
      <c r="A771" s="65"/>
      <c r="B771" s="66" t="s">
        <v>224</v>
      </c>
      <c r="C771" s="66" t="s">
        <v>118</v>
      </c>
      <c r="D771" s="66"/>
      <c r="E771" s="66" t="s">
        <v>20</v>
      </c>
      <c r="F771" s="66" t="s">
        <v>21</v>
      </c>
      <c r="G771" s="66" t="s">
        <v>226</v>
      </c>
      <c r="H771" s="66" t="s">
        <v>227</v>
      </c>
      <c r="I771" s="66" t="s">
        <v>239</v>
      </c>
      <c r="J771" s="66" t="s">
        <v>229</v>
      </c>
      <c r="K771" s="66" t="s">
        <v>240</v>
      </c>
      <c r="L771" s="67">
        <v>2017</v>
      </c>
      <c r="M771" s="66" t="s">
        <v>166</v>
      </c>
      <c r="N771" s="66" t="s">
        <v>24</v>
      </c>
      <c r="O771" s="66" t="s">
        <v>54</v>
      </c>
      <c r="P771" s="66" t="s">
        <v>25</v>
      </c>
      <c r="Q771" s="68"/>
      <c r="R771" s="68">
        <v>23597</v>
      </c>
      <c r="S771" s="69"/>
      <c r="T771" s="69">
        <v>94</v>
      </c>
      <c r="U771" s="70" t="s">
        <v>58</v>
      </c>
      <c r="V771" s="71" t="s">
        <v>56</v>
      </c>
      <c r="W771" s="72">
        <v>31105162.485259224</v>
      </c>
      <c r="X771" s="68" t="str">
        <f t="shared" ref="X771:AA786" si="891">IF(Q771&gt;0,$W771/Q771,"")</f>
        <v/>
      </c>
      <c r="Y771" s="68">
        <f t="shared" si="876"/>
        <v>1318.1829251709635</v>
      </c>
      <c r="Z771" s="68" t="str">
        <f t="shared" si="876"/>
        <v/>
      </c>
      <c r="AA771" s="68">
        <f t="shared" si="876"/>
        <v>330905.98388573644</v>
      </c>
      <c r="AB771" s="73" t="s">
        <v>73</v>
      </c>
      <c r="AC771" s="55"/>
      <c r="AD771" s="93">
        <f t="shared" ref="AD771" si="892">W771/AC770</f>
        <v>0.10771286971012202</v>
      </c>
    </row>
    <row r="772" spans="1:30" s="32" customFormat="1" ht="15" customHeight="1">
      <c r="A772" s="65"/>
      <c r="B772" s="66" t="s">
        <v>224</v>
      </c>
      <c r="C772" s="66" t="s">
        <v>118</v>
      </c>
      <c r="D772" s="66"/>
      <c r="E772" s="66" t="s">
        <v>20</v>
      </c>
      <c r="F772" s="66" t="s">
        <v>21</v>
      </c>
      <c r="G772" s="66" t="s">
        <v>226</v>
      </c>
      <c r="H772" s="66" t="s">
        <v>227</v>
      </c>
      <c r="I772" s="66" t="s">
        <v>239</v>
      </c>
      <c r="J772" s="66" t="s">
        <v>229</v>
      </c>
      <c r="K772" s="66" t="s">
        <v>240</v>
      </c>
      <c r="L772" s="67">
        <v>2017</v>
      </c>
      <c r="M772" s="66" t="s">
        <v>166</v>
      </c>
      <c r="N772" s="66" t="s">
        <v>24</v>
      </c>
      <c r="O772" s="66" t="s">
        <v>54</v>
      </c>
      <c r="P772" s="66" t="s">
        <v>25</v>
      </c>
      <c r="Q772" s="68"/>
      <c r="R772" s="68">
        <v>23597</v>
      </c>
      <c r="S772" s="69"/>
      <c r="T772" s="69">
        <v>94</v>
      </c>
      <c r="U772" s="70" t="s">
        <v>59</v>
      </c>
      <c r="V772" s="71" t="s">
        <v>56</v>
      </c>
      <c r="W772" s="72">
        <v>21870395.232654929</v>
      </c>
      <c r="X772" s="68" t="str">
        <f t="shared" si="891"/>
        <v/>
      </c>
      <c r="Y772" s="68">
        <f t="shared" si="876"/>
        <v>926.82947970737507</v>
      </c>
      <c r="Z772" s="68" t="str">
        <f t="shared" si="876"/>
        <v/>
      </c>
      <c r="AA772" s="68">
        <f t="shared" si="876"/>
        <v>232663.77907079711</v>
      </c>
      <c r="AB772" s="73" t="s">
        <v>73</v>
      </c>
      <c r="AC772" s="55"/>
      <c r="AD772" s="93">
        <f t="shared" ref="AD772" si="893">W772/AC770</f>
        <v>7.5734149703291676E-2</v>
      </c>
    </row>
    <row r="773" spans="1:30" s="32" customFormat="1" ht="15" customHeight="1">
      <c r="A773" s="65"/>
      <c r="B773" s="66" t="s">
        <v>224</v>
      </c>
      <c r="C773" s="66" t="s">
        <v>118</v>
      </c>
      <c r="D773" s="66"/>
      <c r="E773" s="66" t="s">
        <v>20</v>
      </c>
      <c r="F773" s="66" t="s">
        <v>21</v>
      </c>
      <c r="G773" s="66" t="s">
        <v>226</v>
      </c>
      <c r="H773" s="66" t="s">
        <v>227</v>
      </c>
      <c r="I773" s="66" t="s">
        <v>239</v>
      </c>
      <c r="J773" s="66" t="s">
        <v>229</v>
      </c>
      <c r="K773" s="66" t="s">
        <v>240</v>
      </c>
      <c r="L773" s="67">
        <v>2017</v>
      </c>
      <c r="M773" s="66" t="s">
        <v>166</v>
      </c>
      <c r="N773" s="66" t="s">
        <v>24</v>
      </c>
      <c r="O773" s="66" t="s">
        <v>54</v>
      </c>
      <c r="P773" s="66" t="s">
        <v>25</v>
      </c>
      <c r="Q773" s="68"/>
      <c r="R773" s="68">
        <v>23597</v>
      </c>
      <c r="S773" s="69"/>
      <c r="T773" s="69">
        <v>94</v>
      </c>
      <c r="U773" s="70" t="s">
        <v>60</v>
      </c>
      <c r="V773" s="71" t="s">
        <v>56</v>
      </c>
      <c r="W773" s="72">
        <v>4020564.6046674838</v>
      </c>
      <c r="X773" s="68" t="str">
        <f t="shared" si="891"/>
        <v/>
      </c>
      <c r="Y773" s="68">
        <f t="shared" si="876"/>
        <v>170.38456603243989</v>
      </c>
      <c r="Z773" s="68" t="str">
        <f t="shared" si="876"/>
        <v/>
      </c>
      <c r="AA773" s="68">
        <f t="shared" si="876"/>
        <v>42771.963879441319</v>
      </c>
      <c r="AB773" s="73" t="s">
        <v>73</v>
      </c>
      <c r="AC773" s="55"/>
      <c r="AD773" s="93">
        <f t="shared" ref="AD773" si="894">W773/AC770</f>
        <v>1.3922658389227438E-2</v>
      </c>
    </row>
    <row r="774" spans="1:30" s="32" customFormat="1" ht="15" customHeight="1">
      <c r="A774" s="65"/>
      <c r="B774" s="66" t="s">
        <v>224</v>
      </c>
      <c r="C774" s="66" t="s">
        <v>118</v>
      </c>
      <c r="D774" s="66"/>
      <c r="E774" s="66" t="s">
        <v>20</v>
      </c>
      <c r="F774" s="66" t="s">
        <v>21</v>
      </c>
      <c r="G774" s="66" t="s">
        <v>226</v>
      </c>
      <c r="H774" s="66" t="s">
        <v>227</v>
      </c>
      <c r="I774" s="66" t="s">
        <v>239</v>
      </c>
      <c r="J774" s="66" t="s">
        <v>229</v>
      </c>
      <c r="K774" s="66" t="s">
        <v>240</v>
      </c>
      <c r="L774" s="67">
        <v>2017</v>
      </c>
      <c r="M774" s="66" t="s">
        <v>166</v>
      </c>
      <c r="N774" s="66" t="s">
        <v>24</v>
      </c>
      <c r="O774" s="66" t="s">
        <v>54</v>
      </c>
      <c r="P774" s="66" t="s">
        <v>25</v>
      </c>
      <c r="Q774" s="68"/>
      <c r="R774" s="68">
        <v>23597</v>
      </c>
      <c r="S774" s="69"/>
      <c r="T774" s="69">
        <v>94</v>
      </c>
      <c r="U774" s="70" t="s">
        <v>61</v>
      </c>
      <c r="V774" s="71" t="s">
        <v>56</v>
      </c>
      <c r="W774" s="72">
        <v>73940814.337240472</v>
      </c>
      <c r="X774" s="68" t="str">
        <f t="shared" si="891"/>
        <v/>
      </c>
      <c r="Y774" s="68">
        <f t="shared" si="891"/>
        <v>3133.4836774691898</v>
      </c>
      <c r="Z774" s="68" t="str">
        <f t="shared" si="891"/>
        <v/>
      </c>
      <c r="AA774" s="68">
        <f t="shared" si="891"/>
        <v>786604.40784298372</v>
      </c>
      <c r="AB774" s="73" t="s">
        <v>73</v>
      </c>
      <c r="AC774" s="55"/>
      <c r="AD774" s="93">
        <f t="shared" ref="AD774" si="895">W774/AC770</f>
        <v>0.25604679945786601</v>
      </c>
    </row>
    <row r="775" spans="1:30" s="32" customFormat="1" ht="15" customHeight="1">
      <c r="A775" s="65"/>
      <c r="B775" s="66" t="s">
        <v>224</v>
      </c>
      <c r="C775" s="66" t="s">
        <v>118</v>
      </c>
      <c r="D775" s="66"/>
      <c r="E775" s="66" t="s">
        <v>20</v>
      </c>
      <c r="F775" s="66" t="s">
        <v>21</v>
      </c>
      <c r="G775" s="66" t="s">
        <v>226</v>
      </c>
      <c r="H775" s="66" t="s">
        <v>227</v>
      </c>
      <c r="I775" s="66" t="s">
        <v>239</v>
      </c>
      <c r="J775" s="66" t="s">
        <v>229</v>
      </c>
      <c r="K775" s="66" t="s">
        <v>240</v>
      </c>
      <c r="L775" s="67">
        <v>2017</v>
      </c>
      <c r="M775" s="66" t="s">
        <v>166</v>
      </c>
      <c r="N775" s="66" t="s">
        <v>24</v>
      </c>
      <c r="O775" s="66" t="s">
        <v>54</v>
      </c>
      <c r="P775" s="66" t="s">
        <v>25</v>
      </c>
      <c r="Q775" s="68"/>
      <c r="R775" s="68">
        <v>23597</v>
      </c>
      <c r="S775" s="69"/>
      <c r="T775" s="69">
        <v>94</v>
      </c>
      <c r="U775" s="70" t="s">
        <v>62</v>
      </c>
      <c r="V775" s="71" t="s">
        <v>56</v>
      </c>
      <c r="W775" s="72">
        <v>28964960.403868761</v>
      </c>
      <c r="X775" s="68" t="str">
        <f t="shared" si="891"/>
        <v/>
      </c>
      <c r="Y775" s="68">
        <f t="shared" si="891"/>
        <v>1227.4848668842972</v>
      </c>
      <c r="Z775" s="68" t="str">
        <f t="shared" si="891"/>
        <v/>
      </c>
      <c r="AA775" s="68">
        <f t="shared" si="891"/>
        <v>308137.8766369017</v>
      </c>
      <c r="AB775" s="73" t="s">
        <v>73</v>
      </c>
      <c r="AC775" s="55"/>
      <c r="AD775" s="93">
        <f t="shared" ref="AD775" si="896">W775/AC770</f>
        <v>0.10030164631415391</v>
      </c>
    </row>
    <row r="776" spans="1:30" s="32" customFormat="1" ht="15" customHeight="1">
      <c r="A776" s="65"/>
      <c r="B776" s="66" t="s">
        <v>224</v>
      </c>
      <c r="C776" s="66" t="s">
        <v>118</v>
      </c>
      <c r="D776" s="66"/>
      <c r="E776" s="66" t="s">
        <v>20</v>
      </c>
      <c r="F776" s="66" t="s">
        <v>21</v>
      </c>
      <c r="G776" s="66" t="s">
        <v>226</v>
      </c>
      <c r="H776" s="66" t="s">
        <v>227</v>
      </c>
      <c r="I776" s="66" t="s">
        <v>239</v>
      </c>
      <c r="J776" s="66" t="s">
        <v>229</v>
      </c>
      <c r="K776" s="66" t="s">
        <v>240</v>
      </c>
      <c r="L776" s="67">
        <v>2017</v>
      </c>
      <c r="M776" s="66" t="s">
        <v>166</v>
      </c>
      <c r="N776" s="66" t="s">
        <v>24</v>
      </c>
      <c r="O776" s="66" t="s">
        <v>54</v>
      </c>
      <c r="P776" s="66" t="s">
        <v>25</v>
      </c>
      <c r="Q776" s="68"/>
      <c r="R776" s="68">
        <v>23597</v>
      </c>
      <c r="S776" s="69"/>
      <c r="T776" s="69">
        <v>94</v>
      </c>
      <c r="U776" s="70" t="s">
        <v>63</v>
      </c>
      <c r="V776" s="71" t="s">
        <v>56</v>
      </c>
      <c r="W776" s="72">
        <v>5784753.5646267328</v>
      </c>
      <c r="X776" s="68" t="str">
        <f t="shared" si="891"/>
        <v/>
      </c>
      <c r="Y776" s="68">
        <f t="shared" si="891"/>
        <v>245.14783932816599</v>
      </c>
      <c r="Z776" s="68" t="str">
        <f t="shared" si="891"/>
        <v/>
      </c>
      <c r="AA776" s="68">
        <f t="shared" si="891"/>
        <v>61539.931538582263</v>
      </c>
      <c r="AB776" s="73" t="s">
        <v>73</v>
      </c>
      <c r="AC776" s="55"/>
      <c r="AD776" s="93">
        <f t="shared" ref="AD776" si="897">W776/AC770</f>
        <v>2.0031800422424653E-2</v>
      </c>
    </row>
    <row r="777" spans="1:30" s="32" customFormat="1" ht="15" customHeight="1">
      <c r="A777" s="65"/>
      <c r="B777" s="66" t="s">
        <v>224</v>
      </c>
      <c r="C777" s="66" t="s">
        <v>118</v>
      </c>
      <c r="D777" s="66"/>
      <c r="E777" s="66" t="s">
        <v>20</v>
      </c>
      <c r="F777" s="66" t="s">
        <v>21</v>
      </c>
      <c r="G777" s="66" t="s">
        <v>226</v>
      </c>
      <c r="H777" s="66" t="s">
        <v>227</v>
      </c>
      <c r="I777" s="66" t="s">
        <v>239</v>
      </c>
      <c r="J777" s="66" t="s">
        <v>229</v>
      </c>
      <c r="K777" s="66" t="s">
        <v>240</v>
      </c>
      <c r="L777" s="67">
        <v>2017</v>
      </c>
      <c r="M777" s="66" t="s">
        <v>166</v>
      </c>
      <c r="N777" s="66" t="s">
        <v>24</v>
      </c>
      <c r="O777" s="66" t="s">
        <v>54</v>
      </c>
      <c r="P777" s="66" t="s">
        <v>25</v>
      </c>
      <c r="Q777" s="68"/>
      <c r="R777" s="68">
        <v>23597</v>
      </c>
      <c r="S777" s="69"/>
      <c r="T777" s="69">
        <v>94</v>
      </c>
      <c r="U777" s="70" t="s">
        <v>64</v>
      </c>
      <c r="V777" s="71" t="s">
        <v>56</v>
      </c>
      <c r="W777" s="72">
        <v>50000</v>
      </c>
      <c r="X777" s="68" t="str">
        <f t="shared" si="891"/>
        <v/>
      </c>
      <c r="Y777" s="68">
        <f t="shared" si="891"/>
        <v>2.1189134211976097</v>
      </c>
      <c r="Z777" s="68" t="str">
        <f t="shared" si="891"/>
        <v/>
      </c>
      <c r="AA777" s="68">
        <f t="shared" si="891"/>
        <v>531.91489361702122</v>
      </c>
      <c r="AB777" s="73" t="s">
        <v>73</v>
      </c>
      <c r="AC777" s="55"/>
      <c r="AD777" s="93">
        <f t="shared" ref="AD777" si="898">W777/AC770</f>
        <v>1.7314307514253827E-4</v>
      </c>
    </row>
    <row r="778" spans="1:30" s="32" customFormat="1" ht="15" customHeight="1">
      <c r="A778" s="65"/>
      <c r="B778" s="66" t="s">
        <v>224</v>
      </c>
      <c r="C778" s="66" t="s">
        <v>118</v>
      </c>
      <c r="D778" s="66"/>
      <c r="E778" s="66" t="s">
        <v>20</v>
      </c>
      <c r="F778" s="66" t="s">
        <v>21</v>
      </c>
      <c r="G778" s="66" t="s">
        <v>226</v>
      </c>
      <c r="H778" s="66" t="s">
        <v>227</v>
      </c>
      <c r="I778" s="66" t="s">
        <v>239</v>
      </c>
      <c r="J778" s="66" t="s">
        <v>229</v>
      </c>
      <c r="K778" s="66" t="s">
        <v>240</v>
      </c>
      <c r="L778" s="67">
        <v>2017</v>
      </c>
      <c r="M778" s="66" t="s">
        <v>166</v>
      </c>
      <c r="N778" s="66" t="s">
        <v>24</v>
      </c>
      <c r="O778" s="66" t="s">
        <v>54</v>
      </c>
      <c r="P778" s="66" t="s">
        <v>25</v>
      </c>
      <c r="Q778" s="68"/>
      <c r="R778" s="68">
        <v>23597</v>
      </c>
      <c r="S778" s="69"/>
      <c r="T778" s="69">
        <v>94</v>
      </c>
      <c r="U778" s="70" t="s">
        <v>65</v>
      </c>
      <c r="V778" s="71" t="s">
        <v>56</v>
      </c>
      <c r="W778" s="72">
        <v>22213226.64519209</v>
      </c>
      <c r="X778" s="68" t="str">
        <f t="shared" si="891"/>
        <v/>
      </c>
      <c r="Y778" s="68">
        <f t="shared" si="891"/>
        <v>941.35808133203761</v>
      </c>
      <c r="Z778" s="68" t="str">
        <f t="shared" si="891"/>
        <v/>
      </c>
      <c r="AA778" s="68">
        <f t="shared" si="891"/>
        <v>236310.92175736267</v>
      </c>
      <c r="AB778" s="73" t="s">
        <v>73</v>
      </c>
      <c r="AC778" s="55"/>
      <c r="AD778" s="93">
        <f t="shared" ref="AD778" si="899">W778/AC770</f>
        <v>7.6921327403734557E-2</v>
      </c>
    </row>
    <row r="779" spans="1:30" s="32" customFormat="1" ht="15" customHeight="1">
      <c r="A779" s="65"/>
      <c r="B779" s="66" t="s">
        <v>224</v>
      </c>
      <c r="C779" s="66" t="s">
        <v>118</v>
      </c>
      <c r="D779" s="66"/>
      <c r="E779" s="66" t="s">
        <v>20</v>
      </c>
      <c r="F779" s="66" t="s">
        <v>21</v>
      </c>
      <c r="G779" s="66" t="s">
        <v>226</v>
      </c>
      <c r="H779" s="66" t="s">
        <v>227</v>
      </c>
      <c r="I779" s="66" t="s">
        <v>239</v>
      </c>
      <c r="J779" s="66" t="s">
        <v>229</v>
      </c>
      <c r="K779" s="66" t="s">
        <v>240</v>
      </c>
      <c r="L779" s="67">
        <v>2017</v>
      </c>
      <c r="M779" s="66" t="s">
        <v>166</v>
      </c>
      <c r="N779" s="66" t="s">
        <v>24</v>
      </c>
      <c r="O779" s="66" t="s">
        <v>54</v>
      </c>
      <c r="P779" s="66" t="s">
        <v>25</v>
      </c>
      <c r="Q779" s="68"/>
      <c r="R779" s="68">
        <v>23597</v>
      </c>
      <c r="S779" s="69"/>
      <c r="T779" s="69">
        <v>94</v>
      </c>
      <c r="U779" s="70" t="s">
        <v>66</v>
      </c>
      <c r="V779" s="71" t="s">
        <v>56</v>
      </c>
      <c r="W779" s="72">
        <v>35337879.100499019</v>
      </c>
      <c r="X779" s="68" t="str">
        <f t="shared" si="891"/>
        <v/>
      </c>
      <c r="Y779" s="68">
        <f t="shared" si="891"/>
        <v>1497.5581260541178</v>
      </c>
      <c r="Z779" s="68" t="str">
        <f t="shared" si="891"/>
        <v/>
      </c>
      <c r="AA779" s="68">
        <f t="shared" si="891"/>
        <v>375934.88404786191</v>
      </c>
      <c r="AB779" s="73" t="s">
        <v>73</v>
      </c>
      <c r="AC779" s="55"/>
      <c r="AD779" s="93">
        <f t="shared" ref="AD779" si="900">W779/AC770</f>
        <v>0.1223701811295127</v>
      </c>
    </row>
    <row r="780" spans="1:30" s="32" customFormat="1" ht="15" customHeight="1">
      <c r="A780" s="65"/>
      <c r="B780" s="66" t="s">
        <v>224</v>
      </c>
      <c r="C780" s="66" t="s">
        <v>118</v>
      </c>
      <c r="D780" s="66"/>
      <c r="E780" s="66" t="s">
        <v>20</v>
      </c>
      <c r="F780" s="66" t="s">
        <v>21</v>
      </c>
      <c r="G780" s="66" t="s">
        <v>226</v>
      </c>
      <c r="H780" s="66" t="s">
        <v>227</v>
      </c>
      <c r="I780" s="66" t="s">
        <v>239</v>
      </c>
      <c r="J780" s="66" t="s">
        <v>229</v>
      </c>
      <c r="K780" s="66" t="s">
        <v>240</v>
      </c>
      <c r="L780" s="67">
        <v>2017</v>
      </c>
      <c r="M780" s="66" t="s">
        <v>166</v>
      </c>
      <c r="N780" s="66" t="s">
        <v>24</v>
      </c>
      <c r="O780" s="66" t="s">
        <v>54</v>
      </c>
      <c r="P780" s="66" t="s">
        <v>25</v>
      </c>
      <c r="Q780" s="68"/>
      <c r="R780" s="68">
        <v>23597</v>
      </c>
      <c r="S780" s="69"/>
      <c r="T780" s="69">
        <v>94</v>
      </c>
      <c r="U780" s="70" t="s">
        <v>67</v>
      </c>
      <c r="V780" s="71" t="s">
        <v>56</v>
      </c>
      <c r="W780" s="72">
        <v>9699427.5099145547</v>
      </c>
      <c r="X780" s="68" t="str">
        <f t="shared" si="891"/>
        <v/>
      </c>
      <c r="Y780" s="68">
        <f t="shared" si="891"/>
        <v>411.04494257382527</v>
      </c>
      <c r="Z780" s="68" t="str">
        <f t="shared" si="891"/>
        <v/>
      </c>
      <c r="AA780" s="68">
        <f t="shared" si="891"/>
        <v>103185.3990416442</v>
      </c>
      <c r="AB780" s="73" t="s">
        <v>73</v>
      </c>
      <c r="AC780" s="55"/>
      <c r="AD780" s="93">
        <f t="shared" ref="AD780" si="901">W780/AC770</f>
        <v>3.3587774123774776E-2</v>
      </c>
    </row>
    <row r="781" spans="1:30" s="32" customFormat="1" ht="15" customHeight="1">
      <c r="A781" s="65"/>
      <c r="B781" s="66" t="s">
        <v>224</v>
      </c>
      <c r="C781" s="66" t="s">
        <v>118</v>
      </c>
      <c r="D781" s="66"/>
      <c r="E781" s="66" t="s">
        <v>20</v>
      </c>
      <c r="F781" s="66" t="s">
        <v>21</v>
      </c>
      <c r="G781" s="66" t="s">
        <v>226</v>
      </c>
      <c r="H781" s="66" t="s">
        <v>227</v>
      </c>
      <c r="I781" s="66" t="s">
        <v>239</v>
      </c>
      <c r="J781" s="66" t="s">
        <v>229</v>
      </c>
      <c r="K781" s="66" t="s">
        <v>240</v>
      </c>
      <c r="L781" s="67">
        <v>2017</v>
      </c>
      <c r="M781" s="66" t="s">
        <v>166</v>
      </c>
      <c r="N781" s="66" t="s">
        <v>24</v>
      </c>
      <c r="O781" s="66" t="s">
        <v>54</v>
      </c>
      <c r="P781" s="66" t="s">
        <v>25</v>
      </c>
      <c r="Q781" s="68"/>
      <c r="R781" s="68">
        <v>23597</v>
      </c>
      <c r="S781" s="69"/>
      <c r="T781" s="69">
        <v>94</v>
      </c>
      <c r="U781" s="70" t="s">
        <v>68</v>
      </c>
      <c r="V781" s="71" t="s">
        <v>56</v>
      </c>
      <c r="W781" s="72">
        <v>5300961.3476678226</v>
      </c>
      <c r="X781" s="68" t="str">
        <f t="shared" si="891"/>
        <v/>
      </c>
      <c r="Y781" s="68">
        <f t="shared" si="891"/>
        <v>224.64556289646237</v>
      </c>
      <c r="Z781" s="68" t="str">
        <f t="shared" si="891"/>
        <v/>
      </c>
      <c r="AA781" s="68">
        <f t="shared" si="891"/>
        <v>56393.205826253434</v>
      </c>
      <c r="AB781" s="73" t="s">
        <v>73</v>
      </c>
      <c r="AC781" s="55"/>
      <c r="AD781" s="93">
        <f t="shared" ref="AD781" si="902">W781/AC770</f>
        <v>1.8356494978938816E-2</v>
      </c>
    </row>
    <row r="782" spans="1:30" s="32" customFormat="1" ht="15" customHeight="1">
      <c r="A782" s="65"/>
      <c r="B782" s="66" t="s">
        <v>224</v>
      </c>
      <c r="C782" s="66" t="s">
        <v>118</v>
      </c>
      <c r="D782" s="66"/>
      <c r="E782" s="66" t="s">
        <v>20</v>
      </c>
      <c r="F782" s="66" t="s">
        <v>21</v>
      </c>
      <c r="G782" s="66" t="s">
        <v>226</v>
      </c>
      <c r="H782" s="66" t="s">
        <v>227</v>
      </c>
      <c r="I782" s="66" t="s">
        <v>239</v>
      </c>
      <c r="J782" s="66" t="s">
        <v>229</v>
      </c>
      <c r="K782" s="66" t="s">
        <v>240</v>
      </c>
      <c r="L782" s="67">
        <v>2017</v>
      </c>
      <c r="M782" s="66" t="s">
        <v>166</v>
      </c>
      <c r="N782" s="66" t="s">
        <v>24</v>
      </c>
      <c r="O782" s="66" t="s">
        <v>54</v>
      </c>
      <c r="P782" s="66" t="s">
        <v>25</v>
      </c>
      <c r="Q782" s="68"/>
      <c r="R782" s="68">
        <v>23597</v>
      </c>
      <c r="S782" s="69"/>
      <c r="T782" s="69">
        <v>94</v>
      </c>
      <c r="U782" s="70" t="s">
        <v>69</v>
      </c>
      <c r="V782" s="71" t="s">
        <v>56</v>
      </c>
      <c r="W782" s="72">
        <v>27719901.438222472</v>
      </c>
      <c r="X782" s="68" t="str">
        <f t="shared" si="891"/>
        <v/>
      </c>
      <c r="Y782" s="68">
        <f t="shared" si="891"/>
        <v>1174.7214238344905</v>
      </c>
      <c r="Z782" s="68" t="str">
        <f t="shared" si="891"/>
        <v/>
      </c>
      <c r="AA782" s="68">
        <f t="shared" si="891"/>
        <v>294892.56849172839</v>
      </c>
      <c r="AB782" s="73" t="s">
        <v>73</v>
      </c>
      <c r="AC782" s="55"/>
      <c r="AD782" s="93">
        <f t="shared" ref="AD782" si="903">W782/AC770</f>
        <v>9.5990179553238172E-2</v>
      </c>
    </row>
    <row r="783" spans="1:30" s="55" customFormat="1" ht="15" customHeight="1">
      <c r="A783" s="57"/>
      <c r="B783" s="58" t="s">
        <v>224</v>
      </c>
      <c r="C783" s="58" t="s">
        <v>114</v>
      </c>
      <c r="D783" s="58"/>
      <c r="E783" s="58" t="s">
        <v>20</v>
      </c>
      <c r="F783" s="58" t="s">
        <v>21</v>
      </c>
      <c r="G783" s="58" t="s">
        <v>226</v>
      </c>
      <c r="H783" s="58" t="s">
        <v>227</v>
      </c>
      <c r="I783" s="58" t="s">
        <v>241</v>
      </c>
      <c r="J783" s="58" t="s">
        <v>229</v>
      </c>
      <c r="K783" s="58" t="s">
        <v>242</v>
      </c>
      <c r="L783" s="59">
        <v>2017</v>
      </c>
      <c r="M783" s="58" t="s">
        <v>166</v>
      </c>
      <c r="N783" s="58" t="s">
        <v>24</v>
      </c>
      <c r="O783" s="58" t="s">
        <v>54</v>
      </c>
      <c r="P783" s="58" t="s">
        <v>25</v>
      </c>
      <c r="Q783" s="60"/>
      <c r="R783" s="60">
        <v>26000</v>
      </c>
      <c r="S783" s="61"/>
      <c r="T783" s="61">
        <v>12</v>
      </c>
      <c r="U783" s="62" t="s">
        <v>55</v>
      </c>
      <c r="V783" s="63" t="s">
        <v>56</v>
      </c>
      <c r="W783" s="60">
        <v>25149499.372943804</v>
      </c>
      <c r="X783" s="60" t="str">
        <f>IF(Q783&gt;0,$W783/Q783,"")</f>
        <v/>
      </c>
      <c r="Y783" s="60">
        <f t="shared" si="891"/>
        <v>967.28843742091556</v>
      </c>
      <c r="Z783" s="60" t="str">
        <f t="shared" si="891"/>
        <v/>
      </c>
      <c r="AA783" s="60">
        <f t="shared" si="891"/>
        <v>2095791.6144119836</v>
      </c>
      <c r="AB783" s="64" t="s">
        <v>73</v>
      </c>
      <c r="AC783" s="92">
        <f t="shared" ref="AC783" si="904">SUM(W783:W795)</f>
        <v>197137816.7810615</v>
      </c>
      <c r="AD783" s="93">
        <f t="shared" ref="AD783" si="905">W783/AC783</f>
        <v>0.12757318602586781</v>
      </c>
    </row>
    <row r="784" spans="1:30" s="55" customFormat="1" ht="15.95">
      <c r="A784" s="57"/>
      <c r="B784" s="58" t="s">
        <v>224</v>
      </c>
      <c r="C784" s="58" t="s">
        <v>114</v>
      </c>
      <c r="D784" s="58"/>
      <c r="E784" s="58" t="s">
        <v>20</v>
      </c>
      <c r="F784" s="58" t="s">
        <v>21</v>
      </c>
      <c r="G784" s="58" t="s">
        <v>226</v>
      </c>
      <c r="H784" s="58" t="s">
        <v>227</v>
      </c>
      <c r="I784" s="58" t="s">
        <v>241</v>
      </c>
      <c r="J784" s="58" t="s">
        <v>229</v>
      </c>
      <c r="K784" s="58" t="s">
        <v>242</v>
      </c>
      <c r="L784" s="59">
        <v>2017</v>
      </c>
      <c r="M784" s="58" t="s">
        <v>166</v>
      </c>
      <c r="N784" s="58" t="s">
        <v>24</v>
      </c>
      <c r="O784" s="58" t="s">
        <v>54</v>
      </c>
      <c r="P784" s="58" t="s">
        <v>25</v>
      </c>
      <c r="Q784" s="60"/>
      <c r="R784" s="60">
        <v>26000</v>
      </c>
      <c r="S784" s="61"/>
      <c r="T784" s="61">
        <v>12</v>
      </c>
      <c r="U784" s="62" t="s">
        <v>58</v>
      </c>
      <c r="V784" s="63" t="s">
        <v>56</v>
      </c>
      <c r="W784" s="60">
        <v>35110831.482837401</v>
      </c>
      <c r="X784" s="60" t="str">
        <f t="shared" ref="X784:AA799" si="906">IF(Q784&gt;0,$W784/Q784,"")</f>
        <v/>
      </c>
      <c r="Y784" s="60">
        <f t="shared" si="891"/>
        <v>1350.4165954937462</v>
      </c>
      <c r="Z784" s="60" t="str">
        <f t="shared" si="891"/>
        <v/>
      </c>
      <c r="AA784" s="60">
        <f t="shared" si="891"/>
        <v>2925902.6235697833</v>
      </c>
      <c r="AB784" s="64" t="s">
        <v>73</v>
      </c>
      <c r="AD784" s="93">
        <f t="shared" ref="AD784" si="907">W784/AC783</f>
        <v>0.17810297413322274</v>
      </c>
    </row>
    <row r="785" spans="1:30" s="55" customFormat="1" ht="15.95">
      <c r="A785" s="57"/>
      <c r="B785" s="58" t="s">
        <v>224</v>
      </c>
      <c r="C785" s="58" t="s">
        <v>114</v>
      </c>
      <c r="D785" s="58"/>
      <c r="E785" s="58" t="s">
        <v>20</v>
      </c>
      <c r="F785" s="58" t="s">
        <v>21</v>
      </c>
      <c r="G785" s="58" t="s">
        <v>226</v>
      </c>
      <c r="H785" s="58" t="s">
        <v>227</v>
      </c>
      <c r="I785" s="58" t="s">
        <v>241</v>
      </c>
      <c r="J785" s="58" t="s">
        <v>229</v>
      </c>
      <c r="K785" s="58" t="s">
        <v>242</v>
      </c>
      <c r="L785" s="59">
        <v>2017</v>
      </c>
      <c r="M785" s="58" t="s">
        <v>166</v>
      </c>
      <c r="N785" s="58" t="s">
        <v>24</v>
      </c>
      <c r="O785" s="58" t="s">
        <v>54</v>
      </c>
      <c r="P785" s="58" t="s">
        <v>25</v>
      </c>
      <c r="Q785" s="60"/>
      <c r="R785" s="60">
        <v>26000</v>
      </c>
      <c r="S785" s="61"/>
      <c r="T785" s="61">
        <v>12</v>
      </c>
      <c r="U785" s="62" t="s">
        <v>59</v>
      </c>
      <c r="V785" s="63" t="s">
        <v>56</v>
      </c>
      <c r="W785" s="60">
        <v>29198592.639095571</v>
      </c>
      <c r="X785" s="60" t="str">
        <f t="shared" si="906"/>
        <v/>
      </c>
      <c r="Y785" s="60">
        <f t="shared" si="891"/>
        <v>1123.022793811368</v>
      </c>
      <c r="Z785" s="60" t="str">
        <f t="shared" si="891"/>
        <v/>
      </c>
      <c r="AA785" s="60">
        <f t="shared" si="891"/>
        <v>2433216.0532579641</v>
      </c>
      <c r="AB785" s="64" t="s">
        <v>73</v>
      </c>
      <c r="AD785" s="93">
        <f t="shared" ref="AD785" si="908">W785/AC783</f>
        <v>0.14811259004416752</v>
      </c>
    </row>
    <row r="786" spans="1:30" s="55" customFormat="1" ht="15.95">
      <c r="A786" s="57"/>
      <c r="B786" s="58" t="s">
        <v>224</v>
      </c>
      <c r="C786" s="58" t="s">
        <v>114</v>
      </c>
      <c r="D786" s="58"/>
      <c r="E786" s="58" t="s">
        <v>20</v>
      </c>
      <c r="F786" s="58" t="s">
        <v>21</v>
      </c>
      <c r="G786" s="58" t="s">
        <v>226</v>
      </c>
      <c r="H786" s="58" t="s">
        <v>227</v>
      </c>
      <c r="I786" s="58" t="s">
        <v>241</v>
      </c>
      <c r="J786" s="58" t="s">
        <v>229</v>
      </c>
      <c r="K786" s="58" t="s">
        <v>242</v>
      </c>
      <c r="L786" s="59">
        <v>2017</v>
      </c>
      <c r="M786" s="58" t="s">
        <v>166</v>
      </c>
      <c r="N786" s="58" t="s">
        <v>24</v>
      </c>
      <c r="O786" s="58" t="s">
        <v>54</v>
      </c>
      <c r="P786" s="58" t="s">
        <v>25</v>
      </c>
      <c r="Q786" s="60"/>
      <c r="R786" s="60">
        <v>26000</v>
      </c>
      <c r="S786" s="61"/>
      <c r="T786" s="61">
        <v>12</v>
      </c>
      <c r="U786" s="62" t="s">
        <v>60</v>
      </c>
      <c r="V786" s="63" t="s">
        <v>56</v>
      </c>
      <c r="W786" s="60">
        <v>5235645.7818096075</v>
      </c>
      <c r="X786" s="60" t="str">
        <f t="shared" si="906"/>
        <v/>
      </c>
      <c r="Y786" s="60">
        <f t="shared" si="891"/>
        <v>201.37099160806181</v>
      </c>
      <c r="Z786" s="60" t="str">
        <f t="shared" si="891"/>
        <v/>
      </c>
      <c r="AA786" s="60">
        <f t="shared" si="891"/>
        <v>436303.81515080063</v>
      </c>
      <c r="AB786" s="64" t="s">
        <v>73</v>
      </c>
      <c r="AD786" s="93">
        <f t="shared" ref="AD786" si="909">W786/AC783</f>
        <v>2.6558302548436167E-2</v>
      </c>
    </row>
    <row r="787" spans="1:30" s="55" customFormat="1" ht="15.95">
      <c r="A787" s="57"/>
      <c r="B787" s="58" t="s">
        <v>224</v>
      </c>
      <c r="C787" s="58" t="s">
        <v>114</v>
      </c>
      <c r="D787" s="58"/>
      <c r="E787" s="58" t="s">
        <v>20</v>
      </c>
      <c r="F787" s="58" t="s">
        <v>21</v>
      </c>
      <c r="G787" s="58" t="s">
        <v>226</v>
      </c>
      <c r="H787" s="58" t="s">
        <v>227</v>
      </c>
      <c r="I787" s="58" t="s">
        <v>241</v>
      </c>
      <c r="J787" s="58" t="s">
        <v>229</v>
      </c>
      <c r="K787" s="58" t="s">
        <v>242</v>
      </c>
      <c r="L787" s="59">
        <v>2017</v>
      </c>
      <c r="M787" s="58" t="s">
        <v>166</v>
      </c>
      <c r="N787" s="58" t="s">
        <v>24</v>
      </c>
      <c r="O787" s="58" t="s">
        <v>54</v>
      </c>
      <c r="P787" s="58" t="s">
        <v>25</v>
      </c>
      <c r="Q787" s="60"/>
      <c r="R787" s="60">
        <v>26000</v>
      </c>
      <c r="S787" s="61"/>
      <c r="T787" s="61">
        <v>12</v>
      </c>
      <c r="U787" s="62" t="s">
        <v>61</v>
      </c>
      <c r="V787" s="63" t="s">
        <v>56</v>
      </c>
      <c r="W787" s="60">
        <v>16929935.351766586</v>
      </c>
      <c r="X787" s="60" t="str">
        <f t="shared" si="906"/>
        <v/>
      </c>
      <c r="Y787" s="60">
        <f t="shared" si="906"/>
        <v>651.15135968333027</v>
      </c>
      <c r="Z787" s="60" t="str">
        <f t="shared" si="906"/>
        <v/>
      </c>
      <c r="AA787" s="60">
        <f t="shared" si="906"/>
        <v>1410827.9459805489</v>
      </c>
      <c r="AB787" s="64" t="s">
        <v>73</v>
      </c>
      <c r="AD787" s="93">
        <f t="shared" ref="AD787" si="910">W787/AC783</f>
        <v>8.5878679333091817E-2</v>
      </c>
    </row>
    <row r="788" spans="1:30" s="55" customFormat="1" ht="15.95">
      <c r="A788" s="57"/>
      <c r="B788" s="58" t="s">
        <v>224</v>
      </c>
      <c r="C788" s="58" t="s">
        <v>114</v>
      </c>
      <c r="D788" s="58"/>
      <c r="E788" s="58" t="s">
        <v>20</v>
      </c>
      <c r="F788" s="58" t="s">
        <v>21</v>
      </c>
      <c r="G788" s="58" t="s">
        <v>226</v>
      </c>
      <c r="H788" s="58" t="s">
        <v>227</v>
      </c>
      <c r="I788" s="58" t="s">
        <v>241</v>
      </c>
      <c r="J788" s="58" t="s">
        <v>229</v>
      </c>
      <c r="K788" s="58" t="s">
        <v>242</v>
      </c>
      <c r="L788" s="59">
        <v>2017</v>
      </c>
      <c r="M788" s="58" t="s">
        <v>166</v>
      </c>
      <c r="N788" s="58" t="s">
        <v>24</v>
      </c>
      <c r="O788" s="58" t="s">
        <v>54</v>
      </c>
      <c r="P788" s="58" t="s">
        <v>25</v>
      </c>
      <c r="Q788" s="60"/>
      <c r="R788" s="60">
        <v>26000</v>
      </c>
      <c r="S788" s="61"/>
      <c r="T788" s="61">
        <v>12</v>
      </c>
      <c r="U788" s="62" t="s">
        <v>62</v>
      </c>
      <c r="V788" s="63" t="s">
        <v>56</v>
      </c>
      <c r="W788" s="60">
        <v>1976134.2646629063</v>
      </c>
      <c r="X788" s="60" t="str">
        <f t="shared" si="906"/>
        <v/>
      </c>
      <c r="Y788" s="60">
        <f t="shared" si="906"/>
        <v>76.005164025496398</v>
      </c>
      <c r="Z788" s="60" t="str">
        <f t="shared" si="906"/>
        <v/>
      </c>
      <c r="AA788" s="60">
        <f t="shared" si="906"/>
        <v>164677.85538857552</v>
      </c>
      <c r="AB788" s="64" t="s">
        <v>73</v>
      </c>
      <c r="AD788" s="93">
        <f t="shared" ref="AD788" si="911">W788/AC783</f>
        <v>1.0024125745785109E-2</v>
      </c>
    </row>
    <row r="789" spans="1:30" s="55" customFormat="1" ht="15.95">
      <c r="A789" s="57"/>
      <c r="B789" s="58" t="s">
        <v>224</v>
      </c>
      <c r="C789" s="58" t="s">
        <v>114</v>
      </c>
      <c r="D789" s="58"/>
      <c r="E789" s="58" t="s">
        <v>20</v>
      </c>
      <c r="F789" s="58" t="s">
        <v>21</v>
      </c>
      <c r="G789" s="58" t="s">
        <v>226</v>
      </c>
      <c r="H789" s="58" t="s">
        <v>227</v>
      </c>
      <c r="I789" s="58" t="s">
        <v>241</v>
      </c>
      <c r="J789" s="58" t="s">
        <v>229</v>
      </c>
      <c r="K789" s="58" t="s">
        <v>242</v>
      </c>
      <c r="L789" s="59">
        <v>2017</v>
      </c>
      <c r="M789" s="58" t="s">
        <v>166</v>
      </c>
      <c r="N789" s="58" t="s">
        <v>24</v>
      </c>
      <c r="O789" s="58" t="s">
        <v>54</v>
      </c>
      <c r="P789" s="58" t="s">
        <v>25</v>
      </c>
      <c r="Q789" s="60"/>
      <c r="R789" s="60">
        <v>26000</v>
      </c>
      <c r="S789" s="61"/>
      <c r="T789" s="61">
        <v>12</v>
      </c>
      <c r="U789" s="62" t="s">
        <v>63</v>
      </c>
      <c r="V789" s="63" t="s">
        <v>56</v>
      </c>
      <c r="W789" s="60">
        <v>599804.65881221998</v>
      </c>
      <c r="X789" s="60" t="str">
        <f t="shared" si="906"/>
        <v/>
      </c>
      <c r="Y789" s="60">
        <f t="shared" si="906"/>
        <v>23.069409954316153</v>
      </c>
      <c r="Z789" s="60" t="str">
        <f t="shared" si="906"/>
        <v/>
      </c>
      <c r="AA789" s="60">
        <f t="shared" si="906"/>
        <v>49983.721567684996</v>
      </c>
      <c r="AB789" s="64" t="s">
        <v>73</v>
      </c>
      <c r="AD789" s="93">
        <f t="shared" ref="AD789" si="912">W789/AC783</f>
        <v>3.0425651891963206E-3</v>
      </c>
    </row>
    <row r="790" spans="1:30" s="55" customFormat="1" ht="15.95">
      <c r="A790" s="57"/>
      <c r="B790" s="58" t="s">
        <v>224</v>
      </c>
      <c r="C790" s="58" t="s">
        <v>114</v>
      </c>
      <c r="D790" s="58"/>
      <c r="E790" s="58" t="s">
        <v>20</v>
      </c>
      <c r="F790" s="58" t="s">
        <v>21</v>
      </c>
      <c r="G790" s="58" t="s">
        <v>226</v>
      </c>
      <c r="H790" s="58" t="s">
        <v>227</v>
      </c>
      <c r="I790" s="58" t="s">
        <v>241</v>
      </c>
      <c r="J790" s="58" t="s">
        <v>229</v>
      </c>
      <c r="K790" s="58" t="s">
        <v>242</v>
      </c>
      <c r="L790" s="59">
        <v>2017</v>
      </c>
      <c r="M790" s="58" t="s">
        <v>166</v>
      </c>
      <c r="N790" s="58" t="s">
        <v>24</v>
      </c>
      <c r="O790" s="58" t="s">
        <v>54</v>
      </c>
      <c r="P790" s="58" t="s">
        <v>25</v>
      </c>
      <c r="Q790" s="60"/>
      <c r="R790" s="60">
        <v>26000</v>
      </c>
      <c r="S790" s="61"/>
      <c r="T790" s="61">
        <v>12</v>
      </c>
      <c r="U790" s="62" t="s">
        <v>64</v>
      </c>
      <c r="V790" s="63" t="s">
        <v>56</v>
      </c>
      <c r="W790" s="60">
        <v>0</v>
      </c>
      <c r="X790" s="60" t="str">
        <f t="shared" si="906"/>
        <v/>
      </c>
      <c r="Y790" s="60">
        <f t="shared" si="906"/>
        <v>0</v>
      </c>
      <c r="Z790" s="60" t="str">
        <f t="shared" si="906"/>
        <v/>
      </c>
      <c r="AA790" s="60">
        <f t="shared" si="906"/>
        <v>0</v>
      </c>
      <c r="AB790" s="64" t="s">
        <v>73</v>
      </c>
      <c r="AD790" s="93">
        <f t="shared" ref="AD790" si="913">W790/AC783</f>
        <v>0</v>
      </c>
    </row>
    <row r="791" spans="1:30" s="55" customFormat="1" ht="15.95">
      <c r="A791" s="57"/>
      <c r="B791" s="58" t="s">
        <v>224</v>
      </c>
      <c r="C791" s="58" t="s">
        <v>114</v>
      </c>
      <c r="D791" s="58"/>
      <c r="E791" s="58" t="s">
        <v>20</v>
      </c>
      <c r="F791" s="58" t="s">
        <v>21</v>
      </c>
      <c r="G791" s="58" t="s">
        <v>226</v>
      </c>
      <c r="H791" s="58" t="s">
        <v>227</v>
      </c>
      <c r="I791" s="58" t="s">
        <v>241</v>
      </c>
      <c r="J791" s="58" t="s">
        <v>229</v>
      </c>
      <c r="K791" s="58" t="s">
        <v>242</v>
      </c>
      <c r="L791" s="59">
        <v>2017</v>
      </c>
      <c r="M791" s="58" t="s">
        <v>166</v>
      </c>
      <c r="N791" s="58" t="s">
        <v>24</v>
      </c>
      <c r="O791" s="58" t="s">
        <v>54</v>
      </c>
      <c r="P791" s="58" t="s">
        <v>25</v>
      </c>
      <c r="Q791" s="60"/>
      <c r="R791" s="60">
        <v>26000</v>
      </c>
      <c r="S791" s="61"/>
      <c r="T791" s="61">
        <v>12</v>
      </c>
      <c r="U791" s="62" t="s">
        <v>65</v>
      </c>
      <c r="V791" s="63" t="s">
        <v>56</v>
      </c>
      <c r="W791" s="60">
        <v>3106690.7384193693</v>
      </c>
      <c r="X791" s="60" t="str">
        <f t="shared" si="906"/>
        <v/>
      </c>
      <c r="Y791" s="60">
        <f t="shared" si="906"/>
        <v>119.4881053238219</v>
      </c>
      <c r="Z791" s="60" t="str">
        <f t="shared" si="906"/>
        <v/>
      </c>
      <c r="AA791" s="60">
        <f t="shared" si="906"/>
        <v>258890.89486828077</v>
      </c>
      <c r="AB791" s="64" t="s">
        <v>73</v>
      </c>
      <c r="AD791" s="93">
        <f t="shared" ref="AD791" si="914">W791/AC783</f>
        <v>1.5758979120021485E-2</v>
      </c>
    </row>
    <row r="792" spans="1:30" s="55" customFormat="1" ht="15.95">
      <c r="A792" s="57"/>
      <c r="B792" s="58" t="s">
        <v>224</v>
      </c>
      <c r="C792" s="58" t="s">
        <v>114</v>
      </c>
      <c r="D792" s="58"/>
      <c r="E792" s="58" t="s">
        <v>20</v>
      </c>
      <c r="F792" s="58" t="s">
        <v>21</v>
      </c>
      <c r="G792" s="58" t="s">
        <v>226</v>
      </c>
      <c r="H792" s="58" t="s">
        <v>227</v>
      </c>
      <c r="I792" s="58" t="s">
        <v>241</v>
      </c>
      <c r="J792" s="58" t="s">
        <v>229</v>
      </c>
      <c r="K792" s="58" t="s">
        <v>242</v>
      </c>
      <c r="L792" s="59">
        <v>2017</v>
      </c>
      <c r="M792" s="58" t="s">
        <v>166</v>
      </c>
      <c r="N792" s="58" t="s">
        <v>24</v>
      </c>
      <c r="O792" s="58" t="s">
        <v>54</v>
      </c>
      <c r="P792" s="58" t="s">
        <v>25</v>
      </c>
      <c r="Q792" s="60"/>
      <c r="R792" s="60">
        <v>26000</v>
      </c>
      <c r="S792" s="61"/>
      <c r="T792" s="61">
        <v>12</v>
      </c>
      <c r="U792" s="62" t="s">
        <v>66</v>
      </c>
      <c r="V792" s="63" t="s">
        <v>56</v>
      </c>
      <c r="W792" s="60">
        <v>36089282.809227347</v>
      </c>
      <c r="X792" s="60" t="str">
        <f t="shared" si="906"/>
        <v/>
      </c>
      <c r="Y792" s="60">
        <f t="shared" si="906"/>
        <v>1388.0493388164364</v>
      </c>
      <c r="Z792" s="60" t="str">
        <f t="shared" si="906"/>
        <v/>
      </c>
      <c r="AA792" s="60">
        <f t="shared" si="906"/>
        <v>3007440.2341022789</v>
      </c>
      <c r="AB792" s="64" t="s">
        <v>73</v>
      </c>
      <c r="AD792" s="93">
        <f t="shared" ref="AD792" si="915">W792/AC783</f>
        <v>0.18306625993178974</v>
      </c>
    </row>
    <row r="793" spans="1:30" s="55" customFormat="1" ht="15.95">
      <c r="A793" s="57"/>
      <c r="B793" s="58" t="s">
        <v>224</v>
      </c>
      <c r="C793" s="58" t="s">
        <v>114</v>
      </c>
      <c r="D793" s="58"/>
      <c r="E793" s="58" t="s">
        <v>20</v>
      </c>
      <c r="F793" s="58" t="s">
        <v>21</v>
      </c>
      <c r="G793" s="58" t="s">
        <v>226</v>
      </c>
      <c r="H793" s="58" t="s">
        <v>227</v>
      </c>
      <c r="I793" s="58" t="s">
        <v>241</v>
      </c>
      <c r="J793" s="58" t="s">
        <v>229</v>
      </c>
      <c r="K793" s="58" t="s">
        <v>242</v>
      </c>
      <c r="L793" s="59">
        <v>2017</v>
      </c>
      <c r="M793" s="58" t="s">
        <v>166</v>
      </c>
      <c r="N793" s="58" t="s">
        <v>24</v>
      </c>
      <c r="O793" s="58" t="s">
        <v>54</v>
      </c>
      <c r="P793" s="58" t="s">
        <v>25</v>
      </c>
      <c r="Q793" s="60"/>
      <c r="R793" s="60">
        <v>26000</v>
      </c>
      <c r="S793" s="61"/>
      <c r="T793" s="61">
        <v>12</v>
      </c>
      <c r="U793" s="62" t="s">
        <v>67</v>
      </c>
      <c r="V793" s="63" t="s">
        <v>56</v>
      </c>
      <c r="W793" s="60">
        <v>11890604.35032993</v>
      </c>
      <c r="X793" s="60" t="str">
        <f t="shared" si="906"/>
        <v/>
      </c>
      <c r="Y793" s="60">
        <f t="shared" si="906"/>
        <v>457.33093655115113</v>
      </c>
      <c r="Z793" s="60" t="str">
        <f t="shared" si="906"/>
        <v/>
      </c>
      <c r="AA793" s="60">
        <f t="shared" si="906"/>
        <v>990883.69586082746</v>
      </c>
      <c r="AB793" s="64" t="s">
        <v>73</v>
      </c>
      <c r="AD793" s="93">
        <f t="shared" ref="AD793" si="916">W793/AC783</f>
        <v>6.0316201855555036E-2</v>
      </c>
    </row>
    <row r="794" spans="1:30" s="55" customFormat="1" ht="15.95">
      <c r="A794" s="57"/>
      <c r="B794" s="58" t="s">
        <v>224</v>
      </c>
      <c r="C794" s="58" t="s">
        <v>114</v>
      </c>
      <c r="D794" s="58"/>
      <c r="E794" s="58" t="s">
        <v>20</v>
      </c>
      <c r="F794" s="58" t="s">
        <v>21</v>
      </c>
      <c r="G794" s="58" t="s">
        <v>226</v>
      </c>
      <c r="H794" s="58" t="s">
        <v>227</v>
      </c>
      <c r="I794" s="58" t="s">
        <v>241</v>
      </c>
      <c r="J794" s="58" t="s">
        <v>229</v>
      </c>
      <c r="K794" s="58" t="s">
        <v>242</v>
      </c>
      <c r="L794" s="59">
        <v>2017</v>
      </c>
      <c r="M794" s="58" t="s">
        <v>166</v>
      </c>
      <c r="N794" s="58" t="s">
        <v>24</v>
      </c>
      <c r="O794" s="58" t="s">
        <v>54</v>
      </c>
      <c r="P794" s="58" t="s">
        <v>25</v>
      </c>
      <c r="Q794" s="60"/>
      <c r="R794" s="60">
        <v>26000</v>
      </c>
      <c r="S794" s="61"/>
      <c r="T794" s="61">
        <v>12</v>
      </c>
      <c r="U794" s="62" t="s">
        <v>68</v>
      </c>
      <c r="V794" s="63" t="s">
        <v>56</v>
      </c>
      <c r="W794" s="60">
        <v>1325023.5049777604</v>
      </c>
      <c r="X794" s="60" t="str">
        <f t="shared" si="906"/>
        <v/>
      </c>
      <c r="Y794" s="60">
        <f t="shared" si="906"/>
        <v>50.962442499144629</v>
      </c>
      <c r="Z794" s="60" t="str">
        <f t="shared" si="906"/>
        <v/>
      </c>
      <c r="AA794" s="60">
        <f t="shared" si="906"/>
        <v>110418.62541481336</v>
      </c>
      <c r="AB794" s="64" t="s">
        <v>73</v>
      </c>
      <c r="AD794" s="93">
        <f t="shared" ref="AD794" si="917">W794/AC783</f>
        <v>6.7213055648745103E-3</v>
      </c>
    </row>
    <row r="795" spans="1:30" s="55" customFormat="1" ht="15.95">
      <c r="A795" s="57"/>
      <c r="B795" s="58" t="s">
        <v>224</v>
      </c>
      <c r="C795" s="58" t="s">
        <v>114</v>
      </c>
      <c r="D795" s="58"/>
      <c r="E795" s="58" t="s">
        <v>20</v>
      </c>
      <c r="F795" s="58" t="s">
        <v>21</v>
      </c>
      <c r="G795" s="58" t="s">
        <v>226</v>
      </c>
      <c r="H795" s="58" t="s">
        <v>227</v>
      </c>
      <c r="I795" s="58" t="s">
        <v>241</v>
      </c>
      <c r="J795" s="58" t="s">
        <v>229</v>
      </c>
      <c r="K795" s="58" t="s">
        <v>242</v>
      </c>
      <c r="L795" s="59">
        <v>2017</v>
      </c>
      <c r="M795" s="58" t="s">
        <v>166</v>
      </c>
      <c r="N795" s="58" t="s">
        <v>24</v>
      </c>
      <c r="O795" s="58" t="s">
        <v>54</v>
      </c>
      <c r="P795" s="58" t="s">
        <v>25</v>
      </c>
      <c r="Q795" s="60"/>
      <c r="R795" s="60">
        <v>26000</v>
      </c>
      <c r="S795" s="61"/>
      <c r="T795" s="61">
        <v>12</v>
      </c>
      <c r="U795" s="62" t="s">
        <v>69</v>
      </c>
      <c r="V795" s="63" t="s">
        <v>56</v>
      </c>
      <c r="W795" s="60">
        <v>30525771.826178998</v>
      </c>
      <c r="X795" s="60" t="str">
        <f t="shared" si="906"/>
        <v/>
      </c>
      <c r="Y795" s="60">
        <f t="shared" si="906"/>
        <v>1174.0681471607306</v>
      </c>
      <c r="Z795" s="60" t="str">
        <f t="shared" si="906"/>
        <v/>
      </c>
      <c r="AA795" s="60">
        <f t="shared" si="906"/>
        <v>2543814.31884825</v>
      </c>
      <c r="AB795" s="64" t="s">
        <v>73</v>
      </c>
      <c r="AD795" s="93">
        <f t="shared" ref="AD795" si="918">W795/AC783</f>
        <v>0.15484483050799175</v>
      </c>
    </row>
    <row r="796" spans="1:30" s="32" customFormat="1" ht="15" customHeight="1">
      <c r="A796" s="65"/>
      <c r="B796" s="66" t="s">
        <v>224</v>
      </c>
      <c r="C796" s="66" t="s">
        <v>193</v>
      </c>
      <c r="D796" s="66"/>
      <c r="E796" s="66" t="s">
        <v>20</v>
      </c>
      <c r="F796" s="66" t="s">
        <v>21</v>
      </c>
      <c r="G796" s="66" t="s">
        <v>226</v>
      </c>
      <c r="H796" s="66" t="s">
        <v>227</v>
      </c>
      <c r="I796" s="66" t="s">
        <v>243</v>
      </c>
      <c r="J796" s="66" t="s">
        <v>229</v>
      </c>
      <c r="K796" s="66" t="s">
        <v>244</v>
      </c>
      <c r="L796" s="67">
        <v>2017</v>
      </c>
      <c r="M796" s="66" t="s">
        <v>166</v>
      </c>
      <c r="N796" s="66" t="s">
        <v>24</v>
      </c>
      <c r="O796" s="66" t="s">
        <v>54</v>
      </c>
      <c r="P796" s="66" t="s">
        <v>25</v>
      </c>
      <c r="Q796" s="68"/>
      <c r="R796" s="68">
        <v>16009</v>
      </c>
      <c r="S796" s="69"/>
      <c r="T796" s="69"/>
      <c r="U796" s="70" t="s">
        <v>55</v>
      </c>
      <c r="V796" s="71" t="s">
        <v>56</v>
      </c>
      <c r="W796" s="72">
        <v>18311473.360233657</v>
      </c>
      <c r="X796" s="68" t="str">
        <f>IF(Q796&gt;0,$W796/Q796,"")</f>
        <v/>
      </c>
      <c r="Y796" s="68">
        <f t="shared" si="906"/>
        <v>1143.8236841922455</v>
      </c>
      <c r="Z796" s="68" t="str">
        <f t="shared" si="906"/>
        <v/>
      </c>
      <c r="AA796" s="68" t="str">
        <f t="shared" si="906"/>
        <v/>
      </c>
      <c r="AB796" s="73" t="s">
        <v>73</v>
      </c>
      <c r="AC796" s="92">
        <f t="shared" ref="AC796" si="919">SUM(W796:W808)</f>
        <v>247214089.11262095</v>
      </c>
      <c r="AD796" s="93">
        <f t="shared" ref="AD796" si="920">W796/AC796</f>
        <v>7.4071317803782913E-2</v>
      </c>
    </row>
    <row r="797" spans="1:30" s="32" customFormat="1" ht="15" customHeight="1">
      <c r="A797" s="65"/>
      <c r="B797" s="66" t="s">
        <v>224</v>
      </c>
      <c r="C797" s="66" t="s">
        <v>193</v>
      </c>
      <c r="D797" s="66"/>
      <c r="E797" s="66" t="s">
        <v>20</v>
      </c>
      <c r="F797" s="66" t="s">
        <v>21</v>
      </c>
      <c r="G797" s="66" t="s">
        <v>226</v>
      </c>
      <c r="H797" s="66" t="s">
        <v>227</v>
      </c>
      <c r="I797" s="66" t="s">
        <v>243</v>
      </c>
      <c r="J797" s="66" t="s">
        <v>229</v>
      </c>
      <c r="K797" s="66" t="s">
        <v>244</v>
      </c>
      <c r="L797" s="67">
        <v>2017</v>
      </c>
      <c r="M797" s="66" t="s">
        <v>166</v>
      </c>
      <c r="N797" s="66" t="s">
        <v>24</v>
      </c>
      <c r="O797" s="66" t="s">
        <v>54</v>
      </c>
      <c r="P797" s="66" t="s">
        <v>25</v>
      </c>
      <c r="Q797" s="68"/>
      <c r="R797" s="68">
        <v>16009</v>
      </c>
      <c r="S797" s="69"/>
      <c r="T797" s="69"/>
      <c r="U797" s="70" t="s">
        <v>58</v>
      </c>
      <c r="V797" s="71" t="s">
        <v>56</v>
      </c>
      <c r="W797" s="72">
        <v>18829294.778966356</v>
      </c>
      <c r="X797" s="68" t="str">
        <f t="shared" ref="X797:AA812" si="921">IF(Q797&gt;0,$W797/Q797,"")</f>
        <v/>
      </c>
      <c r="Y797" s="68">
        <f t="shared" si="906"/>
        <v>1176.1693284381508</v>
      </c>
      <c r="Z797" s="68" t="str">
        <f t="shared" si="906"/>
        <v/>
      </c>
      <c r="AA797" s="68" t="str">
        <f t="shared" si="906"/>
        <v/>
      </c>
      <c r="AB797" s="73" t="s">
        <v>73</v>
      </c>
      <c r="AC797" s="55"/>
      <c r="AD797" s="93">
        <f t="shared" ref="AD797" si="922">W797/AC796</f>
        <v>7.6165945260459958E-2</v>
      </c>
    </row>
    <row r="798" spans="1:30" s="32" customFormat="1" ht="15" customHeight="1">
      <c r="A798" s="65"/>
      <c r="B798" s="66" t="s">
        <v>224</v>
      </c>
      <c r="C798" s="66" t="s">
        <v>193</v>
      </c>
      <c r="D798" s="66"/>
      <c r="E798" s="66" t="s">
        <v>20</v>
      </c>
      <c r="F798" s="66" t="s">
        <v>21</v>
      </c>
      <c r="G798" s="66" t="s">
        <v>226</v>
      </c>
      <c r="H798" s="66" t="s">
        <v>227</v>
      </c>
      <c r="I798" s="66" t="s">
        <v>243</v>
      </c>
      <c r="J798" s="66" t="s">
        <v>229</v>
      </c>
      <c r="K798" s="66" t="s">
        <v>244</v>
      </c>
      <c r="L798" s="67">
        <v>2017</v>
      </c>
      <c r="M798" s="66" t="s">
        <v>166</v>
      </c>
      <c r="N798" s="66" t="s">
        <v>24</v>
      </c>
      <c r="O798" s="66" t="s">
        <v>54</v>
      </c>
      <c r="P798" s="66" t="s">
        <v>25</v>
      </c>
      <c r="Q798" s="68"/>
      <c r="R798" s="68">
        <v>16009</v>
      </c>
      <c r="S798" s="69"/>
      <c r="T798" s="69"/>
      <c r="U798" s="70" t="s">
        <v>59</v>
      </c>
      <c r="V798" s="71" t="s">
        <v>56</v>
      </c>
      <c r="W798" s="72">
        <v>12239128.445730325</v>
      </c>
      <c r="X798" s="68" t="str">
        <f t="shared" si="921"/>
        <v/>
      </c>
      <c r="Y798" s="68">
        <f t="shared" si="906"/>
        <v>764.51548789620369</v>
      </c>
      <c r="Z798" s="68" t="str">
        <f t="shared" si="906"/>
        <v/>
      </c>
      <c r="AA798" s="68" t="str">
        <f t="shared" si="906"/>
        <v/>
      </c>
      <c r="AB798" s="73" t="s">
        <v>73</v>
      </c>
      <c r="AC798" s="55"/>
      <c r="AD798" s="93">
        <f t="shared" ref="AD798" si="923">W798/AC796</f>
        <v>4.9508215691358361E-2</v>
      </c>
    </row>
    <row r="799" spans="1:30" s="32" customFormat="1" ht="15" customHeight="1">
      <c r="A799" s="65"/>
      <c r="B799" s="66" t="s">
        <v>224</v>
      </c>
      <c r="C799" s="66" t="s">
        <v>193</v>
      </c>
      <c r="D799" s="66"/>
      <c r="E799" s="66" t="s">
        <v>20</v>
      </c>
      <c r="F799" s="66" t="s">
        <v>21</v>
      </c>
      <c r="G799" s="66" t="s">
        <v>226</v>
      </c>
      <c r="H799" s="66" t="s">
        <v>227</v>
      </c>
      <c r="I799" s="66" t="s">
        <v>243</v>
      </c>
      <c r="J799" s="66" t="s">
        <v>229</v>
      </c>
      <c r="K799" s="66" t="s">
        <v>244</v>
      </c>
      <c r="L799" s="67">
        <v>2017</v>
      </c>
      <c r="M799" s="66" t="s">
        <v>166</v>
      </c>
      <c r="N799" s="66" t="s">
        <v>24</v>
      </c>
      <c r="O799" s="66" t="s">
        <v>54</v>
      </c>
      <c r="P799" s="66" t="s">
        <v>25</v>
      </c>
      <c r="Q799" s="68"/>
      <c r="R799" s="68">
        <v>16009</v>
      </c>
      <c r="S799" s="69"/>
      <c r="T799" s="69"/>
      <c r="U799" s="70" t="s">
        <v>60</v>
      </c>
      <c r="V799" s="71" t="s">
        <v>56</v>
      </c>
      <c r="W799" s="72">
        <v>12100205.350531507</v>
      </c>
      <c r="X799" s="68" t="str">
        <f t="shared" si="921"/>
        <v/>
      </c>
      <c r="Y799" s="68">
        <f t="shared" si="906"/>
        <v>755.83767571562919</v>
      </c>
      <c r="Z799" s="68" t="str">
        <f t="shared" si="906"/>
        <v/>
      </c>
      <c r="AA799" s="68" t="str">
        <f t="shared" si="906"/>
        <v/>
      </c>
      <c r="AB799" s="73" t="s">
        <v>73</v>
      </c>
      <c r="AC799" s="55"/>
      <c r="AD799" s="93">
        <f t="shared" ref="AD799" si="924">W799/AC796</f>
        <v>4.894626108878096E-2</v>
      </c>
    </row>
    <row r="800" spans="1:30" s="32" customFormat="1" ht="15" customHeight="1">
      <c r="A800" s="65"/>
      <c r="B800" s="66" t="s">
        <v>224</v>
      </c>
      <c r="C800" s="66" t="s">
        <v>193</v>
      </c>
      <c r="D800" s="66"/>
      <c r="E800" s="66" t="s">
        <v>20</v>
      </c>
      <c r="F800" s="66" t="s">
        <v>21</v>
      </c>
      <c r="G800" s="66" t="s">
        <v>226</v>
      </c>
      <c r="H800" s="66" t="s">
        <v>227</v>
      </c>
      <c r="I800" s="66" t="s">
        <v>243</v>
      </c>
      <c r="J800" s="66" t="s">
        <v>229</v>
      </c>
      <c r="K800" s="66" t="s">
        <v>244</v>
      </c>
      <c r="L800" s="67">
        <v>2017</v>
      </c>
      <c r="M800" s="66" t="s">
        <v>166</v>
      </c>
      <c r="N800" s="66" t="s">
        <v>24</v>
      </c>
      <c r="O800" s="66" t="s">
        <v>54</v>
      </c>
      <c r="P800" s="66" t="s">
        <v>25</v>
      </c>
      <c r="Q800" s="68"/>
      <c r="R800" s="68">
        <v>16009</v>
      </c>
      <c r="S800" s="69"/>
      <c r="T800" s="69"/>
      <c r="U800" s="70" t="s">
        <v>61</v>
      </c>
      <c r="V800" s="71" t="s">
        <v>56</v>
      </c>
      <c r="W800" s="72">
        <v>31113833.188286424</v>
      </c>
      <c r="X800" s="68" t="str">
        <f t="shared" si="921"/>
        <v/>
      </c>
      <c r="Y800" s="68">
        <f t="shared" si="921"/>
        <v>1943.5213435121759</v>
      </c>
      <c r="Z800" s="68" t="str">
        <f t="shared" si="921"/>
        <v/>
      </c>
      <c r="AA800" s="68" t="str">
        <f t="shared" si="921"/>
        <v/>
      </c>
      <c r="AB800" s="73" t="s">
        <v>73</v>
      </c>
      <c r="AC800" s="55"/>
      <c r="AD800" s="93">
        <f t="shared" ref="AD800" si="925">W800/AC796</f>
        <v>0.12585784774634018</v>
      </c>
    </row>
    <row r="801" spans="1:30" s="32" customFormat="1" ht="15" customHeight="1">
      <c r="A801" s="65"/>
      <c r="B801" s="66" t="s">
        <v>224</v>
      </c>
      <c r="C801" s="66" t="s">
        <v>193</v>
      </c>
      <c r="D801" s="66"/>
      <c r="E801" s="66" t="s">
        <v>20</v>
      </c>
      <c r="F801" s="66" t="s">
        <v>21</v>
      </c>
      <c r="G801" s="66" t="s">
        <v>226</v>
      </c>
      <c r="H801" s="66" t="s">
        <v>227</v>
      </c>
      <c r="I801" s="66" t="s">
        <v>243</v>
      </c>
      <c r="J801" s="66" t="s">
        <v>229</v>
      </c>
      <c r="K801" s="66" t="s">
        <v>244</v>
      </c>
      <c r="L801" s="67">
        <v>2017</v>
      </c>
      <c r="M801" s="66" t="s">
        <v>166</v>
      </c>
      <c r="N801" s="66" t="s">
        <v>24</v>
      </c>
      <c r="O801" s="66" t="s">
        <v>54</v>
      </c>
      <c r="P801" s="66" t="s">
        <v>25</v>
      </c>
      <c r="Q801" s="68"/>
      <c r="R801" s="68">
        <v>16009</v>
      </c>
      <c r="S801" s="69"/>
      <c r="T801" s="69"/>
      <c r="U801" s="70" t="s">
        <v>62</v>
      </c>
      <c r="V801" s="71" t="s">
        <v>56</v>
      </c>
      <c r="W801" s="72">
        <v>38029674.928969465</v>
      </c>
      <c r="X801" s="68" t="str">
        <f t="shared" si="921"/>
        <v/>
      </c>
      <c r="Y801" s="68">
        <f t="shared" si="921"/>
        <v>2375.5184539302559</v>
      </c>
      <c r="Z801" s="68" t="str">
        <f t="shared" si="921"/>
        <v/>
      </c>
      <c r="AA801" s="68" t="str">
        <f t="shared" si="921"/>
        <v/>
      </c>
      <c r="AB801" s="73" t="s">
        <v>73</v>
      </c>
      <c r="AC801" s="55"/>
      <c r="AD801" s="93">
        <f t="shared" ref="AD801" si="926">W801/AC796</f>
        <v>0.1538329593813913</v>
      </c>
    </row>
    <row r="802" spans="1:30" s="32" customFormat="1" ht="15" customHeight="1">
      <c r="A802" s="65"/>
      <c r="B802" s="66" t="s">
        <v>224</v>
      </c>
      <c r="C802" s="66" t="s">
        <v>193</v>
      </c>
      <c r="D802" s="66"/>
      <c r="E802" s="66" t="s">
        <v>20</v>
      </c>
      <c r="F802" s="66" t="s">
        <v>21</v>
      </c>
      <c r="G802" s="66" t="s">
        <v>226</v>
      </c>
      <c r="H802" s="66" t="s">
        <v>227</v>
      </c>
      <c r="I802" s="66" t="s">
        <v>243</v>
      </c>
      <c r="J802" s="66" t="s">
        <v>229</v>
      </c>
      <c r="K802" s="66" t="s">
        <v>244</v>
      </c>
      <c r="L802" s="67">
        <v>2017</v>
      </c>
      <c r="M802" s="66" t="s">
        <v>166</v>
      </c>
      <c r="N802" s="66" t="s">
        <v>24</v>
      </c>
      <c r="O802" s="66" t="s">
        <v>54</v>
      </c>
      <c r="P802" s="66" t="s">
        <v>25</v>
      </c>
      <c r="Q802" s="68"/>
      <c r="R802" s="68">
        <v>16009</v>
      </c>
      <c r="S802" s="69"/>
      <c r="T802" s="69"/>
      <c r="U802" s="70" t="s">
        <v>63</v>
      </c>
      <c r="V802" s="71" t="s">
        <v>56</v>
      </c>
      <c r="W802" s="72">
        <v>10315699.938836304</v>
      </c>
      <c r="X802" s="68" t="str">
        <f t="shared" si="921"/>
        <v/>
      </c>
      <c r="Y802" s="68">
        <f t="shared" si="921"/>
        <v>644.36878873360638</v>
      </c>
      <c r="Z802" s="68" t="str">
        <f t="shared" si="921"/>
        <v/>
      </c>
      <c r="AA802" s="68" t="str">
        <f t="shared" si="921"/>
        <v/>
      </c>
      <c r="AB802" s="73" t="s">
        <v>73</v>
      </c>
      <c r="AC802" s="55"/>
      <c r="AD802" s="93">
        <f t="shared" ref="AD802" si="927">W802/AC796</f>
        <v>4.1727799478843135E-2</v>
      </c>
    </row>
    <row r="803" spans="1:30" s="32" customFormat="1" ht="15" customHeight="1">
      <c r="A803" s="65"/>
      <c r="B803" s="66" t="s">
        <v>224</v>
      </c>
      <c r="C803" s="66" t="s">
        <v>193</v>
      </c>
      <c r="D803" s="66"/>
      <c r="E803" s="66" t="s">
        <v>20</v>
      </c>
      <c r="F803" s="66" t="s">
        <v>21</v>
      </c>
      <c r="G803" s="66" t="s">
        <v>226</v>
      </c>
      <c r="H803" s="66" t="s">
        <v>227</v>
      </c>
      <c r="I803" s="66" t="s">
        <v>243</v>
      </c>
      <c r="J803" s="66" t="s">
        <v>229</v>
      </c>
      <c r="K803" s="66" t="s">
        <v>244</v>
      </c>
      <c r="L803" s="67">
        <v>2017</v>
      </c>
      <c r="M803" s="66" t="s">
        <v>166</v>
      </c>
      <c r="N803" s="66" t="s">
        <v>24</v>
      </c>
      <c r="O803" s="66" t="s">
        <v>54</v>
      </c>
      <c r="P803" s="66" t="s">
        <v>25</v>
      </c>
      <c r="Q803" s="68"/>
      <c r="R803" s="68">
        <v>16009</v>
      </c>
      <c r="S803" s="69"/>
      <c r="T803" s="69"/>
      <c r="U803" s="70" t="s">
        <v>64</v>
      </c>
      <c r="V803" s="71" t="s">
        <v>56</v>
      </c>
      <c r="W803" s="72">
        <v>0</v>
      </c>
      <c r="X803" s="68" t="str">
        <f t="shared" si="921"/>
        <v/>
      </c>
      <c r="Y803" s="68">
        <f t="shared" si="921"/>
        <v>0</v>
      </c>
      <c r="Z803" s="68" t="str">
        <f t="shared" si="921"/>
        <v/>
      </c>
      <c r="AA803" s="68" t="str">
        <f t="shared" si="921"/>
        <v/>
      </c>
      <c r="AB803" s="73" t="s">
        <v>73</v>
      </c>
      <c r="AC803" s="55"/>
      <c r="AD803" s="93">
        <f t="shared" ref="AD803" si="928">W803/AC796</f>
        <v>0</v>
      </c>
    </row>
    <row r="804" spans="1:30" s="32" customFormat="1" ht="15" customHeight="1">
      <c r="A804" s="65"/>
      <c r="B804" s="66" t="s">
        <v>224</v>
      </c>
      <c r="C804" s="66" t="s">
        <v>193</v>
      </c>
      <c r="D804" s="66"/>
      <c r="E804" s="66" t="s">
        <v>20</v>
      </c>
      <c r="F804" s="66" t="s">
        <v>21</v>
      </c>
      <c r="G804" s="66" t="s">
        <v>226</v>
      </c>
      <c r="H804" s="66" t="s">
        <v>227</v>
      </c>
      <c r="I804" s="66" t="s">
        <v>243</v>
      </c>
      <c r="J804" s="66" t="s">
        <v>229</v>
      </c>
      <c r="K804" s="66" t="s">
        <v>244</v>
      </c>
      <c r="L804" s="67">
        <v>2017</v>
      </c>
      <c r="M804" s="66" t="s">
        <v>166</v>
      </c>
      <c r="N804" s="66" t="s">
        <v>24</v>
      </c>
      <c r="O804" s="66" t="s">
        <v>54</v>
      </c>
      <c r="P804" s="66" t="s">
        <v>25</v>
      </c>
      <c r="Q804" s="68"/>
      <c r="R804" s="68">
        <v>16009</v>
      </c>
      <c r="S804" s="69"/>
      <c r="T804" s="69"/>
      <c r="U804" s="70" t="s">
        <v>65</v>
      </c>
      <c r="V804" s="71" t="s">
        <v>56</v>
      </c>
      <c r="W804" s="72">
        <v>24147372.637024246</v>
      </c>
      <c r="X804" s="68" t="str">
        <f t="shared" si="921"/>
        <v/>
      </c>
      <c r="Y804" s="68">
        <f t="shared" si="921"/>
        <v>1508.3623360000154</v>
      </c>
      <c r="Z804" s="68" t="str">
        <f t="shared" si="921"/>
        <v/>
      </c>
      <c r="AA804" s="68" t="str">
        <f t="shared" si="921"/>
        <v/>
      </c>
      <c r="AB804" s="73" t="s">
        <v>73</v>
      </c>
      <c r="AC804" s="55"/>
      <c r="AD804" s="93">
        <f t="shared" ref="AD804" si="929">W804/AC796</f>
        <v>9.7677979130160575E-2</v>
      </c>
    </row>
    <row r="805" spans="1:30" s="32" customFormat="1" ht="15" customHeight="1">
      <c r="A805" s="65"/>
      <c r="B805" s="66" t="s">
        <v>224</v>
      </c>
      <c r="C805" s="66" t="s">
        <v>193</v>
      </c>
      <c r="D805" s="66"/>
      <c r="E805" s="66" t="s">
        <v>20</v>
      </c>
      <c r="F805" s="66" t="s">
        <v>21</v>
      </c>
      <c r="G805" s="66" t="s">
        <v>226</v>
      </c>
      <c r="H805" s="66" t="s">
        <v>227</v>
      </c>
      <c r="I805" s="66" t="s">
        <v>243</v>
      </c>
      <c r="J805" s="66" t="s">
        <v>229</v>
      </c>
      <c r="K805" s="66" t="s">
        <v>244</v>
      </c>
      <c r="L805" s="67">
        <v>2017</v>
      </c>
      <c r="M805" s="66" t="s">
        <v>166</v>
      </c>
      <c r="N805" s="66" t="s">
        <v>24</v>
      </c>
      <c r="O805" s="66" t="s">
        <v>54</v>
      </c>
      <c r="P805" s="66" t="s">
        <v>25</v>
      </c>
      <c r="Q805" s="68"/>
      <c r="R805" s="68">
        <v>16009</v>
      </c>
      <c r="S805" s="69"/>
      <c r="T805" s="69"/>
      <c r="U805" s="70" t="s">
        <v>66</v>
      </c>
      <c r="V805" s="71" t="s">
        <v>56</v>
      </c>
      <c r="W805" s="72">
        <v>46019808.077053234</v>
      </c>
      <c r="X805" s="68" t="str">
        <f t="shared" si="921"/>
        <v/>
      </c>
      <c r="Y805" s="68">
        <f t="shared" si="921"/>
        <v>2874.6210304861788</v>
      </c>
      <c r="Z805" s="68" t="str">
        <f t="shared" si="921"/>
        <v/>
      </c>
      <c r="AA805" s="68" t="str">
        <f t="shared" si="921"/>
        <v/>
      </c>
      <c r="AB805" s="73" t="s">
        <v>73</v>
      </c>
      <c r="AC805" s="55"/>
      <c r="AD805" s="93">
        <f t="shared" ref="AD805" si="930">W805/AC796</f>
        <v>0.18615366236706854</v>
      </c>
    </row>
    <row r="806" spans="1:30" s="32" customFormat="1" ht="15" customHeight="1">
      <c r="A806" s="65"/>
      <c r="B806" s="66" t="s">
        <v>224</v>
      </c>
      <c r="C806" s="66" t="s">
        <v>193</v>
      </c>
      <c r="D806" s="66"/>
      <c r="E806" s="66" t="s">
        <v>20</v>
      </c>
      <c r="F806" s="66" t="s">
        <v>21</v>
      </c>
      <c r="G806" s="66" t="s">
        <v>226</v>
      </c>
      <c r="H806" s="66" t="s">
        <v>227</v>
      </c>
      <c r="I806" s="66" t="s">
        <v>243</v>
      </c>
      <c r="J806" s="66" t="s">
        <v>229</v>
      </c>
      <c r="K806" s="66" t="s">
        <v>244</v>
      </c>
      <c r="L806" s="67">
        <v>2017</v>
      </c>
      <c r="M806" s="66" t="s">
        <v>166</v>
      </c>
      <c r="N806" s="66" t="s">
        <v>24</v>
      </c>
      <c r="O806" s="66" t="s">
        <v>54</v>
      </c>
      <c r="P806" s="66" t="s">
        <v>25</v>
      </c>
      <c r="Q806" s="68"/>
      <c r="R806" s="68">
        <v>16009</v>
      </c>
      <c r="S806" s="69"/>
      <c r="T806" s="69"/>
      <c r="U806" s="70" t="s">
        <v>67</v>
      </c>
      <c r="V806" s="71" t="s">
        <v>56</v>
      </c>
      <c r="W806" s="72">
        <v>5166059.6595300883</v>
      </c>
      <c r="X806" s="68" t="str">
        <f t="shared" si="921"/>
        <v/>
      </c>
      <c r="Y806" s="68">
        <f t="shared" si="921"/>
        <v>322.69721153913974</v>
      </c>
      <c r="Z806" s="68" t="str">
        <f t="shared" si="921"/>
        <v/>
      </c>
      <c r="AA806" s="68" t="str">
        <f t="shared" si="921"/>
        <v/>
      </c>
      <c r="AB806" s="73" t="s">
        <v>73</v>
      </c>
      <c r="AC806" s="55"/>
      <c r="AD806" s="93">
        <f t="shared" ref="AD806" si="931">W806/AC796</f>
        <v>2.0897108567208871E-2</v>
      </c>
    </row>
    <row r="807" spans="1:30" s="32" customFormat="1" ht="15" customHeight="1">
      <c r="A807" s="65"/>
      <c r="B807" s="66" t="s">
        <v>224</v>
      </c>
      <c r="C807" s="66" t="s">
        <v>193</v>
      </c>
      <c r="D807" s="66"/>
      <c r="E807" s="66" t="s">
        <v>20</v>
      </c>
      <c r="F807" s="66" t="s">
        <v>21</v>
      </c>
      <c r="G807" s="66" t="s">
        <v>226</v>
      </c>
      <c r="H807" s="66" t="s">
        <v>227</v>
      </c>
      <c r="I807" s="66" t="s">
        <v>243</v>
      </c>
      <c r="J807" s="66" t="s">
        <v>229</v>
      </c>
      <c r="K807" s="66" t="s">
        <v>244</v>
      </c>
      <c r="L807" s="67">
        <v>2017</v>
      </c>
      <c r="M807" s="66" t="s">
        <v>166</v>
      </c>
      <c r="N807" s="66" t="s">
        <v>24</v>
      </c>
      <c r="O807" s="66" t="s">
        <v>54</v>
      </c>
      <c r="P807" s="66" t="s">
        <v>25</v>
      </c>
      <c r="Q807" s="68"/>
      <c r="R807" s="68">
        <v>16009</v>
      </c>
      <c r="S807" s="69"/>
      <c r="T807" s="69"/>
      <c r="U807" s="70" t="s">
        <v>68</v>
      </c>
      <c r="V807" s="71" t="s">
        <v>56</v>
      </c>
      <c r="W807" s="72">
        <v>5184944.0556532163</v>
      </c>
      <c r="X807" s="68" t="str">
        <f t="shared" si="921"/>
        <v/>
      </c>
      <c r="Y807" s="68">
        <f t="shared" si="921"/>
        <v>323.87682276552039</v>
      </c>
      <c r="Z807" s="68" t="str">
        <f t="shared" si="921"/>
        <v/>
      </c>
      <c r="AA807" s="68" t="str">
        <f t="shared" si="921"/>
        <v/>
      </c>
      <c r="AB807" s="73" t="s">
        <v>73</v>
      </c>
      <c r="AC807" s="55"/>
      <c r="AD807" s="93">
        <f t="shared" ref="AD807" si="932">W807/AC796</f>
        <v>2.0973497401643483E-2</v>
      </c>
    </row>
    <row r="808" spans="1:30" s="32" customFormat="1" ht="15" customHeight="1">
      <c r="A808" s="65"/>
      <c r="B808" s="66" t="s">
        <v>224</v>
      </c>
      <c r="C808" s="66" t="s">
        <v>193</v>
      </c>
      <c r="D808" s="66"/>
      <c r="E808" s="66" t="s">
        <v>20</v>
      </c>
      <c r="F808" s="66" t="s">
        <v>21</v>
      </c>
      <c r="G808" s="66" t="s">
        <v>226</v>
      </c>
      <c r="H808" s="66" t="s">
        <v>227</v>
      </c>
      <c r="I808" s="66" t="s">
        <v>243</v>
      </c>
      <c r="J808" s="66" t="s">
        <v>229</v>
      </c>
      <c r="K808" s="66" t="s">
        <v>244</v>
      </c>
      <c r="L808" s="67">
        <v>2017</v>
      </c>
      <c r="M808" s="66" t="s">
        <v>166</v>
      </c>
      <c r="N808" s="66" t="s">
        <v>24</v>
      </c>
      <c r="O808" s="66" t="s">
        <v>54</v>
      </c>
      <c r="P808" s="66" t="s">
        <v>25</v>
      </c>
      <c r="Q808" s="68"/>
      <c r="R808" s="68">
        <v>16009</v>
      </c>
      <c r="S808" s="69"/>
      <c r="T808" s="69"/>
      <c r="U808" s="70" t="s">
        <v>69</v>
      </c>
      <c r="V808" s="71" t="s">
        <v>56</v>
      </c>
      <c r="W808" s="72">
        <v>25756594.691806082</v>
      </c>
      <c r="X808" s="68" t="str">
        <f t="shared" si="921"/>
        <v/>
      </c>
      <c r="Y808" s="68">
        <f t="shared" si="921"/>
        <v>1608.8821720161211</v>
      </c>
      <c r="Z808" s="68" t="str">
        <f t="shared" si="921"/>
        <v/>
      </c>
      <c r="AA808" s="68" t="str">
        <f t="shared" si="921"/>
        <v/>
      </c>
      <c r="AB808" s="73" t="s">
        <v>73</v>
      </c>
      <c r="AC808" s="55"/>
      <c r="AD808" s="93">
        <f t="shared" ref="AD808" si="933">W808/AC796</f>
        <v>0.10418740608296155</v>
      </c>
    </row>
    <row r="809" spans="1:30" s="55" customFormat="1" ht="15" customHeight="1">
      <c r="A809" s="57"/>
      <c r="B809" s="58" t="s">
        <v>224</v>
      </c>
      <c r="C809" s="58" t="s">
        <v>114</v>
      </c>
      <c r="D809" s="58"/>
      <c r="E809" s="58" t="s">
        <v>20</v>
      </c>
      <c r="F809" s="58" t="s">
        <v>21</v>
      </c>
      <c r="G809" s="58" t="s">
        <v>226</v>
      </c>
      <c r="H809" s="58" t="s">
        <v>227</v>
      </c>
      <c r="I809" s="58" t="s">
        <v>245</v>
      </c>
      <c r="J809" s="58" t="s">
        <v>229</v>
      </c>
      <c r="K809" s="58" t="s">
        <v>246</v>
      </c>
      <c r="L809" s="59">
        <v>2017</v>
      </c>
      <c r="M809" s="58" t="s">
        <v>166</v>
      </c>
      <c r="N809" s="58" t="s">
        <v>24</v>
      </c>
      <c r="O809" s="58" t="s">
        <v>54</v>
      </c>
      <c r="P809" s="58" t="s">
        <v>25</v>
      </c>
      <c r="Q809" s="60"/>
      <c r="R809" s="60">
        <v>104005</v>
      </c>
      <c r="S809" s="61"/>
      <c r="T809" s="61">
        <v>263</v>
      </c>
      <c r="U809" s="62" t="s">
        <v>55</v>
      </c>
      <c r="V809" s="63" t="s">
        <v>56</v>
      </c>
      <c r="W809" s="60">
        <v>76032985.911193997</v>
      </c>
      <c r="X809" s="60" t="str">
        <f>IF(Q809&gt;0,$W809/Q809,"")</f>
        <v/>
      </c>
      <c r="Y809" s="60">
        <f t="shared" si="921"/>
        <v>731.05125629723568</v>
      </c>
      <c r="Z809" s="60" t="str">
        <f t="shared" si="921"/>
        <v/>
      </c>
      <c r="AA809" s="60">
        <f t="shared" si="921"/>
        <v>289098.80574598478</v>
      </c>
      <c r="AB809" s="64" t="s">
        <v>73</v>
      </c>
      <c r="AC809" s="92">
        <f t="shared" ref="AC809" si="934">SUM(W809:W821)</f>
        <v>941576750.8025099</v>
      </c>
      <c r="AD809" s="93">
        <f t="shared" ref="AD809" si="935">W809/AC809</f>
        <v>8.0750704439537996E-2</v>
      </c>
    </row>
    <row r="810" spans="1:30" s="55" customFormat="1" ht="15.95">
      <c r="A810" s="57"/>
      <c r="B810" s="58" t="s">
        <v>224</v>
      </c>
      <c r="C810" s="58" t="s">
        <v>114</v>
      </c>
      <c r="D810" s="58"/>
      <c r="E810" s="58" t="s">
        <v>20</v>
      </c>
      <c r="F810" s="58" t="s">
        <v>21</v>
      </c>
      <c r="G810" s="58" t="s">
        <v>226</v>
      </c>
      <c r="H810" s="58" t="s">
        <v>227</v>
      </c>
      <c r="I810" s="58" t="s">
        <v>245</v>
      </c>
      <c r="J810" s="58" t="s">
        <v>229</v>
      </c>
      <c r="K810" s="58" t="s">
        <v>246</v>
      </c>
      <c r="L810" s="59">
        <v>2017</v>
      </c>
      <c r="M810" s="58" t="s">
        <v>166</v>
      </c>
      <c r="N810" s="58" t="s">
        <v>24</v>
      </c>
      <c r="O810" s="58" t="s">
        <v>54</v>
      </c>
      <c r="P810" s="58" t="s">
        <v>25</v>
      </c>
      <c r="Q810" s="60"/>
      <c r="R810" s="60">
        <v>104005</v>
      </c>
      <c r="S810" s="61"/>
      <c r="T810" s="61">
        <v>263</v>
      </c>
      <c r="U810" s="62" t="s">
        <v>58</v>
      </c>
      <c r="V810" s="63" t="s">
        <v>56</v>
      </c>
      <c r="W810" s="60">
        <v>152968823.26393524</v>
      </c>
      <c r="X810" s="60" t="str">
        <f t="shared" ref="X810:AA825" si="936">IF(Q810&gt;0,$W810/Q810,"")</f>
        <v/>
      </c>
      <c r="Y810" s="60">
        <f t="shared" si="921"/>
        <v>1470.7833591071126</v>
      </c>
      <c r="Z810" s="60" t="str">
        <f t="shared" si="921"/>
        <v/>
      </c>
      <c r="AA810" s="60">
        <f t="shared" si="921"/>
        <v>581630.50670697808</v>
      </c>
      <c r="AB810" s="64" t="s">
        <v>73</v>
      </c>
      <c r="AD810" s="93">
        <f t="shared" ref="AD810" si="937">W810/AC809</f>
        <v>0.16246028072970073</v>
      </c>
    </row>
    <row r="811" spans="1:30" s="55" customFormat="1" ht="15.95">
      <c r="A811" s="57"/>
      <c r="B811" s="58" t="s">
        <v>224</v>
      </c>
      <c r="C811" s="58" t="s">
        <v>114</v>
      </c>
      <c r="D811" s="58"/>
      <c r="E811" s="58" t="s">
        <v>20</v>
      </c>
      <c r="F811" s="58" t="s">
        <v>21</v>
      </c>
      <c r="G811" s="58" t="s">
        <v>226</v>
      </c>
      <c r="H811" s="58" t="s">
        <v>227</v>
      </c>
      <c r="I811" s="58" t="s">
        <v>245</v>
      </c>
      <c r="J811" s="58" t="s">
        <v>229</v>
      </c>
      <c r="K811" s="58" t="s">
        <v>246</v>
      </c>
      <c r="L811" s="59">
        <v>2017</v>
      </c>
      <c r="M811" s="58" t="s">
        <v>166</v>
      </c>
      <c r="N811" s="58" t="s">
        <v>24</v>
      </c>
      <c r="O811" s="58" t="s">
        <v>54</v>
      </c>
      <c r="P811" s="58" t="s">
        <v>25</v>
      </c>
      <c r="Q811" s="60"/>
      <c r="R811" s="60">
        <v>104005</v>
      </c>
      <c r="S811" s="61"/>
      <c r="T811" s="61">
        <v>263</v>
      </c>
      <c r="U811" s="62" t="s">
        <v>59</v>
      </c>
      <c r="V811" s="63" t="s">
        <v>56</v>
      </c>
      <c r="W811" s="60">
        <v>140137986.07814798</v>
      </c>
      <c r="X811" s="60" t="str">
        <f t="shared" si="936"/>
        <v/>
      </c>
      <c r="Y811" s="60">
        <f t="shared" si="921"/>
        <v>1347.4158557583576</v>
      </c>
      <c r="Z811" s="60" t="str">
        <f t="shared" si="921"/>
        <v/>
      </c>
      <c r="AA811" s="60">
        <f t="shared" si="921"/>
        <v>532844.05352907977</v>
      </c>
      <c r="AB811" s="64" t="s">
        <v>73</v>
      </c>
      <c r="AD811" s="93">
        <f t="shared" ref="AD811" si="938">W811/AC809</f>
        <v>0.14883331173874861</v>
      </c>
    </row>
    <row r="812" spans="1:30" s="55" customFormat="1" ht="15.95">
      <c r="A812" s="57"/>
      <c r="B812" s="58" t="s">
        <v>224</v>
      </c>
      <c r="C812" s="58" t="s">
        <v>114</v>
      </c>
      <c r="D812" s="58"/>
      <c r="E812" s="58" t="s">
        <v>20</v>
      </c>
      <c r="F812" s="58" t="s">
        <v>21</v>
      </c>
      <c r="G812" s="58" t="s">
        <v>226</v>
      </c>
      <c r="H812" s="58" t="s">
        <v>227</v>
      </c>
      <c r="I812" s="58" t="s">
        <v>245</v>
      </c>
      <c r="J812" s="58" t="s">
        <v>229</v>
      </c>
      <c r="K812" s="58" t="s">
        <v>246</v>
      </c>
      <c r="L812" s="59">
        <v>2017</v>
      </c>
      <c r="M812" s="58" t="s">
        <v>166</v>
      </c>
      <c r="N812" s="58" t="s">
        <v>24</v>
      </c>
      <c r="O812" s="58" t="s">
        <v>54</v>
      </c>
      <c r="P812" s="58" t="s">
        <v>25</v>
      </c>
      <c r="Q812" s="60"/>
      <c r="R812" s="60">
        <v>104005</v>
      </c>
      <c r="S812" s="61"/>
      <c r="T812" s="61">
        <v>263</v>
      </c>
      <c r="U812" s="62" t="s">
        <v>60</v>
      </c>
      <c r="V812" s="63" t="s">
        <v>56</v>
      </c>
      <c r="W812" s="60">
        <v>25615932.047842134</v>
      </c>
      <c r="X812" s="60" t="str">
        <f t="shared" si="936"/>
        <v/>
      </c>
      <c r="Y812" s="60">
        <f t="shared" si="921"/>
        <v>246.29519780627984</v>
      </c>
      <c r="Z812" s="60" t="str">
        <f t="shared" si="921"/>
        <v/>
      </c>
      <c r="AA812" s="60">
        <f t="shared" si="921"/>
        <v>97398.981170502404</v>
      </c>
      <c r="AB812" s="64" t="s">
        <v>73</v>
      </c>
      <c r="AD812" s="93">
        <f t="shared" ref="AD812" si="939">W812/AC809</f>
        <v>2.7205357424139417E-2</v>
      </c>
    </row>
    <row r="813" spans="1:30" s="55" customFormat="1" ht="15.95">
      <c r="A813" s="57"/>
      <c r="B813" s="58" t="s">
        <v>224</v>
      </c>
      <c r="C813" s="58" t="s">
        <v>114</v>
      </c>
      <c r="D813" s="58"/>
      <c r="E813" s="58" t="s">
        <v>20</v>
      </c>
      <c r="F813" s="58" t="s">
        <v>21</v>
      </c>
      <c r="G813" s="58" t="s">
        <v>226</v>
      </c>
      <c r="H813" s="58" t="s">
        <v>227</v>
      </c>
      <c r="I813" s="58" t="s">
        <v>245</v>
      </c>
      <c r="J813" s="58" t="s">
        <v>229</v>
      </c>
      <c r="K813" s="58" t="s">
        <v>246</v>
      </c>
      <c r="L813" s="59">
        <v>2017</v>
      </c>
      <c r="M813" s="58" t="s">
        <v>166</v>
      </c>
      <c r="N813" s="58" t="s">
        <v>24</v>
      </c>
      <c r="O813" s="58" t="s">
        <v>54</v>
      </c>
      <c r="P813" s="58" t="s">
        <v>25</v>
      </c>
      <c r="Q813" s="60"/>
      <c r="R813" s="60">
        <v>104005</v>
      </c>
      <c r="S813" s="61"/>
      <c r="T813" s="61">
        <v>263</v>
      </c>
      <c r="U813" s="62" t="s">
        <v>61</v>
      </c>
      <c r="V813" s="63" t="s">
        <v>56</v>
      </c>
      <c r="W813" s="60">
        <v>157804678.93929961</v>
      </c>
      <c r="X813" s="60" t="str">
        <f t="shared" si="936"/>
        <v/>
      </c>
      <c r="Y813" s="60">
        <f t="shared" si="936"/>
        <v>1517.2797359674978</v>
      </c>
      <c r="Z813" s="60" t="str">
        <f t="shared" si="936"/>
        <v/>
      </c>
      <c r="AA813" s="60">
        <f t="shared" si="936"/>
        <v>600017.79064372473</v>
      </c>
      <c r="AB813" s="64" t="s">
        <v>73</v>
      </c>
      <c r="AD813" s="93">
        <f t="shared" ref="AD813" si="940">W813/AC809</f>
        <v>0.16759619309291782</v>
      </c>
    </row>
    <row r="814" spans="1:30" s="55" customFormat="1" ht="15.95">
      <c r="A814" s="57"/>
      <c r="B814" s="58" t="s">
        <v>224</v>
      </c>
      <c r="C814" s="58" t="s">
        <v>114</v>
      </c>
      <c r="D814" s="58"/>
      <c r="E814" s="58" t="s">
        <v>20</v>
      </c>
      <c r="F814" s="58" t="s">
        <v>21</v>
      </c>
      <c r="G814" s="58" t="s">
        <v>226</v>
      </c>
      <c r="H814" s="58" t="s">
        <v>227</v>
      </c>
      <c r="I814" s="58" t="s">
        <v>245</v>
      </c>
      <c r="J814" s="58" t="s">
        <v>229</v>
      </c>
      <c r="K814" s="58" t="s">
        <v>246</v>
      </c>
      <c r="L814" s="59">
        <v>2017</v>
      </c>
      <c r="M814" s="58" t="s">
        <v>166</v>
      </c>
      <c r="N814" s="58" t="s">
        <v>24</v>
      </c>
      <c r="O814" s="58" t="s">
        <v>54</v>
      </c>
      <c r="P814" s="58" t="s">
        <v>25</v>
      </c>
      <c r="Q814" s="60"/>
      <c r="R814" s="60">
        <v>104005</v>
      </c>
      <c r="S814" s="61"/>
      <c r="T814" s="61">
        <v>263</v>
      </c>
      <c r="U814" s="62" t="s">
        <v>62</v>
      </c>
      <c r="V814" s="63" t="s">
        <v>56</v>
      </c>
      <c r="W814" s="60">
        <v>21155452.672450788</v>
      </c>
      <c r="X814" s="60" t="str">
        <f t="shared" si="936"/>
        <v/>
      </c>
      <c r="Y814" s="60">
        <f t="shared" si="936"/>
        <v>203.4080349257323</v>
      </c>
      <c r="Z814" s="60" t="str">
        <f t="shared" si="936"/>
        <v/>
      </c>
      <c r="AA814" s="60">
        <f t="shared" si="936"/>
        <v>80438.983545440264</v>
      </c>
      <c r="AB814" s="64" t="s">
        <v>73</v>
      </c>
      <c r="AD814" s="93">
        <f t="shared" ref="AD814" si="941">W814/AC809</f>
        <v>2.2468112827148615E-2</v>
      </c>
    </row>
    <row r="815" spans="1:30" s="55" customFormat="1" ht="15.95">
      <c r="A815" s="57"/>
      <c r="B815" s="58" t="s">
        <v>224</v>
      </c>
      <c r="C815" s="58" t="s">
        <v>114</v>
      </c>
      <c r="D815" s="58"/>
      <c r="E815" s="58" t="s">
        <v>20</v>
      </c>
      <c r="F815" s="58" t="s">
        <v>21</v>
      </c>
      <c r="G815" s="58" t="s">
        <v>226</v>
      </c>
      <c r="H815" s="58" t="s">
        <v>227</v>
      </c>
      <c r="I815" s="58" t="s">
        <v>245</v>
      </c>
      <c r="J815" s="58" t="s">
        <v>229</v>
      </c>
      <c r="K815" s="58" t="s">
        <v>246</v>
      </c>
      <c r="L815" s="59">
        <v>2017</v>
      </c>
      <c r="M815" s="58" t="s">
        <v>166</v>
      </c>
      <c r="N815" s="58" t="s">
        <v>24</v>
      </c>
      <c r="O815" s="58" t="s">
        <v>54</v>
      </c>
      <c r="P815" s="58" t="s">
        <v>25</v>
      </c>
      <c r="Q815" s="60"/>
      <c r="R815" s="60">
        <v>104005</v>
      </c>
      <c r="S815" s="61"/>
      <c r="T815" s="61">
        <v>263</v>
      </c>
      <c r="U815" s="62" t="s">
        <v>63</v>
      </c>
      <c r="V815" s="63" t="s">
        <v>56</v>
      </c>
      <c r="W815" s="60">
        <v>10044656.982684232</v>
      </c>
      <c r="X815" s="60" t="str">
        <f t="shared" si="936"/>
        <v/>
      </c>
      <c r="Y815" s="60">
        <f t="shared" si="936"/>
        <v>96.57859701633798</v>
      </c>
      <c r="Z815" s="60" t="str">
        <f t="shared" si="936"/>
        <v/>
      </c>
      <c r="AA815" s="60">
        <f t="shared" si="936"/>
        <v>38192.61210146096</v>
      </c>
      <c r="AB815" s="64" t="s">
        <v>73</v>
      </c>
      <c r="AD815" s="93">
        <f t="shared" ref="AD815" si="942">W815/AC809</f>
        <v>1.0667911005792282E-2</v>
      </c>
    </row>
    <row r="816" spans="1:30" s="55" customFormat="1" ht="15.95">
      <c r="A816" s="57"/>
      <c r="B816" s="58" t="s">
        <v>224</v>
      </c>
      <c r="C816" s="58" t="s">
        <v>114</v>
      </c>
      <c r="D816" s="58"/>
      <c r="E816" s="58" t="s">
        <v>20</v>
      </c>
      <c r="F816" s="58" t="s">
        <v>21</v>
      </c>
      <c r="G816" s="58" t="s">
        <v>226</v>
      </c>
      <c r="H816" s="58" t="s">
        <v>227</v>
      </c>
      <c r="I816" s="58" t="s">
        <v>245</v>
      </c>
      <c r="J816" s="58" t="s">
        <v>229</v>
      </c>
      <c r="K816" s="58" t="s">
        <v>246</v>
      </c>
      <c r="L816" s="59">
        <v>2017</v>
      </c>
      <c r="M816" s="58" t="s">
        <v>166</v>
      </c>
      <c r="N816" s="58" t="s">
        <v>24</v>
      </c>
      <c r="O816" s="58" t="s">
        <v>54</v>
      </c>
      <c r="P816" s="58" t="s">
        <v>25</v>
      </c>
      <c r="Q816" s="60"/>
      <c r="R816" s="60">
        <v>104005</v>
      </c>
      <c r="S816" s="61"/>
      <c r="T816" s="61">
        <v>263</v>
      </c>
      <c r="U816" s="62" t="s">
        <v>64</v>
      </c>
      <c r="V816" s="63" t="s">
        <v>56</v>
      </c>
      <c r="W816" s="60">
        <v>0</v>
      </c>
      <c r="X816" s="60" t="str">
        <f t="shared" si="936"/>
        <v/>
      </c>
      <c r="Y816" s="60">
        <f t="shared" si="936"/>
        <v>0</v>
      </c>
      <c r="Z816" s="60" t="str">
        <f t="shared" si="936"/>
        <v/>
      </c>
      <c r="AA816" s="60">
        <f t="shared" si="936"/>
        <v>0</v>
      </c>
      <c r="AB816" s="64" t="s">
        <v>73</v>
      </c>
      <c r="AD816" s="93">
        <f t="shared" ref="AD816" si="943">W816/AC809</f>
        <v>0</v>
      </c>
    </row>
    <row r="817" spans="1:30" s="55" customFormat="1" ht="15.95">
      <c r="A817" s="57"/>
      <c r="B817" s="58" t="s">
        <v>224</v>
      </c>
      <c r="C817" s="58" t="s">
        <v>114</v>
      </c>
      <c r="D817" s="58"/>
      <c r="E817" s="58" t="s">
        <v>20</v>
      </c>
      <c r="F817" s="58" t="s">
        <v>21</v>
      </c>
      <c r="G817" s="58" t="s">
        <v>226</v>
      </c>
      <c r="H817" s="58" t="s">
        <v>227</v>
      </c>
      <c r="I817" s="58" t="s">
        <v>245</v>
      </c>
      <c r="J817" s="58" t="s">
        <v>229</v>
      </c>
      <c r="K817" s="58" t="s">
        <v>246</v>
      </c>
      <c r="L817" s="59">
        <v>2017</v>
      </c>
      <c r="M817" s="58" t="s">
        <v>166</v>
      </c>
      <c r="N817" s="58" t="s">
        <v>24</v>
      </c>
      <c r="O817" s="58" t="s">
        <v>54</v>
      </c>
      <c r="P817" s="58" t="s">
        <v>25</v>
      </c>
      <c r="Q817" s="60"/>
      <c r="R817" s="60">
        <v>104005</v>
      </c>
      <c r="S817" s="61"/>
      <c r="T817" s="61">
        <v>263</v>
      </c>
      <c r="U817" s="62" t="s">
        <v>65</v>
      </c>
      <c r="V817" s="63" t="s">
        <v>56</v>
      </c>
      <c r="W817" s="60">
        <v>82782591.765684858</v>
      </c>
      <c r="X817" s="60" t="str">
        <f t="shared" si="936"/>
        <v/>
      </c>
      <c r="Y817" s="60">
        <f t="shared" si="936"/>
        <v>795.94819254540505</v>
      </c>
      <c r="Z817" s="60" t="str">
        <f t="shared" si="936"/>
        <v/>
      </c>
      <c r="AA817" s="60">
        <f t="shared" si="936"/>
        <v>314762.70633340249</v>
      </c>
      <c r="AB817" s="64" t="s">
        <v>73</v>
      </c>
      <c r="AD817" s="93">
        <f t="shared" ref="AD817" si="944">W817/AC809</f>
        <v>8.7919111952508275E-2</v>
      </c>
    </row>
    <row r="818" spans="1:30" s="55" customFormat="1" ht="15.95">
      <c r="A818" s="57"/>
      <c r="B818" s="58" t="s">
        <v>224</v>
      </c>
      <c r="C818" s="58" t="s">
        <v>114</v>
      </c>
      <c r="D818" s="58"/>
      <c r="E818" s="58" t="s">
        <v>20</v>
      </c>
      <c r="F818" s="58" t="s">
        <v>21</v>
      </c>
      <c r="G818" s="58" t="s">
        <v>226</v>
      </c>
      <c r="H818" s="58" t="s">
        <v>227</v>
      </c>
      <c r="I818" s="58" t="s">
        <v>245</v>
      </c>
      <c r="J818" s="58" t="s">
        <v>229</v>
      </c>
      <c r="K818" s="58" t="s">
        <v>246</v>
      </c>
      <c r="L818" s="59">
        <v>2017</v>
      </c>
      <c r="M818" s="58" t="s">
        <v>166</v>
      </c>
      <c r="N818" s="58" t="s">
        <v>24</v>
      </c>
      <c r="O818" s="58" t="s">
        <v>54</v>
      </c>
      <c r="P818" s="58" t="s">
        <v>25</v>
      </c>
      <c r="Q818" s="60"/>
      <c r="R818" s="60">
        <v>104005</v>
      </c>
      <c r="S818" s="61"/>
      <c r="T818" s="61">
        <v>263</v>
      </c>
      <c r="U818" s="62" t="s">
        <v>66</v>
      </c>
      <c r="V818" s="63" t="s">
        <v>56</v>
      </c>
      <c r="W818" s="60">
        <v>92675392.472386539</v>
      </c>
      <c r="X818" s="60" t="str">
        <f t="shared" si="936"/>
        <v/>
      </c>
      <c r="Y818" s="60">
        <f t="shared" si="936"/>
        <v>891.06670325836774</v>
      </c>
      <c r="Z818" s="60" t="str">
        <f t="shared" si="936"/>
        <v/>
      </c>
      <c r="AA818" s="60">
        <f t="shared" si="936"/>
        <v>352377.91814595641</v>
      </c>
      <c r="AB818" s="64" t="s">
        <v>73</v>
      </c>
      <c r="AD818" s="93">
        <f t="shared" ref="AD818" si="945">W818/AC809</f>
        <v>9.8425744256534484E-2</v>
      </c>
    </row>
    <row r="819" spans="1:30" s="55" customFormat="1" ht="15.95">
      <c r="A819" s="57"/>
      <c r="B819" s="58" t="s">
        <v>224</v>
      </c>
      <c r="C819" s="58" t="s">
        <v>114</v>
      </c>
      <c r="D819" s="58"/>
      <c r="E819" s="58" t="s">
        <v>20</v>
      </c>
      <c r="F819" s="58" t="s">
        <v>21</v>
      </c>
      <c r="G819" s="58" t="s">
        <v>226</v>
      </c>
      <c r="H819" s="58" t="s">
        <v>227</v>
      </c>
      <c r="I819" s="58" t="s">
        <v>245</v>
      </c>
      <c r="J819" s="58" t="s">
        <v>229</v>
      </c>
      <c r="K819" s="58" t="s">
        <v>246</v>
      </c>
      <c r="L819" s="59">
        <v>2017</v>
      </c>
      <c r="M819" s="58" t="s">
        <v>166</v>
      </c>
      <c r="N819" s="58" t="s">
        <v>24</v>
      </c>
      <c r="O819" s="58" t="s">
        <v>54</v>
      </c>
      <c r="P819" s="58" t="s">
        <v>25</v>
      </c>
      <c r="Q819" s="60"/>
      <c r="R819" s="60">
        <v>104005</v>
      </c>
      <c r="S819" s="61"/>
      <c r="T819" s="61">
        <v>263</v>
      </c>
      <c r="U819" s="62" t="s">
        <v>67</v>
      </c>
      <c r="V819" s="63" t="s">
        <v>56</v>
      </c>
      <c r="W819" s="60">
        <v>31829590.705894358</v>
      </c>
      <c r="X819" s="60" t="str">
        <f t="shared" si="936"/>
        <v/>
      </c>
      <c r="Y819" s="60">
        <f t="shared" si="936"/>
        <v>306.03904337189903</v>
      </c>
      <c r="Z819" s="60" t="str">
        <f t="shared" si="936"/>
        <v/>
      </c>
      <c r="AA819" s="60">
        <f t="shared" si="936"/>
        <v>121025.0597182295</v>
      </c>
      <c r="AB819" s="64" t="s">
        <v>73</v>
      </c>
      <c r="AD819" s="93">
        <f t="shared" ref="AD819" si="946">W819/AC809</f>
        <v>3.3804563121132572E-2</v>
      </c>
    </row>
    <row r="820" spans="1:30" s="55" customFormat="1" ht="15.95">
      <c r="A820" s="57"/>
      <c r="B820" s="58" t="s">
        <v>224</v>
      </c>
      <c r="C820" s="58" t="s">
        <v>114</v>
      </c>
      <c r="D820" s="58"/>
      <c r="E820" s="58" t="s">
        <v>20</v>
      </c>
      <c r="F820" s="58" t="s">
        <v>21</v>
      </c>
      <c r="G820" s="58" t="s">
        <v>226</v>
      </c>
      <c r="H820" s="58" t="s">
        <v>227</v>
      </c>
      <c r="I820" s="58" t="s">
        <v>245</v>
      </c>
      <c r="J820" s="58" t="s">
        <v>229</v>
      </c>
      <c r="K820" s="58" t="s">
        <v>246</v>
      </c>
      <c r="L820" s="59">
        <v>2017</v>
      </c>
      <c r="M820" s="58" t="s">
        <v>166</v>
      </c>
      <c r="N820" s="58" t="s">
        <v>24</v>
      </c>
      <c r="O820" s="58" t="s">
        <v>54</v>
      </c>
      <c r="P820" s="58" t="s">
        <v>25</v>
      </c>
      <c r="Q820" s="60"/>
      <c r="R820" s="60">
        <v>104005</v>
      </c>
      <c r="S820" s="61"/>
      <c r="T820" s="61">
        <v>263</v>
      </c>
      <c r="U820" s="62" t="s">
        <v>68</v>
      </c>
      <c r="V820" s="63" t="s">
        <v>56</v>
      </c>
      <c r="W820" s="60">
        <v>25979196.078898825</v>
      </c>
      <c r="X820" s="60" t="str">
        <f t="shared" si="936"/>
        <v/>
      </c>
      <c r="Y820" s="60">
        <f t="shared" si="936"/>
        <v>249.78795326088962</v>
      </c>
      <c r="Z820" s="60" t="str">
        <f t="shared" si="936"/>
        <v/>
      </c>
      <c r="AA820" s="60">
        <f t="shared" si="936"/>
        <v>98780.213227752189</v>
      </c>
      <c r="AB820" s="64" t="s">
        <v>73</v>
      </c>
      <c r="AD820" s="93">
        <f t="shared" ref="AD820" si="947">W820/AC809</f>
        <v>2.7591161375593275E-2</v>
      </c>
    </row>
    <row r="821" spans="1:30" s="55" customFormat="1" ht="15.95">
      <c r="A821" s="57"/>
      <c r="B821" s="58" t="s">
        <v>224</v>
      </c>
      <c r="C821" s="58" t="s">
        <v>114</v>
      </c>
      <c r="D821" s="58"/>
      <c r="E821" s="58" t="s">
        <v>20</v>
      </c>
      <c r="F821" s="58" t="s">
        <v>21</v>
      </c>
      <c r="G821" s="58" t="s">
        <v>226</v>
      </c>
      <c r="H821" s="58" t="s">
        <v>227</v>
      </c>
      <c r="I821" s="58" t="s">
        <v>245</v>
      </c>
      <c r="J821" s="58" t="s">
        <v>229</v>
      </c>
      <c r="K821" s="58" t="s">
        <v>246</v>
      </c>
      <c r="L821" s="59">
        <v>2017</v>
      </c>
      <c r="M821" s="58" t="s">
        <v>166</v>
      </c>
      <c r="N821" s="58" t="s">
        <v>24</v>
      </c>
      <c r="O821" s="58" t="s">
        <v>54</v>
      </c>
      <c r="P821" s="58" t="s">
        <v>25</v>
      </c>
      <c r="Q821" s="60"/>
      <c r="R821" s="60">
        <v>104005</v>
      </c>
      <c r="S821" s="61"/>
      <c r="T821" s="61">
        <v>263</v>
      </c>
      <c r="U821" s="62" t="s">
        <v>69</v>
      </c>
      <c r="V821" s="63" t="s">
        <v>56</v>
      </c>
      <c r="W821" s="60">
        <v>124549463.88409153</v>
      </c>
      <c r="X821" s="60" t="str">
        <f t="shared" si="936"/>
        <v/>
      </c>
      <c r="Y821" s="60">
        <f t="shared" si="936"/>
        <v>1197.5334251631318</v>
      </c>
      <c r="Z821" s="60" t="str">
        <f t="shared" si="936"/>
        <v/>
      </c>
      <c r="AA821" s="60">
        <f t="shared" si="936"/>
        <v>473572.10602316167</v>
      </c>
      <c r="AB821" s="64" t="s">
        <v>73</v>
      </c>
      <c r="AD821" s="93">
        <f t="shared" ref="AD821" si="948">W821/AC809</f>
        <v>0.13227754803624611</v>
      </c>
    </row>
    <row r="822" spans="1:30" s="32" customFormat="1" ht="15" customHeight="1">
      <c r="A822" s="65"/>
      <c r="B822" s="66" t="s">
        <v>224</v>
      </c>
      <c r="C822" s="66"/>
      <c r="D822" s="66"/>
      <c r="E822" s="66" t="s">
        <v>20</v>
      </c>
      <c r="F822" s="66" t="s">
        <v>21</v>
      </c>
      <c r="G822" s="66" t="s">
        <v>226</v>
      </c>
      <c r="H822" s="66" t="s">
        <v>227</v>
      </c>
      <c r="I822" s="66" t="s">
        <v>247</v>
      </c>
      <c r="J822" s="66" t="s">
        <v>229</v>
      </c>
      <c r="K822" s="66" t="s">
        <v>248</v>
      </c>
      <c r="L822" s="67">
        <v>2017</v>
      </c>
      <c r="M822" s="66" t="s">
        <v>166</v>
      </c>
      <c r="N822" s="66" t="s">
        <v>24</v>
      </c>
      <c r="O822" s="66" t="s">
        <v>54</v>
      </c>
      <c r="P822" s="66" t="s">
        <v>25</v>
      </c>
      <c r="Q822" s="68"/>
      <c r="R822" s="68">
        <v>18073</v>
      </c>
      <c r="S822" s="69"/>
      <c r="T822" s="69"/>
      <c r="U822" s="70" t="s">
        <v>55</v>
      </c>
      <c r="V822" s="71" t="s">
        <v>56</v>
      </c>
      <c r="W822" s="72">
        <v>7223086.6680297973</v>
      </c>
      <c r="X822" s="68" t="str">
        <f>IF(Q822&gt;0,$W822/Q822,"")</f>
        <v/>
      </c>
      <c r="Y822" s="68">
        <f t="shared" si="936"/>
        <v>399.66174226911954</v>
      </c>
      <c r="Z822" s="68" t="str">
        <f t="shared" si="936"/>
        <v/>
      </c>
      <c r="AA822" s="68" t="str">
        <f t="shared" si="936"/>
        <v/>
      </c>
      <c r="AB822" s="73" t="s">
        <v>73</v>
      </c>
      <c r="AC822" s="92">
        <f t="shared" ref="AC822" si="949">SUM(W822:W834)</f>
        <v>682454351.77066362</v>
      </c>
      <c r="AD822" s="93">
        <f t="shared" ref="AD822" si="950">W822/AC822</f>
        <v>1.0583985066970589E-2</v>
      </c>
    </row>
    <row r="823" spans="1:30" s="32" customFormat="1" ht="15" customHeight="1">
      <c r="A823" s="65"/>
      <c r="B823" s="66" t="s">
        <v>224</v>
      </c>
      <c r="C823" s="66"/>
      <c r="D823" s="66"/>
      <c r="E823" s="66" t="s">
        <v>20</v>
      </c>
      <c r="F823" s="66" t="s">
        <v>21</v>
      </c>
      <c r="G823" s="66" t="s">
        <v>226</v>
      </c>
      <c r="H823" s="66" t="s">
        <v>227</v>
      </c>
      <c r="I823" s="66" t="s">
        <v>247</v>
      </c>
      <c r="J823" s="66" t="s">
        <v>229</v>
      </c>
      <c r="K823" s="66" t="s">
        <v>248</v>
      </c>
      <c r="L823" s="67">
        <v>2017</v>
      </c>
      <c r="M823" s="66" t="s">
        <v>166</v>
      </c>
      <c r="N823" s="66" t="s">
        <v>24</v>
      </c>
      <c r="O823" s="66" t="s">
        <v>54</v>
      </c>
      <c r="P823" s="66" t="s">
        <v>25</v>
      </c>
      <c r="Q823" s="68"/>
      <c r="R823" s="68">
        <v>18073</v>
      </c>
      <c r="S823" s="69"/>
      <c r="T823" s="69"/>
      <c r="U823" s="70" t="s">
        <v>58</v>
      </c>
      <c r="V823" s="71" t="s">
        <v>56</v>
      </c>
      <c r="W823" s="72">
        <v>196756495.20452783</v>
      </c>
      <c r="X823" s="68" t="str">
        <f t="shared" ref="X823:AA903" si="951">IF(Q823&gt;0,$W823/Q823,"")</f>
        <v/>
      </c>
      <c r="Y823" s="68">
        <f t="shared" si="936"/>
        <v>10886.764521912677</v>
      </c>
      <c r="Z823" s="68" t="str">
        <f t="shared" si="936"/>
        <v/>
      </c>
      <c r="AA823" s="68" t="str">
        <f t="shared" si="936"/>
        <v/>
      </c>
      <c r="AB823" s="73" t="s">
        <v>73</v>
      </c>
      <c r="AC823" s="55"/>
      <c r="AD823" s="93">
        <f t="shared" ref="AD823" si="952">W823/AC822</f>
        <v>0.28830718815702877</v>
      </c>
    </row>
    <row r="824" spans="1:30" s="32" customFormat="1" ht="15" customHeight="1">
      <c r="A824" s="65"/>
      <c r="B824" s="66" t="s">
        <v>224</v>
      </c>
      <c r="C824" s="66"/>
      <c r="D824" s="66"/>
      <c r="E824" s="66" t="s">
        <v>20</v>
      </c>
      <c r="F824" s="66" t="s">
        <v>21</v>
      </c>
      <c r="G824" s="66" t="s">
        <v>226</v>
      </c>
      <c r="H824" s="66" t="s">
        <v>227</v>
      </c>
      <c r="I824" s="66" t="s">
        <v>247</v>
      </c>
      <c r="J824" s="66" t="s">
        <v>229</v>
      </c>
      <c r="K824" s="66" t="s">
        <v>248</v>
      </c>
      <c r="L824" s="67">
        <v>2017</v>
      </c>
      <c r="M824" s="66" t="s">
        <v>166</v>
      </c>
      <c r="N824" s="66" t="s">
        <v>24</v>
      </c>
      <c r="O824" s="66" t="s">
        <v>54</v>
      </c>
      <c r="P824" s="66" t="s">
        <v>25</v>
      </c>
      <c r="Q824" s="68"/>
      <c r="R824" s="68">
        <v>18073</v>
      </c>
      <c r="S824" s="69"/>
      <c r="T824" s="69"/>
      <c r="U824" s="70" t="s">
        <v>59</v>
      </c>
      <c r="V824" s="71" t="s">
        <v>56</v>
      </c>
      <c r="W824" s="72">
        <v>84340474.303749397</v>
      </c>
      <c r="X824" s="68" t="str">
        <f t="shared" si="951"/>
        <v/>
      </c>
      <c r="Y824" s="68">
        <f t="shared" si="936"/>
        <v>4666.6560230038949</v>
      </c>
      <c r="Z824" s="68" t="str">
        <f t="shared" si="936"/>
        <v/>
      </c>
      <c r="AA824" s="68" t="str">
        <f t="shared" si="936"/>
        <v/>
      </c>
      <c r="AB824" s="73" t="s">
        <v>73</v>
      </c>
      <c r="AC824" s="55"/>
      <c r="AD824" s="93">
        <f t="shared" ref="AD824" si="953">W824/AC822</f>
        <v>0.12358405230316667</v>
      </c>
    </row>
    <row r="825" spans="1:30" s="32" customFormat="1" ht="15" customHeight="1">
      <c r="A825" s="65"/>
      <c r="B825" s="66" t="s">
        <v>224</v>
      </c>
      <c r="C825" s="66"/>
      <c r="D825" s="66"/>
      <c r="E825" s="66" t="s">
        <v>20</v>
      </c>
      <c r="F825" s="66" t="s">
        <v>21</v>
      </c>
      <c r="G825" s="66" t="s">
        <v>226</v>
      </c>
      <c r="H825" s="66" t="s">
        <v>227</v>
      </c>
      <c r="I825" s="66" t="s">
        <v>247</v>
      </c>
      <c r="J825" s="66" t="s">
        <v>229</v>
      </c>
      <c r="K825" s="66" t="s">
        <v>248</v>
      </c>
      <c r="L825" s="67">
        <v>2017</v>
      </c>
      <c r="M825" s="66" t="s">
        <v>166</v>
      </c>
      <c r="N825" s="66" t="s">
        <v>24</v>
      </c>
      <c r="O825" s="66" t="s">
        <v>54</v>
      </c>
      <c r="P825" s="66" t="s">
        <v>25</v>
      </c>
      <c r="Q825" s="68"/>
      <c r="R825" s="68">
        <v>18073</v>
      </c>
      <c r="S825" s="69"/>
      <c r="T825" s="69"/>
      <c r="U825" s="70" t="s">
        <v>60</v>
      </c>
      <c r="V825" s="71" t="s">
        <v>56</v>
      </c>
      <c r="W825" s="72">
        <v>415888.060497055</v>
      </c>
      <c r="X825" s="68" t="str">
        <f t="shared" si="951"/>
        <v/>
      </c>
      <c r="Y825" s="68">
        <f t="shared" si="936"/>
        <v>23.011567559179717</v>
      </c>
      <c r="Z825" s="68" t="str">
        <f t="shared" si="936"/>
        <v/>
      </c>
      <c r="AA825" s="68" t="str">
        <f t="shared" si="936"/>
        <v/>
      </c>
      <c r="AB825" s="73" t="s">
        <v>73</v>
      </c>
      <c r="AC825" s="55"/>
      <c r="AD825" s="93">
        <f t="shared" ref="AD825" si="954">W825/AC822</f>
        <v>6.0940055465689622E-4</v>
      </c>
    </row>
    <row r="826" spans="1:30" s="32" customFormat="1" ht="15" customHeight="1">
      <c r="A826" s="65"/>
      <c r="B826" s="66" t="s">
        <v>224</v>
      </c>
      <c r="C826" s="66"/>
      <c r="D826" s="66"/>
      <c r="E826" s="66" t="s">
        <v>20</v>
      </c>
      <c r="F826" s="66" t="s">
        <v>21</v>
      </c>
      <c r="G826" s="66" t="s">
        <v>226</v>
      </c>
      <c r="H826" s="66" t="s">
        <v>227</v>
      </c>
      <c r="I826" s="66" t="s">
        <v>247</v>
      </c>
      <c r="J826" s="66" t="s">
        <v>229</v>
      </c>
      <c r="K826" s="66" t="s">
        <v>248</v>
      </c>
      <c r="L826" s="67">
        <v>2017</v>
      </c>
      <c r="M826" s="66" t="s">
        <v>166</v>
      </c>
      <c r="N826" s="66" t="s">
        <v>24</v>
      </c>
      <c r="O826" s="66" t="s">
        <v>54</v>
      </c>
      <c r="P826" s="66" t="s">
        <v>25</v>
      </c>
      <c r="Q826" s="68"/>
      <c r="R826" s="68">
        <v>18073</v>
      </c>
      <c r="S826" s="69"/>
      <c r="T826" s="69"/>
      <c r="U826" s="70" t="s">
        <v>61</v>
      </c>
      <c r="V826" s="71" t="s">
        <v>56</v>
      </c>
      <c r="W826" s="72">
        <v>57255262.563943885</v>
      </c>
      <c r="X826" s="68" t="str">
        <f t="shared" si="951"/>
        <v/>
      </c>
      <c r="Y826" s="68">
        <f t="shared" si="951"/>
        <v>3167.9999205413537</v>
      </c>
      <c r="Z826" s="68" t="str">
        <f t="shared" si="951"/>
        <v/>
      </c>
      <c r="AA826" s="68" t="str">
        <f t="shared" si="951"/>
        <v/>
      </c>
      <c r="AB826" s="73" t="s">
        <v>73</v>
      </c>
      <c r="AC826" s="55"/>
      <c r="AD826" s="93">
        <f t="shared" ref="AD826" si="955">W826/AC822</f>
        <v>8.389610589395774E-2</v>
      </c>
    </row>
    <row r="827" spans="1:30" s="32" customFormat="1" ht="15" customHeight="1">
      <c r="A827" s="65"/>
      <c r="B827" s="66" t="s">
        <v>224</v>
      </c>
      <c r="C827" s="66"/>
      <c r="D827" s="66"/>
      <c r="E827" s="66" t="s">
        <v>20</v>
      </c>
      <c r="F827" s="66" t="s">
        <v>21</v>
      </c>
      <c r="G827" s="66" t="s">
        <v>226</v>
      </c>
      <c r="H827" s="66" t="s">
        <v>227</v>
      </c>
      <c r="I827" s="66" t="s">
        <v>247</v>
      </c>
      <c r="J827" s="66" t="s">
        <v>229</v>
      </c>
      <c r="K827" s="66" t="s">
        <v>248</v>
      </c>
      <c r="L827" s="67">
        <v>2017</v>
      </c>
      <c r="M827" s="66" t="s">
        <v>166</v>
      </c>
      <c r="N827" s="66" t="s">
        <v>24</v>
      </c>
      <c r="O827" s="66" t="s">
        <v>54</v>
      </c>
      <c r="P827" s="66" t="s">
        <v>25</v>
      </c>
      <c r="Q827" s="68"/>
      <c r="R827" s="68">
        <v>18073</v>
      </c>
      <c r="S827" s="69"/>
      <c r="T827" s="69"/>
      <c r="U827" s="70" t="s">
        <v>62</v>
      </c>
      <c r="V827" s="71" t="s">
        <v>56</v>
      </c>
      <c r="W827" s="72">
        <v>31248708.733866822</v>
      </c>
      <c r="X827" s="68" t="str">
        <f t="shared" si="951"/>
        <v/>
      </c>
      <c r="Y827" s="68">
        <f t="shared" si="951"/>
        <v>1729.0272082037748</v>
      </c>
      <c r="Z827" s="68" t="str">
        <f t="shared" si="951"/>
        <v/>
      </c>
      <c r="AA827" s="68" t="str">
        <f t="shared" si="951"/>
        <v/>
      </c>
      <c r="AB827" s="73" t="s">
        <v>73</v>
      </c>
      <c r="AC827" s="55"/>
      <c r="AD827" s="93">
        <f t="shared" ref="AD827" si="956">W827/AC822</f>
        <v>4.5788716348266235E-2</v>
      </c>
    </row>
    <row r="828" spans="1:30" s="32" customFormat="1" ht="15" customHeight="1">
      <c r="A828" s="65"/>
      <c r="B828" s="66" t="s">
        <v>224</v>
      </c>
      <c r="C828" s="66"/>
      <c r="D828" s="66"/>
      <c r="E828" s="66" t="s">
        <v>20</v>
      </c>
      <c r="F828" s="66" t="s">
        <v>21</v>
      </c>
      <c r="G828" s="66" t="s">
        <v>226</v>
      </c>
      <c r="H828" s="66" t="s">
        <v>227</v>
      </c>
      <c r="I828" s="66" t="s">
        <v>247</v>
      </c>
      <c r="J828" s="66" t="s">
        <v>229</v>
      </c>
      <c r="K828" s="66" t="s">
        <v>248</v>
      </c>
      <c r="L828" s="67">
        <v>2017</v>
      </c>
      <c r="M828" s="66" t="s">
        <v>166</v>
      </c>
      <c r="N828" s="66" t="s">
        <v>24</v>
      </c>
      <c r="O828" s="66" t="s">
        <v>54</v>
      </c>
      <c r="P828" s="66" t="s">
        <v>25</v>
      </c>
      <c r="Q828" s="68"/>
      <c r="R828" s="68">
        <v>18073</v>
      </c>
      <c r="S828" s="69"/>
      <c r="T828" s="69"/>
      <c r="U828" s="70" t="s">
        <v>63</v>
      </c>
      <c r="V828" s="71" t="s">
        <v>56</v>
      </c>
      <c r="W828" s="72">
        <v>1019187.1256929535</v>
      </c>
      <c r="X828" s="68" t="str">
        <f t="shared" si="951"/>
        <v/>
      </c>
      <c r="Y828" s="68">
        <f t="shared" si="951"/>
        <v>56.392802838098461</v>
      </c>
      <c r="Z828" s="68" t="str">
        <f t="shared" si="951"/>
        <v/>
      </c>
      <c r="AA828" s="68" t="str">
        <f t="shared" si="951"/>
        <v/>
      </c>
      <c r="AB828" s="73" t="s">
        <v>73</v>
      </c>
      <c r="AC828" s="55"/>
      <c r="AD828" s="93">
        <f t="shared" ref="AD828" si="957">W828/AC822</f>
        <v>1.4934143551852501E-3</v>
      </c>
    </row>
    <row r="829" spans="1:30" s="32" customFormat="1" ht="15" customHeight="1">
      <c r="A829" s="65"/>
      <c r="B829" s="66" t="s">
        <v>224</v>
      </c>
      <c r="C829" s="66"/>
      <c r="D829" s="66"/>
      <c r="E829" s="66" t="s">
        <v>20</v>
      </c>
      <c r="F829" s="66" t="s">
        <v>21</v>
      </c>
      <c r="G829" s="66" t="s">
        <v>226</v>
      </c>
      <c r="H829" s="66" t="s">
        <v>227</v>
      </c>
      <c r="I829" s="66" t="s">
        <v>247</v>
      </c>
      <c r="J829" s="66" t="s">
        <v>229</v>
      </c>
      <c r="K829" s="66" t="s">
        <v>248</v>
      </c>
      <c r="L829" s="67">
        <v>2017</v>
      </c>
      <c r="M829" s="66" t="s">
        <v>166</v>
      </c>
      <c r="N829" s="66" t="s">
        <v>24</v>
      </c>
      <c r="O829" s="66" t="s">
        <v>54</v>
      </c>
      <c r="P829" s="66" t="s">
        <v>25</v>
      </c>
      <c r="Q829" s="68"/>
      <c r="R829" s="68">
        <v>18073</v>
      </c>
      <c r="S829" s="69"/>
      <c r="T829" s="69"/>
      <c r="U829" s="70" t="s">
        <v>64</v>
      </c>
      <c r="V829" s="71" t="s">
        <v>56</v>
      </c>
      <c r="W829" s="72">
        <v>19790022.140000001</v>
      </c>
      <c r="X829" s="68" t="str">
        <f t="shared" si="951"/>
        <v/>
      </c>
      <c r="Y829" s="68">
        <f t="shared" si="951"/>
        <v>1095.0048215570189</v>
      </c>
      <c r="Z829" s="68" t="str">
        <f t="shared" si="951"/>
        <v/>
      </c>
      <c r="AA829" s="68" t="str">
        <f t="shared" si="951"/>
        <v/>
      </c>
      <c r="AB829" s="73" t="s">
        <v>73</v>
      </c>
      <c r="AC829" s="55"/>
      <c r="AD829" s="93">
        <f t="shared" ref="AD829" si="958">W829/AC822</f>
        <v>2.8998308954516518E-2</v>
      </c>
    </row>
    <row r="830" spans="1:30" s="32" customFormat="1" ht="15" customHeight="1">
      <c r="A830" s="65"/>
      <c r="B830" s="66" t="s">
        <v>224</v>
      </c>
      <c r="C830" s="66"/>
      <c r="D830" s="66"/>
      <c r="E830" s="66" t="s">
        <v>20</v>
      </c>
      <c r="F830" s="66" t="s">
        <v>21</v>
      </c>
      <c r="G830" s="66" t="s">
        <v>226</v>
      </c>
      <c r="H830" s="66" t="s">
        <v>227</v>
      </c>
      <c r="I830" s="66" t="s">
        <v>247</v>
      </c>
      <c r="J830" s="66" t="s">
        <v>229</v>
      </c>
      <c r="K830" s="66" t="s">
        <v>248</v>
      </c>
      <c r="L830" s="67">
        <v>2017</v>
      </c>
      <c r="M830" s="66" t="s">
        <v>166</v>
      </c>
      <c r="N830" s="66" t="s">
        <v>24</v>
      </c>
      <c r="O830" s="66" t="s">
        <v>54</v>
      </c>
      <c r="P830" s="66" t="s">
        <v>25</v>
      </c>
      <c r="Q830" s="68"/>
      <c r="R830" s="68">
        <v>18073</v>
      </c>
      <c r="S830" s="69"/>
      <c r="T830" s="69"/>
      <c r="U830" s="70" t="s">
        <v>65</v>
      </c>
      <c r="V830" s="71" t="s">
        <v>56</v>
      </c>
      <c r="W830" s="72">
        <v>33491745.373473492</v>
      </c>
      <c r="X830" s="68" t="str">
        <f t="shared" si="951"/>
        <v/>
      </c>
      <c r="Y830" s="68">
        <f t="shared" si="951"/>
        <v>1853.1370206093893</v>
      </c>
      <c r="Z830" s="68" t="str">
        <f t="shared" si="951"/>
        <v/>
      </c>
      <c r="AA830" s="68" t="str">
        <f t="shared" si="951"/>
        <v/>
      </c>
      <c r="AB830" s="73" t="s">
        <v>73</v>
      </c>
      <c r="AC830" s="55"/>
      <c r="AD830" s="93">
        <f t="shared" ref="AD830" si="959">W830/AC822</f>
        <v>4.9075436747640921E-2</v>
      </c>
    </row>
    <row r="831" spans="1:30" s="32" customFormat="1" ht="15" customHeight="1">
      <c r="A831" s="65"/>
      <c r="B831" s="66" t="s">
        <v>224</v>
      </c>
      <c r="C831" s="66"/>
      <c r="D831" s="66"/>
      <c r="E831" s="66" t="s">
        <v>20</v>
      </c>
      <c r="F831" s="66" t="s">
        <v>21</v>
      </c>
      <c r="G831" s="66" t="s">
        <v>226</v>
      </c>
      <c r="H831" s="66" t="s">
        <v>227</v>
      </c>
      <c r="I831" s="66" t="s">
        <v>247</v>
      </c>
      <c r="J831" s="66" t="s">
        <v>229</v>
      </c>
      <c r="K831" s="66" t="s">
        <v>248</v>
      </c>
      <c r="L831" s="67">
        <v>2017</v>
      </c>
      <c r="M831" s="66" t="s">
        <v>166</v>
      </c>
      <c r="N831" s="66" t="s">
        <v>24</v>
      </c>
      <c r="O831" s="66" t="s">
        <v>54</v>
      </c>
      <c r="P831" s="66" t="s">
        <v>25</v>
      </c>
      <c r="Q831" s="68"/>
      <c r="R831" s="68">
        <v>18073</v>
      </c>
      <c r="S831" s="69"/>
      <c r="T831" s="69"/>
      <c r="U831" s="70" t="s">
        <v>66</v>
      </c>
      <c r="V831" s="71" t="s">
        <v>56</v>
      </c>
      <c r="W831" s="72">
        <v>51230787.863614522</v>
      </c>
      <c r="X831" s="68" t="str">
        <f t="shared" si="951"/>
        <v/>
      </c>
      <c r="Y831" s="68">
        <f t="shared" si="951"/>
        <v>2834.6587652085718</v>
      </c>
      <c r="Z831" s="68" t="str">
        <f t="shared" si="951"/>
        <v/>
      </c>
      <c r="AA831" s="68" t="str">
        <f t="shared" si="951"/>
        <v/>
      </c>
      <c r="AB831" s="73" t="s">
        <v>73</v>
      </c>
      <c r="AC831" s="55"/>
      <c r="AD831" s="93">
        <f t="shared" ref="AD831" si="960">W831/AC822</f>
        <v>7.5068446308084277E-2</v>
      </c>
    </row>
    <row r="832" spans="1:30" s="32" customFormat="1" ht="15" customHeight="1">
      <c r="A832" s="65"/>
      <c r="B832" s="66" t="s">
        <v>224</v>
      </c>
      <c r="C832" s="66"/>
      <c r="D832" s="66"/>
      <c r="E832" s="66" t="s">
        <v>20</v>
      </c>
      <c r="F832" s="66" t="s">
        <v>21</v>
      </c>
      <c r="G832" s="66" t="s">
        <v>226</v>
      </c>
      <c r="H832" s="66" t="s">
        <v>227</v>
      </c>
      <c r="I832" s="66" t="s">
        <v>247</v>
      </c>
      <c r="J832" s="66" t="s">
        <v>229</v>
      </c>
      <c r="K832" s="66" t="s">
        <v>248</v>
      </c>
      <c r="L832" s="67">
        <v>2017</v>
      </c>
      <c r="M832" s="66" t="s">
        <v>166</v>
      </c>
      <c r="N832" s="66" t="s">
        <v>24</v>
      </c>
      <c r="O832" s="66" t="s">
        <v>54</v>
      </c>
      <c r="P832" s="66" t="s">
        <v>25</v>
      </c>
      <c r="Q832" s="68"/>
      <c r="R832" s="68">
        <v>18073</v>
      </c>
      <c r="S832" s="69"/>
      <c r="T832" s="69"/>
      <c r="U832" s="70" t="s">
        <v>67</v>
      </c>
      <c r="V832" s="71" t="s">
        <v>56</v>
      </c>
      <c r="W832" s="72">
        <v>4572583.0112631125</v>
      </c>
      <c r="X832" s="68" t="str">
        <f t="shared" si="951"/>
        <v/>
      </c>
      <c r="Y832" s="68">
        <f t="shared" si="951"/>
        <v>253.00630837509615</v>
      </c>
      <c r="Z832" s="68" t="str">
        <f t="shared" si="951"/>
        <v/>
      </c>
      <c r="AA832" s="68" t="str">
        <f t="shared" si="951"/>
        <v/>
      </c>
      <c r="AB832" s="73" t="s">
        <v>73</v>
      </c>
      <c r="AC832" s="55"/>
      <c r="AD832" s="93">
        <f t="shared" ref="AD832" si="961">W832/AC822</f>
        <v>6.7002034632782483E-3</v>
      </c>
    </row>
    <row r="833" spans="1:30" s="32" customFormat="1" ht="15" customHeight="1">
      <c r="A833" s="65"/>
      <c r="B833" s="66" t="s">
        <v>224</v>
      </c>
      <c r="C833" s="66"/>
      <c r="D833" s="66"/>
      <c r="E833" s="66" t="s">
        <v>20</v>
      </c>
      <c r="F833" s="66" t="s">
        <v>21</v>
      </c>
      <c r="G833" s="66" t="s">
        <v>226</v>
      </c>
      <c r="H833" s="66" t="s">
        <v>227</v>
      </c>
      <c r="I833" s="66" t="s">
        <v>247</v>
      </c>
      <c r="J833" s="66" t="s">
        <v>229</v>
      </c>
      <c r="K833" s="66" t="s">
        <v>248</v>
      </c>
      <c r="L833" s="67">
        <v>2017</v>
      </c>
      <c r="M833" s="66" t="s">
        <v>166</v>
      </c>
      <c r="N833" s="66" t="s">
        <v>24</v>
      </c>
      <c r="O833" s="66" t="s">
        <v>54</v>
      </c>
      <c r="P833" s="66" t="s">
        <v>25</v>
      </c>
      <c r="Q833" s="68"/>
      <c r="R833" s="68">
        <v>18073</v>
      </c>
      <c r="S833" s="69"/>
      <c r="T833" s="69"/>
      <c r="U833" s="70" t="s">
        <v>68</v>
      </c>
      <c r="V833" s="71" t="s">
        <v>56</v>
      </c>
      <c r="W833" s="72">
        <v>173733237.72196898</v>
      </c>
      <c r="X833" s="68" t="str">
        <f t="shared" si="951"/>
        <v/>
      </c>
      <c r="Y833" s="68">
        <f t="shared" si="951"/>
        <v>9612.8610480810585</v>
      </c>
      <c r="Z833" s="68" t="str">
        <f t="shared" si="951"/>
        <v/>
      </c>
      <c r="AA833" s="68" t="str">
        <f t="shared" si="951"/>
        <v/>
      </c>
      <c r="AB833" s="73" t="s">
        <v>73</v>
      </c>
      <c r="AC833" s="55"/>
      <c r="AD833" s="93">
        <f t="shared" ref="AD833" si="962">W833/AC822</f>
        <v>0.25457122116843273</v>
      </c>
    </row>
    <row r="834" spans="1:30" s="32" customFormat="1" ht="15" customHeight="1">
      <c r="A834" s="65"/>
      <c r="B834" s="66" t="s">
        <v>224</v>
      </c>
      <c r="C834" s="66"/>
      <c r="D834" s="66"/>
      <c r="E834" s="66" t="s">
        <v>20</v>
      </c>
      <c r="F834" s="66" t="s">
        <v>21</v>
      </c>
      <c r="G834" s="66" t="s">
        <v>226</v>
      </c>
      <c r="H834" s="66" t="s">
        <v>227</v>
      </c>
      <c r="I834" s="66" t="s">
        <v>247</v>
      </c>
      <c r="J834" s="66" t="s">
        <v>229</v>
      </c>
      <c r="K834" s="66" t="s">
        <v>248</v>
      </c>
      <c r="L834" s="67">
        <v>2017</v>
      </c>
      <c r="M834" s="66" t="s">
        <v>166</v>
      </c>
      <c r="N834" s="66" t="s">
        <v>24</v>
      </c>
      <c r="O834" s="66" t="s">
        <v>54</v>
      </c>
      <c r="P834" s="66" t="s">
        <v>25</v>
      </c>
      <c r="Q834" s="68"/>
      <c r="R834" s="68">
        <v>18073</v>
      </c>
      <c r="S834" s="69"/>
      <c r="T834" s="69"/>
      <c r="U834" s="70" t="s">
        <v>69</v>
      </c>
      <c r="V834" s="71" t="s">
        <v>56</v>
      </c>
      <c r="W834" s="72">
        <v>21376873.000035901</v>
      </c>
      <c r="X834" s="68" t="str">
        <f t="shared" si="951"/>
        <v/>
      </c>
      <c r="Y834" s="68">
        <f t="shared" si="951"/>
        <v>1182.8071155887733</v>
      </c>
      <c r="Z834" s="68" t="str">
        <f t="shared" si="951"/>
        <v/>
      </c>
      <c r="AA834" s="68" t="str">
        <f t="shared" si="951"/>
        <v/>
      </c>
      <c r="AB834" s="73" t="s">
        <v>73</v>
      </c>
      <c r="AC834" s="55"/>
      <c r="AD834" s="93">
        <f t="shared" ref="AD834" si="963">W834/AC822</f>
        <v>3.1323520678815338E-2</v>
      </c>
    </row>
    <row r="835" spans="1:30" s="55" customFormat="1" ht="15" customHeight="1">
      <c r="A835" s="57"/>
      <c r="B835" s="58" t="s">
        <v>48</v>
      </c>
      <c r="C835" s="58" t="s">
        <v>49</v>
      </c>
      <c r="D835" s="58"/>
      <c r="E835" s="58" t="s">
        <v>20</v>
      </c>
      <c r="F835" s="58" t="s">
        <v>21</v>
      </c>
      <c r="G835" s="58" t="s">
        <v>249</v>
      </c>
      <c r="H835" s="58"/>
      <c r="I835" s="58" t="s">
        <v>250</v>
      </c>
      <c r="J835" s="58"/>
      <c r="K835" s="58" t="s">
        <v>251</v>
      </c>
      <c r="L835" s="59">
        <v>2024</v>
      </c>
      <c r="M835" s="58" t="s">
        <v>252</v>
      </c>
      <c r="N835" s="58" t="s">
        <v>24</v>
      </c>
      <c r="O835" s="58" t="s">
        <v>54</v>
      </c>
      <c r="P835" s="58" t="s">
        <v>25</v>
      </c>
      <c r="Q835" s="60">
        <v>198108</v>
      </c>
      <c r="R835" s="60">
        <v>173555</v>
      </c>
      <c r="S835" s="61">
        <v>75345</v>
      </c>
      <c r="T835" s="61">
        <v>109</v>
      </c>
      <c r="U835" s="62" t="s">
        <v>55</v>
      </c>
      <c r="V835" s="63" t="s">
        <v>56</v>
      </c>
      <c r="W835" s="60">
        <v>109395150</v>
      </c>
      <c r="X835" s="60">
        <f>IF(Q835&gt;0,$W835/Q835,"")</f>
        <v>552.1995578169483</v>
      </c>
      <c r="Y835" s="60">
        <f t="shared" ref="Y835:Y860" si="964">IF(R835&gt;0,$W835/R835,"")</f>
        <v>630.31978335398003</v>
      </c>
      <c r="Z835" s="60">
        <f t="shared" ref="Z835:Z860" si="965">IF(S835&gt;0,$W835/S835,"")</f>
        <v>1451.9231534939279</v>
      </c>
      <c r="AA835" s="60">
        <f t="shared" ref="AA835:AA860" si="966">IF(T835&gt;0,$W835/T835,"")</f>
        <v>1003625.2293577981</v>
      </c>
      <c r="AB835" s="64" t="s">
        <v>73</v>
      </c>
      <c r="AC835" s="92">
        <f t="shared" ref="AC835" si="967">SUM(W835:W847)</f>
        <v>1567453672</v>
      </c>
      <c r="AD835" s="93">
        <f t="shared" ref="AD835" si="968">W835/AC835</f>
        <v>6.9791632093608696E-2</v>
      </c>
    </row>
    <row r="836" spans="1:30" s="55" customFormat="1" ht="15.95">
      <c r="A836" s="57"/>
      <c r="B836" s="58" t="s">
        <v>48</v>
      </c>
      <c r="C836" s="58" t="s">
        <v>49</v>
      </c>
      <c r="D836" s="58"/>
      <c r="E836" s="58" t="s">
        <v>20</v>
      </c>
      <c r="F836" s="58" t="s">
        <v>21</v>
      </c>
      <c r="G836" s="58" t="s">
        <v>249</v>
      </c>
      <c r="H836" s="58"/>
      <c r="I836" s="58" t="s">
        <v>250</v>
      </c>
      <c r="J836" s="58"/>
      <c r="K836" s="58" t="s">
        <v>251</v>
      </c>
      <c r="L836" s="59">
        <v>2024</v>
      </c>
      <c r="M836" s="58" t="s">
        <v>252</v>
      </c>
      <c r="N836" s="58" t="s">
        <v>24</v>
      </c>
      <c r="O836" s="58" t="s">
        <v>54</v>
      </c>
      <c r="P836" s="58" t="s">
        <v>25</v>
      </c>
      <c r="Q836" s="60">
        <v>198108</v>
      </c>
      <c r="R836" s="60">
        <v>173555</v>
      </c>
      <c r="S836" s="61">
        <v>75345</v>
      </c>
      <c r="T836" s="61">
        <v>109</v>
      </c>
      <c r="U836" s="62" t="s">
        <v>58</v>
      </c>
      <c r="V836" s="63" t="s">
        <v>56</v>
      </c>
      <c r="W836" s="60">
        <v>157360033</v>
      </c>
      <c r="X836" s="60">
        <f t="shared" ref="X836:X847" si="969">IF(Q836&gt;0,$W836/Q836,"")</f>
        <v>794.31437902558196</v>
      </c>
      <c r="Y836" s="60">
        <f t="shared" si="964"/>
        <v>906.68683126386452</v>
      </c>
      <c r="Z836" s="60">
        <f t="shared" si="965"/>
        <v>2088.5265511978232</v>
      </c>
      <c r="AA836" s="60">
        <f t="shared" si="966"/>
        <v>1443670.0275229358</v>
      </c>
      <c r="AB836" s="64" t="s">
        <v>73</v>
      </c>
      <c r="AD836" s="93">
        <f t="shared" ref="AD836" si="970">W836/AC835</f>
        <v>0.10039214288178337</v>
      </c>
    </row>
    <row r="837" spans="1:30" s="55" customFormat="1" ht="15.95">
      <c r="A837" s="57"/>
      <c r="B837" s="58" t="s">
        <v>48</v>
      </c>
      <c r="C837" s="58" t="s">
        <v>49</v>
      </c>
      <c r="D837" s="58"/>
      <c r="E837" s="58" t="s">
        <v>20</v>
      </c>
      <c r="F837" s="58" t="s">
        <v>21</v>
      </c>
      <c r="G837" s="58" t="s">
        <v>249</v>
      </c>
      <c r="H837" s="58"/>
      <c r="I837" s="58" t="s">
        <v>250</v>
      </c>
      <c r="J837" s="58"/>
      <c r="K837" s="58" t="s">
        <v>251</v>
      </c>
      <c r="L837" s="59">
        <v>2024</v>
      </c>
      <c r="M837" s="58" t="s">
        <v>252</v>
      </c>
      <c r="N837" s="58" t="s">
        <v>24</v>
      </c>
      <c r="O837" s="58" t="s">
        <v>54</v>
      </c>
      <c r="P837" s="58" t="s">
        <v>25</v>
      </c>
      <c r="Q837" s="60">
        <v>198108</v>
      </c>
      <c r="R837" s="60">
        <v>173555</v>
      </c>
      <c r="S837" s="61">
        <v>75345</v>
      </c>
      <c r="T837" s="61">
        <v>109</v>
      </c>
      <c r="U837" s="62" t="s">
        <v>59</v>
      </c>
      <c r="V837" s="63" t="s">
        <v>56</v>
      </c>
      <c r="W837" s="60">
        <v>272533588</v>
      </c>
      <c r="X837" s="60">
        <f t="shared" si="969"/>
        <v>1375.6818906858884</v>
      </c>
      <c r="Y837" s="60">
        <f t="shared" si="964"/>
        <v>1570.3009881593732</v>
      </c>
      <c r="Z837" s="60">
        <f t="shared" si="965"/>
        <v>3617.1423186674629</v>
      </c>
      <c r="AA837" s="60">
        <f t="shared" si="966"/>
        <v>2500308.1467889911</v>
      </c>
      <c r="AB837" s="64" t="s">
        <v>73</v>
      </c>
      <c r="AD837" s="93">
        <f t="shared" ref="AD837" si="971">W837/AC835</f>
        <v>0.17387026670603889</v>
      </c>
    </row>
    <row r="838" spans="1:30" s="55" customFormat="1" ht="15.95">
      <c r="A838" s="57"/>
      <c r="B838" s="58" t="s">
        <v>48</v>
      </c>
      <c r="C838" s="58" t="s">
        <v>49</v>
      </c>
      <c r="D838" s="58"/>
      <c r="E838" s="58" t="s">
        <v>20</v>
      </c>
      <c r="F838" s="58" t="s">
        <v>21</v>
      </c>
      <c r="G838" s="58" t="s">
        <v>249</v>
      </c>
      <c r="H838" s="58"/>
      <c r="I838" s="58" t="s">
        <v>250</v>
      </c>
      <c r="J838" s="58"/>
      <c r="K838" s="58" t="s">
        <v>251</v>
      </c>
      <c r="L838" s="59">
        <v>2024</v>
      </c>
      <c r="M838" s="58" t="s">
        <v>252</v>
      </c>
      <c r="N838" s="58" t="s">
        <v>24</v>
      </c>
      <c r="O838" s="58" t="s">
        <v>54</v>
      </c>
      <c r="P838" s="58" t="s">
        <v>25</v>
      </c>
      <c r="Q838" s="60">
        <v>198108</v>
      </c>
      <c r="R838" s="60">
        <v>173555</v>
      </c>
      <c r="S838" s="61">
        <v>75345</v>
      </c>
      <c r="T838" s="61">
        <v>109</v>
      </c>
      <c r="U838" s="62" t="s">
        <v>60</v>
      </c>
      <c r="V838" s="63" t="s">
        <v>56</v>
      </c>
      <c r="W838" s="60">
        <v>59433527</v>
      </c>
      <c r="X838" s="60">
        <f t="shared" si="969"/>
        <v>300.00568881620126</v>
      </c>
      <c r="Y838" s="60">
        <f t="shared" si="964"/>
        <v>342.44779464723001</v>
      </c>
      <c r="Z838" s="60">
        <f t="shared" si="965"/>
        <v>788.81846174265047</v>
      </c>
      <c r="AA838" s="60">
        <f t="shared" si="966"/>
        <v>545261.71559633024</v>
      </c>
      <c r="AB838" s="64" t="s">
        <v>73</v>
      </c>
      <c r="AD838" s="93">
        <f t="shared" ref="AD838" si="972">W838/AC835</f>
        <v>3.7917246335048303E-2</v>
      </c>
    </row>
    <row r="839" spans="1:30" s="55" customFormat="1" ht="15.95">
      <c r="A839" s="57"/>
      <c r="B839" s="58" t="s">
        <v>48</v>
      </c>
      <c r="C839" s="58" t="s">
        <v>49</v>
      </c>
      <c r="D839" s="58"/>
      <c r="E839" s="58" t="s">
        <v>20</v>
      </c>
      <c r="F839" s="58" t="s">
        <v>21</v>
      </c>
      <c r="G839" s="58" t="s">
        <v>249</v>
      </c>
      <c r="H839" s="58"/>
      <c r="I839" s="58" t="s">
        <v>250</v>
      </c>
      <c r="J839" s="58"/>
      <c r="K839" s="58" t="s">
        <v>251</v>
      </c>
      <c r="L839" s="59">
        <v>2024</v>
      </c>
      <c r="M839" s="58" t="s">
        <v>252</v>
      </c>
      <c r="N839" s="58" t="s">
        <v>24</v>
      </c>
      <c r="O839" s="58" t="s">
        <v>54</v>
      </c>
      <c r="P839" s="58" t="s">
        <v>25</v>
      </c>
      <c r="Q839" s="60">
        <v>198108</v>
      </c>
      <c r="R839" s="60">
        <v>173555</v>
      </c>
      <c r="S839" s="61">
        <v>75345</v>
      </c>
      <c r="T839" s="61">
        <v>109</v>
      </c>
      <c r="U839" s="62" t="s">
        <v>61</v>
      </c>
      <c r="V839" s="63" t="s">
        <v>56</v>
      </c>
      <c r="W839" s="60">
        <v>141810784</v>
      </c>
      <c r="X839" s="60">
        <f t="shared" si="969"/>
        <v>715.82563046419125</v>
      </c>
      <c r="Y839" s="60">
        <f t="shared" si="964"/>
        <v>817.09420068566158</v>
      </c>
      <c r="Z839" s="60">
        <f t="shared" si="965"/>
        <v>1882.1525515959918</v>
      </c>
      <c r="AA839" s="60">
        <f t="shared" si="966"/>
        <v>1301016.3669724772</v>
      </c>
      <c r="AB839" s="64" t="s">
        <v>73</v>
      </c>
      <c r="AD839" s="93">
        <f t="shared" ref="AD839" si="973">W839/AC835</f>
        <v>9.0472073614179527E-2</v>
      </c>
    </row>
    <row r="840" spans="1:30" s="55" customFormat="1" ht="15.95">
      <c r="A840" s="57"/>
      <c r="B840" s="58" t="s">
        <v>48</v>
      </c>
      <c r="C840" s="58" t="s">
        <v>49</v>
      </c>
      <c r="D840" s="58"/>
      <c r="E840" s="58" t="s">
        <v>20</v>
      </c>
      <c r="F840" s="58" t="s">
        <v>21</v>
      </c>
      <c r="G840" s="58" t="s">
        <v>249</v>
      </c>
      <c r="H840" s="58"/>
      <c r="I840" s="58" t="s">
        <v>250</v>
      </c>
      <c r="J840" s="58"/>
      <c r="K840" s="58" t="s">
        <v>251</v>
      </c>
      <c r="L840" s="59">
        <v>2024</v>
      </c>
      <c r="M840" s="58" t="s">
        <v>252</v>
      </c>
      <c r="N840" s="58" t="s">
        <v>24</v>
      </c>
      <c r="O840" s="58" t="s">
        <v>54</v>
      </c>
      <c r="P840" s="58" t="s">
        <v>25</v>
      </c>
      <c r="Q840" s="60">
        <v>198108</v>
      </c>
      <c r="R840" s="60">
        <v>173555</v>
      </c>
      <c r="S840" s="61">
        <v>75345</v>
      </c>
      <c r="T840" s="61">
        <v>109</v>
      </c>
      <c r="U840" s="62" t="s">
        <v>62</v>
      </c>
      <c r="V840" s="63" t="s">
        <v>56</v>
      </c>
      <c r="W840" s="60">
        <v>68946316</v>
      </c>
      <c r="X840" s="60">
        <f t="shared" si="969"/>
        <v>348.02388596119289</v>
      </c>
      <c r="Y840" s="60">
        <f t="shared" si="964"/>
        <v>397.25917432514188</v>
      </c>
      <c r="Z840" s="60">
        <f t="shared" si="965"/>
        <v>915.07486893622672</v>
      </c>
      <c r="AA840" s="60">
        <f t="shared" si="966"/>
        <v>632535.00917431188</v>
      </c>
      <c r="AB840" s="64" t="s">
        <v>73</v>
      </c>
      <c r="AD840" s="93">
        <f t="shared" ref="AD840" si="974">W840/AC835</f>
        <v>4.3986190617058316E-2</v>
      </c>
    </row>
    <row r="841" spans="1:30" s="55" customFormat="1" ht="15.95">
      <c r="A841" s="57"/>
      <c r="B841" s="58" t="s">
        <v>48</v>
      </c>
      <c r="C841" s="58" t="s">
        <v>49</v>
      </c>
      <c r="D841" s="58"/>
      <c r="E841" s="58" t="s">
        <v>20</v>
      </c>
      <c r="F841" s="58" t="s">
        <v>21</v>
      </c>
      <c r="G841" s="58" t="s">
        <v>249</v>
      </c>
      <c r="H841" s="58"/>
      <c r="I841" s="58" t="s">
        <v>250</v>
      </c>
      <c r="J841" s="58"/>
      <c r="K841" s="58" t="s">
        <v>251</v>
      </c>
      <c r="L841" s="59">
        <v>2024</v>
      </c>
      <c r="M841" s="58" t="s">
        <v>252</v>
      </c>
      <c r="N841" s="58" t="s">
        <v>24</v>
      </c>
      <c r="O841" s="58" t="s">
        <v>54</v>
      </c>
      <c r="P841" s="58" t="s">
        <v>25</v>
      </c>
      <c r="Q841" s="60">
        <v>198108</v>
      </c>
      <c r="R841" s="60">
        <v>173555</v>
      </c>
      <c r="S841" s="61">
        <v>75345</v>
      </c>
      <c r="T841" s="61">
        <v>109</v>
      </c>
      <c r="U841" s="62" t="s">
        <v>63</v>
      </c>
      <c r="V841" s="63" t="s">
        <v>56</v>
      </c>
      <c r="W841" s="60">
        <v>22132387</v>
      </c>
      <c r="X841" s="60">
        <f t="shared" si="969"/>
        <v>111.71879479879662</v>
      </c>
      <c r="Y841" s="60">
        <f t="shared" si="964"/>
        <v>127.52376480078361</v>
      </c>
      <c r="Z841" s="60">
        <f t="shared" si="965"/>
        <v>293.74725595593605</v>
      </c>
      <c r="AA841" s="60">
        <f t="shared" si="966"/>
        <v>203049.42201834862</v>
      </c>
      <c r="AB841" s="64" t="s">
        <v>73</v>
      </c>
      <c r="AD841" s="93">
        <f t="shared" ref="AD841" si="975">W841/AC835</f>
        <v>1.4119962455898345E-2</v>
      </c>
    </row>
    <row r="842" spans="1:30" s="55" customFormat="1" ht="15.95">
      <c r="A842" s="57"/>
      <c r="B842" s="58" t="s">
        <v>48</v>
      </c>
      <c r="C842" s="58" t="s">
        <v>49</v>
      </c>
      <c r="D842" s="58"/>
      <c r="E842" s="58" t="s">
        <v>20</v>
      </c>
      <c r="F842" s="58" t="s">
        <v>21</v>
      </c>
      <c r="G842" s="58" t="s">
        <v>249</v>
      </c>
      <c r="H842" s="58"/>
      <c r="I842" s="58" t="s">
        <v>250</v>
      </c>
      <c r="J842" s="58"/>
      <c r="K842" s="58" t="s">
        <v>251</v>
      </c>
      <c r="L842" s="59">
        <v>2024</v>
      </c>
      <c r="M842" s="58" t="s">
        <v>252</v>
      </c>
      <c r="N842" s="58" t="s">
        <v>24</v>
      </c>
      <c r="O842" s="58" t="s">
        <v>54</v>
      </c>
      <c r="P842" s="58" t="s">
        <v>25</v>
      </c>
      <c r="Q842" s="60">
        <v>198108</v>
      </c>
      <c r="R842" s="60">
        <v>173555</v>
      </c>
      <c r="S842" s="61">
        <v>75345</v>
      </c>
      <c r="T842" s="61">
        <v>109</v>
      </c>
      <c r="U842" s="62" t="s">
        <v>64</v>
      </c>
      <c r="V842" s="63" t="s">
        <v>56</v>
      </c>
      <c r="W842" s="60">
        <v>186074</v>
      </c>
      <c r="X842" s="60">
        <f t="shared" si="969"/>
        <v>0.93925535566458696</v>
      </c>
      <c r="Y842" s="60">
        <f t="shared" si="964"/>
        <v>1.0721327533058684</v>
      </c>
      <c r="Z842" s="60">
        <f t="shared" si="965"/>
        <v>2.4696263852943128</v>
      </c>
      <c r="AA842" s="60">
        <f t="shared" si="966"/>
        <v>1707.1009174311926</v>
      </c>
      <c r="AB842" s="64" t="s">
        <v>73</v>
      </c>
      <c r="AD842" s="93">
        <f t="shared" ref="AD842" si="976">W842/AC835</f>
        <v>1.1871100455720518E-4</v>
      </c>
    </row>
    <row r="843" spans="1:30" s="55" customFormat="1" ht="15.95">
      <c r="A843" s="57"/>
      <c r="B843" s="58" t="s">
        <v>48</v>
      </c>
      <c r="C843" s="58" t="s">
        <v>49</v>
      </c>
      <c r="D843" s="58"/>
      <c r="E843" s="58" t="s">
        <v>20</v>
      </c>
      <c r="F843" s="58" t="s">
        <v>21</v>
      </c>
      <c r="G843" s="58" t="s">
        <v>249</v>
      </c>
      <c r="H843" s="58"/>
      <c r="I843" s="58" t="s">
        <v>250</v>
      </c>
      <c r="J843" s="58"/>
      <c r="K843" s="58" t="s">
        <v>251</v>
      </c>
      <c r="L843" s="59">
        <v>2024</v>
      </c>
      <c r="M843" s="58" t="s">
        <v>252</v>
      </c>
      <c r="N843" s="58" t="s">
        <v>24</v>
      </c>
      <c r="O843" s="58" t="s">
        <v>54</v>
      </c>
      <c r="P843" s="58" t="s">
        <v>25</v>
      </c>
      <c r="Q843" s="60">
        <v>198108</v>
      </c>
      <c r="R843" s="60">
        <v>173555</v>
      </c>
      <c r="S843" s="61">
        <v>75345</v>
      </c>
      <c r="T843" s="61">
        <v>109</v>
      </c>
      <c r="U843" s="62" t="s">
        <v>65</v>
      </c>
      <c r="V843" s="63" t="s">
        <v>56</v>
      </c>
      <c r="W843" s="60">
        <v>153093997</v>
      </c>
      <c r="X843" s="60">
        <f t="shared" si="969"/>
        <v>772.78048842045757</v>
      </c>
      <c r="Y843" s="60">
        <f t="shared" si="964"/>
        <v>882.10651954711761</v>
      </c>
      <c r="Z843" s="60">
        <f t="shared" si="965"/>
        <v>2031.9065233260335</v>
      </c>
      <c r="AA843" s="60">
        <f t="shared" si="966"/>
        <v>1404532.0825688073</v>
      </c>
      <c r="AB843" s="64" t="s">
        <v>73</v>
      </c>
      <c r="AD843" s="93">
        <f t="shared" ref="AD843" si="977">W843/AC835</f>
        <v>9.7670508375956644E-2</v>
      </c>
    </row>
    <row r="844" spans="1:30" s="55" customFormat="1" ht="15.95">
      <c r="A844" s="57"/>
      <c r="B844" s="58" t="s">
        <v>48</v>
      </c>
      <c r="C844" s="58" t="s">
        <v>49</v>
      </c>
      <c r="D844" s="58"/>
      <c r="E844" s="58" t="s">
        <v>20</v>
      </c>
      <c r="F844" s="58" t="s">
        <v>21</v>
      </c>
      <c r="G844" s="58" t="s">
        <v>249</v>
      </c>
      <c r="H844" s="58"/>
      <c r="I844" s="58" t="s">
        <v>250</v>
      </c>
      <c r="J844" s="58"/>
      <c r="K844" s="58" t="s">
        <v>251</v>
      </c>
      <c r="L844" s="59">
        <v>2024</v>
      </c>
      <c r="M844" s="58" t="s">
        <v>252</v>
      </c>
      <c r="N844" s="58" t="s">
        <v>24</v>
      </c>
      <c r="O844" s="58" t="s">
        <v>54</v>
      </c>
      <c r="P844" s="58" t="s">
        <v>25</v>
      </c>
      <c r="Q844" s="60">
        <v>198108</v>
      </c>
      <c r="R844" s="60">
        <v>173555</v>
      </c>
      <c r="S844" s="61">
        <v>75345</v>
      </c>
      <c r="T844" s="61">
        <v>109</v>
      </c>
      <c r="U844" s="62" t="s">
        <v>66</v>
      </c>
      <c r="V844" s="63" t="s">
        <v>56</v>
      </c>
      <c r="W844" s="60">
        <v>86815446</v>
      </c>
      <c r="X844" s="60">
        <f t="shared" si="969"/>
        <v>438.2228178569265</v>
      </c>
      <c r="Y844" s="60">
        <f t="shared" si="964"/>
        <v>500.21863962432656</v>
      </c>
      <c r="Z844" s="60">
        <f t="shared" si="965"/>
        <v>1152.2389806888314</v>
      </c>
      <c r="AA844" s="60">
        <f t="shared" si="966"/>
        <v>796471.98165137612</v>
      </c>
      <c r="AB844" s="64" t="s">
        <v>73</v>
      </c>
      <c r="AD844" s="93">
        <f t="shared" ref="AD844" si="978">W844/AC835</f>
        <v>5.5386291506292123E-2</v>
      </c>
    </row>
    <row r="845" spans="1:30" s="55" customFormat="1" ht="15.95">
      <c r="A845" s="57"/>
      <c r="B845" s="58" t="s">
        <v>48</v>
      </c>
      <c r="C845" s="58" t="s">
        <v>49</v>
      </c>
      <c r="D845" s="58"/>
      <c r="E845" s="58" t="s">
        <v>20</v>
      </c>
      <c r="F845" s="58" t="s">
        <v>21</v>
      </c>
      <c r="G845" s="58" t="s">
        <v>249</v>
      </c>
      <c r="H845" s="58"/>
      <c r="I845" s="58" t="s">
        <v>250</v>
      </c>
      <c r="J845" s="58"/>
      <c r="K845" s="58" t="s">
        <v>251</v>
      </c>
      <c r="L845" s="59">
        <v>2024</v>
      </c>
      <c r="M845" s="58" t="s">
        <v>252</v>
      </c>
      <c r="N845" s="58" t="s">
        <v>24</v>
      </c>
      <c r="O845" s="58" t="s">
        <v>54</v>
      </c>
      <c r="P845" s="58" t="s">
        <v>25</v>
      </c>
      <c r="Q845" s="60">
        <v>198108</v>
      </c>
      <c r="R845" s="60">
        <v>173555</v>
      </c>
      <c r="S845" s="61">
        <v>75345</v>
      </c>
      <c r="T845" s="61">
        <v>109</v>
      </c>
      <c r="U845" s="62" t="s">
        <v>67</v>
      </c>
      <c r="V845" s="63" t="s">
        <v>56</v>
      </c>
      <c r="W845" s="60">
        <v>10958322</v>
      </c>
      <c r="X845" s="60">
        <f t="shared" si="969"/>
        <v>55.314888848506875</v>
      </c>
      <c r="Y845" s="60">
        <f t="shared" si="964"/>
        <v>63.140341678430467</v>
      </c>
      <c r="Z845" s="60">
        <f t="shared" si="965"/>
        <v>145.44192713517819</v>
      </c>
      <c r="AA845" s="60">
        <f t="shared" si="966"/>
        <v>100535.06422018349</v>
      </c>
      <c r="AB845" s="64" t="s">
        <v>73</v>
      </c>
      <c r="AD845" s="93">
        <f t="shared" ref="AD845" si="979">W845/AC835</f>
        <v>6.991161650103302E-3</v>
      </c>
    </row>
    <row r="846" spans="1:30" s="55" customFormat="1" ht="15.95">
      <c r="A846" s="57"/>
      <c r="B846" s="58" t="s">
        <v>48</v>
      </c>
      <c r="C846" s="58" t="s">
        <v>49</v>
      </c>
      <c r="D846" s="58"/>
      <c r="E846" s="58" t="s">
        <v>20</v>
      </c>
      <c r="F846" s="58" t="s">
        <v>21</v>
      </c>
      <c r="G846" s="58" t="s">
        <v>249</v>
      </c>
      <c r="H846" s="58"/>
      <c r="I846" s="58" t="s">
        <v>250</v>
      </c>
      <c r="J846" s="58"/>
      <c r="K846" s="58" t="s">
        <v>251</v>
      </c>
      <c r="L846" s="59">
        <v>2024</v>
      </c>
      <c r="M846" s="58" t="s">
        <v>252</v>
      </c>
      <c r="N846" s="58" t="s">
        <v>24</v>
      </c>
      <c r="O846" s="58" t="s">
        <v>54</v>
      </c>
      <c r="P846" s="58" t="s">
        <v>25</v>
      </c>
      <c r="Q846" s="60">
        <v>198108</v>
      </c>
      <c r="R846" s="60">
        <v>173555</v>
      </c>
      <c r="S846" s="61">
        <v>75345</v>
      </c>
      <c r="T846" s="61">
        <v>109</v>
      </c>
      <c r="U846" s="62" t="s">
        <v>68</v>
      </c>
      <c r="V846" s="63" t="s">
        <v>56</v>
      </c>
      <c r="W846" s="60">
        <v>299160983</v>
      </c>
      <c r="X846" s="60">
        <f t="shared" si="969"/>
        <v>1510.090369899247</v>
      </c>
      <c r="Y846" s="60">
        <f t="shared" si="964"/>
        <v>1723.7243697963181</v>
      </c>
      <c r="Z846" s="60">
        <f t="shared" si="965"/>
        <v>3970.5485831840201</v>
      </c>
      <c r="AA846" s="60">
        <f t="shared" si="966"/>
        <v>2744596.1743119266</v>
      </c>
      <c r="AB846" s="64" t="s">
        <v>73</v>
      </c>
      <c r="AD846" s="93">
        <f t="shared" ref="AD846" si="980">W846/AC835</f>
        <v>0.19085794262632599</v>
      </c>
    </row>
    <row r="847" spans="1:30" s="55" customFormat="1" ht="15.95">
      <c r="A847" s="57"/>
      <c r="B847" s="58" t="s">
        <v>48</v>
      </c>
      <c r="C847" s="58" t="s">
        <v>49</v>
      </c>
      <c r="D847" s="58"/>
      <c r="E847" s="58" t="s">
        <v>20</v>
      </c>
      <c r="F847" s="58" t="s">
        <v>21</v>
      </c>
      <c r="G847" s="58" t="s">
        <v>249</v>
      </c>
      <c r="H847" s="58"/>
      <c r="I847" s="58" t="s">
        <v>250</v>
      </c>
      <c r="J847" s="58"/>
      <c r="K847" s="58" t="s">
        <v>251</v>
      </c>
      <c r="L847" s="59">
        <v>2024</v>
      </c>
      <c r="M847" s="58" t="s">
        <v>252</v>
      </c>
      <c r="N847" s="58" t="s">
        <v>24</v>
      </c>
      <c r="O847" s="58" t="s">
        <v>54</v>
      </c>
      <c r="P847" s="58" t="s">
        <v>25</v>
      </c>
      <c r="Q847" s="60">
        <v>198108</v>
      </c>
      <c r="R847" s="60">
        <v>173555</v>
      </c>
      <c r="S847" s="61">
        <v>75345</v>
      </c>
      <c r="T847" s="61">
        <v>109</v>
      </c>
      <c r="U847" s="62" t="s">
        <v>69</v>
      </c>
      <c r="V847" s="63" t="s">
        <v>56</v>
      </c>
      <c r="W847" s="60">
        <v>185627065</v>
      </c>
      <c r="X847" s="60">
        <f t="shared" si="969"/>
        <v>936.99933874452324</v>
      </c>
      <c r="Y847" s="60">
        <f t="shared" si="964"/>
        <v>1069.557575408372</v>
      </c>
      <c r="Z847" s="60">
        <f t="shared" si="965"/>
        <v>2463.6945384564337</v>
      </c>
      <c r="AA847" s="60">
        <f t="shared" si="966"/>
        <v>1703000.5963302753</v>
      </c>
      <c r="AB847" s="64" t="s">
        <v>73</v>
      </c>
      <c r="AD847" s="93">
        <f t="shared" ref="AD847" si="981">W847/AC835</f>
        <v>0.1184258701331493</v>
      </c>
    </row>
    <row r="848" spans="1:30" s="32" customFormat="1" ht="15" customHeight="1">
      <c r="A848" s="65"/>
      <c r="B848" s="66" t="s">
        <v>48</v>
      </c>
      <c r="C848" s="66" t="s">
        <v>49</v>
      </c>
      <c r="D848" s="66"/>
      <c r="E848" s="66" t="s">
        <v>20</v>
      </c>
      <c r="F848" s="66" t="s">
        <v>21</v>
      </c>
      <c r="G848" s="66" t="s">
        <v>249</v>
      </c>
      <c r="H848" s="66"/>
      <c r="I848" s="66" t="s">
        <v>253</v>
      </c>
      <c r="J848" s="66"/>
      <c r="K848" s="66" t="s">
        <v>254</v>
      </c>
      <c r="L848" s="67">
        <v>2025</v>
      </c>
      <c r="M848" s="66" t="s">
        <v>255</v>
      </c>
      <c r="N848" s="66" t="s">
        <v>24</v>
      </c>
      <c r="O848" s="66" t="s">
        <v>54</v>
      </c>
      <c r="P848" s="66" t="s">
        <v>25</v>
      </c>
      <c r="Q848" s="68">
        <v>81681</v>
      </c>
      <c r="R848" s="68">
        <v>74666</v>
      </c>
      <c r="S848" s="69">
        <v>46604</v>
      </c>
      <c r="T848" s="69">
        <v>27</v>
      </c>
      <c r="U848" s="74" t="s">
        <v>55</v>
      </c>
      <c r="V848" s="75" t="s">
        <v>56</v>
      </c>
      <c r="W848" s="68">
        <v>50702986</v>
      </c>
      <c r="X848" s="68">
        <f>IF(Q848&gt;0,$W848/Q848,"")</f>
        <v>620.74394289981763</v>
      </c>
      <c r="Y848" s="68">
        <f t="shared" si="964"/>
        <v>679.06391128492214</v>
      </c>
      <c r="Z848" s="68">
        <f t="shared" si="965"/>
        <v>1087.9535233027209</v>
      </c>
      <c r="AA848" s="68">
        <f t="shared" si="966"/>
        <v>1877888.3703703703</v>
      </c>
      <c r="AB848" s="73" t="s">
        <v>73</v>
      </c>
      <c r="AC848" s="92">
        <f t="shared" ref="AC848" si="982">SUM(W848:W860)</f>
        <v>825169004</v>
      </c>
      <c r="AD848" s="93">
        <f t="shared" ref="AD848" si="983">W848/AC848</f>
        <v>6.1445577517111875E-2</v>
      </c>
    </row>
    <row r="849" spans="1:30" s="32" customFormat="1" ht="15.95">
      <c r="A849" s="65"/>
      <c r="B849" s="66" t="s">
        <v>48</v>
      </c>
      <c r="C849" s="66" t="s">
        <v>49</v>
      </c>
      <c r="D849" s="66"/>
      <c r="E849" s="66" t="s">
        <v>20</v>
      </c>
      <c r="F849" s="66" t="s">
        <v>21</v>
      </c>
      <c r="G849" s="66" t="s">
        <v>249</v>
      </c>
      <c r="H849" s="66"/>
      <c r="I849" s="66" t="s">
        <v>253</v>
      </c>
      <c r="J849" s="66"/>
      <c r="K849" s="66" t="s">
        <v>254</v>
      </c>
      <c r="L849" s="67">
        <v>2025</v>
      </c>
      <c r="M849" s="66" t="s">
        <v>255</v>
      </c>
      <c r="N849" s="66" t="s">
        <v>24</v>
      </c>
      <c r="O849" s="66" t="s">
        <v>54</v>
      </c>
      <c r="P849" s="66" t="s">
        <v>25</v>
      </c>
      <c r="Q849" s="68">
        <v>81681</v>
      </c>
      <c r="R849" s="68">
        <v>74666</v>
      </c>
      <c r="S849" s="69">
        <v>46604</v>
      </c>
      <c r="T849" s="69">
        <v>27</v>
      </c>
      <c r="U849" s="74" t="s">
        <v>58</v>
      </c>
      <c r="V849" s="75" t="s">
        <v>56</v>
      </c>
      <c r="W849" s="68">
        <v>94734769</v>
      </c>
      <c r="X849" s="68">
        <f t="shared" ref="X849:X860" si="984">IF(Q849&gt;0,$W849/Q849,"")</f>
        <v>1159.8140203964201</v>
      </c>
      <c r="Y849" s="68">
        <f t="shared" si="964"/>
        <v>1268.7805560763936</v>
      </c>
      <c r="Z849" s="68">
        <f t="shared" si="965"/>
        <v>2032.7604712041884</v>
      </c>
      <c r="AA849" s="68">
        <f t="shared" si="966"/>
        <v>3508695.1481481483</v>
      </c>
      <c r="AB849" s="73" t="s">
        <v>73</v>
      </c>
      <c r="AC849" s="55"/>
      <c r="AD849" s="93">
        <f t="shared" ref="AD849" si="985">W849/AC848</f>
        <v>0.11480650453516066</v>
      </c>
    </row>
    <row r="850" spans="1:30" s="32" customFormat="1" ht="15.95">
      <c r="A850" s="65"/>
      <c r="B850" s="66" t="s">
        <v>48</v>
      </c>
      <c r="C850" s="66" t="s">
        <v>49</v>
      </c>
      <c r="D850" s="66"/>
      <c r="E850" s="66" t="s">
        <v>20</v>
      </c>
      <c r="F850" s="66" t="s">
        <v>21</v>
      </c>
      <c r="G850" s="66" t="s">
        <v>249</v>
      </c>
      <c r="H850" s="66"/>
      <c r="I850" s="66" t="s">
        <v>253</v>
      </c>
      <c r="J850" s="66"/>
      <c r="K850" s="66" t="s">
        <v>254</v>
      </c>
      <c r="L850" s="67">
        <v>2025</v>
      </c>
      <c r="M850" s="66" t="s">
        <v>255</v>
      </c>
      <c r="N850" s="66" t="s">
        <v>24</v>
      </c>
      <c r="O850" s="66" t="s">
        <v>54</v>
      </c>
      <c r="P850" s="66" t="s">
        <v>25</v>
      </c>
      <c r="Q850" s="68">
        <v>81681</v>
      </c>
      <c r="R850" s="68">
        <v>74666</v>
      </c>
      <c r="S850" s="69">
        <v>46604</v>
      </c>
      <c r="T850" s="69">
        <v>27</v>
      </c>
      <c r="U850" s="74" t="s">
        <v>59</v>
      </c>
      <c r="V850" s="75" t="s">
        <v>56</v>
      </c>
      <c r="W850" s="68">
        <v>114938107</v>
      </c>
      <c r="X850" s="68">
        <f t="shared" si="984"/>
        <v>1407.1584211750592</v>
      </c>
      <c r="Y850" s="68">
        <f t="shared" si="964"/>
        <v>1539.3633916374254</v>
      </c>
      <c r="Z850" s="68">
        <f t="shared" si="965"/>
        <v>2466.2712857265469</v>
      </c>
      <c r="AA850" s="68">
        <f t="shared" si="966"/>
        <v>4256966.9259259263</v>
      </c>
      <c r="AB850" s="73" t="s">
        <v>73</v>
      </c>
      <c r="AC850" s="55"/>
      <c r="AD850" s="93">
        <f t="shared" ref="AD850" si="986">W850/AC848</f>
        <v>0.13929038347640116</v>
      </c>
    </row>
    <row r="851" spans="1:30" s="32" customFormat="1" ht="15.95">
      <c r="A851" s="65"/>
      <c r="B851" s="66" t="s">
        <v>48</v>
      </c>
      <c r="C851" s="66" t="s">
        <v>49</v>
      </c>
      <c r="D851" s="66"/>
      <c r="E851" s="66" t="s">
        <v>20</v>
      </c>
      <c r="F851" s="66" t="s">
        <v>21</v>
      </c>
      <c r="G851" s="66" t="s">
        <v>249</v>
      </c>
      <c r="H851" s="66"/>
      <c r="I851" s="66" t="s">
        <v>253</v>
      </c>
      <c r="J851" s="66"/>
      <c r="K851" s="66" t="s">
        <v>254</v>
      </c>
      <c r="L851" s="67">
        <v>2025</v>
      </c>
      <c r="M851" s="66" t="s">
        <v>255</v>
      </c>
      <c r="N851" s="66" t="s">
        <v>24</v>
      </c>
      <c r="O851" s="66" t="s">
        <v>54</v>
      </c>
      <c r="P851" s="66" t="s">
        <v>25</v>
      </c>
      <c r="Q851" s="68">
        <v>81681</v>
      </c>
      <c r="R851" s="68">
        <v>74666</v>
      </c>
      <c r="S851" s="69">
        <v>46604</v>
      </c>
      <c r="T851" s="69">
        <v>27</v>
      </c>
      <c r="U851" s="74" t="s">
        <v>60</v>
      </c>
      <c r="V851" s="75" t="s">
        <v>56</v>
      </c>
      <c r="W851" s="68">
        <v>38010468</v>
      </c>
      <c r="X851" s="68">
        <f t="shared" si="984"/>
        <v>465.35262790612262</v>
      </c>
      <c r="Y851" s="68">
        <f t="shared" si="964"/>
        <v>509.07331315458174</v>
      </c>
      <c r="Z851" s="68">
        <f t="shared" si="965"/>
        <v>815.60526993391125</v>
      </c>
      <c r="AA851" s="68">
        <f t="shared" si="966"/>
        <v>1407795.111111111</v>
      </c>
      <c r="AB851" s="73" t="s">
        <v>73</v>
      </c>
      <c r="AC851" s="55"/>
      <c r="AD851" s="93">
        <f t="shared" ref="AD851" si="987">W851/AC848</f>
        <v>4.6063858210553921E-2</v>
      </c>
    </row>
    <row r="852" spans="1:30" s="32" customFormat="1" ht="15.95">
      <c r="A852" s="65"/>
      <c r="B852" s="66" t="s">
        <v>48</v>
      </c>
      <c r="C852" s="66" t="s">
        <v>49</v>
      </c>
      <c r="D852" s="66"/>
      <c r="E852" s="66" t="s">
        <v>20</v>
      </c>
      <c r="F852" s="66" t="s">
        <v>21</v>
      </c>
      <c r="G852" s="66" t="s">
        <v>249</v>
      </c>
      <c r="H852" s="66"/>
      <c r="I852" s="66" t="s">
        <v>253</v>
      </c>
      <c r="J852" s="66"/>
      <c r="K852" s="66" t="s">
        <v>254</v>
      </c>
      <c r="L852" s="67">
        <v>2025</v>
      </c>
      <c r="M852" s="66" t="s">
        <v>255</v>
      </c>
      <c r="N852" s="66" t="s">
        <v>24</v>
      </c>
      <c r="O852" s="66" t="s">
        <v>54</v>
      </c>
      <c r="P852" s="66" t="s">
        <v>25</v>
      </c>
      <c r="Q852" s="68">
        <v>81681</v>
      </c>
      <c r="R852" s="68">
        <v>74666</v>
      </c>
      <c r="S852" s="69">
        <v>46604</v>
      </c>
      <c r="T852" s="69">
        <v>27</v>
      </c>
      <c r="U852" s="74" t="s">
        <v>61</v>
      </c>
      <c r="V852" s="75" t="s">
        <v>56</v>
      </c>
      <c r="W852" s="68">
        <v>118131814</v>
      </c>
      <c r="X852" s="68">
        <f t="shared" si="984"/>
        <v>1446.2581750957995</v>
      </c>
      <c r="Y852" s="68">
        <f t="shared" si="964"/>
        <v>1582.1366351485281</v>
      </c>
      <c r="Z852" s="68">
        <f t="shared" si="965"/>
        <v>2534.7998884215949</v>
      </c>
      <c r="AA852" s="68">
        <f t="shared" si="966"/>
        <v>4375252.3703703703</v>
      </c>
      <c r="AB852" s="73" t="s">
        <v>73</v>
      </c>
      <c r="AC852" s="55"/>
      <c r="AD852" s="93">
        <f t="shared" ref="AD852" si="988">W852/AC848</f>
        <v>0.14316075061879083</v>
      </c>
    </row>
    <row r="853" spans="1:30" s="32" customFormat="1" ht="15.95">
      <c r="A853" s="65"/>
      <c r="B853" s="66" t="s">
        <v>48</v>
      </c>
      <c r="C853" s="66" t="s">
        <v>49</v>
      </c>
      <c r="D853" s="66"/>
      <c r="E853" s="66" t="s">
        <v>20</v>
      </c>
      <c r="F853" s="66" t="s">
        <v>21</v>
      </c>
      <c r="G853" s="66" t="s">
        <v>249</v>
      </c>
      <c r="H853" s="66"/>
      <c r="I853" s="66" t="s">
        <v>253</v>
      </c>
      <c r="J853" s="66"/>
      <c r="K853" s="66" t="s">
        <v>254</v>
      </c>
      <c r="L853" s="67">
        <v>2025</v>
      </c>
      <c r="M853" s="66" t="s">
        <v>255</v>
      </c>
      <c r="N853" s="66" t="s">
        <v>24</v>
      </c>
      <c r="O853" s="66" t="s">
        <v>54</v>
      </c>
      <c r="P853" s="66" t="s">
        <v>25</v>
      </c>
      <c r="Q853" s="68">
        <v>81681</v>
      </c>
      <c r="R853" s="68">
        <v>74666</v>
      </c>
      <c r="S853" s="69">
        <v>46604</v>
      </c>
      <c r="T853" s="69">
        <v>27</v>
      </c>
      <c r="U853" s="74" t="s">
        <v>62</v>
      </c>
      <c r="V853" s="75" t="s">
        <v>56</v>
      </c>
      <c r="W853" s="68">
        <v>61207887</v>
      </c>
      <c r="X853" s="68">
        <f t="shared" si="984"/>
        <v>749.35281154736106</v>
      </c>
      <c r="Y853" s="68">
        <f t="shared" si="964"/>
        <v>819.75580585540945</v>
      </c>
      <c r="Z853" s="68">
        <f t="shared" si="965"/>
        <v>1313.3612350871169</v>
      </c>
      <c r="AA853" s="68">
        <f t="shared" si="966"/>
        <v>2266958.777777778</v>
      </c>
      <c r="AB853" s="73" t="s">
        <v>73</v>
      </c>
      <c r="AC853" s="55"/>
      <c r="AD853" s="93">
        <f t="shared" ref="AD853" si="989">W853/AC848</f>
        <v>7.4176182943488267E-2</v>
      </c>
    </row>
    <row r="854" spans="1:30" s="32" customFormat="1" ht="15.95">
      <c r="A854" s="65"/>
      <c r="B854" s="66" t="s">
        <v>48</v>
      </c>
      <c r="C854" s="66" t="s">
        <v>49</v>
      </c>
      <c r="D854" s="66"/>
      <c r="E854" s="66" t="s">
        <v>20</v>
      </c>
      <c r="F854" s="66" t="s">
        <v>21</v>
      </c>
      <c r="G854" s="66" t="s">
        <v>249</v>
      </c>
      <c r="H854" s="66"/>
      <c r="I854" s="66" t="s">
        <v>253</v>
      </c>
      <c r="J854" s="66"/>
      <c r="K854" s="66" t="s">
        <v>254</v>
      </c>
      <c r="L854" s="67">
        <v>2025</v>
      </c>
      <c r="M854" s="66" t="s">
        <v>255</v>
      </c>
      <c r="N854" s="66" t="s">
        <v>24</v>
      </c>
      <c r="O854" s="66" t="s">
        <v>54</v>
      </c>
      <c r="P854" s="66" t="s">
        <v>25</v>
      </c>
      <c r="Q854" s="68">
        <v>81681</v>
      </c>
      <c r="R854" s="68">
        <v>74666</v>
      </c>
      <c r="S854" s="69">
        <v>46604</v>
      </c>
      <c r="T854" s="69">
        <v>27</v>
      </c>
      <c r="U854" s="74" t="s">
        <v>63</v>
      </c>
      <c r="V854" s="75" t="s">
        <v>56</v>
      </c>
      <c r="W854" s="68">
        <v>15560283</v>
      </c>
      <c r="X854" s="68">
        <f t="shared" si="984"/>
        <v>190.50064274433467</v>
      </c>
      <c r="Y854" s="68">
        <f t="shared" si="964"/>
        <v>208.39850802239306</v>
      </c>
      <c r="Z854" s="68">
        <f t="shared" si="965"/>
        <v>333.88299287614797</v>
      </c>
      <c r="AA854" s="68">
        <f t="shared" si="966"/>
        <v>576306.77777777775</v>
      </c>
      <c r="AB854" s="73" t="s">
        <v>73</v>
      </c>
      <c r="AC854" s="55"/>
      <c r="AD854" s="93">
        <f t="shared" ref="AD854" si="990">W854/AC848</f>
        <v>1.8857086153953501E-2</v>
      </c>
    </row>
    <row r="855" spans="1:30" s="32" customFormat="1" ht="15.95">
      <c r="A855" s="65"/>
      <c r="B855" s="66" t="s">
        <v>48</v>
      </c>
      <c r="C855" s="66" t="s">
        <v>49</v>
      </c>
      <c r="D855" s="66"/>
      <c r="E855" s="66" t="s">
        <v>20</v>
      </c>
      <c r="F855" s="66" t="s">
        <v>21</v>
      </c>
      <c r="G855" s="66" t="s">
        <v>249</v>
      </c>
      <c r="H855" s="66"/>
      <c r="I855" s="66" t="s">
        <v>253</v>
      </c>
      <c r="J855" s="66"/>
      <c r="K855" s="66" t="s">
        <v>254</v>
      </c>
      <c r="L855" s="67">
        <v>2025</v>
      </c>
      <c r="M855" s="66" t="s">
        <v>255</v>
      </c>
      <c r="N855" s="66" t="s">
        <v>24</v>
      </c>
      <c r="O855" s="66" t="s">
        <v>54</v>
      </c>
      <c r="P855" s="66" t="s">
        <v>25</v>
      </c>
      <c r="Q855" s="68">
        <v>81681</v>
      </c>
      <c r="R855" s="68">
        <v>74666</v>
      </c>
      <c r="S855" s="69">
        <v>46604</v>
      </c>
      <c r="T855" s="69">
        <v>27</v>
      </c>
      <c r="U855" s="74" t="s">
        <v>64</v>
      </c>
      <c r="V855" s="75" t="s">
        <v>56</v>
      </c>
      <c r="W855" s="68">
        <v>10393211</v>
      </c>
      <c r="X855" s="68">
        <f t="shared" si="984"/>
        <v>127.24147598584739</v>
      </c>
      <c r="Y855" s="68">
        <f t="shared" si="964"/>
        <v>139.19603300029465</v>
      </c>
      <c r="Z855" s="68">
        <f t="shared" si="965"/>
        <v>223.01113638314308</v>
      </c>
      <c r="AA855" s="68">
        <f t="shared" si="966"/>
        <v>384933.74074074073</v>
      </c>
      <c r="AB855" s="73" t="s">
        <v>73</v>
      </c>
      <c r="AC855" s="55"/>
      <c r="AD855" s="93">
        <f t="shared" ref="AD855" si="991">W855/AC848</f>
        <v>1.2595251335931179E-2</v>
      </c>
    </row>
    <row r="856" spans="1:30" s="32" customFormat="1" ht="15.95">
      <c r="A856" s="65"/>
      <c r="B856" s="66" t="s">
        <v>48</v>
      </c>
      <c r="C856" s="66" t="s">
        <v>49</v>
      </c>
      <c r="D856" s="66"/>
      <c r="E856" s="66" t="s">
        <v>20</v>
      </c>
      <c r="F856" s="66" t="s">
        <v>21</v>
      </c>
      <c r="G856" s="66" t="s">
        <v>249</v>
      </c>
      <c r="H856" s="66"/>
      <c r="I856" s="66" t="s">
        <v>253</v>
      </c>
      <c r="J856" s="66"/>
      <c r="K856" s="66" t="s">
        <v>254</v>
      </c>
      <c r="L856" s="67">
        <v>2025</v>
      </c>
      <c r="M856" s="66" t="s">
        <v>255</v>
      </c>
      <c r="N856" s="66" t="s">
        <v>24</v>
      </c>
      <c r="O856" s="66" t="s">
        <v>54</v>
      </c>
      <c r="P856" s="66" t="s">
        <v>25</v>
      </c>
      <c r="Q856" s="68">
        <v>81681</v>
      </c>
      <c r="R856" s="68">
        <v>74666</v>
      </c>
      <c r="S856" s="69">
        <v>46604</v>
      </c>
      <c r="T856" s="69">
        <v>27</v>
      </c>
      <c r="U856" s="74" t="s">
        <v>65</v>
      </c>
      <c r="V856" s="75" t="s">
        <v>56</v>
      </c>
      <c r="W856" s="68">
        <v>44548533</v>
      </c>
      <c r="X856" s="68">
        <f t="shared" si="984"/>
        <v>545.39651816211847</v>
      </c>
      <c r="Y856" s="68">
        <f t="shared" si="964"/>
        <v>596.63746551308498</v>
      </c>
      <c r="Z856" s="68">
        <f t="shared" si="965"/>
        <v>955.89505192687318</v>
      </c>
      <c r="AA856" s="68">
        <f t="shared" si="966"/>
        <v>1649945.6666666667</v>
      </c>
      <c r="AB856" s="73" t="s">
        <v>73</v>
      </c>
      <c r="AC856" s="55"/>
      <c r="AD856" s="93">
        <f t="shared" ref="AD856" si="992">W856/AC848</f>
        <v>5.3987162368013521E-2</v>
      </c>
    </row>
    <row r="857" spans="1:30" s="32" customFormat="1" ht="15.95">
      <c r="A857" s="65"/>
      <c r="B857" s="66" t="s">
        <v>48</v>
      </c>
      <c r="C857" s="66" t="s">
        <v>49</v>
      </c>
      <c r="D857" s="66"/>
      <c r="E857" s="66" t="s">
        <v>20</v>
      </c>
      <c r="F857" s="66" t="s">
        <v>21</v>
      </c>
      <c r="G857" s="66" t="s">
        <v>249</v>
      </c>
      <c r="H857" s="66"/>
      <c r="I857" s="66" t="s">
        <v>253</v>
      </c>
      <c r="J857" s="66"/>
      <c r="K857" s="66" t="s">
        <v>254</v>
      </c>
      <c r="L857" s="67">
        <v>2025</v>
      </c>
      <c r="M857" s="66" t="s">
        <v>255</v>
      </c>
      <c r="N857" s="66" t="s">
        <v>24</v>
      </c>
      <c r="O857" s="66" t="s">
        <v>54</v>
      </c>
      <c r="P857" s="66" t="s">
        <v>25</v>
      </c>
      <c r="Q857" s="68">
        <v>81681</v>
      </c>
      <c r="R857" s="68">
        <v>74666</v>
      </c>
      <c r="S857" s="69">
        <v>46604</v>
      </c>
      <c r="T857" s="69">
        <v>27</v>
      </c>
      <c r="U857" s="74" t="s">
        <v>66</v>
      </c>
      <c r="V857" s="75" t="s">
        <v>56</v>
      </c>
      <c r="W857" s="68">
        <v>63003646</v>
      </c>
      <c r="X857" s="68">
        <f t="shared" si="984"/>
        <v>771.33783866505064</v>
      </c>
      <c r="Y857" s="68">
        <f t="shared" si="964"/>
        <v>843.80636434253881</v>
      </c>
      <c r="Z857" s="68">
        <f t="shared" si="965"/>
        <v>1351.8935284524935</v>
      </c>
      <c r="AA857" s="68">
        <f t="shared" si="966"/>
        <v>2333468.3703703703</v>
      </c>
      <c r="AB857" s="73" t="s">
        <v>73</v>
      </c>
      <c r="AC857" s="55"/>
      <c r="AD857" s="93">
        <f t="shared" ref="AD857" si="993">W857/AC848</f>
        <v>7.6352414710914182E-2</v>
      </c>
    </row>
    <row r="858" spans="1:30" s="32" customFormat="1" ht="15.95">
      <c r="A858" s="65"/>
      <c r="B858" s="66" t="s">
        <v>48</v>
      </c>
      <c r="C858" s="66" t="s">
        <v>49</v>
      </c>
      <c r="D858" s="66"/>
      <c r="E858" s="66" t="s">
        <v>20</v>
      </c>
      <c r="F858" s="66" t="s">
        <v>21</v>
      </c>
      <c r="G858" s="66" t="s">
        <v>249</v>
      </c>
      <c r="H858" s="66"/>
      <c r="I858" s="66" t="s">
        <v>253</v>
      </c>
      <c r="J858" s="66"/>
      <c r="K858" s="66" t="s">
        <v>254</v>
      </c>
      <c r="L858" s="67">
        <v>2025</v>
      </c>
      <c r="M858" s="66" t="s">
        <v>255</v>
      </c>
      <c r="N858" s="66" t="s">
        <v>24</v>
      </c>
      <c r="O858" s="66" t="s">
        <v>54</v>
      </c>
      <c r="P858" s="66" t="s">
        <v>25</v>
      </c>
      <c r="Q858" s="68">
        <v>81681</v>
      </c>
      <c r="R858" s="68">
        <v>74666</v>
      </c>
      <c r="S858" s="69">
        <v>46604</v>
      </c>
      <c r="T858" s="69">
        <v>27</v>
      </c>
      <c r="U858" s="74" t="s">
        <v>67</v>
      </c>
      <c r="V858" s="75" t="s">
        <v>56</v>
      </c>
      <c r="W858" s="68">
        <v>5159131</v>
      </c>
      <c r="X858" s="68">
        <f t="shared" si="984"/>
        <v>63.16194708683782</v>
      </c>
      <c r="Y858" s="68">
        <f t="shared" si="964"/>
        <v>69.096121393941019</v>
      </c>
      <c r="Z858" s="68">
        <f t="shared" si="965"/>
        <v>110.70146339370011</v>
      </c>
      <c r="AA858" s="68">
        <f t="shared" si="966"/>
        <v>191078.92592592593</v>
      </c>
      <c r="AB858" s="73" t="s">
        <v>73</v>
      </c>
      <c r="AC858" s="55"/>
      <c r="AD858" s="93">
        <f t="shared" ref="AD858" si="994">W858/AC848</f>
        <v>6.2522113348794667E-3</v>
      </c>
    </row>
    <row r="859" spans="1:30" s="32" customFormat="1" ht="15.95">
      <c r="A859" s="65"/>
      <c r="B859" s="66" t="s">
        <v>48</v>
      </c>
      <c r="C859" s="66" t="s">
        <v>49</v>
      </c>
      <c r="D859" s="66"/>
      <c r="E859" s="66" t="s">
        <v>20</v>
      </c>
      <c r="F859" s="66" t="s">
        <v>21</v>
      </c>
      <c r="G859" s="66" t="s">
        <v>249</v>
      </c>
      <c r="H859" s="66"/>
      <c r="I859" s="66" t="s">
        <v>253</v>
      </c>
      <c r="J859" s="66"/>
      <c r="K859" s="66" t="s">
        <v>254</v>
      </c>
      <c r="L859" s="67">
        <v>2025</v>
      </c>
      <c r="M859" s="66" t="s">
        <v>255</v>
      </c>
      <c r="N859" s="66" t="s">
        <v>24</v>
      </c>
      <c r="O859" s="66" t="s">
        <v>54</v>
      </c>
      <c r="P859" s="66" t="s">
        <v>25</v>
      </c>
      <c r="Q859" s="68">
        <v>81681</v>
      </c>
      <c r="R859" s="68">
        <v>74666</v>
      </c>
      <c r="S859" s="69">
        <v>46604</v>
      </c>
      <c r="T859" s="69">
        <v>27</v>
      </c>
      <c r="U859" s="74" t="s">
        <v>68</v>
      </c>
      <c r="V859" s="75" t="s">
        <v>56</v>
      </c>
      <c r="W859" s="68">
        <v>117859284</v>
      </c>
      <c r="X859" s="68">
        <f t="shared" si="984"/>
        <v>1442.9216586476659</v>
      </c>
      <c r="Y859" s="68">
        <f t="shared" si="964"/>
        <v>1578.4866472022072</v>
      </c>
      <c r="Z859" s="68">
        <f t="shared" si="965"/>
        <v>2528.952107115269</v>
      </c>
      <c r="AA859" s="68">
        <f t="shared" si="966"/>
        <v>4365158.666666667</v>
      </c>
      <c r="AB859" s="73" t="s">
        <v>73</v>
      </c>
      <c r="AC859" s="55"/>
      <c r="AD859" s="93">
        <f t="shared" ref="AD859" si="995">W859/AC848</f>
        <v>0.14283047888211758</v>
      </c>
    </row>
    <row r="860" spans="1:30" s="32" customFormat="1" ht="15.95">
      <c r="A860" s="65"/>
      <c r="B860" s="66" t="s">
        <v>48</v>
      </c>
      <c r="C860" s="66" t="s">
        <v>49</v>
      </c>
      <c r="D860" s="66"/>
      <c r="E860" s="66" t="s">
        <v>20</v>
      </c>
      <c r="F860" s="66" t="s">
        <v>21</v>
      </c>
      <c r="G860" s="66" t="s">
        <v>249</v>
      </c>
      <c r="H860" s="66"/>
      <c r="I860" s="66" t="s">
        <v>253</v>
      </c>
      <c r="J860" s="66"/>
      <c r="K860" s="66" t="s">
        <v>254</v>
      </c>
      <c r="L860" s="67">
        <v>2025</v>
      </c>
      <c r="M860" s="66" t="s">
        <v>255</v>
      </c>
      <c r="N860" s="66" t="s">
        <v>24</v>
      </c>
      <c r="O860" s="66" t="s">
        <v>54</v>
      </c>
      <c r="P860" s="66" t="s">
        <v>25</v>
      </c>
      <c r="Q860" s="68">
        <v>81681</v>
      </c>
      <c r="R860" s="68">
        <v>74666</v>
      </c>
      <c r="S860" s="69">
        <v>46604</v>
      </c>
      <c r="T860" s="69">
        <v>27</v>
      </c>
      <c r="U860" s="74" t="s">
        <v>69</v>
      </c>
      <c r="V860" s="75" t="s">
        <v>56</v>
      </c>
      <c r="W860" s="68">
        <v>90918885</v>
      </c>
      <c r="X860" s="68">
        <f t="shared" si="984"/>
        <v>1113.0971094869064</v>
      </c>
      <c r="Y860" s="68">
        <f t="shared" si="964"/>
        <v>1217.6745104867007</v>
      </c>
      <c r="Z860" s="68">
        <f t="shared" si="965"/>
        <v>1950.8815766886962</v>
      </c>
      <c r="AA860" s="68">
        <f t="shared" si="966"/>
        <v>3367366.111111111</v>
      </c>
      <c r="AB860" s="73" t="s">
        <v>73</v>
      </c>
      <c r="AC860" s="55"/>
      <c r="AD860" s="93">
        <f t="shared" ref="AD860" si="996">W860/AC848</f>
        <v>0.11018213791268389</v>
      </c>
    </row>
    <row r="861" spans="1:30" s="55" customFormat="1" ht="15" customHeight="1">
      <c r="A861" s="57"/>
      <c r="B861" s="58" t="s">
        <v>48</v>
      </c>
      <c r="C861" s="58" t="s">
        <v>49</v>
      </c>
      <c r="D861" s="58"/>
      <c r="E861" s="58" t="s">
        <v>20</v>
      </c>
      <c r="F861" s="58" t="s">
        <v>21</v>
      </c>
      <c r="G861" s="58" t="s">
        <v>163</v>
      </c>
      <c r="H861" s="58"/>
      <c r="I861" s="58" t="s">
        <v>256</v>
      </c>
      <c r="J861" s="58"/>
      <c r="K861" s="58" t="s">
        <v>257</v>
      </c>
      <c r="L861" s="59">
        <v>2024</v>
      </c>
      <c r="M861" s="58" t="s">
        <v>258</v>
      </c>
      <c r="N861" s="58" t="s">
        <v>24</v>
      </c>
      <c r="O861" s="58" t="s">
        <v>54</v>
      </c>
      <c r="P861" s="58" t="s">
        <v>25</v>
      </c>
      <c r="Q861" s="60">
        <v>171008</v>
      </c>
      <c r="R861" s="60">
        <v>163864</v>
      </c>
      <c r="S861" s="61">
        <v>135287</v>
      </c>
      <c r="T861" s="61">
        <v>197</v>
      </c>
      <c r="U861" s="62" t="s">
        <v>55</v>
      </c>
      <c r="V861" s="63" t="s">
        <v>56</v>
      </c>
      <c r="W861" s="60">
        <v>52924140.755153768</v>
      </c>
      <c r="X861" s="60">
        <f>IF(Q861&gt;0,$W861/Q861,"")</f>
        <v>309.48342039643626</v>
      </c>
      <c r="Y861" s="60">
        <f t="shared" si="951"/>
        <v>322.97600909994731</v>
      </c>
      <c r="Z861" s="60">
        <f t="shared" si="951"/>
        <v>391.19901213829684</v>
      </c>
      <c r="AA861" s="60">
        <f t="shared" si="951"/>
        <v>268650.46068605973</v>
      </c>
      <c r="AB861" s="64" t="s">
        <v>73</v>
      </c>
      <c r="AC861" s="92">
        <f t="shared" ref="AC861" si="997">SUM(W861:W873)</f>
        <v>1250553116.0956125</v>
      </c>
      <c r="AD861" s="93">
        <f t="shared" ref="AD861" si="998">W861/AC861</f>
        <v>4.2320586046268656E-2</v>
      </c>
    </row>
    <row r="862" spans="1:30" s="55" customFormat="1" ht="15.95">
      <c r="A862" s="57"/>
      <c r="B862" s="58" t="s">
        <v>48</v>
      </c>
      <c r="C862" s="58" t="s">
        <v>49</v>
      </c>
      <c r="D862" s="58"/>
      <c r="E862" s="58" t="s">
        <v>20</v>
      </c>
      <c r="F862" s="58" t="s">
        <v>21</v>
      </c>
      <c r="G862" s="58" t="s">
        <v>163</v>
      </c>
      <c r="H862" s="58"/>
      <c r="I862" s="58" t="s">
        <v>256</v>
      </c>
      <c r="J862" s="58"/>
      <c r="K862" s="58" t="s">
        <v>257</v>
      </c>
      <c r="L862" s="59">
        <v>2024</v>
      </c>
      <c r="M862" s="58" t="s">
        <v>258</v>
      </c>
      <c r="N862" s="58" t="s">
        <v>24</v>
      </c>
      <c r="O862" s="58" t="s">
        <v>54</v>
      </c>
      <c r="P862" s="58" t="s">
        <v>25</v>
      </c>
      <c r="Q862" s="60">
        <v>171008</v>
      </c>
      <c r="R862" s="60">
        <v>163864</v>
      </c>
      <c r="S862" s="61">
        <v>135287</v>
      </c>
      <c r="T862" s="61">
        <v>197</v>
      </c>
      <c r="U862" s="62" t="s">
        <v>58</v>
      </c>
      <c r="V862" s="63" t="s">
        <v>56</v>
      </c>
      <c r="W862" s="60">
        <v>185112077.39112645</v>
      </c>
      <c r="X862" s="60">
        <f t="shared" ref="X862:X873" si="999">IF(Q862&gt;0,$W862/Q862,"")</f>
        <v>1082.4761262112092</v>
      </c>
      <c r="Y862" s="60">
        <f t="shared" si="951"/>
        <v>1129.6689778787681</v>
      </c>
      <c r="Z862" s="60">
        <f t="shared" si="951"/>
        <v>1368.2916864970505</v>
      </c>
      <c r="AA862" s="60">
        <f t="shared" si="951"/>
        <v>939655.21518338297</v>
      </c>
      <c r="AB862" s="64" t="s">
        <v>73</v>
      </c>
      <c r="AD862" s="93">
        <f t="shared" ref="AD862" si="1000">W862/AC861</f>
        <v>0.14802416227554582</v>
      </c>
    </row>
    <row r="863" spans="1:30" s="55" customFormat="1" ht="15.95">
      <c r="A863" s="57"/>
      <c r="B863" s="58" t="s">
        <v>48</v>
      </c>
      <c r="C863" s="58" t="s">
        <v>49</v>
      </c>
      <c r="D863" s="58"/>
      <c r="E863" s="58" t="s">
        <v>20</v>
      </c>
      <c r="F863" s="58" t="s">
        <v>21</v>
      </c>
      <c r="G863" s="58" t="s">
        <v>163</v>
      </c>
      <c r="H863" s="58"/>
      <c r="I863" s="58" t="s">
        <v>256</v>
      </c>
      <c r="J863" s="58"/>
      <c r="K863" s="58" t="s">
        <v>257</v>
      </c>
      <c r="L863" s="59">
        <v>2024</v>
      </c>
      <c r="M863" s="58" t="s">
        <v>258</v>
      </c>
      <c r="N863" s="58" t="s">
        <v>24</v>
      </c>
      <c r="O863" s="58" t="s">
        <v>54</v>
      </c>
      <c r="P863" s="58" t="s">
        <v>25</v>
      </c>
      <c r="Q863" s="60">
        <v>171008</v>
      </c>
      <c r="R863" s="60">
        <v>163864</v>
      </c>
      <c r="S863" s="61">
        <v>135287</v>
      </c>
      <c r="T863" s="61">
        <v>197</v>
      </c>
      <c r="U863" s="62" t="s">
        <v>59</v>
      </c>
      <c r="V863" s="63" t="s">
        <v>56</v>
      </c>
      <c r="W863" s="60">
        <v>271760583.53150368</v>
      </c>
      <c r="X863" s="60">
        <f t="shared" si="999"/>
        <v>1589.1688314669705</v>
      </c>
      <c r="Y863" s="60">
        <f t="shared" si="951"/>
        <v>1658.4520305344899</v>
      </c>
      <c r="Z863" s="60">
        <f t="shared" si="951"/>
        <v>2008.7708614390419</v>
      </c>
      <c r="AA863" s="60">
        <f t="shared" si="951"/>
        <v>1379495.3478756533</v>
      </c>
      <c r="AB863" s="64" t="s">
        <v>73</v>
      </c>
      <c r="AD863" s="93">
        <f t="shared" ref="AD863" si="1001">W863/AC861</f>
        <v>0.21731230767708223</v>
      </c>
    </row>
    <row r="864" spans="1:30" s="55" customFormat="1" ht="15.95">
      <c r="A864" s="57"/>
      <c r="B864" s="58" t="s">
        <v>48</v>
      </c>
      <c r="C864" s="58" t="s">
        <v>49</v>
      </c>
      <c r="D864" s="58"/>
      <c r="E864" s="58" t="s">
        <v>20</v>
      </c>
      <c r="F864" s="58" t="s">
        <v>21</v>
      </c>
      <c r="G864" s="58" t="s">
        <v>163</v>
      </c>
      <c r="H864" s="58"/>
      <c r="I864" s="58" t="s">
        <v>256</v>
      </c>
      <c r="J864" s="58"/>
      <c r="K864" s="58" t="s">
        <v>257</v>
      </c>
      <c r="L864" s="59">
        <v>2024</v>
      </c>
      <c r="M864" s="58" t="s">
        <v>258</v>
      </c>
      <c r="N864" s="58" t="s">
        <v>24</v>
      </c>
      <c r="O864" s="58" t="s">
        <v>54</v>
      </c>
      <c r="P864" s="58" t="s">
        <v>25</v>
      </c>
      <c r="Q864" s="60">
        <v>171008</v>
      </c>
      <c r="R864" s="60">
        <v>163864</v>
      </c>
      <c r="S864" s="61">
        <v>135287</v>
      </c>
      <c r="T864" s="61">
        <v>197</v>
      </c>
      <c r="U864" s="62" t="s">
        <v>60</v>
      </c>
      <c r="V864" s="63" t="s">
        <v>56</v>
      </c>
      <c r="W864" s="60">
        <v>71024588.53717497</v>
      </c>
      <c r="X864" s="60">
        <f t="shared" si="999"/>
        <v>415.32904037925107</v>
      </c>
      <c r="Y864" s="60">
        <f t="shared" si="951"/>
        <v>433.43619426582393</v>
      </c>
      <c r="Z864" s="60">
        <f t="shared" si="951"/>
        <v>524.99196920010775</v>
      </c>
      <c r="AA864" s="60">
        <f t="shared" si="951"/>
        <v>360530.90628007601</v>
      </c>
      <c r="AB864" s="64" t="s">
        <v>73</v>
      </c>
      <c r="AD864" s="93">
        <f t="shared" ref="AD864" si="1002">W864/AC861</f>
        <v>5.6794539650521093E-2</v>
      </c>
    </row>
    <row r="865" spans="1:30" s="55" customFormat="1" ht="15.95">
      <c r="A865" s="57"/>
      <c r="B865" s="58" t="s">
        <v>48</v>
      </c>
      <c r="C865" s="58" t="s">
        <v>49</v>
      </c>
      <c r="D865" s="58"/>
      <c r="E865" s="58" t="s">
        <v>20</v>
      </c>
      <c r="F865" s="58" t="s">
        <v>21</v>
      </c>
      <c r="G865" s="58" t="s">
        <v>163</v>
      </c>
      <c r="H865" s="58"/>
      <c r="I865" s="58" t="s">
        <v>256</v>
      </c>
      <c r="J865" s="58"/>
      <c r="K865" s="58" t="s">
        <v>257</v>
      </c>
      <c r="L865" s="59">
        <v>2024</v>
      </c>
      <c r="M865" s="58" t="s">
        <v>258</v>
      </c>
      <c r="N865" s="58" t="s">
        <v>24</v>
      </c>
      <c r="O865" s="58" t="s">
        <v>54</v>
      </c>
      <c r="P865" s="58" t="s">
        <v>25</v>
      </c>
      <c r="Q865" s="60">
        <v>171008</v>
      </c>
      <c r="R865" s="60">
        <v>163864</v>
      </c>
      <c r="S865" s="61">
        <v>135287</v>
      </c>
      <c r="T865" s="61">
        <v>197</v>
      </c>
      <c r="U865" s="62" t="s">
        <v>61</v>
      </c>
      <c r="V865" s="63" t="s">
        <v>56</v>
      </c>
      <c r="W865" s="60">
        <v>205995819.92918095</v>
      </c>
      <c r="X865" s="60">
        <f t="shared" si="999"/>
        <v>1204.5975622729986</v>
      </c>
      <c r="Y865" s="60">
        <f t="shared" si="951"/>
        <v>1257.114557982113</v>
      </c>
      <c r="Z865" s="60">
        <f t="shared" si="951"/>
        <v>1522.6579045228364</v>
      </c>
      <c r="AA865" s="60">
        <f t="shared" si="951"/>
        <v>1045664.060554218</v>
      </c>
      <c r="AB865" s="64" t="s">
        <v>73</v>
      </c>
      <c r="AD865" s="93">
        <f t="shared" ref="AD865" si="1003">W865/AC861</f>
        <v>0.16472376684992507</v>
      </c>
    </row>
    <row r="866" spans="1:30" s="55" customFormat="1" ht="15.95">
      <c r="A866" s="57"/>
      <c r="B866" s="58" t="s">
        <v>48</v>
      </c>
      <c r="C866" s="58" t="s">
        <v>49</v>
      </c>
      <c r="D866" s="58"/>
      <c r="E866" s="58" t="s">
        <v>20</v>
      </c>
      <c r="F866" s="58" t="s">
        <v>21</v>
      </c>
      <c r="G866" s="58" t="s">
        <v>163</v>
      </c>
      <c r="H866" s="58"/>
      <c r="I866" s="58" t="s">
        <v>256</v>
      </c>
      <c r="J866" s="58"/>
      <c r="K866" s="58" t="s">
        <v>257</v>
      </c>
      <c r="L866" s="59">
        <v>2024</v>
      </c>
      <c r="M866" s="58" t="s">
        <v>258</v>
      </c>
      <c r="N866" s="58" t="s">
        <v>24</v>
      </c>
      <c r="O866" s="58" t="s">
        <v>54</v>
      </c>
      <c r="P866" s="58" t="s">
        <v>25</v>
      </c>
      <c r="Q866" s="60">
        <v>171008</v>
      </c>
      <c r="R866" s="60">
        <v>163864</v>
      </c>
      <c r="S866" s="61">
        <v>135287</v>
      </c>
      <c r="T866" s="61">
        <v>197</v>
      </c>
      <c r="U866" s="62" t="s">
        <v>62</v>
      </c>
      <c r="V866" s="63" t="s">
        <v>56</v>
      </c>
      <c r="W866" s="60">
        <v>68537516.011433512</v>
      </c>
      <c r="X866" s="60">
        <f t="shared" si="999"/>
        <v>400.78543700548227</v>
      </c>
      <c r="Y866" s="60">
        <f t="shared" si="951"/>
        <v>418.2585315348918</v>
      </c>
      <c r="Z866" s="60">
        <f t="shared" si="951"/>
        <v>506.60829208596181</v>
      </c>
      <c r="AA866" s="60">
        <f t="shared" si="951"/>
        <v>347906.1726468706</v>
      </c>
      <c r="AB866" s="64" t="s">
        <v>73</v>
      </c>
      <c r="AD866" s="93">
        <f t="shared" ref="AD866" si="1004">W866/AC861</f>
        <v>5.4805761650026062E-2</v>
      </c>
    </row>
    <row r="867" spans="1:30" s="55" customFormat="1" ht="15.95">
      <c r="A867" s="57"/>
      <c r="B867" s="58" t="s">
        <v>48</v>
      </c>
      <c r="C867" s="58" t="s">
        <v>49</v>
      </c>
      <c r="D867" s="58"/>
      <c r="E867" s="58" t="s">
        <v>20</v>
      </c>
      <c r="F867" s="58" t="s">
        <v>21</v>
      </c>
      <c r="G867" s="58" t="s">
        <v>163</v>
      </c>
      <c r="H867" s="58"/>
      <c r="I867" s="58" t="s">
        <v>256</v>
      </c>
      <c r="J867" s="58"/>
      <c r="K867" s="58" t="s">
        <v>257</v>
      </c>
      <c r="L867" s="59">
        <v>2024</v>
      </c>
      <c r="M867" s="58" t="s">
        <v>258</v>
      </c>
      <c r="N867" s="58" t="s">
        <v>24</v>
      </c>
      <c r="O867" s="58" t="s">
        <v>54</v>
      </c>
      <c r="P867" s="58" t="s">
        <v>25</v>
      </c>
      <c r="Q867" s="60">
        <v>171008</v>
      </c>
      <c r="R867" s="60">
        <v>163864</v>
      </c>
      <c r="S867" s="61">
        <v>135287</v>
      </c>
      <c r="T867" s="61">
        <v>197</v>
      </c>
      <c r="U867" s="62" t="s">
        <v>63</v>
      </c>
      <c r="V867" s="63" t="s">
        <v>56</v>
      </c>
      <c r="W867" s="60">
        <v>14046516.730145806</v>
      </c>
      <c r="X867" s="60">
        <f t="shared" si="999"/>
        <v>82.139529905886306</v>
      </c>
      <c r="Y867" s="60">
        <f t="shared" si="951"/>
        <v>85.720577614032408</v>
      </c>
      <c r="Z867" s="60">
        <f t="shared" si="951"/>
        <v>103.82754241091757</v>
      </c>
      <c r="AA867" s="60">
        <f t="shared" si="951"/>
        <v>71302.1153814508</v>
      </c>
      <c r="AB867" s="64" t="s">
        <v>73</v>
      </c>
      <c r="AD867" s="93">
        <f t="shared" ref="AD867" si="1005">W867/AC861</f>
        <v>1.1232243196515184E-2</v>
      </c>
    </row>
    <row r="868" spans="1:30" s="55" customFormat="1" ht="15.95">
      <c r="A868" s="57"/>
      <c r="B868" s="58" t="s">
        <v>48</v>
      </c>
      <c r="C868" s="58" t="s">
        <v>49</v>
      </c>
      <c r="D868" s="58"/>
      <c r="E868" s="58" t="s">
        <v>20</v>
      </c>
      <c r="F868" s="58" t="s">
        <v>21</v>
      </c>
      <c r="G868" s="58" t="s">
        <v>163</v>
      </c>
      <c r="H868" s="58"/>
      <c r="I868" s="58" t="s">
        <v>256</v>
      </c>
      <c r="J868" s="58"/>
      <c r="K868" s="58" t="s">
        <v>257</v>
      </c>
      <c r="L868" s="59">
        <v>2024</v>
      </c>
      <c r="M868" s="58" t="s">
        <v>258</v>
      </c>
      <c r="N868" s="58" t="s">
        <v>24</v>
      </c>
      <c r="O868" s="58" t="s">
        <v>54</v>
      </c>
      <c r="P868" s="58" t="s">
        <v>25</v>
      </c>
      <c r="Q868" s="60">
        <v>171008</v>
      </c>
      <c r="R868" s="60">
        <v>163864</v>
      </c>
      <c r="S868" s="61">
        <v>135287</v>
      </c>
      <c r="T868" s="61">
        <v>197</v>
      </c>
      <c r="U868" s="62" t="s">
        <v>64</v>
      </c>
      <c r="V868" s="63" t="s">
        <v>56</v>
      </c>
      <c r="W868" s="60">
        <v>0</v>
      </c>
      <c r="X868" s="60">
        <f t="shared" si="999"/>
        <v>0</v>
      </c>
      <c r="Y868" s="60">
        <f t="shared" si="951"/>
        <v>0</v>
      </c>
      <c r="Z868" s="60">
        <f t="shared" si="951"/>
        <v>0</v>
      </c>
      <c r="AA868" s="60">
        <f t="shared" si="951"/>
        <v>0</v>
      </c>
      <c r="AB868" s="64" t="s">
        <v>73</v>
      </c>
      <c r="AD868" s="93">
        <f t="shared" ref="AD868" si="1006">W868/AC861</f>
        <v>0</v>
      </c>
    </row>
    <row r="869" spans="1:30" s="55" customFormat="1" ht="15.95">
      <c r="A869" s="57"/>
      <c r="B869" s="58" t="s">
        <v>48</v>
      </c>
      <c r="C869" s="58" t="s">
        <v>49</v>
      </c>
      <c r="D869" s="58"/>
      <c r="E869" s="58" t="s">
        <v>20</v>
      </c>
      <c r="F869" s="58" t="s">
        <v>21</v>
      </c>
      <c r="G869" s="58" t="s">
        <v>163</v>
      </c>
      <c r="H869" s="58"/>
      <c r="I869" s="58" t="s">
        <v>256</v>
      </c>
      <c r="J869" s="58"/>
      <c r="K869" s="58" t="s">
        <v>257</v>
      </c>
      <c r="L869" s="59">
        <v>2024</v>
      </c>
      <c r="M869" s="58" t="s">
        <v>258</v>
      </c>
      <c r="N869" s="58" t="s">
        <v>24</v>
      </c>
      <c r="O869" s="58" t="s">
        <v>54</v>
      </c>
      <c r="P869" s="58" t="s">
        <v>25</v>
      </c>
      <c r="Q869" s="60">
        <v>171008</v>
      </c>
      <c r="R869" s="60">
        <v>163864</v>
      </c>
      <c r="S869" s="61">
        <v>135287</v>
      </c>
      <c r="T869" s="61">
        <v>197</v>
      </c>
      <c r="U869" s="62" t="s">
        <v>65</v>
      </c>
      <c r="V869" s="63" t="s">
        <v>56</v>
      </c>
      <c r="W869" s="60">
        <v>156416960.75306481</v>
      </c>
      <c r="X869" s="60">
        <f t="shared" si="999"/>
        <v>914.67627685877153</v>
      </c>
      <c r="Y869" s="60">
        <f t="shared" si="951"/>
        <v>954.55353679310167</v>
      </c>
      <c r="Z869" s="60">
        <f t="shared" si="951"/>
        <v>1156.1861875351276</v>
      </c>
      <c r="AA869" s="60">
        <f t="shared" si="951"/>
        <v>793994.72463484679</v>
      </c>
      <c r="AB869" s="64" t="s">
        <v>73</v>
      </c>
      <c r="AD869" s="93">
        <f t="shared" ref="AD869" si="1007">W869/AC861</f>
        <v>0.12507822238004465</v>
      </c>
    </row>
    <row r="870" spans="1:30" s="55" customFormat="1" ht="15.95">
      <c r="A870" s="57"/>
      <c r="B870" s="58" t="s">
        <v>48</v>
      </c>
      <c r="C870" s="58" t="s">
        <v>49</v>
      </c>
      <c r="D870" s="58"/>
      <c r="E870" s="58" t="s">
        <v>20</v>
      </c>
      <c r="F870" s="58" t="s">
        <v>21</v>
      </c>
      <c r="G870" s="58" t="s">
        <v>163</v>
      </c>
      <c r="H870" s="58"/>
      <c r="I870" s="58" t="s">
        <v>256</v>
      </c>
      <c r="J870" s="58"/>
      <c r="K870" s="58" t="s">
        <v>257</v>
      </c>
      <c r="L870" s="59">
        <v>2024</v>
      </c>
      <c r="M870" s="58" t="s">
        <v>258</v>
      </c>
      <c r="N870" s="58" t="s">
        <v>24</v>
      </c>
      <c r="O870" s="58" t="s">
        <v>54</v>
      </c>
      <c r="P870" s="58" t="s">
        <v>25</v>
      </c>
      <c r="Q870" s="60">
        <v>171008</v>
      </c>
      <c r="R870" s="60">
        <v>163864</v>
      </c>
      <c r="S870" s="61">
        <v>135287</v>
      </c>
      <c r="T870" s="61">
        <v>197</v>
      </c>
      <c r="U870" s="62" t="s">
        <v>66</v>
      </c>
      <c r="V870" s="63" t="s">
        <v>56</v>
      </c>
      <c r="W870" s="60">
        <v>53018968.722765818</v>
      </c>
      <c r="X870" s="60">
        <f t="shared" si="999"/>
        <v>310.03794397201193</v>
      </c>
      <c r="Y870" s="60">
        <f t="shared" si="951"/>
        <v>323.55470831156214</v>
      </c>
      <c r="Z870" s="60">
        <f t="shared" si="951"/>
        <v>391.89995138310275</v>
      </c>
      <c r="AA870" s="60">
        <f t="shared" si="951"/>
        <v>269131.82092774526</v>
      </c>
      <c r="AB870" s="64" t="s">
        <v>73</v>
      </c>
      <c r="AD870" s="93">
        <f t="shared" ref="AD870" si="1008">W870/AC861</f>
        <v>4.239641486664545E-2</v>
      </c>
    </row>
    <row r="871" spans="1:30" s="55" customFormat="1" ht="15.95">
      <c r="A871" s="57"/>
      <c r="B871" s="58" t="s">
        <v>48</v>
      </c>
      <c r="C871" s="58" t="s">
        <v>49</v>
      </c>
      <c r="D871" s="58"/>
      <c r="E871" s="58" t="s">
        <v>20</v>
      </c>
      <c r="F871" s="58" t="s">
        <v>21</v>
      </c>
      <c r="G871" s="58" t="s">
        <v>163</v>
      </c>
      <c r="H871" s="58"/>
      <c r="I871" s="58" t="s">
        <v>256</v>
      </c>
      <c r="J871" s="58"/>
      <c r="K871" s="58" t="s">
        <v>257</v>
      </c>
      <c r="L871" s="59">
        <v>2024</v>
      </c>
      <c r="M871" s="58" t="s">
        <v>258</v>
      </c>
      <c r="N871" s="58" t="s">
        <v>24</v>
      </c>
      <c r="O871" s="58" t="s">
        <v>54</v>
      </c>
      <c r="P871" s="58" t="s">
        <v>25</v>
      </c>
      <c r="Q871" s="60">
        <v>171008</v>
      </c>
      <c r="R871" s="60">
        <v>163864</v>
      </c>
      <c r="S871" s="61">
        <v>135287</v>
      </c>
      <c r="T871" s="61">
        <v>197</v>
      </c>
      <c r="U871" s="62" t="s">
        <v>67</v>
      </c>
      <c r="V871" s="63" t="s">
        <v>56</v>
      </c>
      <c r="W871" s="60">
        <v>31892814.219299436</v>
      </c>
      <c r="X871" s="60">
        <f t="shared" si="999"/>
        <v>186.49896039541679</v>
      </c>
      <c r="Y871" s="60">
        <f t="shared" si="951"/>
        <v>194.62977969108184</v>
      </c>
      <c r="Z871" s="60">
        <f t="shared" si="951"/>
        <v>235.74189847730702</v>
      </c>
      <c r="AA871" s="60">
        <f t="shared" si="951"/>
        <v>161892.45796598698</v>
      </c>
      <c r="AB871" s="64" t="s">
        <v>73</v>
      </c>
      <c r="AD871" s="93">
        <f t="shared" ref="AD871" si="1009">W871/AC861</f>
        <v>2.5502966494436397E-2</v>
      </c>
    </row>
    <row r="872" spans="1:30" s="55" customFormat="1" ht="15.95">
      <c r="A872" s="57"/>
      <c r="B872" s="58" t="s">
        <v>48</v>
      </c>
      <c r="C872" s="58" t="s">
        <v>49</v>
      </c>
      <c r="D872" s="58"/>
      <c r="E872" s="58" t="s">
        <v>20</v>
      </c>
      <c r="F872" s="58" t="s">
        <v>21</v>
      </c>
      <c r="G872" s="58" t="s">
        <v>163</v>
      </c>
      <c r="H872" s="58"/>
      <c r="I872" s="58" t="s">
        <v>256</v>
      </c>
      <c r="J872" s="58"/>
      <c r="K872" s="58" t="s">
        <v>257</v>
      </c>
      <c r="L872" s="59">
        <v>2024</v>
      </c>
      <c r="M872" s="58" t="s">
        <v>258</v>
      </c>
      <c r="N872" s="58" t="s">
        <v>24</v>
      </c>
      <c r="O872" s="58" t="s">
        <v>54</v>
      </c>
      <c r="P872" s="58" t="s">
        <v>25</v>
      </c>
      <c r="Q872" s="60">
        <v>171008</v>
      </c>
      <c r="R872" s="60">
        <v>163864</v>
      </c>
      <c r="S872" s="61">
        <v>135287</v>
      </c>
      <c r="T872" s="61">
        <v>197</v>
      </c>
      <c r="U872" s="62" t="s">
        <v>68</v>
      </c>
      <c r="V872" s="63" t="s">
        <v>56</v>
      </c>
      <c r="W872" s="60">
        <v>27481683.648167886</v>
      </c>
      <c r="X872" s="60">
        <f t="shared" si="999"/>
        <v>160.70408196205958</v>
      </c>
      <c r="Y872" s="60">
        <f t="shared" si="951"/>
        <v>167.71031860669754</v>
      </c>
      <c r="Z872" s="60">
        <f t="shared" si="951"/>
        <v>203.13617456346793</v>
      </c>
      <c r="AA872" s="60">
        <f t="shared" si="951"/>
        <v>139500.93222420246</v>
      </c>
      <c r="AB872" s="64" t="s">
        <v>73</v>
      </c>
      <c r="AD872" s="93">
        <f t="shared" ref="AD872" si="1010">W872/AC861</f>
        <v>2.1975622861961461E-2</v>
      </c>
    </row>
    <row r="873" spans="1:30" s="55" customFormat="1" ht="15.95">
      <c r="A873" s="57"/>
      <c r="B873" s="58" t="s">
        <v>48</v>
      </c>
      <c r="C873" s="58" t="s">
        <v>49</v>
      </c>
      <c r="D873" s="58"/>
      <c r="E873" s="58" t="s">
        <v>20</v>
      </c>
      <c r="F873" s="58" t="s">
        <v>21</v>
      </c>
      <c r="G873" s="58" t="s">
        <v>163</v>
      </c>
      <c r="H873" s="58"/>
      <c r="I873" s="58" t="s">
        <v>256</v>
      </c>
      <c r="J873" s="58"/>
      <c r="K873" s="58" t="s">
        <v>257</v>
      </c>
      <c r="L873" s="59">
        <v>2024</v>
      </c>
      <c r="M873" s="58" t="s">
        <v>258</v>
      </c>
      <c r="N873" s="58" t="s">
        <v>24</v>
      </c>
      <c r="O873" s="58" t="s">
        <v>54</v>
      </c>
      <c r="P873" s="58" t="s">
        <v>25</v>
      </c>
      <c r="Q873" s="60">
        <v>171008</v>
      </c>
      <c r="R873" s="60">
        <v>163864</v>
      </c>
      <c r="S873" s="61">
        <v>135287</v>
      </c>
      <c r="T873" s="61">
        <v>197</v>
      </c>
      <c r="U873" s="62" t="s">
        <v>69</v>
      </c>
      <c r="V873" s="63" t="s">
        <v>56</v>
      </c>
      <c r="W873" s="60">
        <v>112341445.86659545</v>
      </c>
      <c r="X873" s="60">
        <f t="shared" si="999"/>
        <v>656.93678580297671</v>
      </c>
      <c r="Y873" s="60">
        <f t="shared" si="951"/>
        <v>685.57734381313435</v>
      </c>
      <c r="Z873" s="60">
        <f t="shared" si="951"/>
        <v>830.39350319391701</v>
      </c>
      <c r="AA873" s="60">
        <f t="shared" si="951"/>
        <v>570261.14653094136</v>
      </c>
      <c r="AB873" s="64" t="s">
        <v>73</v>
      </c>
      <c r="AD873" s="93">
        <f t="shared" ref="AD873" si="1011">W873/AC861</f>
        <v>8.9833406051027936E-2</v>
      </c>
    </row>
    <row r="874" spans="1:30" s="32" customFormat="1" ht="15" customHeight="1">
      <c r="A874" s="65"/>
      <c r="B874" s="66" t="s">
        <v>48</v>
      </c>
      <c r="C874" s="66" t="s">
        <v>49</v>
      </c>
      <c r="D874" s="66"/>
      <c r="E874" s="66" t="s">
        <v>20</v>
      </c>
      <c r="F874" s="66" t="s">
        <v>21</v>
      </c>
      <c r="G874" s="66" t="s">
        <v>163</v>
      </c>
      <c r="H874" s="66"/>
      <c r="I874" s="66" t="s">
        <v>259</v>
      </c>
      <c r="J874" s="66"/>
      <c r="K874" s="66" t="s">
        <v>260</v>
      </c>
      <c r="L874" s="67">
        <v>2024</v>
      </c>
      <c r="M874" s="66" t="s">
        <v>196</v>
      </c>
      <c r="N874" s="66" t="s">
        <v>24</v>
      </c>
      <c r="O874" s="66" t="s">
        <v>54</v>
      </c>
      <c r="P874" s="66" t="s">
        <v>25</v>
      </c>
      <c r="Q874" s="68">
        <v>229388</v>
      </c>
      <c r="R874" s="68">
        <v>219354</v>
      </c>
      <c r="S874" s="69">
        <v>181651</v>
      </c>
      <c r="T874" s="69">
        <v>275</v>
      </c>
      <c r="U874" s="74" t="s">
        <v>55</v>
      </c>
      <c r="V874" s="75" t="s">
        <v>56</v>
      </c>
      <c r="W874" s="68">
        <v>76753793.455060452</v>
      </c>
      <c r="X874" s="68">
        <f>IF(Q874&gt;0,$W874/Q874,"")</f>
        <v>334.60247900962759</v>
      </c>
      <c r="Y874" s="68">
        <f t="shared" ref="Y874:Y886" si="1012">IF(R874&gt;0,$W874/R874,"")</f>
        <v>349.90833745935998</v>
      </c>
      <c r="Z874" s="68">
        <f t="shared" ref="Z874:Z886" si="1013">IF(S874&gt;0,$W874/S874,"")</f>
        <v>422.53438436926001</v>
      </c>
      <c r="AA874" s="68">
        <f t="shared" ref="AA874:AA886" si="1014">IF(T874&gt;0,$W874/T874,"")</f>
        <v>279104.70347294712</v>
      </c>
      <c r="AB874" s="73" t="s">
        <v>73</v>
      </c>
      <c r="AC874" s="92">
        <f t="shared" ref="AC874" si="1015">SUM(W874:W886)</f>
        <v>1653187746.5613675</v>
      </c>
      <c r="AD874" s="93">
        <f t="shared" ref="AD874" si="1016">W874/AC874</f>
        <v>4.6427753662406729E-2</v>
      </c>
    </row>
    <row r="875" spans="1:30" s="32" customFormat="1" ht="15.95">
      <c r="A875" s="65"/>
      <c r="B875" s="66" t="s">
        <v>48</v>
      </c>
      <c r="C875" s="66" t="s">
        <v>49</v>
      </c>
      <c r="D875" s="66"/>
      <c r="E875" s="66" t="s">
        <v>20</v>
      </c>
      <c r="F875" s="66" t="s">
        <v>21</v>
      </c>
      <c r="G875" s="66" t="s">
        <v>163</v>
      </c>
      <c r="H875" s="66"/>
      <c r="I875" s="66" t="s">
        <v>259</v>
      </c>
      <c r="J875" s="66"/>
      <c r="K875" s="66" t="s">
        <v>260</v>
      </c>
      <c r="L875" s="67">
        <v>2024</v>
      </c>
      <c r="M875" s="66" t="s">
        <v>196</v>
      </c>
      <c r="N875" s="66" t="s">
        <v>24</v>
      </c>
      <c r="O875" s="66" t="s">
        <v>54</v>
      </c>
      <c r="P875" s="66" t="s">
        <v>25</v>
      </c>
      <c r="Q875" s="68">
        <v>229388</v>
      </c>
      <c r="R875" s="68">
        <v>219354</v>
      </c>
      <c r="S875" s="69">
        <v>181651</v>
      </c>
      <c r="T875" s="69">
        <v>275</v>
      </c>
      <c r="U875" s="74" t="s">
        <v>58</v>
      </c>
      <c r="V875" s="75" t="s">
        <v>56</v>
      </c>
      <c r="W875" s="68">
        <v>248900399.25045499</v>
      </c>
      <c r="X875" s="68">
        <f t="shared" ref="X875:X886" si="1017">IF(Q875&gt;0,$W875/Q875,"")</f>
        <v>1085.0628596546244</v>
      </c>
      <c r="Y875" s="68">
        <f t="shared" si="1012"/>
        <v>1134.697335131591</v>
      </c>
      <c r="Z875" s="68">
        <f t="shared" si="1013"/>
        <v>1370.2121059088856</v>
      </c>
      <c r="AA875" s="68">
        <f t="shared" si="1014"/>
        <v>905092.36091074545</v>
      </c>
      <c r="AB875" s="73" t="s">
        <v>73</v>
      </c>
      <c r="AC875" s="55"/>
      <c r="AD875" s="93">
        <f t="shared" ref="AD875" si="1018">W875/AC874</f>
        <v>0.15055785392080731</v>
      </c>
    </row>
    <row r="876" spans="1:30" s="32" customFormat="1" ht="15.95">
      <c r="A876" s="65"/>
      <c r="B876" s="66" t="s">
        <v>48</v>
      </c>
      <c r="C876" s="66" t="s">
        <v>49</v>
      </c>
      <c r="D876" s="66"/>
      <c r="E876" s="66" t="s">
        <v>20</v>
      </c>
      <c r="F876" s="66" t="s">
        <v>21</v>
      </c>
      <c r="G876" s="66" t="s">
        <v>163</v>
      </c>
      <c r="H876" s="66"/>
      <c r="I876" s="66" t="s">
        <v>259</v>
      </c>
      <c r="J876" s="66"/>
      <c r="K876" s="66" t="s">
        <v>260</v>
      </c>
      <c r="L876" s="67">
        <v>2024</v>
      </c>
      <c r="M876" s="66" t="s">
        <v>196</v>
      </c>
      <c r="N876" s="66" t="s">
        <v>24</v>
      </c>
      <c r="O876" s="66" t="s">
        <v>54</v>
      </c>
      <c r="P876" s="66" t="s">
        <v>25</v>
      </c>
      <c r="Q876" s="68">
        <v>229388</v>
      </c>
      <c r="R876" s="68">
        <v>219354</v>
      </c>
      <c r="S876" s="69">
        <v>181651</v>
      </c>
      <c r="T876" s="69">
        <v>275</v>
      </c>
      <c r="U876" s="74" t="s">
        <v>59</v>
      </c>
      <c r="V876" s="75" t="s">
        <v>56</v>
      </c>
      <c r="W876" s="68">
        <v>384722041.69990957</v>
      </c>
      <c r="X876" s="68">
        <f t="shared" si="1017"/>
        <v>1677.167252427806</v>
      </c>
      <c r="Y876" s="68">
        <f t="shared" si="1012"/>
        <v>1753.8866020218895</v>
      </c>
      <c r="Z876" s="68">
        <f t="shared" si="1013"/>
        <v>2117.9186555532838</v>
      </c>
      <c r="AA876" s="68">
        <f t="shared" si="1014"/>
        <v>1398989.2425451258</v>
      </c>
      <c r="AB876" s="73" t="s">
        <v>73</v>
      </c>
      <c r="AC876" s="55"/>
      <c r="AD876" s="93">
        <f t="shared" ref="AD876" si="1019">W876/AC874</f>
        <v>0.23271527538244333</v>
      </c>
    </row>
    <row r="877" spans="1:30" s="32" customFormat="1" ht="15.95">
      <c r="A877" s="65"/>
      <c r="B877" s="66" t="s">
        <v>48</v>
      </c>
      <c r="C877" s="66" t="s">
        <v>49</v>
      </c>
      <c r="D877" s="66"/>
      <c r="E877" s="66" t="s">
        <v>20</v>
      </c>
      <c r="F877" s="66" t="s">
        <v>21</v>
      </c>
      <c r="G877" s="66" t="s">
        <v>163</v>
      </c>
      <c r="H877" s="66"/>
      <c r="I877" s="66" t="s">
        <v>259</v>
      </c>
      <c r="J877" s="66"/>
      <c r="K877" s="66" t="s">
        <v>260</v>
      </c>
      <c r="L877" s="67">
        <v>2024</v>
      </c>
      <c r="M877" s="66" t="s">
        <v>196</v>
      </c>
      <c r="N877" s="66" t="s">
        <v>24</v>
      </c>
      <c r="O877" s="66" t="s">
        <v>54</v>
      </c>
      <c r="P877" s="66" t="s">
        <v>25</v>
      </c>
      <c r="Q877" s="68">
        <v>229388</v>
      </c>
      <c r="R877" s="68">
        <v>219354</v>
      </c>
      <c r="S877" s="69">
        <v>181651</v>
      </c>
      <c r="T877" s="69">
        <v>275</v>
      </c>
      <c r="U877" s="74" t="s">
        <v>60</v>
      </c>
      <c r="V877" s="75" t="s">
        <v>56</v>
      </c>
      <c r="W877" s="68">
        <v>85051778.253896594</v>
      </c>
      <c r="X877" s="68">
        <f t="shared" si="1017"/>
        <v>370.77692928094143</v>
      </c>
      <c r="Y877" s="68">
        <f t="shared" si="1012"/>
        <v>387.73753044802737</v>
      </c>
      <c r="Z877" s="68">
        <f t="shared" si="1013"/>
        <v>468.2153043687984</v>
      </c>
      <c r="AA877" s="68">
        <f t="shared" si="1014"/>
        <v>309279.1936505331</v>
      </c>
      <c r="AB877" s="73" t="s">
        <v>73</v>
      </c>
      <c r="AC877" s="55"/>
      <c r="AD877" s="93">
        <f t="shared" ref="AD877" si="1020">W877/AC874</f>
        <v>5.1447138070557563E-2</v>
      </c>
    </row>
    <row r="878" spans="1:30" s="32" customFormat="1" ht="15.95">
      <c r="A878" s="65"/>
      <c r="B878" s="66" t="s">
        <v>48</v>
      </c>
      <c r="C878" s="66" t="s">
        <v>49</v>
      </c>
      <c r="D878" s="66"/>
      <c r="E878" s="66" t="s">
        <v>20</v>
      </c>
      <c r="F878" s="66" t="s">
        <v>21</v>
      </c>
      <c r="G878" s="66" t="s">
        <v>163</v>
      </c>
      <c r="H878" s="66"/>
      <c r="I878" s="66" t="s">
        <v>259</v>
      </c>
      <c r="J878" s="66"/>
      <c r="K878" s="66" t="s">
        <v>260</v>
      </c>
      <c r="L878" s="67">
        <v>2024</v>
      </c>
      <c r="M878" s="66" t="s">
        <v>196</v>
      </c>
      <c r="N878" s="66" t="s">
        <v>24</v>
      </c>
      <c r="O878" s="66" t="s">
        <v>54</v>
      </c>
      <c r="P878" s="66" t="s">
        <v>25</v>
      </c>
      <c r="Q878" s="68">
        <v>229388</v>
      </c>
      <c r="R878" s="68">
        <v>219354</v>
      </c>
      <c r="S878" s="69">
        <v>181651</v>
      </c>
      <c r="T878" s="69">
        <v>275</v>
      </c>
      <c r="U878" s="74" t="s">
        <v>61</v>
      </c>
      <c r="V878" s="75" t="s">
        <v>56</v>
      </c>
      <c r="W878" s="68">
        <v>232909700.79191038</v>
      </c>
      <c r="X878" s="68">
        <f t="shared" si="1017"/>
        <v>1015.3525938231746</v>
      </c>
      <c r="Y878" s="68">
        <f t="shared" si="1012"/>
        <v>1061.7982840153832</v>
      </c>
      <c r="Z878" s="68">
        <f t="shared" si="1013"/>
        <v>1282.1823209996662</v>
      </c>
      <c r="AA878" s="68">
        <f t="shared" si="1014"/>
        <v>846944.36651603773</v>
      </c>
      <c r="AB878" s="73" t="s">
        <v>73</v>
      </c>
      <c r="AC878" s="55"/>
      <c r="AD878" s="93">
        <f t="shared" ref="AD878" si="1021">W878/AC874</f>
        <v>0.14088520875887378</v>
      </c>
    </row>
    <row r="879" spans="1:30" s="32" customFormat="1" ht="15.95">
      <c r="A879" s="65"/>
      <c r="B879" s="66" t="s">
        <v>48</v>
      </c>
      <c r="C879" s="66" t="s">
        <v>49</v>
      </c>
      <c r="D879" s="66"/>
      <c r="E879" s="66" t="s">
        <v>20</v>
      </c>
      <c r="F879" s="66" t="s">
        <v>21</v>
      </c>
      <c r="G879" s="66" t="s">
        <v>163</v>
      </c>
      <c r="H879" s="66"/>
      <c r="I879" s="66" t="s">
        <v>259</v>
      </c>
      <c r="J879" s="66"/>
      <c r="K879" s="66" t="s">
        <v>260</v>
      </c>
      <c r="L879" s="67">
        <v>2024</v>
      </c>
      <c r="M879" s="66" t="s">
        <v>196</v>
      </c>
      <c r="N879" s="66" t="s">
        <v>24</v>
      </c>
      <c r="O879" s="66" t="s">
        <v>54</v>
      </c>
      <c r="P879" s="66" t="s">
        <v>25</v>
      </c>
      <c r="Q879" s="68">
        <v>229388</v>
      </c>
      <c r="R879" s="68">
        <v>219354</v>
      </c>
      <c r="S879" s="69">
        <v>181651</v>
      </c>
      <c r="T879" s="69">
        <v>275</v>
      </c>
      <c r="U879" s="74" t="s">
        <v>62</v>
      </c>
      <c r="V879" s="75" t="s">
        <v>56</v>
      </c>
      <c r="W879" s="68">
        <v>80012953.806996047</v>
      </c>
      <c r="X879" s="68">
        <f t="shared" si="1017"/>
        <v>348.81054722564409</v>
      </c>
      <c r="Y879" s="68">
        <f t="shared" si="1012"/>
        <v>364.76633116786587</v>
      </c>
      <c r="Z879" s="68">
        <f t="shared" si="1013"/>
        <v>440.47626386310037</v>
      </c>
      <c r="AA879" s="68">
        <f t="shared" si="1014"/>
        <v>290956.19566180382</v>
      </c>
      <c r="AB879" s="73" t="s">
        <v>73</v>
      </c>
      <c r="AC879" s="55"/>
      <c r="AD879" s="93">
        <f t="shared" ref="AD879" si="1022">W879/AC874</f>
        <v>4.8399193602434498E-2</v>
      </c>
    </row>
    <row r="880" spans="1:30" s="32" customFormat="1" ht="15.95">
      <c r="A880" s="65"/>
      <c r="B880" s="66" t="s">
        <v>48</v>
      </c>
      <c r="C880" s="66" t="s">
        <v>49</v>
      </c>
      <c r="D880" s="66"/>
      <c r="E880" s="66" t="s">
        <v>20</v>
      </c>
      <c r="F880" s="66" t="s">
        <v>21</v>
      </c>
      <c r="G880" s="66" t="s">
        <v>163</v>
      </c>
      <c r="H880" s="66"/>
      <c r="I880" s="66" t="s">
        <v>259</v>
      </c>
      <c r="J880" s="66"/>
      <c r="K880" s="66" t="s">
        <v>260</v>
      </c>
      <c r="L880" s="67">
        <v>2024</v>
      </c>
      <c r="M880" s="66" t="s">
        <v>196</v>
      </c>
      <c r="N880" s="66" t="s">
        <v>24</v>
      </c>
      <c r="O880" s="66" t="s">
        <v>54</v>
      </c>
      <c r="P880" s="66" t="s">
        <v>25</v>
      </c>
      <c r="Q880" s="68">
        <v>229388</v>
      </c>
      <c r="R880" s="68">
        <v>219354</v>
      </c>
      <c r="S880" s="69">
        <v>181651</v>
      </c>
      <c r="T880" s="69">
        <v>275</v>
      </c>
      <c r="U880" s="74" t="s">
        <v>63</v>
      </c>
      <c r="V880" s="75" t="s">
        <v>56</v>
      </c>
      <c r="W880" s="68">
        <v>19580291.624775149</v>
      </c>
      <c r="X880" s="68">
        <f t="shared" si="1017"/>
        <v>85.35883143309654</v>
      </c>
      <c r="Y880" s="68">
        <f t="shared" si="1012"/>
        <v>89.263435473139992</v>
      </c>
      <c r="Z880" s="68">
        <f t="shared" si="1013"/>
        <v>107.79071750100549</v>
      </c>
      <c r="AA880" s="68">
        <f t="shared" si="1014"/>
        <v>71201.060453727812</v>
      </c>
      <c r="AB880" s="73" t="s">
        <v>73</v>
      </c>
      <c r="AC880" s="55"/>
      <c r="AD880" s="93">
        <f t="shared" ref="AD880" si="1023">W880/AC874</f>
        <v>1.1843961259392456E-2</v>
      </c>
    </row>
    <row r="881" spans="1:30" s="32" customFormat="1" ht="15.95">
      <c r="A881" s="65"/>
      <c r="B881" s="66" t="s">
        <v>48</v>
      </c>
      <c r="C881" s="66" t="s">
        <v>49</v>
      </c>
      <c r="D881" s="66"/>
      <c r="E881" s="66" t="s">
        <v>20</v>
      </c>
      <c r="F881" s="66" t="s">
        <v>21</v>
      </c>
      <c r="G881" s="66" t="s">
        <v>163</v>
      </c>
      <c r="H881" s="66"/>
      <c r="I881" s="66" t="s">
        <v>259</v>
      </c>
      <c r="J881" s="66"/>
      <c r="K881" s="66" t="s">
        <v>260</v>
      </c>
      <c r="L881" s="67">
        <v>2024</v>
      </c>
      <c r="M881" s="66" t="s">
        <v>196</v>
      </c>
      <c r="N881" s="66" t="s">
        <v>24</v>
      </c>
      <c r="O881" s="66" t="s">
        <v>54</v>
      </c>
      <c r="P881" s="66" t="s">
        <v>25</v>
      </c>
      <c r="Q881" s="68">
        <v>229388</v>
      </c>
      <c r="R881" s="68">
        <v>219354</v>
      </c>
      <c r="S881" s="69">
        <v>181651</v>
      </c>
      <c r="T881" s="69">
        <v>275</v>
      </c>
      <c r="U881" s="74" t="s">
        <v>64</v>
      </c>
      <c r="V881" s="75" t="s">
        <v>56</v>
      </c>
      <c r="W881" s="68">
        <v>0</v>
      </c>
      <c r="X881" s="68">
        <f t="shared" si="1017"/>
        <v>0</v>
      </c>
      <c r="Y881" s="68">
        <f t="shared" si="1012"/>
        <v>0</v>
      </c>
      <c r="Z881" s="68">
        <f t="shared" si="1013"/>
        <v>0</v>
      </c>
      <c r="AA881" s="68">
        <f t="shared" si="1014"/>
        <v>0</v>
      </c>
      <c r="AB881" s="73" t="s">
        <v>73</v>
      </c>
      <c r="AC881" s="55"/>
      <c r="AD881" s="93">
        <f t="shared" ref="AD881" si="1024">W881/AC874</f>
        <v>0</v>
      </c>
    </row>
    <row r="882" spans="1:30" s="32" customFormat="1" ht="15.95">
      <c r="A882" s="65"/>
      <c r="B882" s="66" t="s">
        <v>48</v>
      </c>
      <c r="C882" s="66" t="s">
        <v>49</v>
      </c>
      <c r="D882" s="66"/>
      <c r="E882" s="66" t="s">
        <v>20</v>
      </c>
      <c r="F882" s="66" t="s">
        <v>21</v>
      </c>
      <c r="G882" s="66" t="s">
        <v>163</v>
      </c>
      <c r="H882" s="66"/>
      <c r="I882" s="66" t="s">
        <v>259</v>
      </c>
      <c r="J882" s="66"/>
      <c r="K882" s="66" t="s">
        <v>260</v>
      </c>
      <c r="L882" s="67">
        <v>2024</v>
      </c>
      <c r="M882" s="66" t="s">
        <v>196</v>
      </c>
      <c r="N882" s="66" t="s">
        <v>24</v>
      </c>
      <c r="O882" s="66" t="s">
        <v>54</v>
      </c>
      <c r="P882" s="66" t="s">
        <v>25</v>
      </c>
      <c r="Q882" s="68">
        <v>229388</v>
      </c>
      <c r="R882" s="68">
        <v>219354</v>
      </c>
      <c r="S882" s="69">
        <v>181651</v>
      </c>
      <c r="T882" s="69">
        <v>275</v>
      </c>
      <c r="U882" s="74" t="s">
        <v>65</v>
      </c>
      <c r="V882" s="75" t="s">
        <v>56</v>
      </c>
      <c r="W882" s="68">
        <v>161514782.25723499</v>
      </c>
      <c r="X882" s="68">
        <f t="shared" si="1017"/>
        <v>704.11173320851572</v>
      </c>
      <c r="Y882" s="68">
        <f t="shared" si="1012"/>
        <v>736.32020504406114</v>
      </c>
      <c r="Z882" s="68">
        <f t="shared" si="1013"/>
        <v>889.14887480517575</v>
      </c>
      <c r="AA882" s="68">
        <f t="shared" si="1014"/>
        <v>587326.4809354</v>
      </c>
      <c r="AB882" s="73" t="s">
        <v>73</v>
      </c>
      <c r="AC882" s="55"/>
      <c r="AD882" s="93">
        <f t="shared" ref="AD882" si="1025">W882/AC874</f>
        <v>9.769899552738999E-2</v>
      </c>
    </row>
    <row r="883" spans="1:30" s="32" customFormat="1" ht="15.95">
      <c r="A883" s="65"/>
      <c r="B883" s="66" t="s">
        <v>48</v>
      </c>
      <c r="C883" s="66" t="s">
        <v>49</v>
      </c>
      <c r="D883" s="66"/>
      <c r="E883" s="66" t="s">
        <v>20</v>
      </c>
      <c r="F883" s="66" t="s">
        <v>21</v>
      </c>
      <c r="G883" s="66" t="s">
        <v>163</v>
      </c>
      <c r="H883" s="66"/>
      <c r="I883" s="66" t="s">
        <v>259</v>
      </c>
      <c r="J883" s="66"/>
      <c r="K883" s="66" t="s">
        <v>260</v>
      </c>
      <c r="L883" s="67">
        <v>2024</v>
      </c>
      <c r="M883" s="66" t="s">
        <v>196</v>
      </c>
      <c r="N883" s="66" t="s">
        <v>24</v>
      </c>
      <c r="O883" s="66" t="s">
        <v>54</v>
      </c>
      <c r="P883" s="66" t="s">
        <v>25</v>
      </c>
      <c r="Q883" s="68">
        <v>229388</v>
      </c>
      <c r="R883" s="68">
        <v>219354</v>
      </c>
      <c r="S883" s="69">
        <v>181651</v>
      </c>
      <c r="T883" s="69">
        <v>275</v>
      </c>
      <c r="U883" s="74" t="s">
        <v>66</v>
      </c>
      <c r="V883" s="75" t="s">
        <v>56</v>
      </c>
      <c r="W883" s="68">
        <v>106563327.35402744</v>
      </c>
      <c r="X883" s="68">
        <f t="shared" si="1017"/>
        <v>464.5549346697623</v>
      </c>
      <c r="Y883" s="68">
        <f t="shared" si="1012"/>
        <v>485.80526160465473</v>
      </c>
      <c r="Z883" s="68">
        <f t="shared" si="1013"/>
        <v>586.63771382501295</v>
      </c>
      <c r="AA883" s="68">
        <f t="shared" si="1014"/>
        <v>387503.00856009976</v>
      </c>
      <c r="AB883" s="73" t="s">
        <v>73</v>
      </c>
      <c r="AC883" s="55"/>
      <c r="AD883" s="93">
        <f t="shared" ref="AD883" si="1026">W883/AC874</f>
        <v>6.4459301477209283E-2</v>
      </c>
    </row>
    <row r="884" spans="1:30" s="32" customFormat="1" ht="15.95">
      <c r="A884" s="65"/>
      <c r="B884" s="66" t="s">
        <v>48</v>
      </c>
      <c r="C884" s="66" t="s">
        <v>49</v>
      </c>
      <c r="D884" s="66"/>
      <c r="E884" s="66" t="s">
        <v>20</v>
      </c>
      <c r="F884" s="66" t="s">
        <v>21</v>
      </c>
      <c r="G884" s="66" t="s">
        <v>163</v>
      </c>
      <c r="H884" s="66"/>
      <c r="I884" s="66" t="s">
        <v>259</v>
      </c>
      <c r="J884" s="66"/>
      <c r="K884" s="66" t="s">
        <v>260</v>
      </c>
      <c r="L884" s="67">
        <v>2024</v>
      </c>
      <c r="M884" s="66" t="s">
        <v>196</v>
      </c>
      <c r="N884" s="66" t="s">
        <v>24</v>
      </c>
      <c r="O884" s="66" t="s">
        <v>54</v>
      </c>
      <c r="P884" s="66" t="s">
        <v>25</v>
      </c>
      <c r="Q884" s="68">
        <v>229388</v>
      </c>
      <c r="R884" s="68">
        <v>219354</v>
      </c>
      <c r="S884" s="69">
        <v>181651</v>
      </c>
      <c r="T884" s="69">
        <v>275</v>
      </c>
      <c r="U884" s="74" t="s">
        <v>67</v>
      </c>
      <c r="V884" s="75" t="s">
        <v>56</v>
      </c>
      <c r="W884" s="68">
        <v>27882863.984686729</v>
      </c>
      <c r="X884" s="68">
        <f t="shared" si="1017"/>
        <v>121.55328083721349</v>
      </c>
      <c r="Y884" s="68">
        <f t="shared" si="1012"/>
        <v>127.11354242314582</v>
      </c>
      <c r="Z884" s="68">
        <f t="shared" si="1013"/>
        <v>153.49689230825444</v>
      </c>
      <c r="AA884" s="68">
        <f t="shared" si="1014"/>
        <v>101392.23267158811</v>
      </c>
      <c r="AB884" s="73" t="s">
        <v>73</v>
      </c>
      <c r="AC884" s="55"/>
      <c r="AD884" s="93">
        <f t="shared" ref="AD884" si="1027">W884/AC874</f>
        <v>1.6866120646419694E-2</v>
      </c>
    </row>
    <row r="885" spans="1:30" s="32" customFormat="1" ht="15.95">
      <c r="A885" s="65"/>
      <c r="B885" s="66" t="s">
        <v>48</v>
      </c>
      <c r="C885" s="66" t="s">
        <v>49</v>
      </c>
      <c r="D885" s="66"/>
      <c r="E885" s="66" t="s">
        <v>20</v>
      </c>
      <c r="F885" s="66" t="s">
        <v>21</v>
      </c>
      <c r="G885" s="66" t="s">
        <v>163</v>
      </c>
      <c r="H885" s="66"/>
      <c r="I885" s="66" t="s">
        <v>259</v>
      </c>
      <c r="J885" s="66"/>
      <c r="K885" s="66" t="s">
        <v>260</v>
      </c>
      <c r="L885" s="67">
        <v>2024</v>
      </c>
      <c r="M885" s="66" t="s">
        <v>196</v>
      </c>
      <c r="N885" s="66" t="s">
        <v>24</v>
      </c>
      <c r="O885" s="66" t="s">
        <v>54</v>
      </c>
      <c r="P885" s="66" t="s">
        <v>25</v>
      </c>
      <c r="Q885" s="68">
        <v>229388</v>
      </c>
      <c r="R885" s="68">
        <v>219354</v>
      </c>
      <c r="S885" s="69">
        <v>181651</v>
      </c>
      <c r="T885" s="69">
        <v>275</v>
      </c>
      <c r="U885" s="74" t="s">
        <v>68</v>
      </c>
      <c r="V885" s="75" t="s">
        <v>56</v>
      </c>
      <c r="W885" s="68">
        <v>38329672.738451459</v>
      </c>
      <c r="X885" s="68">
        <f t="shared" si="1017"/>
        <v>167.09537002132396</v>
      </c>
      <c r="Y885" s="68">
        <f t="shared" si="1012"/>
        <v>174.73888207396016</v>
      </c>
      <c r="Z885" s="68">
        <f t="shared" si="1013"/>
        <v>211.00722120137769</v>
      </c>
      <c r="AA885" s="68">
        <f t="shared" si="1014"/>
        <v>139380.62813982347</v>
      </c>
      <c r="AB885" s="73" t="s">
        <v>73</v>
      </c>
      <c r="AC885" s="55"/>
      <c r="AD885" s="93">
        <f t="shared" ref="AD885" si="1028">W885/AC874</f>
        <v>2.3185311419212502E-2</v>
      </c>
    </row>
    <row r="886" spans="1:30" s="32" customFormat="1" ht="15.95">
      <c r="A886" s="65"/>
      <c r="B886" s="66" t="s">
        <v>48</v>
      </c>
      <c r="C886" s="66" t="s">
        <v>49</v>
      </c>
      <c r="D886" s="66"/>
      <c r="E886" s="66" t="s">
        <v>20</v>
      </c>
      <c r="F886" s="66" t="s">
        <v>21</v>
      </c>
      <c r="G886" s="66" t="s">
        <v>163</v>
      </c>
      <c r="H886" s="66"/>
      <c r="I886" s="66" t="s">
        <v>259</v>
      </c>
      <c r="J886" s="66"/>
      <c r="K886" s="66" t="s">
        <v>260</v>
      </c>
      <c r="L886" s="67">
        <v>2024</v>
      </c>
      <c r="M886" s="66" t="s">
        <v>196</v>
      </c>
      <c r="N886" s="66" t="s">
        <v>24</v>
      </c>
      <c r="O886" s="66" t="s">
        <v>54</v>
      </c>
      <c r="P886" s="66" t="s">
        <v>25</v>
      </c>
      <c r="Q886" s="68">
        <v>229388</v>
      </c>
      <c r="R886" s="68">
        <v>219354</v>
      </c>
      <c r="S886" s="69">
        <v>181651</v>
      </c>
      <c r="T886" s="69">
        <v>275</v>
      </c>
      <c r="U886" s="74" t="s">
        <v>69</v>
      </c>
      <c r="V886" s="75" t="s">
        <v>56</v>
      </c>
      <c r="W886" s="68">
        <v>190966141.34396371</v>
      </c>
      <c r="X886" s="68">
        <f t="shared" si="1017"/>
        <v>832.50275229725924</v>
      </c>
      <c r="Y886" s="68">
        <f t="shared" si="1012"/>
        <v>870.58426718438557</v>
      </c>
      <c r="Z886" s="68">
        <f t="shared" si="1013"/>
        <v>1051.2804297469527</v>
      </c>
      <c r="AA886" s="68">
        <f t="shared" si="1014"/>
        <v>694422.33215986809</v>
      </c>
      <c r="AB886" s="73" t="s">
        <v>73</v>
      </c>
      <c r="AC886" s="55"/>
      <c r="AD886" s="93">
        <f t="shared" ref="AD886" si="1029">W886/AC874</f>
        <v>0.11551388627285286</v>
      </c>
    </row>
    <row r="887" spans="1:30" s="55" customFormat="1" ht="15" customHeight="1">
      <c r="A887" s="57"/>
      <c r="B887" s="58" t="s">
        <v>48</v>
      </c>
      <c r="C887" s="58" t="s">
        <v>49</v>
      </c>
      <c r="D887" s="58"/>
      <c r="E887" s="58" t="s">
        <v>20</v>
      </c>
      <c r="F887" s="58" t="s">
        <v>21</v>
      </c>
      <c r="G887" s="58" t="s">
        <v>163</v>
      </c>
      <c r="H887" s="58"/>
      <c r="I887" s="58" t="s">
        <v>261</v>
      </c>
      <c r="J887" s="58"/>
      <c r="K887" s="58" t="s">
        <v>262</v>
      </c>
      <c r="L887" s="59">
        <v>2024</v>
      </c>
      <c r="M887" s="58" t="s">
        <v>263</v>
      </c>
      <c r="N887" s="58" t="s">
        <v>24</v>
      </c>
      <c r="O887" s="58" t="s">
        <v>54</v>
      </c>
      <c r="P887" s="58" t="s">
        <v>25</v>
      </c>
      <c r="Q887" s="60">
        <v>213255</v>
      </c>
      <c r="R887" s="60">
        <v>204354</v>
      </c>
      <c r="S887" s="61">
        <v>168569</v>
      </c>
      <c r="T887" s="61">
        <v>251</v>
      </c>
      <c r="U887" s="62" t="s">
        <v>55</v>
      </c>
      <c r="V887" s="63" t="s">
        <v>56</v>
      </c>
      <c r="W887" s="60">
        <v>67831171.27371645</v>
      </c>
      <c r="X887" s="60">
        <f>IF(Q887&gt;0,$W887/Q887,"")</f>
        <v>318.07540865966308</v>
      </c>
      <c r="Y887" s="60">
        <f t="shared" ref="Y887:Y899" si="1030">IF(R887&gt;0,$W887/R887,"")</f>
        <v>331.92974580246266</v>
      </c>
      <c r="Z887" s="60">
        <f t="shared" ref="Z887:Z899" si="1031">IF(S887&gt;0,$W887/S887,"")</f>
        <v>402.39410136926983</v>
      </c>
      <c r="AA887" s="60">
        <f t="shared" ref="AA887:AA899" si="1032">IF(T887&gt;0,$W887/T887,"")</f>
        <v>270243.71025385038</v>
      </c>
      <c r="AB887" s="64" t="s">
        <v>73</v>
      </c>
      <c r="AC887" s="92">
        <f t="shared" ref="AC887" si="1033">SUM(W887:W899)</f>
        <v>1545313296.8517439</v>
      </c>
      <c r="AD887" s="93">
        <f t="shared" ref="AD887" si="1034">W887/AC887</f>
        <v>4.3894769696157035E-2</v>
      </c>
    </row>
    <row r="888" spans="1:30" s="55" customFormat="1" ht="15.95">
      <c r="A888" s="57"/>
      <c r="B888" s="58" t="s">
        <v>48</v>
      </c>
      <c r="C888" s="58" t="s">
        <v>49</v>
      </c>
      <c r="D888" s="58"/>
      <c r="E888" s="58" t="s">
        <v>20</v>
      </c>
      <c r="F888" s="58" t="s">
        <v>21</v>
      </c>
      <c r="G888" s="58" t="s">
        <v>163</v>
      </c>
      <c r="H888" s="58"/>
      <c r="I888" s="58" t="s">
        <v>261</v>
      </c>
      <c r="J888" s="58"/>
      <c r="K888" s="58" t="s">
        <v>262</v>
      </c>
      <c r="L888" s="59">
        <v>2024</v>
      </c>
      <c r="M888" s="58" t="s">
        <v>263</v>
      </c>
      <c r="N888" s="58" t="s">
        <v>24</v>
      </c>
      <c r="O888" s="58" t="s">
        <v>54</v>
      </c>
      <c r="P888" s="58" t="s">
        <v>25</v>
      </c>
      <c r="Q888" s="60">
        <v>213255</v>
      </c>
      <c r="R888" s="60">
        <v>204354</v>
      </c>
      <c r="S888" s="61">
        <v>168569</v>
      </c>
      <c r="T888" s="61">
        <v>251</v>
      </c>
      <c r="U888" s="62" t="s">
        <v>58</v>
      </c>
      <c r="V888" s="63" t="s">
        <v>56</v>
      </c>
      <c r="W888" s="60">
        <v>207893248.3123773</v>
      </c>
      <c r="X888" s="60">
        <f t="shared" ref="X888:X899" si="1035">IF(Q888&gt;0,$W888/Q888,"")</f>
        <v>974.85755697346985</v>
      </c>
      <c r="Y888" s="60">
        <f t="shared" si="1030"/>
        <v>1017.3192025229616</v>
      </c>
      <c r="Z888" s="60">
        <f t="shared" si="1031"/>
        <v>1233.2827999951196</v>
      </c>
      <c r="AA888" s="60">
        <f t="shared" si="1032"/>
        <v>828259.95343576616</v>
      </c>
      <c r="AB888" s="64" t="s">
        <v>73</v>
      </c>
      <c r="AD888" s="93">
        <f t="shared" ref="AD888" si="1036">W888/AC887</f>
        <v>0.13453145633051677</v>
      </c>
    </row>
    <row r="889" spans="1:30" s="55" customFormat="1" ht="15.95">
      <c r="A889" s="57"/>
      <c r="B889" s="58" t="s">
        <v>48</v>
      </c>
      <c r="C889" s="58" t="s">
        <v>49</v>
      </c>
      <c r="D889" s="58"/>
      <c r="E889" s="58" t="s">
        <v>20</v>
      </c>
      <c r="F889" s="58" t="s">
        <v>21</v>
      </c>
      <c r="G889" s="58" t="s">
        <v>163</v>
      </c>
      <c r="H889" s="58"/>
      <c r="I889" s="58" t="s">
        <v>261</v>
      </c>
      <c r="J889" s="58"/>
      <c r="K889" s="58" t="s">
        <v>262</v>
      </c>
      <c r="L889" s="59">
        <v>2024</v>
      </c>
      <c r="M889" s="58" t="s">
        <v>263</v>
      </c>
      <c r="N889" s="58" t="s">
        <v>24</v>
      </c>
      <c r="O889" s="58" t="s">
        <v>54</v>
      </c>
      <c r="P889" s="58" t="s">
        <v>25</v>
      </c>
      <c r="Q889" s="60">
        <v>213255</v>
      </c>
      <c r="R889" s="60">
        <v>204354</v>
      </c>
      <c r="S889" s="61">
        <v>168569</v>
      </c>
      <c r="T889" s="61">
        <v>251</v>
      </c>
      <c r="U889" s="62" t="s">
        <v>59</v>
      </c>
      <c r="V889" s="63" t="s">
        <v>56</v>
      </c>
      <c r="W889" s="60">
        <v>344206712.8328281</v>
      </c>
      <c r="X889" s="60">
        <f t="shared" si="1035"/>
        <v>1614.061629658522</v>
      </c>
      <c r="Y889" s="60">
        <f t="shared" si="1030"/>
        <v>1684.3649394326908</v>
      </c>
      <c r="Z889" s="60">
        <f t="shared" si="1031"/>
        <v>2041.9336463574448</v>
      </c>
      <c r="AA889" s="60">
        <f t="shared" si="1032"/>
        <v>1371341.4853897535</v>
      </c>
      <c r="AB889" s="64" t="s">
        <v>73</v>
      </c>
      <c r="AD889" s="93">
        <f t="shared" ref="AD889" si="1037">W889/AC887</f>
        <v>0.22274234845068508</v>
      </c>
    </row>
    <row r="890" spans="1:30" s="55" customFormat="1" ht="15.95">
      <c r="A890" s="57"/>
      <c r="B890" s="58" t="s">
        <v>48</v>
      </c>
      <c r="C890" s="58" t="s">
        <v>49</v>
      </c>
      <c r="D890" s="58"/>
      <c r="E890" s="58" t="s">
        <v>20</v>
      </c>
      <c r="F890" s="58" t="s">
        <v>21</v>
      </c>
      <c r="G890" s="58" t="s">
        <v>163</v>
      </c>
      <c r="H890" s="58"/>
      <c r="I890" s="58" t="s">
        <v>261</v>
      </c>
      <c r="J890" s="58"/>
      <c r="K890" s="58" t="s">
        <v>262</v>
      </c>
      <c r="L890" s="59">
        <v>2024</v>
      </c>
      <c r="M890" s="58" t="s">
        <v>263</v>
      </c>
      <c r="N890" s="58" t="s">
        <v>24</v>
      </c>
      <c r="O890" s="58" t="s">
        <v>54</v>
      </c>
      <c r="P890" s="58" t="s">
        <v>25</v>
      </c>
      <c r="Q890" s="60">
        <v>213255</v>
      </c>
      <c r="R890" s="60">
        <v>204354</v>
      </c>
      <c r="S890" s="61">
        <v>168569</v>
      </c>
      <c r="T890" s="61">
        <v>251</v>
      </c>
      <c r="U890" s="62" t="s">
        <v>60</v>
      </c>
      <c r="V890" s="63" t="s">
        <v>56</v>
      </c>
      <c r="W890" s="60">
        <v>85109795.358630255</v>
      </c>
      <c r="X890" s="60">
        <f t="shared" si="1035"/>
        <v>399.0987098010844</v>
      </c>
      <c r="Y890" s="60">
        <f t="shared" si="1030"/>
        <v>416.48216016633029</v>
      </c>
      <c r="Z890" s="60">
        <f t="shared" si="1031"/>
        <v>504.89589045809288</v>
      </c>
      <c r="AA890" s="60">
        <f t="shared" si="1032"/>
        <v>339082.85003438347</v>
      </c>
      <c r="AB890" s="64" t="s">
        <v>73</v>
      </c>
      <c r="AD890" s="93">
        <f t="shared" ref="AD890" si="1038">W890/AC887</f>
        <v>5.5076077797313883E-2</v>
      </c>
    </row>
    <row r="891" spans="1:30" s="55" customFormat="1" ht="15.95">
      <c r="A891" s="57"/>
      <c r="B891" s="58" t="s">
        <v>48</v>
      </c>
      <c r="C891" s="58" t="s">
        <v>49</v>
      </c>
      <c r="D891" s="58"/>
      <c r="E891" s="58" t="s">
        <v>20</v>
      </c>
      <c r="F891" s="58" t="s">
        <v>21</v>
      </c>
      <c r="G891" s="58" t="s">
        <v>163</v>
      </c>
      <c r="H891" s="58"/>
      <c r="I891" s="58" t="s">
        <v>261</v>
      </c>
      <c r="J891" s="58"/>
      <c r="K891" s="58" t="s">
        <v>262</v>
      </c>
      <c r="L891" s="59">
        <v>2024</v>
      </c>
      <c r="M891" s="58" t="s">
        <v>263</v>
      </c>
      <c r="N891" s="58" t="s">
        <v>24</v>
      </c>
      <c r="O891" s="58" t="s">
        <v>54</v>
      </c>
      <c r="P891" s="58" t="s">
        <v>25</v>
      </c>
      <c r="Q891" s="60">
        <v>213255</v>
      </c>
      <c r="R891" s="60">
        <v>204354</v>
      </c>
      <c r="S891" s="61">
        <v>168569</v>
      </c>
      <c r="T891" s="61">
        <v>251</v>
      </c>
      <c r="U891" s="62" t="s">
        <v>61</v>
      </c>
      <c r="V891" s="63" t="s">
        <v>56</v>
      </c>
      <c r="W891" s="60">
        <v>214501488.80725437</v>
      </c>
      <c r="X891" s="60">
        <f t="shared" si="1035"/>
        <v>1005.8450625178982</v>
      </c>
      <c r="Y891" s="60">
        <f t="shared" si="1030"/>
        <v>1049.6564236924864</v>
      </c>
      <c r="Z891" s="60">
        <f t="shared" si="1031"/>
        <v>1272.4847914340974</v>
      </c>
      <c r="AA891" s="60">
        <f t="shared" si="1032"/>
        <v>854587.60480977839</v>
      </c>
      <c r="AB891" s="64" t="s">
        <v>73</v>
      </c>
      <c r="AD891" s="93">
        <f t="shared" ref="AD891" si="1039">W891/AC887</f>
        <v>0.13880776748912779</v>
      </c>
    </row>
    <row r="892" spans="1:30" s="55" customFormat="1" ht="15.95">
      <c r="A892" s="57"/>
      <c r="B892" s="58" t="s">
        <v>48</v>
      </c>
      <c r="C892" s="58" t="s">
        <v>49</v>
      </c>
      <c r="D892" s="58"/>
      <c r="E892" s="58" t="s">
        <v>20</v>
      </c>
      <c r="F892" s="58" t="s">
        <v>21</v>
      </c>
      <c r="G892" s="58" t="s">
        <v>163</v>
      </c>
      <c r="H892" s="58"/>
      <c r="I892" s="58" t="s">
        <v>261</v>
      </c>
      <c r="J892" s="58"/>
      <c r="K892" s="58" t="s">
        <v>262</v>
      </c>
      <c r="L892" s="59">
        <v>2024</v>
      </c>
      <c r="M892" s="58" t="s">
        <v>263</v>
      </c>
      <c r="N892" s="58" t="s">
        <v>24</v>
      </c>
      <c r="O892" s="58" t="s">
        <v>54</v>
      </c>
      <c r="P892" s="58" t="s">
        <v>25</v>
      </c>
      <c r="Q892" s="60">
        <v>213255</v>
      </c>
      <c r="R892" s="60">
        <v>204354</v>
      </c>
      <c r="S892" s="61">
        <v>168569</v>
      </c>
      <c r="T892" s="61">
        <v>251</v>
      </c>
      <c r="U892" s="62" t="s">
        <v>62</v>
      </c>
      <c r="V892" s="63" t="s">
        <v>56</v>
      </c>
      <c r="W892" s="60">
        <v>92655187.105068982</v>
      </c>
      <c r="X892" s="60">
        <f t="shared" si="1035"/>
        <v>434.48072544638569</v>
      </c>
      <c r="Y892" s="60">
        <f t="shared" si="1030"/>
        <v>453.40530209865716</v>
      </c>
      <c r="Z892" s="60">
        <f t="shared" si="1031"/>
        <v>549.65733382216763</v>
      </c>
      <c r="AA892" s="60">
        <f t="shared" si="1032"/>
        <v>369144.17173334258</v>
      </c>
      <c r="AB892" s="64" t="s">
        <v>73</v>
      </c>
      <c r="AD892" s="93">
        <f t="shared" ref="AD892" si="1040">W892/AC887</f>
        <v>5.9958836369191124E-2</v>
      </c>
    </row>
    <row r="893" spans="1:30" s="55" customFormat="1" ht="15.95">
      <c r="A893" s="57"/>
      <c r="B893" s="58" t="s">
        <v>48</v>
      </c>
      <c r="C893" s="58" t="s">
        <v>49</v>
      </c>
      <c r="D893" s="58"/>
      <c r="E893" s="58" t="s">
        <v>20</v>
      </c>
      <c r="F893" s="58" t="s">
        <v>21</v>
      </c>
      <c r="G893" s="58" t="s">
        <v>163</v>
      </c>
      <c r="H893" s="58"/>
      <c r="I893" s="58" t="s">
        <v>261</v>
      </c>
      <c r="J893" s="58"/>
      <c r="K893" s="58" t="s">
        <v>262</v>
      </c>
      <c r="L893" s="59">
        <v>2024</v>
      </c>
      <c r="M893" s="58" t="s">
        <v>263</v>
      </c>
      <c r="N893" s="58" t="s">
        <v>24</v>
      </c>
      <c r="O893" s="58" t="s">
        <v>54</v>
      </c>
      <c r="P893" s="58" t="s">
        <v>25</v>
      </c>
      <c r="Q893" s="60">
        <v>213255</v>
      </c>
      <c r="R893" s="60">
        <v>204354</v>
      </c>
      <c r="S893" s="61">
        <v>168569</v>
      </c>
      <c r="T893" s="61">
        <v>251</v>
      </c>
      <c r="U893" s="62" t="s">
        <v>63</v>
      </c>
      <c r="V893" s="63" t="s">
        <v>56</v>
      </c>
      <c r="W893" s="60">
        <v>25440766.815335799</v>
      </c>
      <c r="X893" s="60">
        <f t="shared" si="1035"/>
        <v>119.29739896056739</v>
      </c>
      <c r="Y893" s="60">
        <f t="shared" si="1030"/>
        <v>124.49360822560752</v>
      </c>
      <c r="Z893" s="60">
        <f t="shared" si="1031"/>
        <v>150.92197744149755</v>
      </c>
      <c r="AA893" s="60">
        <f t="shared" si="1032"/>
        <v>101357.63671448526</v>
      </c>
      <c r="AB893" s="64" t="s">
        <v>73</v>
      </c>
      <c r="AD893" s="93">
        <f t="shared" ref="AD893" si="1041">W893/AC887</f>
        <v>1.6463177316319026E-2</v>
      </c>
    </row>
    <row r="894" spans="1:30" s="55" customFormat="1" ht="15.95">
      <c r="A894" s="57"/>
      <c r="B894" s="58" t="s">
        <v>48</v>
      </c>
      <c r="C894" s="58" t="s">
        <v>49</v>
      </c>
      <c r="D894" s="58"/>
      <c r="E894" s="58" t="s">
        <v>20</v>
      </c>
      <c r="F894" s="58" t="s">
        <v>21</v>
      </c>
      <c r="G894" s="58" t="s">
        <v>163</v>
      </c>
      <c r="H894" s="58"/>
      <c r="I894" s="58" t="s">
        <v>261</v>
      </c>
      <c r="J894" s="58"/>
      <c r="K894" s="58" t="s">
        <v>262</v>
      </c>
      <c r="L894" s="59">
        <v>2024</v>
      </c>
      <c r="M894" s="58" t="s">
        <v>263</v>
      </c>
      <c r="N894" s="58" t="s">
        <v>24</v>
      </c>
      <c r="O894" s="58" t="s">
        <v>54</v>
      </c>
      <c r="P894" s="58" t="s">
        <v>25</v>
      </c>
      <c r="Q894" s="60">
        <v>213255</v>
      </c>
      <c r="R894" s="60">
        <v>204354</v>
      </c>
      <c r="S894" s="61">
        <v>168569</v>
      </c>
      <c r="T894" s="61">
        <v>251</v>
      </c>
      <c r="U894" s="62" t="s">
        <v>64</v>
      </c>
      <c r="V894" s="63" t="s">
        <v>56</v>
      </c>
      <c r="W894" s="60">
        <v>0</v>
      </c>
      <c r="X894" s="60">
        <f t="shared" si="1035"/>
        <v>0</v>
      </c>
      <c r="Y894" s="60">
        <f t="shared" si="1030"/>
        <v>0</v>
      </c>
      <c r="Z894" s="60">
        <f t="shared" si="1031"/>
        <v>0</v>
      </c>
      <c r="AA894" s="60">
        <f t="shared" si="1032"/>
        <v>0</v>
      </c>
      <c r="AB894" s="64" t="s">
        <v>73</v>
      </c>
      <c r="AD894" s="93">
        <f t="shared" ref="AD894" si="1042">W894/AC887</f>
        <v>0</v>
      </c>
    </row>
    <row r="895" spans="1:30" s="55" customFormat="1" ht="15.95">
      <c r="A895" s="57"/>
      <c r="B895" s="58" t="s">
        <v>48</v>
      </c>
      <c r="C895" s="58" t="s">
        <v>49</v>
      </c>
      <c r="D895" s="58"/>
      <c r="E895" s="58" t="s">
        <v>20</v>
      </c>
      <c r="F895" s="58" t="s">
        <v>21</v>
      </c>
      <c r="G895" s="58" t="s">
        <v>163</v>
      </c>
      <c r="H895" s="58"/>
      <c r="I895" s="58" t="s">
        <v>261</v>
      </c>
      <c r="J895" s="58"/>
      <c r="K895" s="58" t="s">
        <v>262</v>
      </c>
      <c r="L895" s="59">
        <v>2024</v>
      </c>
      <c r="M895" s="58" t="s">
        <v>263</v>
      </c>
      <c r="N895" s="58" t="s">
        <v>24</v>
      </c>
      <c r="O895" s="58" t="s">
        <v>54</v>
      </c>
      <c r="P895" s="58" t="s">
        <v>25</v>
      </c>
      <c r="Q895" s="60">
        <v>213255</v>
      </c>
      <c r="R895" s="60">
        <v>204354</v>
      </c>
      <c r="S895" s="61">
        <v>168569</v>
      </c>
      <c r="T895" s="61">
        <v>251</v>
      </c>
      <c r="U895" s="62" t="s">
        <v>65</v>
      </c>
      <c r="V895" s="63" t="s">
        <v>56</v>
      </c>
      <c r="W895" s="60">
        <v>195635098.55529791</v>
      </c>
      <c r="X895" s="60">
        <f t="shared" si="1035"/>
        <v>917.37637361514578</v>
      </c>
      <c r="Y895" s="60">
        <f t="shared" si="1030"/>
        <v>957.33432453144007</v>
      </c>
      <c r="Z895" s="60">
        <f t="shared" si="1031"/>
        <v>1160.5639148081671</v>
      </c>
      <c r="AA895" s="60">
        <f t="shared" si="1032"/>
        <v>779422.70340756141</v>
      </c>
      <c r="AB895" s="64" t="s">
        <v>73</v>
      </c>
      <c r="AD895" s="93">
        <f t="shared" ref="AD895" si="1043">W895/AC887</f>
        <v>0.12659898737289321</v>
      </c>
    </row>
    <row r="896" spans="1:30" s="55" customFormat="1" ht="15.95">
      <c r="A896" s="57"/>
      <c r="B896" s="58" t="s">
        <v>48</v>
      </c>
      <c r="C896" s="58" t="s">
        <v>49</v>
      </c>
      <c r="D896" s="58"/>
      <c r="E896" s="58" t="s">
        <v>20</v>
      </c>
      <c r="F896" s="58" t="s">
        <v>21</v>
      </c>
      <c r="G896" s="58" t="s">
        <v>163</v>
      </c>
      <c r="H896" s="58"/>
      <c r="I896" s="58" t="s">
        <v>261</v>
      </c>
      <c r="J896" s="58"/>
      <c r="K896" s="58" t="s">
        <v>262</v>
      </c>
      <c r="L896" s="59">
        <v>2024</v>
      </c>
      <c r="M896" s="58" t="s">
        <v>263</v>
      </c>
      <c r="N896" s="58" t="s">
        <v>24</v>
      </c>
      <c r="O896" s="58" t="s">
        <v>54</v>
      </c>
      <c r="P896" s="58" t="s">
        <v>25</v>
      </c>
      <c r="Q896" s="60">
        <v>213255</v>
      </c>
      <c r="R896" s="60">
        <v>204354</v>
      </c>
      <c r="S896" s="61">
        <v>168569</v>
      </c>
      <c r="T896" s="61">
        <v>251</v>
      </c>
      <c r="U896" s="62" t="s">
        <v>66</v>
      </c>
      <c r="V896" s="63" t="s">
        <v>56</v>
      </c>
      <c r="W896" s="60">
        <v>93083556.824159697</v>
      </c>
      <c r="X896" s="60">
        <f t="shared" si="1035"/>
        <v>436.48944608173173</v>
      </c>
      <c r="Y896" s="60">
        <f t="shared" si="1030"/>
        <v>455.50151611497546</v>
      </c>
      <c r="Z896" s="60">
        <f t="shared" si="1031"/>
        <v>552.19854673255281</v>
      </c>
      <c r="AA896" s="60">
        <f t="shared" si="1032"/>
        <v>370850.82400063623</v>
      </c>
      <c r="AB896" s="64" t="s">
        <v>73</v>
      </c>
      <c r="AD896" s="93">
        <f t="shared" ref="AD896" si="1044">W896/AC887</f>
        <v>6.0236042111200483E-2</v>
      </c>
    </row>
    <row r="897" spans="1:30" s="55" customFormat="1" ht="15.95">
      <c r="A897" s="57"/>
      <c r="B897" s="58" t="s">
        <v>48</v>
      </c>
      <c r="C897" s="58" t="s">
        <v>49</v>
      </c>
      <c r="D897" s="58"/>
      <c r="E897" s="58" t="s">
        <v>20</v>
      </c>
      <c r="F897" s="58" t="s">
        <v>21</v>
      </c>
      <c r="G897" s="58" t="s">
        <v>163</v>
      </c>
      <c r="H897" s="58"/>
      <c r="I897" s="58" t="s">
        <v>261</v>
      </c>
      <c r="J897" s="58"/>
      <c r="K897" s="58" t="s">
        <v>262</v>
      </c>
      <c r="L897" s="59">
        <v>2024</v>
      </c>
      <c r="M897" s="58" t="s">
        <v>263</v>
      </c>
      <c r="N897" s="58" t="s">
        <v>24</v>
      </c>
      <c r="O897" s="58" t="s">
        <v>54</v>
      </c>
      <c r="P897" s="58" t="s">
        <v>25</v>
      </c>
      <c r="Q897" s="60">
        <v>213255</v>
      </c>
      <c r="R897" s="60">
        <v>204354</v>
      </c>
      <c r="S897" s="61">
        <v>168569</v>
      </c>
      <c r="T897" s="61">
        <v>251</v>
      </c>
      <c r="U897" s="62" t="s">
        <v>67</v>
      </c>
      <c r="V897" s="63" t="s">
        <v>56</v>
      </c>
      <c r="W897" s="60">
        <v>36919986.052258179</v>
      </c>
      <c r="X897" s="60">
        <f t="shared" si="1035"/>
        <v>173.12600432467318</v>
      </c>
      <c r="Y897" s="60">
        <f t="shared" si="1030"/>
        <v>180.66681372646573</v>
      </c>
      <c r="Z897" s="60">
        <f t="shared" si="1031"/>
        <v>219.02002178489627</v>
      </c>
      <c r="AA897" s="60">
        <f t="shared" si="1032"/>
        <v>147091.57789744294</v>
      </c>
      <c r="AB897" s="64" t="s">
        <v>73</v>
      </c>
      <c r="AD897" s="93">
        <f t="shared" ref="AD897" si="1045">W897/AC887</f>
        <v>2.3891586338818809E-2</v>
      </c>
    </row>
    <row r="898" spans="1:30" s="55" customFormat="1" ht="15.95">
      <c r="A898" s="57"/>
      <c r="B898" s="58" t="s">
        <v>48</v>
      </c>
      <c r="C898" s="58" t="s">
        <v>49</v>
      </c>
      <c r="D898" s="58"/>
      <c r="E898" s="58" t="s">
        <v>20</v>
      </c>
      <c r="F898" s="58" t="s">
        <v>21</v>
      </c>
      <c r="G898" s="58" t="s">
        <v>163</v>
      </c>
      <c r="H898" s="58"/>
      <c r="I898" s="58" t="s">
        <v>261</v>
      </c>
      <c r="J898" s="58"/>
      <c r="K898" s="58" t="s">
        <v>262</v>
      </c>
      <c r="L898" s="59">
        <v>2024</v>
      </c>
      <c r="M898" s="58" t="s">
        <v>263</v>
      </c>
      <c r="N898" s="58" t="s">
        <v>24</v>
      </c>
      <c r="O898" s="58" t="s">
        <v>54</v>
      </c>
      <c r="P898" s="58" t="s">
        <v>25</v>
      </c>
      <c r="Q898" s="60">
        <v>213255</v>
      </c>
      <c r="R898" s="60">
        <v>204354</v>
      </c>
      <c r="S898" s="61">
        <v>168569</v>
      </c>
      <c r="T898" s="61">
        <v>251</v>
      </c>
      <c r="U898" s="62" t="s">
        <v>68</v>
      </c>
      <c r="V898" s="63" t="s">
        <v>56</v>
      </c>
      <c r="W898" s="60">
        <v>34437563.811223276</v>
      </c>
      <c r="X898" s="60">
        <f t="shared" si="1035"/>
        <v>161.48537577652704</v>
      </c>
      <c r="Y898" s="60">
        <f t="shared" si="1030"/>
        <v>168.51915700805111</v>
      </c>
      <c r="Z898" s="60">
        <f t="shared" si="1031"/>
        <v>204.29357599097864</v>
      </c>
      <c r="AA898" s="60">
        <f t="shared" si="1032"/>
        <v>137201.44944710468</v>
      </c>
      <c r="AB898" s="64" t="s">
        <v>73</v>
      </c>
      <c r="AD898" s="93">
        <f t="shared" ref="AD898" si="1046">W898/AC887</f>
        <v>2.2285166303417363E-2</v>
      </c>
    </row>
    <row r="899" spans="1:30" s="55" customFormat="1" ht="15.95">
      <c r="A899" s="57"/>
      <c r="B899" s="58" t="s">
        <v>48</v>
      </c>
      <c r="C899" s="58" t="s">
        <v>49</v>
      </c>
      <c r="D899" s="58"/>
      <c r="E899" s="58" t="s">
        <v>20</v>
      </c>
      <c r="F899" s="58" t="s">
        <v>21</v>
      </c>
      <c r="G899" s="58" t="s">
        <v>163</v>
      </c>
      <c r="H899" s="58"/>
      <c r="I899" s="58" t="s">
        <v>261</v>
      </c>
      <c r="J899" s="58"/>
      <c r="K899" s="58" t="s">
        <v>262</v>
      </c>
      <c r="L899" s="59">
        <v>2024</v>
      </c>
      <c r="M899" s="58" t="s">
        <v>263</v>
      </c>
      <c r="N899" s="58" t="s">
        <v>24</v>
      </c>
      <c r="O899" s="58" t="s">
        <v>54</v>
      </c>
      <c r="P899" s="58" t="s">
        <v>25</v>
      </c>
      <c r="Q899" s="60">
        <v>213255</v>
      </c>
      <c r="R899" s="60">
        <v>204354</v>
      </c>
      <c r="S899" s="61">
        <v>168569</v>
      </c>
      <c r="T899" s="61">
        <v>251</v>
      </c>
      <c r="U899" s="62" t="s">
        <v>69</v>
      </c>
      <c r="V899" s="63" t="s">
        <v>56</v>
      </c>
      <c r="W899" s="60">
        <v>147598721.10359356</v>
      </c>
      <c r="X899" s="60">
        <f t="shared" si="1035"/>
        <v>692.1231441400837</v>
      </c>
      <c r="Y899" s="60">
        <f t="shared" si="1030"/>
        <v>722.26979214301434</v>
      </c>
      <c r="Z899" s="60">
        <f t="shared" si="1031"/>
        <v>875.59824821641917</v>
      </c>
      <c r="AA899" s="60">
        <f t="shared" si="1032"/>
        <v>588042.71356013371</v>
      </c>
      <c r="AB899" s="64" t="s">
        <v>73</v>
      </c>
      <c r="AD899" s="93">
        <f t="shared" ref="AD899" si="1047">W899/AC887</f>
        <v>9.5513784424359385E-2</v>
      </c>
    </row>
    <row r="900" spans="1:30" s="32" customFormat="1" ht="15" customHeight="1">
      <c r="A900" s="65"/>
      <c r="B900" s="66" t="s">
        <v>48</v>
      </c>
      <c r="C900" s="66" t="s">
        <v>49</v>
      </c>
      <c r="D900" s="66"/>
      <c r="E900" s="66" t="s">
        <v>20</v>
      </c>
      <c r="F900" s="66" t="s">
        <v>21</v>
      </c>
      <c r="G900" s="66" t="s">
        <v>50</v>
      </c>
      <c r="H900" s="66"/>
      <c r="I900" s="66" t="s">
        <v>264</v>
      </c>
      <c r="J900" s="66"/>
      <c r="K900" s="66" t="s">
        <v>265</v>
      </c>
      <c r="L900" s="67">
        <v>2024</v>
      </c>
      <c r="M900" s="66" t="s">
        <v>266</v>
      </c>
      <c r="N900" s="66" t="s">
        <v>24</v>
      </c>
      <c r="O900" s="66" t="s">
        <v>54</v>
      </c>
      <c r="P900" s="66" t="s">
        <v>25</v>
      </c>
      <c r="Q900" s="68">
        <v>207579</v>
      </c>
      <c r="R900" s="68">
        <v>199777</v>
      </c>
      <c r="S900" s="69">
        <v>168569</v>
      </c>
      <c r="T900" s="69">
        <v>204</v>
      </c>
      <c r="U900" s="74" t="s">
        <v>55</v>
      </c>
      <c r="V900" s="75" t="s">
        <v>56</v>
      </c>
      <c r="W900" s="68">
        <v>103923312.79086836</v>
      </c>
      <c r="X900" s="68">
        <f>IF(Q900&gt;0,$W900/Q900,"")</f>
        <v>500.64463549235887</v>
      </c>
      <c r="Y900" s="68">
        <f t="shared" si="951"/>
        <v>520.19658314454796</v>
      </c>
      <c r="Z900" s="68">
        <f t="shared" si="951"/>
        <v>616.50311024487519</v>
      </c>
      <c r="AA900" s="68">
        <f t="shared" si="951"/>
        <v>509428.00387680565</v>
      </c>
      <c r="AB900" s="73" t="s">
        <v>73</v>
      </c>
      <c r="AC900" s="92">
        <f t="shared" ref="AC900" si="1048">SUM(W900:W912)</f>
        <v>1398000000.0000002</v>
      </c>
      <c r="AD900" s="93">
        <f t="shared" ref="AD900" si="1049">W900/AC900</f>
        <v>7.4337133612924419E-2</v>
      </c>
    </row>
    <row r="901" spans="1:30" s="32" customFormat="1" ht="15.95">
      <c r="A901" s="65"/>
      <c r="B901" s="66" t="s">
        <v>48</v>
      </c>
      <c r="C901" s="66" t="s">
        <v>49</v>
      </c>
      <c r="D901" s="66"/>
      <c r="E901" s="66" t="s">
        <v>20</v>
      </c>
      <c r="F901" s="66" t="s">
        <v>21</v>
      </c>
      <c r="G901" s="66" t="s">
        <v>50</v>
      </c>
      <c r="H901" s="66"/>
      <c r="I901" s="66" t="s">
        <v>264</v>
      </c>
      <c r="J901" s="66"/>
      <c r="K901" s="66" t="s">
        <v>265</v>
      </c>
      <c r="L901" s="67">
        <v>2024</v>
      </c>
      <c r="M901" s="66" t="s">
        <v>266</v>
      </c>
      <c r="N901" s="66" t="s">
        <v>24</v>
      </c>
      <c r="O901" s="66" t="s">
        <v>54</v>
      </c>
      <c r="P901" s="66" t="s">
        <v>25</v>
      </c>
      <c r="Q901" s="68">
        <v>207579</v>
      </c>
      <c r="R901" s="68">
        <v>199777</v>
      </c>
      <c r="S901" s="69">
        <v>168569</v>
      </c>
      <c r="T901" s="69">
        <v>204</v>
      </c>
      <c r="U901" s="74" t="s">
        <v>58</v>
      </c>
      <c r="V901" s="75" t="s">
        <v>56</v>
      </c>
      <c r="W901" s="68">
        <v>151827331.8303535</v>
      </c>
      <c r="X901" s="68">
        <f t="shared" ref="X901:X912" si="1050">IF(Q901&gt;0,$W901/Q901,"")</f>
        <v>731.41951657129812</v>
      </c>
      <c r="Y901" s="68">
        <f t="shared" si="951"/>
        <v>759.98404135788155</v>
      </c>
      <c r="Z901" s="68">
        <f t="shared" si="951"/>
        <v>900.68358850294828</v>
      </c>
      <c r="AA901" s="68">
        <f t="shared" si="951"/>
        <v>744251.62661937985</v>
      </c>
      <c r="AB901" s="73" t="s">
        <v>73</v>
      </c>
      <c r="AC901" s="55"/>
      <c r="AD901" s="93">
        <f t="shared" ref="AD901" si="1051">W901/AC900</f>
        <v>0.10860324165261336</v>
      </c>
    </row>
    <row r="902" spans="1:30" s="32" customFormat="1" ht="15.95">
      <c r="A902" s="65"/>
      <c r="B902" s="66" t="s">
        <v>48</v>
      </c>
      <c r="C902" s="66" t="s">
        <v>49</v>
      </c>
      <c r="D902" s="66"/>
      <c r="E902" s="66" t="s">
        <v>20</v>
      </c>
      <c r="F902" s="66" t="s">
        <v>21</v>
      </c>
      <c r="G902" s="66" t="s">
        <v>50</v>
      </c>
      <c r="H902" s="66"/>
      <c r="I902" s="66" t="s">
        <v>264</v>
      </c>
      <c r="J902" s="66"/>
      <c r="K902" s="66" t="s">
        <v>265</v>
      </c>
      <c r="L902" s="67">
        <v>2024</v>
      </c>
      <c r="M902" s="66" t="s">
        <v>266</v>
      </c>
      <c r="N902" s="66" t="s">
        <v>24</v>
      </c>
      <c r="O902" s="66" t="s">
        <v>54</v>
      </c>
      <c r="P902" s="66" t="s">
        <v>25</v>
      </c>
      <c r="Q902" s="68">
        <v>207579</v>
      </c>
      <c r="R902" s="68">
        <v>199777</v>
      </c>
      <c r="S902" s="69">
        <v>168569</v>
      </c>
      <c r="T902" s="69">
        <v>204</v>
      </c>
      <c r="U902" s="74" t="s">
        <v>59</v>
      </c>
      <c r="V902" s="75" t="s">
        <v>56</v>
      </c>
      <c r="W902" s="68">
        <v>216815617.81070083</v>
      </c>
      <c r="X902" s="68">
        <f t="shared" si="1050"/>
        <v>1044.4968797937211</v>
      </c>
      <c r="Y902" s="68">
        <f t="shared" si="951"/>
        <v>1085.288185380203</v>
      </c>
      <c r="Z902" s="68">
        <f t="shared" si="951"/>
        <v>1286.2128731302957</v>
      </c>
      <c r="AA902" s="68">
        <f t="shared" si="951"/>
        <v>1062821.6559348081</v>
      </c>
      <c r="AB902" s="73" t="s">
        <v>73</v>
      </c>
      <c r="AC902" s="55"/>
      <c r="AD902" s="93">
        <f t="shared" ref="AD902" si="1052">W902/AC900</f>
        <v>0.15508985537246123</v>
      </c>
    </row>
    <row r="903" spans="1:30" s="32" customFormat="1" ht="15.95">
      <c r="A903" s="65"/>
      <c r="B903" s="66" t="s">
        <v>48</v>
      </c>
      <c r="C903" s="66" t="s">
        <v>49</v>
      </c>
      <c r="D903" s="66"/>
      <c r="E903" s="66" t="s">
        <v>20</v>
      </c>
      <c r="F903" s="66" t="s">
        <v>21</v>
      </c>
      <c r="G903" s="66" t="s">
        <v>50</v>
      </c>
      <c r="H903" s="66"/>
      <c r="I903" s="66" t="s">
        <v>264</v>
      </c>
      <c r="J903" s="66"/>
      <c r="K903" s="66" t="s">
        <v>265</v>
      </c>
      <c r="L903" s="67">
        <v>2024</v>
      </c>
      <c r="M903" s="66" t="s">
        <v>266</v>
      </c>
      <c r="N903" s="66" t="s">
        <v>24</v>
      </c>
      <c r="O903" s="66" t="s">
        <v>54</v>
      </c>
      <c r="P903" s="66" t="s">
        <v>25</v>
      </c>
      <c r="Q903" s="68">
        <v>207579</v>
      </c>
      <c r="R903" s="68">
        <v>199777</v>
      </c>
      <c r="S903" s="69">
        <v>168569</v>
      </c>
      <c r="T903" s="69">
        <v>204</v>
      </c>
      <c r="U903" s="74" t="s">
        <v>60</v>
      </c>
      <c r="V903" s="75" t="s">
        <v>56</v>
      </c>
      <c r="W903" s="68">
        <v>67097857.5178058</v>
      </c>
      <c r="X903" s="68">
        <f t="shared" si="1050"/>
        <v>323.24010385350061</v>
      </c>
      <c r="Y903" s="68">
        <f t="shared" si="951"/>
        <v>335.8637756989333</v>
      </c>
      <c r="Z903" s="68">
        <f t="shared" si="951"/>
        <v>398.04387234785639</v>
      </c>
      <c r="AA903" s="68">
        <f t="shared" si="951"/>
        <v>328911.06626375392</v>
      </c>
      <c r="AB903" s="73" t="s">
        <v>73</v>
      </c>
      <c r="AC903" s="55"/>
      <c r="AD903" s="93">
        <f t="shared" ref="AD903" si="1053">W903/AC900</f>
        <v>4.7995606235912584E-2</v>
      </c>
    </row>
    <row r="904" spans="1:30" s="32" customFormat="1" ht="15.95">
      <c r="A904" s="65"/>
      <c r="B904" s="66" t="s">
        <v>48</v>
      </c>
      <c r="C904" s="66" t="s">
        <v>49</v>
      </c>
      <c r="D904" s="66"/>
      <c r="E904" s="66" t="s">
        <v>20</v>
      </c>
      <c r="F904" s="66" t="s">
        <v>21</v>
      </c>
      <c r="G904" s="66" t="s">
        <v>50</v>
      </c>
      <c r="H904" s="66"/>
      <c r="I904" s="66" t="s">
        <v>264</v>
      </c>
      <c r="J904" s="66"/>
      <c r="K904" s="66" t="s">
        <v>265</v>
      </c>
      <c r="L904" s="67">
        <v>2024</v>
      </c>
      <c r="M904" s="66" t="s">
        <v>266</v>
      </c>
      <c r="N904" s="66" t="s">
        <v>24</v>
      </c>
      <c r="O904" s="66" t="s">
        <v>54</v>
      </c>
      <c r="P904" s="66" t="s">
        <v>25</v>
      </c>
      <c r="Q904" s="68">
        <v>207579</v>
      </c>
      <c r="R904" s="68">
        <v>199777</v>
      </c>
      <c r="S904" s="69">
        <v>168569</v>
      </c>
      <c r="T904" s="69">
        <v>204</v>
      </c>
      <c r="U904" s="74" t="s">
        <v>61</v>
      </c>
      <c r="V904" s="75" t="s">
        <v>56</v>
      </c>
      <c r="W904" s="68">
        <v>252050608.33295846</v>
      </c>
      <c r="X904" s="68">
        <f t="shared" si="1050"/>
        <v>1214.2394381558754</v>
      </c>
      <c r="Y904" s="68">
        <f t="shared" ref="Y904:Y938" si="1054">IF(R904&gt;0,$W904/R904,"")</f>
        <v>1261.6597923332438</v>
      </c>
      <c r="Z904" s="68">
        <f t="shared" ref="Z904:Z938" si="1055">IF(S904&gt;0,$W904/S904,"")</f>
        <v>1495.2370147118299</v>
      </c>
      <c r="AA904" s="68">
        <f t="shared" ref="AA904:AA938" si="1056">IF(T904&gt;0,$W904/T904,"")</f>
        <v>1235542.1977105807</v>
      </c>
      <c r="AB904" s="73" t="s">
        <v>73</v>
      </c>
      <c r="AC904" s="55"/>
      <c r="AD904" s="93">
        <f t="shared" ref="AD904" si="1057">W904/AC900</f>
        <v>0.18029371125390445</v>
      </c>
    </row>
    <row r="905" spans="1:30" s="32" customFormat="1" ht="15.95">
      <c r="A905" s="65"/>
      <c r="B905" s="66" t="s">
        <v>48</v>
      </c>
      <c r="C905" s="66" t="s">
        <v>49</v>
      </c>
      <c r="D905" s="66"/>
      <c r="E905" s="66" t="s">
        <v>20</v>
      </c>
      <c r="F905" s="66" t="s">
        <v>21</v>
      </c>
      <c r="G905" s="66" t="s">
        <v>50</v>
      </c>
      <c r="H905" s="66"/>
      <c r="I905" s="66" t="s">
        <v>264</v>
      </c>
      <c r="J905" s="66"/>
      <c r="K905" s="66" t="s">
        <v>265</v>
      </c>
      <c r="L905" s="67">
        <v>2024</v>
      </c>
      <c r="M905" s="66" t="s">
        <v>266</v>
      </c>
      <c r="N905" s="66" t="s">
        <v>24</v>
      </c>
      <c r="O905" s="66" t="s">
        <v>54</v>
      </c>
      <c r="P905" s="66" t="s">
        <v>25</v>
      </c>
      <c r="Q905" s="68">
        <v>207579</v>
      </c>
      <c r="R905" s="68">
        <v>199777</v>
      </c>
      <c r="S905" s="69">
        <v>168569</v>
      </c>
      <c r="T905" s="69">
        <v>204</v>
      </c>
      <c r="U905" s="74" t="s">
        <v>62</v>
      </c>
      <c r="V905" s="75" t="s">
        <v>56</v>
      </c>
      <c r="W905" s="68">
        <v>103688954.1786214</v>
      </c>
      <c r="X905" s="68">
        <f t="shared" si="1050"/>
        <v>499.51562623686112</v>
      </c>
      <c r="Y905" s="68">
        <f t="shared" si="1054"/>
        <v>519.02348207562125</v>
      </c>
      <c r="Z905" s="68">
        <f t="shared" si="1055"/>
        <v>615.1128272613671</v>
      </c>
      <c r="AA905" s="68">
        <f t="shared" si="1056"/>
        <v>508279.1871501049</v>
      </c>
      <c r="AB905" s="73" t="s">
        <v>73</v>
      </c>
      <c r="AC905" s="55"/>
      <c r="AD905" s="93">
        <f t="shared" ref="AD905" si="1058">W905/AC900</f>
        <v>7.4169495120616144E-2</v>
      </c>
    </row>
    <row r="906" spans="1:30" s="32" customFormat="1" ht="15.95">
      <c r="A906" s="65"/>
      <c r="B906" s="66" t="s">
        <v>48</v>
      </c>
      <c r="C906" s="66" t="s">
        <v>49</v>
      </c>
      <c r="D906" s="66"/>
      <c r="E906" s="66" t="s">
        <v>20</v>
      </c>
      <c r="F906" s="66" t="s">
        <v>21</v>
      </c>
      <c r="G906" s="66" t="s">
        <v>50</v>
      </c>
      <c r="H906" s="66"/>
      <c r="I906" s="66" t="s">
        <v>264</v>
      </c>
      <c r="J906" s="66"/>
      <c r="K906" s="66" t="s">
        <v>265</v>
      </c>
      <c r="L906" s="67">
        <v>2024</v>
      </c>
      <c r="M906" s="66" t="s">
        <v>266</v>
      </c>
      <c r="N906" s="66" t="s">
        <v>24</v>
      </c>
      <c r="O906" s="66" t="s">
        <v>54</v>
      </c>
      <c r="P906" s="66" t="s">
        <v>25</v>
      </c>
      <c r="Q906" s="68">
        <v>207579</v>
      </c>
      <c r="R906" s="68">
        <v>199777</v>
      </c>
      <c r="S906" s="69">
        <v>168569</v>
      </c>
      <c r="T906" s="69">
        <v>204</v>
      </c>
      <c r="U906" s="74" t="s">
        <v>63</v>
      </c>
      <c r="V906" s="75" t="s">
        <v>56</v>
      </c>
      <c r="W906" s="68">
        <v>13386270.477388935</v>
      </c>
      <c r="X906" s="68">
        <f t="shared" si="1050"/>
        <v>64.487594975353645</v>
      </c>
      <c r="Y906" s="68">
        <f t="shared" si="1054"/>
        <v>67.006064148470216</v>
      </c>
      <c r="Z906" s="68">
        <f t="shared" si="1055"/>
        <v>79.41122316314943</v>
      </c>
      <c r="AA906" s="68">
        <f t="shared" si="1056"/>
        <v>65618.97292837713</v>
      </c>
      <c r="AB906" s="73" t="s">
        <v>73</v>
      </c>
      <c r="AC906" s="55"/>
      <c r="AD906" s="93">
        <f t="shared" ref="AD906" si="1059">W906/AC900</f>
        <v>9.5753007706644733E-3</v>
      </c>
    </row>
    <row r="907" spans="1:30" s="32" customFormat="1" ht="15.95">
      <c r="A907" s="65"/>
      <c r="B907" s="66" t="s">
        <v>48</v>
      </c>
      <c r="C907" s="66" t="s">
        <v>49</v>
      </c>
      <c r="D907" s="66"/>
      <c r="E907" s="66" t="s">
        <v>20</v>
      </c>
      <c r="F907" s="66" t="s">
        <v>21</v>
      </c>
      <c r="G907" s="66" t="s">
        <v>50</v>
      </c>
      <c r="H907" s="66"/>
      <c r="I907" s="66" t="s">
        <v>264</v>
      </c>
      <c r="J907" s="66"/>
      <c r="K907" s="66" t="s">
        <v>265</v>
      </c>
      <c r="L907" s="67">
        <v>2024</v>
      </c>
      <c r="M907" s="66" t="s">
        <v>266</v>
      </c>
      <c r="N907" s="66" t="s">
        <v>24</v>
      </c>
      <c r="O907" s="66" t="s">
        <v>54</v>
      </c>
      <c r="P907" s="66" t="s">
        <v>25</v>
      </c>
      <c r="Q907" s="68">
        <v>207579</v>
      </c>
      <c r="R907" s="68">
        <v>199777</v>
      </c>
      <c r="S907" s="69">
        <v>168569</v>
      </c>
      <c r="T907" s="69">
        <v>204</v>
      </c>
      <c r="U907" s="74" t="s">
        <v>64</v>
      </c>
      <c r="V907" s="75" t="s">
        <v>56</v>
      </c>
      <c r="W907" s="68">
        <v>0</v>
      </c>
      <c r="X907" s="68">
        <f t="shared" si="1050"/>
        <v>0</v>
      </c>
      <c r="Y907" s="68">
        <f t="shared" si="1054"/>
        <v>0</v>
      </c>
      <c r="Z907" s="68">
        <f t="shared" si="1055"/>
        <v>0</v>
      </c>
      <c r="AA907" s="68">
        <f t="shared" si="1056"/>
        <v>0</v>
      </c>
      <c r="AB907" s="73" t="s">
        <v>73</v>
      </c>
      <c r="AC907" s="55"/>
      <c r="AD907" s="93">
        <f t="shared" ref="AD907" si="1060">W907/AC900</f>
        <v>0</v>
      </c>
    </row>
    <row r="908" spans="1:30" s="32" customFormat="1" ht="15.95">
      <c r="A908" s="65"/>
      <c r="B908" s="66" t="s">
        <v>48</v>
      </c>
      <c r="C908" s="66" t="s">
        <v>49</v>
      </c>
      <c r="D908" s="66"/>
      <c r="E908" s="66" t="s">
        <v>20</v>
      </c>
      <c r="F908" s="66" t="s">
        <v>21</v>
      </c>
      <c r="G908" s="66" t="s">
        <v>50</v>
      </c>
      <c r="H908" s="66"/>
      <c r="I908" s="66" t="s">
        <v>264</v>
      </c>
      <c r="J908" s="66"/>
      <c r="K908" s="66" t="s">
        <v>265</v>
      </c>
      <c r="L908" s="67">
        <v>2024</v>
      </c>
      <c r="M908" s="66" t="s">
        <v>266</v>
      </c>
      <c r="N908" s="66" t="s">
        <v>24</v>
      </c>
      <c r="O908" s="66" t="s">
        <v>54</v>
      </c>
      <c r="P908" s="66" t="s">
        <v>25</v>
      </c>
      <c r="Q908" s="68">
        <v>207579</v>
      </c>
      <c r="R908" s="68">
        <v>199777</v>
      </c>
      <c r="S908" s="69">
        <v>168569</v>
      </c>
      <c r="T908" s="69">
        <v>204</v>
      </c>
      <c r="U908" s="74" t="s">
        <v>65</v>
      </c>
      <c r="V908" s="75" t="s">
        <v>56</v>
      </c>
      <c r="W908" s="68">
        <v>153790824.49235636</v>
      </c>
      <c r="X908" s="68">
        <f t="shared" si="1050"/>
        <v>740.87853054671405</v>
      </c>
      <c r="Y908" s="68">
        <f t="shared" si="1054"/>
        <v>769.8124633584265</v>
      </c>
      <c r="Z908" s="68">
        <f t="shared" si="1055"/>
        <v>912.33159413863973</v>
      </c>
      <c r="AA908" s="68">
        <f t="shared" si="1056"/>
        <v>753876.59064880572</v>
      </c>
      <c r="AB908" s="73" t="s">
        <v>73</v>
      </c>
      <c r="AC908" s="55"/>
      <c r="AD908" s="93">
        <f t="shared" ref="AD908" si="1061">W908/AC900</f>
        <v>0.1100077428414566</v>
      </c>
    </row>
    <row r="909" spans="1:30" s="32" customFormat="1" ht="15.95">
      <c r="A909" s="65"/>
      <c r="B909" s="66" t="s">
        <v>48</v>
      </c>
      <c r="C909" s="66" t="s">
        <v>49</v>
      </c>
      <c r="D909" s="66"/>
      <c r="E909" s="66" t="s">
        <v>20</v>
      </c>
      <c r="F909" s="66" t="s">
        <v>21</v>
      </c>
      <c r="G909" s="66" t="s">
        <v>50</v>
      </c>
      <c r="H909" s="66"/>
      <c r="I909" s="66" t="s">
        <v>264</v>
      </c>
      <c r="J909" s="66"/>
      <c r="K909" s="66" t="s">
        <v>265</v>
      </c>
      <c r="L909" s="67">
        <v>2024</v>
      </c>
      <c r="M909" s="66" t="s">
        <v>266</v>
      </c>
      <c r="N909" s="66" t="s">
        <v>24</v>
      </c>
      <c r="O909" s="66" t="s">
        <v>54</v>
      </c>
      <c r="P909" s="66" t="s">
        <v>25</v>
      </c>
      <c r="Q909" s="68">
        <v>207579</v>
      </c>
      <c r="R909" s="68">
        <v>199777</v>
      </c>
      <c r="S909" s="69">
        <v>168569</v>
      </c>
      <c r="T909" s="69">
        <v>204</v>
      </c>
      <c r="U909" s="74" t="s">
        <v>66</v>
      </c>
      <c r="V909" s="75" t="s">
        <v>56</v>
      </c>
      <c r="W909" s="68">
        <v>96110841.740705013</v>
      </c>
      <c r="X909" s="68">
        <f t="shared" si="1050"/>
        <v>463.00850153775195</v>
      </c>
      <c r="Y909" s="68">
        <f t="shared" si="1054"/>
        <v>481.09062475012144</v>
      </c>
      <c r="Z909" s="68">
        <f t="shared" si="1055"/>
        <v>570.15727530391121</v>
      </c>
      <c r="AA909" s="68">
        <f t="shared" si="1056"/>
        <v>471131.57716031867</v>
      </c>
      <c r="AB909" s="73" t="s">
        <v>73</v>
      </c>
      <c r="AC909" s="55"/>
      <c r="AD909" s="93">
        <f t="shared" ref="AD909" si="1062">W909/AC900</f>
        <v>6.8748813834552933E-2</v>
      </c>
    </row>
    <row r="910" spans="1:30" s="32" customFormat="1" ht="15.95">
      <c r="A910" s="65"/>
      <c r="B910" s="66" t="s">
        <v>48</v>
      </c>
      <c r="C910" s="66" t="s">
        <v>49</v>
      </c>
      <c r="D910" s="66"/>
      <c r="E910" s="66" t="s">
        <v>20</v>
      </c>
      <c r="F910" s="66" t="s">
        <v>21</v>
      </c>
      <c r="G910" s="66" t="s">
        <v>50</v>
      </c>
      <c r="H910" s="66"/>
      <c r="I910" s="66" t="s">
        <v>264</v>
      </c>
      <c r="J910" s="66"/>
      <c r="K910" s="66" t="s">
        <v>265</v>
      </c>
      <c r="L910" s="67">
        <v>2024</v>
      </c>
      <c r="M910" s="66" t="s">
        <v>266</v>
      </c>
      <c r="N910" s="66" t="s">
        <v>24</v>
      </c>
      <c r="O910" s="66" t="s">
        <v>54</v>
      </c>
      <c r="P910" s="66" t="s">
        <v>25</v>
      </c>
      <c r="Q910" s="68">
        <v>207579</v>
      </c>
      <c r="R910" s="68">
        <v>199777</v>
      </c>
      <c r="S910" s="69">
        <v>168569</v>
      </c>
      <c r="T910" s="69">
        <v>204</v>
      </c>
      <c r="U910" s="74" t="s">
        <v>67</v>
      </c>
      <c r="V910" s="75" t="s">
        <v>56</v>
      </c>
      <c r="W910" s="68">
        <v>37691941.442424431</v>
      </c>
      <c r="X910" s="68">
        <f t="shared" si="1050"/>
        <v>181.57877936797283</v>
      </c>
      <c r="Y910" s="68">
        <f t="shared" si="1054"/>
        <v>188.67007434501684</v>
      </c>
      <c r="Z910" s="68">
        <f t="shared" si="1055"/>
        <v>223.59948414254359</v>
      </c>
      <c r="AA910" s="68">
        <f t="shared" si="1056"/>
        <v>184764.41883541388</v>
      </c>
      <c r="AB910" s="73" t="s">
        <v>73</v>
      </c>
      <c r="AC910" s="55"/>
      <c r="AD910" s="93">
        <f t="shared" ref="AD910" si="1063">W910/AC900</f>
        <v>2.6961331503880134E-2</v>
      </c>
    </row>
    <row r="911" spans="1:30" s="32" customFormat="1" ht="15.95">
      <c r="A911" s="65"/>
      <c r="B911" s="66" t="s">
        <v>48</v>
      </c>
      <c r="C911" s="66" t="s">
        <v>49</v>
      </c>
      <c r="D911" s="66"/>
      <c r="E911" s="66" t="s">
        <v>20</v>
      </c>
      <c r="F911" s="66" t="s">
        <v>21</v>
      </c>
      <c r="G911" s="66" t="s">
        <v>50</v>
      </c>
      <c r="H911" s="66"/>
      <c r="I911" s="66" t="s">
        <v>264</v>
      </c>
      <c r="J911" s="66"/>
      <c r="K911" s="66" t="s">
        <v>265</v>
      </c>
      <c r="L911" s="67">
        <v>2024</v>
      </c>
      <c r="M911" s="66" t="s">
        <v>266</v>
      </c>
      <c r="N911" s="66" t="s">
        <v>24</v>
      </c>
      <c r="O911" s="66" t="s">
        <v>54</v>
      </c>
      <c r="P911" s="66" t="s">
        <v>25</v>
      </c>
      <c r="Q911" s="68">
        <v>207579</v>
      </c>
      <c r="R911" s="68">
        <v>199777</v>
      </c>
      <c r="S911" s="69">
        <v>168569</v>
      </c>
      <c r="T911" s="69">
        <v>204</v>
      </c>
      <c r="U911" s="74" t="s">
        <v>68</v>
      </c>
      <c r="V911" s="75" t="s">
        <v>56</v>
      </c>
      <c r="W911" s="68">
        <v>74525530.797558531</v>
      </c>
      <c r="X911" s="68">
        <f t="shared" si="1050"/>
        <v>359.02249648354859</v>
      </c>
      <c r="Y911" s="68">
        <f t="shared" si="1054"/>
        <v>373.04359759911569</v>
      </c>
      <c r="Z911" s="68">
        <f t="shared" si="1055"/>
        <v>442.1069757639811</v>
      </c>
      <c r="AA911" s="68">
        <f t="shared" si="1056"/>
        <v>365321.22939979675</v>
      </c>
      <c r="AB911" s="73" t="s">
        <v>73</v>
      </c>
      <c r="AC911" s="55"/>
      <c r="AD911" s="93">
        <f t="shared" ref="AD911" si="1064">W911/AC900</f>
        <v>5.3308677251472474E-2</v>
      </c>
    </row>
    <row r="912" spans="1:30" s="32" customFormat="1" ht="15.95">
      <c r="A912" s="65"/>
      <c r="B912" s="66" t="s">
        <v>48</v>
      </c>
      <c r="C912" s="66" t="s">
        <v>49</v>
      </c>
      <c r="D912" s="66"/>
      <c r="E912" s="66" t="s">
        <v>20</v>
      </c>
      <c r="F912" s="66" t="s">
        <v>21</v>
      </c>
      <c r="G912" s="66" t="s">
        <v>50</v>
      </c>
      <c r="H912" s="66"/>
      <c r="I912" s="66" t="s">
        <v>264</v>
      </c>
      <c r="J912" s="66"/>
      <c r="K912" s="66" t="s">
        <v>265</v>
      </c>
      <c r="L912" s="67">
        <v>2024</v>
      </c>
      <c r="M912" s="66" t="s">
        <v>266</v>
      </c>
      <c r="N912" s="66" t="s">
        <v>24</v>
      </c>
      <c r="O912" s="66" t="s">
        <v>54</v>
      </c>
      <c r="P912" s="66" t="s">
        <v>25</v>
      </c>
      <c r="Q912" s="68">
        <v>207579</v>
      </c>
      <c r="R912" s="68">
        <v>199777</v>
      </c>
      <c r="S912" s="69">
        <v>168569</v>
      </c>
      <c r="T912" s="69">
        <v>204</v>
      </c>
      <c r="U912" s="74" t="s">
        <v>69</v>
      </c>
      <c r="V912" s="75" t="s">
        <v>56</v>
      </c>
      <c r="W912" s="68">
        <v>127090908.58825849</v>
      </c>
      <c r="X912" s="68">
        <f t="shared" si="1050"/>
        <v>612.25320763785589</v>
      </c>
      <c r="Y912" s="68">
        <f t="shared" si="1054"/>
        <v>636.16386565149389</v>
      </c>
      <c r="Z912" s="68">
        <f t="shared" si="1055"/>
        <v>753.93998059108435</v>
      </c>
      <c r="AA912" s="68">
        <f t="shared" si="1056"/>
        <v>622994.64994244359</v>
      </c>
      <c r="AB912" s="73" t="s">
        <v>73</v>
      </c>
      <c r="AC912" s="55"/>
      <c r="AD912" s="93">
        <f t="shared" ref="AD912" si="1065">W912/AC900</f>
        <v>9.0909090549541105E-2</v>
      </c>
    </row>
    <row r="913" spans="1:30" s="55" customFormat="1" ht="15" customHeight="1">
      <c r="A913" s="57"/>
      <c r="B913" s="58" t="s">
        <v>48</v>
      </c>
      <c r="C913" s="58" t="s">
        <v>49</v>
      </c>
      <c r="D913" s="58"/>
      <c r="E913" s="58" t="s">
        <v>20</v>
      </c>
      <c r="F913" s="58" t="s">
        <v>21</v>
      </c>
      <c r="G913" s="58" t="s">
        <v>163</v>
      </c>
      <c r="H913" s="58"/>
      <c r="I913" s="58" t="s">
        <v>267</v>
      </c>
      <c r="J913" s="58"/>
      <c r="K913" s="58" t="s">
        <v>268</v>
      </c>
      <c r="L913" s="59">
        <v>2025</v>
      </c>
      <c r="M913" s="58" t="s">
        <v>269</v>
      </c>
      <c r="N913" s="58" t="s">
        <v>208</v>
      </c>
      <c r="O913" s="58" t="s">
        <v>54</v>
      </c>
      <c r="P913" s="58" t="s">
        <v>25</v>
      </c>
      <c r="Q913" s="60">
        <v>334129</v>
      </c>
      <c r="R913" s="60">
        <v>314578</v>
      </c>
      <c r="S913" s="61">
        <v>236375</v>
      </c>
      <c r="T913" s="61">
        <v>470</v>
      </c>
      <c r="U913" s="62" t="s">
        <v>55</v>
      </c>
      <c r="V913" s="63" t="s">
        <v>56</v>
      </c>
      <c r="W913" s="60">
        <v>114106742.11216</v>
      </c>
      <c r="X913" s="60">
        <f>IF(Q913&gt;0,$W913/Q913,"")</f>
        <v>341.50505377312356</v>
      </c>
      <c r="Y913" s="60">
        <f t="shared" si="1054"/>
        <v>362.72956822206254</v>
      </c>
      <c r="Z913" s="60">
        <f t="shared" si="1055"/>
        <v>482.73608508581702</v>
      </c>
      <c r="AA913" s="60">
        <f t="shared" si="1056"/>
        <v>242780.30236629787</v>
      </c>
      <c r="AB913" s="64" t="s">
        <v>73</v>
      </c>
      <c r="AC913" s="92">
        <f t="shared" ref="AC913" si="1066">SUM(W913:W925)</f>
        <v>2717066387.8623152</v>
      </c>
      <c r="AD913" s="93">
        <f t="shared" ref="AD913" si="1067">W913/AC913</f>
        <v>4.1996302564375268E-2</v>
      </c>
    </row>
    <row r="914" spans="1:30" s="55" customFormat="1" ht="15.95">
      <c r="A914" s="57"/>
      <c r="B914" s="58" t="s">
        <v>48</v>
      </c>
      <c r="C914" s="58" t="s">
        <v>49</v>
      </c>
      <c r="D914" s="58"/>
      <c r="E914" s="58" t="s">
        <v>20</v>
      </c>
      <c r="F914" s="58" t="s">
        <v>21</v>
      </c>
      <c r="G914" s="58" t="s">
        <v>163</v>
      </c>
      <c r="H914" s="58"/>
      <c r="I914" s="58" t="s">
        <v>267</v>
      </c>
      <c r="J914" s="58"/>
      <c r="K914" s="58" t="s">
        <v>268</v>
      </c>
      <c r="L914" s="59">
        <v>2025</v>
      </c>
      <c r="M914" s="58" t="s">
        <v>269</v>
      </c>
      <c r="N914" s="58" t="s">
        <v>208</v>
      </c>
      <c r="O914" s="58" t="s">
        <v>54</v>
      </c>
      <c r="P914" s="58" t="s">
        <v>25</v>
      </c>
      <c r="Q914" s="60">
        <v>334129</v>
      </c>
      <c r="R914" s="60">
        <v>314578</v>
      </c>
      <c r="S914" s="61">
        <v>236375</v>
      </c>
      <c r="T914" s="61">
        <v>470</v>
      </c>
      <c r="U914" s="62" t="s">
        <v>58</v>
      </c>
      <c r="V914" s="63" t="s">
        <v>56</v>
      </c>
      <c r="W914" s="60">
        <v>301671818.00449598</v>
      </c>
      <c r="X914" s="60">
        <f t="shared" ref="X914:X939" si="1068">IF(Q914&gt;0,$W914/Q914,"")</f>
        <v>902.8603264143369</v>
      </c>
      <c r="Y914" s="60">
        <f t="shared" si="1054"/>
        <v>958.97303055043892</v>
      </c>
      <c r="Z914" s="60">
        <f t="shared" si="1055"/>
        <v>1276.2424875917334</v>
      </c>
      <c r="AA914" s="60">
        <f t="shared" si="1056"/>
        <v>641854.93192445952</v>
      </c>
      <c r="AB914" s="64" t="s">
        <v>73</v>
      </c>
      <c r="AD914" s="93">
        <f t="shared" ref="AD914" si="1069">W914/AC913</f>
        <v>0.11102850462253148</v>
      </c>
    </row>
    <row r="915" spans="1:30" s="55" customFormat="1" ht="15.95">
      <c r="A915" s="57"/>
      <c r="B915" s="58" t="s">
        <v>48</v>
      </c>
      <c r="C915" s="58" t="s">
        <v>49</v>
      </c>
      <c r="D915" s="58"/>
      <c r="E915" s="58" t="s">
        <v>20</v>
      </c>
      <c r="F915" s="58" t="s">
        <v>21</v>
      </c>
      <c r="G915" s="58" t="s">
        <v>163</v>
      </c>
      <c r="H915" s="58"/>
      <c r="I915" s="58" t="s">
        <v>267</v>
      </c>
      <c r="J915" s="58"/>
      <c r="K915" s="58" t="s">
        <v>268</v>
      </c>
      <c r="L915" s="59">
        <v>2025</v>
      </c>
      <c r="M915" s="58" t="s">
        <v>269</v>
      </c>
      <c r="N915" s="58" t="s">
        <v>208</v>
      </c>
      <c r="O915" s="58" t="s">
        <v>54</v>
      </c>
      <c r="P915" s="58" t="s">
        <v>25</v>
      </c>
      <c r="Q915" s="60">
        <v>334129</v>
      </c>
      <c r="R915" s="60">
        <v>314578</v>
      </c>
      <c r="S915" s="61">
        <v>236375</v>
      </c>
      <c r="T915" s="61">
        <v>470</v>
      </c>
      <c r="U915" s="62" t="s">
        <v>59</v>
      </c>
      <c r="V915" s="63" t="s">
        <v>56</v>
      </c>
      <c r="W915" s="60">
        <v>562240253.25699997</v>
      </c>
      <c r="X915" s="60">
        <f t="shared" si="1068"/>
        <v>1682.7041449769399</v>
      </c>
      <c r="Y915" s="60">
        <f t="shared" si="1054"/>
        <v>1787.28408616305</v>
      </c>
      <c r="Z915" s="60">
        <f t="shared" si="1055"/>
        <v>2378.5944082792171</v>
      </c>
      <c r="AA915" s="60">
        <f t="shared" si="1056"/>
        <v>1196255.857993617</v>
      </c>
      <c r="AB915" s="64" t="s">
        <v>73</v>
      </c>
      <c r="AD915" s="93">
        <f t="shared" ref="AD915" si="1070">W915/AC913</f>
        <v>0.20692915556595926</v>
      </c>
    </row>
    <row r="916" spans="1:30" s="55" customFormat="1" ht="15.95">
      <c r="A916" s="57"/>
      <c r="B916" s="58" t="s">
        <v>48</v>
      </c>
      <c r="C916" s="58" t="s">
        <v>49</v>
      </c>
      <c r="D916" s="58"/>
      <c r="E916" s="58" t="s">
        <v>20</v>
      </c>
      <c r="F916" s="58" t="s">
        <v>21</v>
      </c>
      <c r="G916" s="58" t="s">
        <v>163</v>
      </c>
      <c r="H916" s="58"/>
      <c r="I916" s="58" t="s">
        <v>267</v>
      </c>
      <c r="J916" s="58"/>
      <c r="K916" s="58" t="s">
        <v>268</v>
      </c>
      <c r="L916" s="59">
        <v>2025</v>
      </c>
      <c r="M916" s="58" t="s">
        <v>269</v>
      </c>
      <c r="N916" s="58" t="s">
        <v>208</v>
      </c>
      <c r="O916" s="58" t="s">
        <v>54</v>
      </c>
      <c r="P916" s="58" t="s">
        <v>25</v>
      </c>
      <c r="Q916" s="60">
        <v>334129</v>
      </c>
      <c r="R916" s="60">
        <v>314578</v>
      </c>
      <c r="S916" s="61">
        <v>236375</v>
      </c>
      <c r="T916" s="61">
        <v>470</v>
      </c>
      <c r="U916" s="62" t="s">
        <v>60</v>
      </c>
      <c r="V916" s="63" t="s">
        <v>56</v>
      </c>
      <c r="W916" s="60">
        <v>101366250.96000001</v>
      </c>
      <c r="X916" s="60">
        <f t="shared" si="1068"/>
        <v>303.37459771525374</v>
      </c>
      <c r="Y916" s="60">
        <f t="shared" si="1054"/>
        <v>322.2293070716961</v>
      </c>
      <c r="Z916" s="60">
        <f t="shared" si="1055"/>
        <v>428.8365984558435</v>
      </c>
      <c r="AA916" s="60">
        <f t="shared" si="1056"/>
        <v>215672.87438297874</v>
      </c>
      <c r="AB916" s="64" t="s">
        <v>73</v>
      </c>
      <c r="AD916" s="93">
        <f t="shared" ref="AD916" si="1071">W916/AC913</f>
        <v>3.7307241152746043E-2</v>
      </c>
    </row>
    <row r="917" spans="1:30" s="55" customFormat="1" ht="15.95">
      <c r="A917" s="57"/>
      <c r="B917" s="58" t="s">
        <v>48</v>
      </c>
      <c r="C917" s="58" t="s">
        <v>49</v>
      </c>
      <c r="D917" s="58"/>
      <c r="E917" s="58" t="s">
        <v>20</v>
      </c>
      <c r="F917" s="58" t="s">
        <v>21</v>
      </c>
      <c r="G917" s="58" t="s">
        <v>163</v>
      </c>
      <c r="H917" s="58"/>
      <c r="I917" s="58" t="s">
        <v>267</v>
      </c>
      <c r="J917" s="58"/>
      <c r="K917" s="58" t="s">
        <v>268</v>
      </c>
      <c r="L917" s="59">
        <v>2025</v>
      </c>
      <c r="M917" s="58" t="s">
        <v>269</v>
      </c>
      <c r="N917" s="58" t="s">
        <v>208</v>
      </c>
      <c r="O917" s="58" t="s">
        <v>54</v>
      </c>
      <c r="P917" s="58" t="s">
        <v>25</v>
      </c>
      <c r="Q917" s="60">
        <v>334129</v>
      </c>
      <c r="R917" s="60">
        <v>314578</v>
      </c>
      <c r="S917" s="61">
        <v>236375</v>
      </c>
      <c r="T917" s="61">
        <v>470</v>
      </c>
      <c r="U917" s="62" t="s">
        <v>61</v>
      </c>
      <c r="V917" s="63" t="s">
        <v>56</v>
      </c>
      <c r="W917" s="60">
        <v>292426067.23099995</v>
      </c>
      <c r="X917" s="60">
        <f t="shared" si="1068"/>
        <v>875.18912525102564</v>
      </c>
      <c r="Y917" s="60">
        <f t="shared" si="1054"/>
        <v>929.58206623158628</v>
      </c>
      <c r="Z917" s="60">
        <f t="shared" si="1055"/>
        <v>1237.1277302210469</v>
      </c>
      <c r="AA917" s="60">
        <f t="shared" si="1056"/>
        <v>622183.12176808494</v>
      </c>
      <c r="AB917" s="64" t="s">
        <v>73</v>
      </c>
      <c r="AD917" s="93">
        <f t="shared" ref="AD917" si="1072">W917/AC913</f>
        <v>0.10762566146242371</v>
      </c>
    </row>
    <row r="918" spans="1:30" s="55" customFormat="1" ht="15.95">
      <c r="A918" s="57"/>
      <c r="B918" s="58" t="s">
        <v>48</v>
      </c>
      <c r="C918" s="58" t="s">
        <v>49</v>
      </c>
      <c r="D918" s="58"/>
      <c r="E918" s="58" t="s">
        <v>20</v>
      </c>
      <c r="F918" s="58" t="s">
        <v>21</v>
      </c>
      <c r="G918" s="58" t="s">
        <v>163</v>
      </c>
      <c r="H918" s="58"/>
      <c r="I918" s="58" t="s">
        <v>267</v>
      </c>
      <c r="J918" s="58"/>
      <c r="K918" s="58" t="s">
        <v>268</v>
      </c>
      <c r="L918" s="59">
        <v>2025</v>
      </c>
      <c r="M918" s="58" t="s">
        <v>269</v>
      </c>
      <c r="N918" s="58" t="s">
        <v>208</v>
      </c>
      <c r="O918" s="58" t="s">
        <v>54</v>
      </c>
      <c r="P918" s="58" t="s">
        <v>25</v>
      </c>
      <c r="Q918" s="60">
        <v>334129</v>
      </c>
      <c r="R918" s="60">
        <v>314578</v>
      </c>
      <c r="S918" s="61">
        <v>236375</v>
      </c>
      <c r="T918" s="61">
        <v>470</v>
      </c>
      <c r="U918" s="62" t="s">
        <v>62</v>
      </c>
      <c r="V918" s="63" t="s">
        <v>56</v>
      </c>
      <c r="W918" s="60">
        <v>195949870.66399997</v>
      </c>
      <c r="X918" s="60">
        <f t="shared" si="1068"/>
        <v>586.44975642341717</v>
      </c>
      <c r="Y918" s="60">
        <f t="shared" si="1054"/>
        <v>622.89756646682213</v>
      </c>
      <c r="Z918" s="60">
        <f t="shared" si="1055"/>
        <v>828.97882882707552</v>
      </c>
      <c r="AA918" s="60">
        <f t="shared" si="1056"/>
        <v>416914.6184340425</v>
      </c>
      <c r="AB918" s="64" t="s">
        <v>73</v>
      </c>
      <c r="AD918" s="93">
        <f t="shared" ref="AD918" si="1073">W918/AC913</f>
        <v>7.2118175521712555E-2</v>
      </c>
    </row>
    <row r="919" spans="1:30" s="55" customFormat="1" ht="15.95">
      <c r="A919" s="57"/>
      <c r="B919" s="58" t="s">
        <v>48</v>
      </c>
      <c r="C919" s="58" t="s">
        <v>49</v>
      </c>
      <c r="D919" s="58"/>
      <c r="E919" s="58" t="s">
        <v>20</v>
      </c>
      <c r="F919" s="58" t="s">
        <v>21</v>
      </c>
      <c r="G919" s="58" t="s">
        <v>163</v>
      </c>
      <c r="H919" s="58"/>
      <c r="I919" s="58" t="s">
        <v>267</v>
      </c>
      <c r="J919" s="58"/>
      <c r="K919" s="58" t="s">
        <v>268</v>
      </c>
      <c r="L919" s="59">
        <v>2025</v>
      </c>
      <c r="M919" s="58" t="s">
        <v>269</v>
      </c>
      <c r="N919" s="58" t="s">
        <v>208</v>
      </c>
      <c r="O919" s="58" t="s">
        <v>54</v>
      </c>
      <c r="P919" s="58" t="s">
        <v>25</v>
      </c>
      <c r="Q919" s="60">
        <v>334129</v>
      </c>
      <c r="R919" s="60">
        <v>314578</v>
      </c>
      <c r="S919" s="61">
        <v>236375</v>
      </c>
      <c r="T919" s="61">
        <v>470</v>
      </c>
      <c r="U919" s="62" t="s">
        <v>63</v>
      </c>
      <c r="V919" s="63" t="s">
        <v>56</v>
      </c>
      <c r="W919" s="60">
        <v>62336831.670000002</v>
      </c>
      <c r="X919" s="60">
        <f t="shared" si="1068"/>
        <v>186.56516396361886</v>
      </c>
      <c r="Y919" s="60">
        <f t="shared" si="1054"/>
        <v>198.16017544138498</v>
      </c>
      <c r="Z919" s="60">
        <f t="shared" si="1055"/>
        <v>263.72007052353251</v>
      </c>
      <c r="AA919" s="60">
        <f t="shared" si="1056"/>
        <v>132631.55674468086</v>
      </c>
      <c r="AB919" s="64" t="s">
        <v>73</v>
      </c>
      <c r="AD919" s="93">
        <f t="shared" ref="AD919" si="1074">W919/AC913</f>
        <v>2.2942697296051074E-2</v>
      </c>
    </row>
    <row r="920" spans="1:30" s="55" customFormat="1" ht="15.95">
      <c r="A920" s="57"/>
      <c r="B920" s="58" t="s">
        <v>48</v>
      </c>
      <c r="C920" s="58" t="s">
        <v>49</v>
      </c>
      <c r="D920" s="58"/>
      <c r="E920" s="58" t="s">
        <v>20</v>
      </c>
      <c r="F920" s="58" t="s">
        <v>21</v>
      </c>
      <c r="G920" s="58" t="s">
        <v>163</v>
      </c>
      <c r="H920" s="58"/>
      <c r="I920" s="58" t="s">
        <v>267</v>
      </c>
      <c r="J920" s="58"/>
      <c r="K920" s="58" t="s">
        <v>268</v>
      </c>
      <c r="L920" s="59">
        <v>2025</v>
      </c>
      <c r="M920" s="58" t="s">
        <v>269</v>
      </c>
      <c r="N920" s="58" t="s">
        <v>208</v>
      </c>
      <c r="O920" s="58" t="s">
        <v>54</v>
      </c>
      <c r="P920" s="58" t="s">
        <v>25</v>
      </c>
      <c r="Q920" s="60">
        <v>334129</v>
      </c>
      <c r="R920" s="60">
        <v>314578</v>
      </c>
      <c r="S920" s="61">
        <v>236375</v>
      </c>
      <c r="T920" s="61">
        <v>470</v>
      </c>
      <c r="U920" s="62" t="s">
        <v>64</v>
      </c>
      <c r="V920" s="63" t="s">
        <v>56</v>
      </c>
      <c r="W920" s="60">
        <v>1839149.46</v>
      </c>
      <c r="X920" s="60">
        <f t="shared" si="1068"/>
        <v>5.5043095930015049</v>
      </c>
      <c r="Y920" s="60">
        <f t="shared" si="1054"/>
        <v>5.8464020370146672</v>
      </c>
      <c r="Z920" s="60">
        <f t="shared" si="1055"/>
        <v>7.7806428767847695</v>
      </c>
      <c r="AA920" s="60">
        <f t="shared" si="1056"/>
        <v>3913.0839574468087</v>
      </c>
      <c r="AB920" s="64" t="s">
        <v>73</v>
      </c>
      <c r="AD920" s="93">
        <f t="shared" ref="AD920" si="1075">W920/AC913</f>
        <v>6.7688793627415666E-4</v>
      </c>
    </row>
    <row r="921" spans="1:30" s="55" customFormat="1" ht="15.95">
      <c r="A921" s="57"/>
      <c r="B921" s="58" t="s">
        <v>48</v>
      </c>
      <c r="C921" s="58" t="s">
        <v>49</v>
      </c>
      <c r="D921" s="58"/>
      <c r="E921" s="58" t="s">
        <v>20</v>
      </c>
      <c r="F921" s="58" t="s">
        <v>21</v>
      </c>
      <c r="G921" s="58" t="s">
        <v>163</v>
      </c>
      <c r="H921" s="58"/>
      <c r="I921" s="58" t="s">
        <v>267</v>
      </c>
      <c r="J921" s="58"/>
      <c r="K921" s="58" t="s">
        <v>268</v>
      </c>
      <c r="L921" s="59">
        <v>2025</v>
      </c>
      <c r="M921" s="58" t="s">
        <v>269</v>
      </c>
      <c r="N921" s="58" t="s">
        <v>208</v>
      </c>
      <c r="O921" s="58" t="s">
        <v>54</v>
      </c>
      <c r="P921" s="58" t="s">
        <v>25</v>
      </c>
      <c r="Q921" s="60">
        <v>334129</v>
      </c>
      <c r="R921" s="60">
        <v>314578</v>
      </c>
      <c r="S921" s="61">
        <v>236375</v>
      </c>
      <c r="T921" s="61">
        <v>470</v>
      </c>
      <c r="U921" s="62" t="s">
        <v>65</v>
      </c>
      <c r="V921" s="63" t="s">
        <v>56</v>
      </c>
      <c r="W921" s="60">
        <v>351978233.31</v>
      </c>
      <c r="X921" s="60">
        <f t="shared" si="1068"/>
        <v>1053.4201859461466</v>
      </c>
      <c r="Y921" s="60">
        <f t="shared" si="1054"/>
        <v>1118.8901744877264</v>
      </c>
      <c r="Z921" s="60">
        <f t="shared" si="1055"/>
        <v>1489.0670896245374</v>
      </c>
      <c r="AA921" s="60">
        <f t="shared" si="1056"/>
        <v>748889.85810638301</v>
      </c>
      <c r="AB921" s="64" t="s">
        <v>73</v>
      </c>
      <c r="AD921" s="93">
        <f t="shared" ref="AD921" si="1076">W921/AC913</f>
        <v>0.12954347927689877</v>
      </c>
    </row>
    <row r="922" spans="1:30" s="55" customFormat="1" ht="15.95">
      <c r="A922" s="57"/>
      <c r="B922" s="58" t="s">
        <v>48</v>
      </c>
      <c r="C922" s="58" t="s">
        <v>49</v>
      </c>
      <c r="D922" s="58"/>
      <c r="E922" s="58" t="s">
        <v>20</v>
      </c>
      <c r="F922" s="58" t="s">
        <v>21</v>
      </c>
      <c r="G922" s="58" t="s">
        <v>163</v>
      </c>
      <c r="H922" s="58"/>
      <c r="I922" s="58" t="s">
        <v>267</v>
      </c>
      <c r="J922" s="58"/>
      <c r="K922" s="58" t="s">
        <v>268</v>
      </c>
      <c r="L922" s="59">
        <v>2025</v>
      </c>
      <c r="M922" s="58" t="s">
        <v>269</v>
      </c>
      <c r="N922" s="58" t="s">
        <v>208</v>
      </c>
      <c r="O922" s="58" t="s">
        <v>54</v>
      </c>
      <c r="P922" s="58" t="s">
        <v>25</v>
      </c>
      <c r="Q922" s="60">
        <v>334129</v>
      </c>
      <c r="R922" s="60">
        <v>314578</v>
      </c>
      <c r="S922" s="61">
        <v>236375</v>
      </c>
      <c r="T922" s="61">
        <v>470</v>
      </c>
      <c r="U922" s="62" t="s">
        <v>66</v>
      </c>
      <c r="V922" s="63" t="s">
        <v>56</v>
      </c>
      <c r="W922" s="60">
        <v>251420238.532635</v>
      </c>
      <c r="X922" s="60">
        <f t="shared" si="1068"/>
        <v>752.46458263914542</v>
      </c>
      <c r="Y922" s="60">
        <f t="shared" si="1054"/>
        <v>799.23020215220072</v>
      </c>
      <c r="Z922" s="60">
        <f t="shared" si="1055"/>
        <v>1063.649872163448</v>
      </c>
      <c r="AA922" s="60">
        <f t="shared" si="1056"/>
        <v>534936.6777290107</v>
      </c>
      <c r="AB922" s="64" t="s">
        <v>73</v>
      </c>
      <c r="AD922" s="93">
        <f t="shared" ref="AD922" si="1077">W922/AC913</f>
        <v>9.2533711968091778E-2</v>
      </c>
    </row>
    <row r="923" spans="1:30" s="55" customFormat="1" ht="15.95">
      <c r="A923" s="57"/>
      <c r="B923" s="58" t="s">
        <v>48</v>
      </c>
      <c r="C923" s="58" t="s">
        <v>49</v>
      </c>
      <c r="D923" s="58"/>
      <c r="E923" s="58" t="s">
        <v>20</v>
      </c>
      <c r="F923" s="58" t="s">
        <v>21</v>
      </c>
      <c r="G923" s="58" t="s">
        <v>163</v>
      </c>
      <c r="H923" s="58"/>
      <c r="I923" s="58" t="s">
        <v>267</v>
      </c>
      <c r="J923" s="58"/>
      <c r="K923" s="58" t="s">
        <v>268</v>
      </c>
      <c r="L923" s="59">
        <v>2025</v>
      </c>
      <c r="M923" s="58" t="s">
        <v>269</v>
      </c>
      <c r="N923" s="58" t="s">
        <v>208</v>
      </c>
      <c r="O923" s="58" t="s">
        <v>54</v>
      </c>
      <c r="P923" s="58" t="s">
        <v>25</v>
      </c>
      <c r="Q923" s="60">
        <v>334129</v>
      </c>
      <c r="R923" s="60">
        <v>314578</v>
      </c>
      <c r="S923" s="61">
        <v>236375</v>
      </c>
      <c r="T923" s="61">
        <v>470</v>
      </c>
      <c r="U923" s="62" t="s">
        <v>67</v>
      </c>
      <c r="V923" s="63" t="s">
        <v>56</v>
      </c>
      <c r="W923" s="60">
        <v>48500712.123999998</v>
      </c>
      <c r="X923" s="60">
        <f t="shared" si="1068"/>
        <v>145.15564983584184</v>
      </c>
      <c r="Y923" s="60">
        <f t="shared" si="1054"/>
        <v>154.17706299868394</v>
      </c>
      <c r="Z923" s="60">
        <f t="shared" si="1055"/>
        <v>205.1854558392385</v>
      </c>
      <c r="AA923" s="60">
        <f t="shared" si="1056"/>
        <v>103193.00451914893</v>
      </c>
      <c r="AB923" s="64" t="s">
        <v>73</v>
      </c>
      <c r="AD923" s="93">
        <f t="shared" ref="AD923" si="1078">W923/AC913</f>
        <v>1.7850396420441724E-2</v>
      </c>
    </row>
    <row r="924" spans="1:30" s="55" customFormat="1" ht="15.95">
      <c r="A924" s="57"/>
      <c r="B924" s="58" t="s">
        <v>48</v>
      </c>
      <c r="C924" s="58" t="s">
        <v>49</v>
      </c>
      <c r="D924" s="58"/>
      <c r="E924" s="58" t="s">
        <v>20</v>
      </c>
      <c r="F924" s="58" t="s">
        <v>21</v>
      </c>
      <c r="G924" s="58" t="s">
        <v>163</v>
      </c>
      <c r="H924" s="58"/>
      <c r="I924" s="58" t="s">
        <v>267</v>
      </c>
      <c r="J924" s="58"/>
      <c r="K924" s="58" t="s">
        <v>268</v>
      </c>
      <c r="L924" s="59">
        <v>2025</v>
      </c>
      <c r="M924" s="58" t="s">
        <v>269</v>
      </c>
      <c r="N924" s="58" t="s">
        <v>208</v>
      </c>
      <c r="O924" s="58" t="s">
        <v>54</v>
      </c>
      <c r="P924" s="58" t="s">
        <v>25</v>
      </c>
      <c r="Q924" s="60">
        <v>334129</v>
      </c>
      <c r="R924" s="60">
        <v>314578</v>
      </c>
      <c r="S924" s="61">
        <v>236375</v>
      </c>
      <c r="T924" s="61">
        <v>470</v>
      </c>
      <c r="U924" s="62" t="s">
        <v>68</v>
      </c>
      <c r="V924" s="63" t="s">
        <v>56</v>
      </c>
      <c r="W924" s="60">
        <v>180924273.39606997</v>
      </c>
      <c r="X924" s="60">
        <f t="shared" si="1068"/>
        <v>541.48030669612626</v>
      </c>
      <c r="Y924" s="60">
        <f t="shared" si="1054"/>
        <v>575.13326868398292</v>
      </c>
      <c r="Z924" s="60">
        <f t="shared" si="1055"/>
        <v>765.41205032710729</v>
      </c>
      <c r="AA924" s="60">
        <f t="shared" si="1056"/>
        <v>384945.26254482975</v>
      </c>
      <c r="AB924" s="64" t="s">
        <v>73</v>
      </c>
      <c r="AD924" s="93">
        <f t="shared" ref="AD924" si="1079">W924/AC913</f>
        <v>6.6588094499381856E-2</v>
      </c>
    </row>
    <row r="925" spans="1:30" s="55" customFormat="1" ht="15.95">
      <c r="A925" s="57"/>
      <c r="B925" s="58" t="s">
        <v>48</v>
      </c>
      <c r="C925" s="58" t="s">
        <v>49</v>
      </c>
      <c r="D925" s="58"/>
      <c r="E925" s="58" t="s">
        <v>20</v>
      </c>
      <c r="F925" s="58" t="s">
        <v>21</v>
      </c>
      <c r="G925" s="58" t="s">
        <v>163</v>
      </c>
      <c r="H925" s="58"/>
      <c r="I925" s="58" t="s">
        <v>267</v>
      </c>
      <c r="J925" s="58"/>
      <c r="K925" s="58" t="s">
        <v>268</v>
      </c>
      <c r="L925" s="59">
        <v>2025</v>
      </c>
      <c r="M925" s="58" t="s">
        <v>269</v>
      </c>
      <c r="N925" s="58" t="s">
        <v>208</v>
      </c>
      <c r="O925" s="58" t="s">
        <v>54</v>
      </c>
      <c r="P925" s="58" t="s">
        <v>25</v>
      </c>
      <c r="Q925" s="60">
        <v>334129</v>
      </c>
      <c r="R925" s="60">
        <v>314578</v>
      </c>
      <c r="S925" s="61">
        <v>236375</v>
      </c>
      <c r="T925" s="61">
        <v>470</v>
      </c>
      <c r="U925" s="62" t="s">
        <v>69</v>
      </c>
      <c r="V925" s="63" t="s">
        <v>56</v>
      </c>
      <c r="W925" s="60">
        <v>252305947.14095411</v>
      </c>
      <c r="X925" s="60">
        <f t="shared" si="1068"/>
        <v>755.11538100839527</v>
      </c>
      <c r="Y925" s="60">
        <f t="shared" si="1054"/>
        <v>802.04574744881745</v>
      </c>
      <c r="Z925" s="60">
        <f t="shared" si="1055"/>
        <v>1067.3969207443854</v>
      </c>
      <c r="AA925" s="60">
        <f t="shared" si="1056"/>
        <v>536821.16412968957</v>
      </c>
      <c r="AB925" s="64" t="s">
        <v>73</v>
      </c>
      <c r="AD925" s="93">
        <f t="shared" ref="AD925" si="1080">W925/AC913</f>
        <v>9.2859691713112272E-2</v>
      </c>
    </row>
    <row r="926" spans="1:30" s="32" customFormat="1" ht="15" customHeight="1">
      <c r="A926" s="65"/>
      <c r="B926" s="66" t="s">
        <v>48</v>
      </c>
      <c r="C926" s="66" t="s">
        <v>225</v>
      </c>
      <c r="D926" s="66" t="s">
        <v>270</v>
      </c>
      <c r="E926" s="66" t="s">
        <v>20</v>
      </c>
      <c r="F926" s="66" t="s">
        <v>21</v>
      </c>
      <c r="G926" s="66" t="s">
        <v>50</v>
      </c>
      <c r="H926" s="66"/>
      <c r="I926" s="66" t="s">
        <v>271</v>
      </c>
      <c r="J926" s="66"/>
      <c r="K926" s="66" t="s">
        <v>272</v>
      </c>
      <c r="L926" s="67">
        <v>2014</v>
      </c>
      <c r="M926" s="66" t="s">
        <v>273</v>
      </c>
      <c r="N926" s="66" t="s">
        <v>24</v>
      </c>
      <c r="O926" s="66" t="s">
        <v>54</v>
      </c>
      <c r="P926" s="66" t="s">
        <v>25</v>
      </c>
      <c r="Q926" s="68">
        <v>202831</v>
      </c>
      <c r="R926" s="68">
        <v>182731</v>
      </c>
      <c r="S926" s="69">
        <v>105415</v>
      </c>
      <c r="T926" s="69"/>
      <c r="U926" s="74" t="s">
        <v>55</v>
      </c>
      <c r="V926" s="75" t="s">
        <v>56</v>
      </c>
      <c r="W926" s="68">
        <v>144983037.06999999</v>
      </c>
      <c r="X926" s="68">
        <f t="shared" ref="X926:X938" si="1081">IF(Q926&gt;0,$W926/Q926,"")</f>
        <v>714.79723055154284</v>
      </c>
      <c r="Y926" s="68">
        <f t="shared" si="1054"/>
        <v>793.42332209641495</v>
      </c>
      <c r="Z926" s="68">
        <f t="shared" si="1055"/>
        <v>1375.3549027178294</v>
      </c>
      <c r="AA926" s="68" t="str">
        <f t="shared" si="1056"/>
        <v/>
      </c>
      <c r="AB926" s="73" t="s">
        <v>73</v>
      </c>
      <c r="AC926" s="92">
        <f t="shared" ref="AC926" si="1082">SUM(W926:W938)</f>
        <v>1265784421.6600001</v>
      </c>
      <c r="AD926" s="93">
        <f t="shared" ref="AD926" si="1083">W926/AC926</f>
        <v>0.11454007063846106</v>
      </c>
    </row>
    <row r="927" spans="1:30" s="32" customFormat="1" ht="15.95">
      <c r="A927" s="65"/>
      <c r="B927" s="66" t="s">
        <v>48</v>
      </c>
      <c r="C927" s="66" t="s">
        <v>225</v>
      </c>
      <c r="D927" s="66" t="s">
        <v>270</v>
      </c>
      <c r="E927" s="66" t="s">
        <v>20</v>
      </c>
      <c r="F927" s="66" t="s">
        <v>21</v>
      </c>
      <c r="G927" s="66" t="s">
        <v>50</v>
      </c>
      <c r="H927" s="66"/>
      <c r="I927" s="66" t="s">
        <v>271</v>
      </c>
      <c r="J927" s="66"/>
      <c r="K927" s="66" t="s">
        <v>272</v>
      </c>
      <c r="L927" s="67">
        <v>2014</v>
      </c>
      <c r="M927" s="66" t="s">
        <v>273</v>
      </c>
      <c r="N927" s="66" t="s">
        <v>24</v>
      </c>
      <c r="O927" s="66" t="s">
        <v>54</v>
      </c>
      <c r="P927" s="66" t="s">
        <v>25</v>
      </c>
      <c r="Q927" s="68">
        <v>202831</v>
      </c>
      <c r="R927" s="68">
        <v>182731</v>
      </c>
      <c r="S927" s="69">
        <v>105415</v>
      </c>
      <c r="T927" s="69"/>
      <c r="U927" s="74" t="s">
        <v>58</v>
      </c>
      <c r="V927" s="75" t="s">
        <v>56</v>
      </c>
      <c r="W927" s="68">
        <v>168186200.75000003</v>
      </c>
      <c r="X927" s="68">
        <f t="shared" si="1081"/>
        <v>829.19376599237808</v>
      </c>
      <c r="Y927" s="68">
        <f t="shared" si="1054"/>
        <v>920.40321976019413</v>
      </c>
      <c r="Z927" s="68">
        <f t="shared" si="1055"/>
        <v>1595.4674453351045</v>
      </c>
      <c r="AA927" s="68" t="str">
        <f t="shared" si="1056"/>
        <v/>
      </c>
      <c r="AB927" s="73" t="s">
        <v>73</v>
      </c>
      <c r="AC927" s="55"/>
      <c r="AD927" s="93">
        <f t="shared" ref="AD927" si="1084">W927/AC926</f>
        <v>0.13287112550289878</v>
      </c>
    </row>
    <row r="928" spans="1:30" s="32" customFormat="1" ht="15.95">
      <c r="A928" s="65"/>
      <c r="B928" s="66" t="s">
        <v>48</v>
      </c>
      <c r="C928" s="66" t="s">
        <v>225</v>
      </c>
      <c r="D928" s="66" t="s">
        <v>270</v>
      </c>
      <c r="E928" s="66" t="s">
        <v>20</v>
      </c>
      <c r="F928" s="66" t="s">
        <v>21</v>
      </c>
      <c r="G928" s="66" t="s">
        <v>50</v>
      </c>
      <c r="H928" s="66"/>
      <c r="I928" s="66" t="s">
        <v>271</v>
      </c>
      <c r="J928" s="66"/>
      <c r="K928" s="66" t="s">
        <v>272</v>
      </c>
      <c r="L928" s="67">
        <v>2014</v>
      </c>
      <c r="M928" s="66" t="s">
        <v>273</v>
      </c>
      <c r="N928" s="66" t="s">
        <v>24</v>
      </c>
      <c r="O928" s="66" t="s">
        <v>54</v>
      </c>
      <c r="P928" s="66" t="s">
        <v>25</v>
      </c>
      <c r="Q928" s="68">
        <v>202831</v>
      </c>
      <c r="R928" s="68">
        <v>182731</v>
      </c>
      <c r="S928" s="69">
        <v>105415</v>
      </c>
      <c r="T928" s="69"/>
      <c r="U928" s="74" t="s">
        <v>59</v>
      </c>
      <c r="V928" s="75" t="s">
        <v>56</v>
      </c>
      <c r="W928" s="68">
        <v>50316265.600000001</v>
      </c>
      <c r="X928" s="68">
        <f t="shared" si="1081"/>
        <v>248.06989858552194</v>
      </c>
      <c r="Y928" s="68">
        <f t="shared" si="1054"/>
        <v>275.35703082673439</v>
      </c>
      <c r="Z928" s="68">
        <f t="shared" si="1055"/>
        <v>477.31599487738936</v>
      </c>
      <c r="AA928" s="68" t="str">
        <f t="shared" si="1056"/>
        <v/>
      </c>
      <c r="AB928" s="73" t="s">
        <v>73</v>
      </c>
      <c r="AC928" s="55"/>
      <c r="AD928" s="93">
        <f t="shared" ref="AD928" si="1085">W928/AC926</f>
        <v>3.9751054554782124E-2</v>
      </c>
    </row>
    <row r="929" spans="1:30" s="32" customFormat="1" ht="15.95">
      <c r="A929" s="65"/>
      <c r="B929" s="66" t="s">
        <v>48</v>
      </c>
      <c r="C929" s="66" t="s">
        <v>225</v>
      </c>
      <c r="D929" s="66" t="s">
        <v>270</v>
      </c>
      <c r="E929" s="66" t="s">
        <v>20</v>
      </c>
      <c r="F929" s="66" t="s">
        <v>21</v>
      </c>
      <c r="G929" s="66" t="s">
        <v>50</v>
      </c>
      <c r="H929" s="66"/>
      <c r="I929" s="66" t="s">
        <v>271</v>
      </c>
      <c r="J929" s="66"/>
      <c r="K929" s="66" t="s">
        <v>272</v>
      </c>
      <c r="L929" s="67">
        <v>2014</v>
      </c>
      <c r="M929" s="66" t="s">
        <v>273</v>
      </c>
      <c r="N929" s="66" t="s">
        <v>24</v>
      </c>
      <c r="O929" s="66" t="s">
        <v>54</v>
      </c>
      <c r="P929" s="66" t="s">
        <v>25</v>
      </c>
      <c r="Q929" s="68">
        <v>202831</v>
      </c>
      <c r="R929" s="68">
        <v>182731</v>
      </c>
      <c r="S929" s="69">
        <v>105415</v>
      </c>
      <c r="T929" s="69"/>
      <c r="U929" s="74" t="s">
        <v>60</v>
      </c>
      <c r="V929" s="75" t="s">
        <v>56</v>
      </c>
      <c r="W929" s="68">
        <v>29000805.030000001</v>
      </c>
      <c r="X929" s="68">
        <f t="shared" si="1081"/>
        <v>142.9801412505978</v>
      </c>
      <c r="Y929" s="68">
        <f t="shared" si="1054"/>
        <v>158.70763597856958</v>
      </c>
      <c r="Z929" s="68">
        <f t="shared" si="1055"/>
        <v>275.11080045534317</v>
      </c>
      <c r="AA929" s="68" t="str">
        <f t="shared" si="1056"/>
        <v/>
      </c>
      <c r="AB929" s="73" t="s">
        <v>73</v>
      </c>
      <c r="AC929" s="55"/>
      <c r="AD929" s="93">
        <f t="shared" ref="AD929" si="1086">W929/AC926</f>
        <v>2.2911330344836438E-2</v>
      </c>
    </row>
    <row r="930" spans="1:30" s="32" customFormat="1" ht="15.95">
      <c r="A930" s="65"/>
      <c r="B930" s="66" t="s">
        <v>48</v>
      </c>
      <c r="C930" s="66" t="s">
        <v>225</v>
      </c>
      <c r="D930" s="66" t="s">
        <v>270</v>
      </c>
      <c r="E930" s="66" t="s">
        <v>20</v>
      </c>
      <c r="F930" s="66" t="s">
        <v>21</v>
      </c>
      <c r="G930" s="66" t="s">
        <v>50</v>
      </c>
      <c r="H930" s="66"/>
      <c r="I930" s="66" t="s">
        <v>271</v>
      </c>
      <c r="J930" s="66"/>
      <c r="K930" s="66" t="s">
        <v>272</v>
      </c>
      <c r="L930" s="67">
        <v>2014</v>
      </c>
      <c r="M930" s="66" t="s">
        <v>273</v>
      </c>
      <c r="N930" s="66" t="s">
        <v>24</v>
      </c>
      <c r="O930" s="66" t="s">
        <v>54</v>
      </c>
      <c r="P930" s="66" t="s">
        <v>25</v>
      </c>
      <c r="Q930" s="68">
        <v>202831</v>
      </c>
      <c r="R930" s="68">
        <v>182731</v>
      </c>
      <c r="S930" s="69">
        <v>105415</v>
      </c>
      <c r="T930" s="69"/>
      <c r="U930" s="74" t="s">
        <v>61</v>
      </c>
      <c r="V930" s="75" t="s">
        <v>56</v>
      </c>
      <c r="W930" s="68">
        <v>181838567.38</v>
      </c>
      <c r="X930" s="68">
        <f t="shared" si="1081"/>
        <v>896.50283921096866</v>
      </c>
      <c r="Y930" s="68">
        <f t="shared" si="1054"/>
        <v>995.11614000908435</v>
      </c>
      <c r="Z930" s="68">
        <f t="shared" si="1055"/>
        <v>1724.978109187497</v>
      </c>
      <c r="AA930" s="68" t="str">
        <f t="shared" si="1056"/>
        <v/>
      </c>
      <c r="AB930" s="73" t="s">
        <v>73</v>
      </c>
      <c r="AC930" s="55"/>
      <c r="AD930" s="93">
        <f t="shared" ref="AD930" si="1087">W930/AC926</f>
        <v>0.14365682202150162</v>
      </c>
    </row>
    <row r="931" spans="1:30" s="32" customFormat="1" ht="15.95">
      <c r="A931" s="65"/>
      <c r="B931" s="66" t="s">
        <v>48</v>
      </c>
      <c r="C931" s="66" t="s">
        <v>225</v>
      </c>
      <c r="D931" s="66" t="s">
        <v>270</v>
      </c>
      <c r="E931" s="66" t="s">
        <v>20</v>
      </c>
      <c r="F931" s="66" t="s">
        <v>21</v>
      </c>
      <c r="G931" s="66" t="s">
        <v>50</v>
      </c>
      <c r="H931" s="66"/>
      <c r="I931" s="66" t="s">
        <v>271</v>
      </c>
      <c r="J931" s="66"/>
      <c r="K931" s="66" t="s">
        <v>272</v>
      </c>
      <c r="L931" s="67">
        <v>2014</v>
      </c>
      <c r="M931" s="66" t="s">
        <v>273</v>
      </c>
      <c r="N931" s="66" t="s">
        <v>24</v>
      </c>
      <c r="O931" s="66" t="s">
        <v>54</v>
      </c>
      <c r="P931" s="66" t="s">
        <v>25</v>
      </c>
      <c r="Q931" s="68">
        <v>202831</v>
      </c>
      <c r="R931" s="68">
        <v>182731</v>
      </c>
      <c r="S931" s="69">
        <v>105415</v>
      </c>
      <c r="T931" s="69"/>
      <c r="U931" s="74" t="s">
        <v>62</v>
      </c>
      <c r="V931" s="75" t="s">
        <v>56</v>
      </c>
      <c r="W931" s="68">
        <v>43932659.5</v>
      </c>
      <c r="X931" s="68">
        <f t="shared" si="1081"/>
        <v>216.59736184311078</v>
      </c>
      <c r="Y931" s="68">
        <f t="shared" si="1054"/>
        <v>240.42258565870048</v>
      </c>
      <c r="Z931" s="68">
        <f t="shared" si="1055"/>
        <v>416.75909026229664</v>
      </c>
      <c r="AA931" s="68" t="str">
        <f t="shared" si="1056"/>
        <v/>
      </c>
      <c r="AB931" s="73" t="s">
        <v>73</v>
      </c>
      <c r="AC931" s="55"/>
      <c r="AD931" s="93">
        <f t="shared" ref="AD931" si="1088">W931/AC926</f>
        <v>3.4707852892031141E-2</v>
      </c>
    </row>
    <row r="932" spans="1:30" s="32" customFormat="1" ht="15.95">
      <c r="A932" s="65"/>
      <c r="B932" s="66" t="s">
        <v>48</v>
      </c>
      <c r="C932" s="66" t="s">
        <v>225</v>
      </c>
      <c r="D932" s="66" t="s">
        <v>270</v>
      </c>
      <c r="E932" s="66" t="s">
        <v>20</v>
      </c>
      <c r="F932" s="66" t="s">
        <v>21</v>
      </c>
      <c r="G932" s="66" t="s">
        <v>50</v>
      </c>
      <c r="H932" s="66"/>
      <c r="I932" s="66" t="s">
        <v>271</v>
      </c>
      <c r="J932" s="66"/>
      <c r="K932" s="66" t="s">
        <v>272</v>
      </c>
      <c r="L932" s="67">
        <v>2014</v>
      </c>
      <c r="M932" s="66" t="s">
        <v>273</v>
      </c>
      <c r="N932" s="66" t="s">
        <v>24</v>
      </c>
      <c r="O932" s="66" t="s">
        <v>54</v>
      </c>
      <c r="P932" s="66" t="s">
        <v>25</v>
      </c>
      <c r="Q932" s="68">
        <v>202831</v>
      </c>
      <c r="R932" s="68">
        <v>182731</v>
      </c>
      <c r="S932" s="69">
        <v>105415</v>
      </c>
      <c r="T932" s="69"/>
      <c r="U932" s="74" t="s">
        <v>63</v>
      </c>
      <c r="V932" s="75" t="s">
        <v>56</v>
      </c>
      <c r="W932" s="68">
        <v>19256446.020353854</v>
      </c>
      <c r="X932" s="68">
        <f t="shared" si="1081"/>
        <v>94.938377370095566</v>
      </c>
      <c r="Y932" s="68">
        <f t="shared" si="1054"/>
        <v>105.38138586421491</v>
      </c>
      <c r="Z932" s="68">
        <f t="shared" si="1055"/>
        <v>182.67273177777219</v>
      </c>
      <c r="AA932" s="68" t="str">
        <f t="shared" si="1056"/>
        <v/>
      </c>
      <c r="AB932" s="73" t="s">
        <v>73</v>
      </c>
      <c r="AC932" s="55"/>
      <c r="AD932" s="93">
        <f t="shared" ref="AD932" si="1089">W932/AC926</f>
        <v>1.5213053416394701E-2</v>
      </c>
    </row>
    <row r="933" spans="1:30" s="32" customFormat="1" ht="15.95">
      <c r="A933" s="65"/>
      <c r="B933" s="66" t="s">
        <v>48</v>
      </c>
      <c r="C933" s="66" t="s">
        <v>225</v>
      </c>
      <c r="D933" s="66" t="s">
        <v>270</v>
      </c>
      <c r="E933" s="66" t="s">
        <v>20</v>
      </c>
      <c r="F933" s="66" t="s">
        <v>21</v>
      </c>
      <c r="G933" s="66" t="s">
        <v>50</v>
      </c>
      <c r="H933" s="66"/>
      <c r="I933" s="66" t="s">
        <v>271</v>
      </c>
      <c r="J933" s="66"/>
      <c r="K933" s="66" t="s">
        <v>272</v>
      </c>
      <c r="L933" s="67">
        <v>2014</v>
      </c>
      <c r="M933" s="66" t="s">
        <v>273</v>
      </c>
      <c r="N933" s="66" t="s">
        <v>24</v>
      </c>
      <c r="O933" s="66" t="s">
        <v>54</v>
      </c>
      <c r="P933" s="66" t="s">
        <v>25</v>
      </c>
      <c r="Q933" s="68">
        <v>202831</v>
      </c>
      <c r="R933" s="68">
        <v>182731</v>
      </c>
      <c r="S933" s="69">
        <v>105415</v>
      </c>
      <c r="T933" s="69"/>
      <c r="U933" s="74" t="s">
        <v>64</v>
      </c>
      <c r="V933" s="75" t="s">
        <v>56</v>
      </c>
      <c r="W933" s="68">
        <v>0</v>
      </c>
      <c r="X933" s="68">
        <f t="shared" si="1081"/>
        <v>0</v>
      </c>
      <c r="Y933" s="68">
        <f t="shared" si="1054"/>
        <v>0</v>
      </c>
      <c r="Z933" s="68">
        <f t="shared" si="1055"/>
        <v>0</v>
      </c>
      <c r="AA933" s="68" t="str">
        <f t="shared" si="1056"/>
        <v/>
      </c>
      <c r="AB933" s="73" t="s">
        <v>73</v>
      </c>
      <c r="AC933" s="55"/>
      <c r="AD933" s="93">
        <f t="shared" ref="AD933" si="1090">W933/AC926</f>
        <v>0</v>
      </c>
    </row>
    <row r="934" spans="1:30" s="32" customFormat="1" ht="15.95">
      <c r="A934" s="65"/>
      <c r="B934" s="66" t="s">
        <v>48</v>
      </c>
      <c r="C934" s="66" t="s">
        <v>225</v>
      </c>
      <c r="D934" s="66" t="s">
        <v>270</v>
      </c>
      <c r="E934" s="66" t="s">
        <v>20</v>
      </c>
      <c r="F934" s="66" t="s">
        <v>21</v>
      </c>
      <c r="G934" s="66" t="s">
        <v>50</v>
      </c>
      <c r="H934" s="66"/>
      <c r="I934" s="66" t="s">
        <v>271</v>
      </c>
      <c r="J934" s="66"/>
      <c r="K934" s="66" t="s">
        <v>272</v>
      </c>
      <c r="L934" s="67">
        <v>2014</v>
      </c>
      <c r="M934" s="66" t="s">
        <v>273</v>
      </c>
      <c r="N934" s="66" t="s">
        <v>24</v>
      </c>
      <c r="O934" s="66" t="s">
        <v>54</v>
      </c>
      <c r="P934" s="66" t="s">
        <v>25</v>
      </c>
      <c r="Q934" s="68">
        <v>202831</v>
      </c>
      <c r="R934" s="68">
        <v>182731</v>
      </c>
      <c r="S934" s="69">
        <v>105415</v>
      </c>
      <c r="T934" s="69"/>
      <c r="U934" s="74" t="s">
        <v>65</v>
      </c>
      <c r="V934" s="75" t="s">
        <v>56</v>
      </c>
      <c r="W934" s="68">
        <v>171826749.10469592</v>
      </c>
      <c r="X934" s="68">
        <f t="shared" si="1081"/>
        <v>847.14244422546813</v>
      </c>
      <c r="Y934" s="68">
        <f t="shared" si="1054"/>
        <v>940.32621232684062</v>
      </c>
      <c r="Z934" s="68">
        <f t="shared" si="1055"/>
        <v>1630.0028374016592</v>
      </c>
      <c r="AA934" s="68" t="str">
        <f t="shared" si="1056"/>
        <v/>
      </c>
      <c r="AB934" s="73" t="s">
        <v>73</v>
      </c>
      <c r="AC934" s="55"/>
      <c r="AD934" s="93">
        <f t="shared" ref="AD934" si="1091">W934/AC926</f>
        <v>0.13574724586936809</v>
      </c>
    </row>
    <row r="935" spans="1:30" s="32" customFormat="1" ht="15.95">
      <c r="A935" s="65"/>
      <c r="B935" s="66" t="s">
        <v>48</v>
      </c>
      <c r="C935" s="66" t="s">
        <v>225</v>
      </c>
      <c r="D935" s="66" t="s">
        <v>270</v>
      </c>
      <c r="E935" s="66" t="s">
        <v>20</v>
      </c>
      <c r="F935" s="66" t="s">
        <v>21</v>
      </c>
      <c r="G935" s="66" t="s">
        <v>50</v>
      </c>
      <c r="H935" s="66"/>
      <c r="I935" s="66" t="s">
        <v>271</v>
      </c>
      <c r="J935" s="66"/>
      <c r="K935" s="66" t="s">
        <v>272</v>
      </c>
      <c r="L935" s="67">
        <v>2014</v>
      </c>
      <c r="M935" s="66" t="s">
        <v>273</v>
      </c>
      <c r="N935" s="66" t="s">
        <v>24</v>
      </c>
      <c r="O935" s="66" t="s">
        <v>54</v>
      </c>
      <c r="P935" s="66" t="s">
        <v>25</v>
      </c>
      <c r="Q935" s="68">
        <v>202831</v>
      </c>
      <c r="R935" s="68">
        <v>182731</v>
      </c>
      <c r="S935" s="69">
        <v>105415</v>
      </c>
      <c r="T935" s="69"/>
      <c r="U935" s="74" t="s">
        <v>66</v>
      </c>
      <c r="V935" s="75" t="s">
        <v>56</v>
      </c>
      <c r="W935" s="68">
        <v>230120245.10175025</v>
      </c>
      <c r="X935" s="68">
        <f t="shared" si="1081"/>
        <v>1134.5417865205529</v>
      </c>
      <c r="Y935" s="68">
        <f t="shared" si="1054"/>
        <v>1259.3388374263275</v>
      </c>
      <c r="Z935" s="68">
        <f t="shared" si="1055"/>
        <v>2182.9933605440428</v>
      </c>
      <c r="AA935" s="68" t="str">
        <f t="shared" si="1056"/>
        <v/>
      </c>
      <c r="AB935" s="73" t="s">
        <v>73</v>
      </c>
      <c r="AC935" s="55"/>
      <c r="AD935" s="93">
        <f t="shared" ref="AD935" si="1092">W935/AC926</f>
        <v>0.18180050343798781</v>
      </c>
    </row>
    <row r="936" spans="1:30" s="32" customFormat="1" ht="15.95">
      <c r="A936" s="65"/>
      <c r="B936" s="66" t="s">
        <v>48</v>
      </c>
      <c r="C936" s="66" t="s">
        <v>225</v>
      </c>
      <c r="D936" s="66" t="s">
        <v>270</v>
      </c>
      <c r="E936" s="66" t="s">
        <v>20</v>
      </c>
      <c r="F936" s="66" t="s">
        <v>21</v>
      </c>
      <c r="G936" s="66" t="s">
        <v>50</v>
      </c>
      <c r="H936" s="66"/>
      <c r="I936" s="66" t="s">
        <v>271</v>
      </c>
      <c r="J936" s="66"/>
      <c r="K936" s="66" t="s">
        <v>272</v>
      </c>
      <c r="L936" s="67">
        <v>2014</v>
      </c>
      <c r="M936" s="66" t="s">
        <v>273</v>
      </c>
      <c r="N936" s="66" t="s">
        <v>24</v>
      </c>
      <c r="O936" s="66" t="s">
        <v>54</v>
      </c>
      <c r="P936" s="66" t="s">
        <v>25</v>
      </c>
      <c r="Q936" s="68">
        <v>202831</v>
      </c>
      <c r="R936" s="68">
        <v>182731</v>
      </c>
      <c r="S936" s="69">
        <v>105415</v>
      </c>
      <c r="T936" s="69"/>
      <c r="U936" s="74" t="s">
        <v>67</v>
      </c>
      <c r="V936" s="75" t="s">
        <v>56</v>
      </c>
      <c r="W936" s="68">
        <v>25315688.433200002</v>
      </c>
      <c r="X936" s="68">
        <f t="shared" si="1081"/>
        <v>124.81173209815069</v>
      </c>
      <c r="Y936" s="68">
        <f t="shared" si="1054"/>
        <v>138.54074258445476</v>
      </c>
      <c r="Z936" s="68">
        <f t="shared" si="1055"/>
        <v>240.15261996110613</v>
      </c>
      <c r="AA936" s="68" t="str">
        <f t="shared" si="1056"/>
        <v/>
      </c>
      <c r="AB936" s="73" t="s">
        <v>73</v>
      </c>
      <c r="AC936" s="55"/>
      <c r="AD936" s="93">
        <f t="shared" ref="AD936" si="1093">W936/AC926</f>
        <v>0.02</v>
      </c>
    </row>
    <row r="937" spans="1:30" s="32" customFormat="1" ht="15.95">
      <c r="A937" s="65"/>
      <c r="B937" s="66" t="s">
        <v>48</v>
      </c>
      <c r="C937" s="66" t="s">
        <v>225</v>
      </c>
      <c r="D937" s="66" t="s">
        <v>270</v>
      </c>
      <c r="E937" s="66" t="s">
        <v>20</v>
      </c>
      <c r="F937" s="66" t="s">
        <v>21</v>
      </c>
      <c r="G937" s="66" t="s">
        <v>50</v>
      </c>
      <c r="H937" s="66"/>
      <c r="I937" s="66" t="s">
        <v>271</v>
      </c>
      <c r="J937" s="66"/>
      <c r="K937" s="66" t="s">
        <v>272</v>
      </c>
      <c r="L937" s="67">
        <v>2014</v>
      </c>
      <c r="M937" s="66" t="s">
        <v>273</v>
      </c>
      <c r="N937" s="66" t="s">
        <v>24</v>
      </c>
      <c r="O937" s="66" t="s">
        <v>54</v>
      </c>
      <c r="P937" s="66" t="s">
        <v>25</v>
      </c>
      <c r="Q937" s="68">
        <v>202831</v>
      </c>
      <c r="R937" s="68">
        <v>182731</v>
      </c>
      <c r="S937" s="69">
        <v>105415</v>
      </c>
      <c r="T937" s="69"/>
      <c r="U937" s="74" t="s">
        <v>68</v>
      </c>
      <c r="V937" s="75" t="s">
        <v>56</v>
      </c>
      <c r="W937" s="68">
        <v>24913167.079999998</v>
      </c>
      <c r="X937" s="68">
        <f t="shared" si="1081"/>
        <v>122.82721615532142</v>
      </c>
      <c r="Y937" s="68">
        <f t="shared" si="1054"/>
        <v>136.33793434064279</v>
      </c>
      <c r="Z937" s="68">
        <f t="shared" si="1055"/>
        <v>236.3341752122563</v>
      </c>
      <c r="AA937" s="68" t="str">
        <f t="shared" si="1056"/>
        <v/>
      </c>
      <c r="AB937" s="73" t="s">
        <v>73</v>
      </c>
      <c r="AC937" s="55"/>
      <c r="AD937" s="93">
        <f t="shared" ref="AD937" si="1094">W937/AC926</f>
        <v>1.968199849333576E-2</v>
      </c>
    </row>
    <row r="938" spans="1:30" s="32" customFormat="1" ht="15.95">
      <c r="A938" s="65"/>
      <c r="B938" s="66" t="s">
        <v>48</v>
      </c>
      <c r="C938" s="66" t="s">
        <v>225</v>
      </c>
      <c r="D938" s="66" t="s">
        <v>270</v>
      </c>
      <c r="E938" s="66" t="s">
        <v>20</v>
      </c>
      <c r="F938" s="66" t="s">
        <v>21</v>
      </c>
      <c r="G938" s="66" t="s">
        <v>50</v>
      </c>
      <c r="H938" s="66"/>
      <c r="I938" s="66" t="s">
        <v>271</v>
      </c>
      <c r="J938" s="66"/>
      <c r="K938" s="66" t="s">
        <v>272</v>
      </c>
      <c r="L938" s="67">
        <v>2014</v>
      </c>
      <c r="M938" s="66" t="s">
        <v>273</v>
      </c>
      <c r="N938" s="66" t="s">
        <v>24</v>
      </c>
      <c r="O938" s="66" t="s">
        <v>54</v>
      </c>
      <c r="P938" s="66" t="s">
        <v>25</v>
      </c>
      <c r="Q938" s="68">
        <v>202831</v>
      </c>
      <c r="R938" s="68">
        <v>182731</v>
      </c>
      <c r="S938" s="69">
        <v>105415</v>
      </c>
      <c r="T938" s="69"/>
      <c r="U938" s="74" t="s">
        <v>69</v>
      </c>
      <c r="V938" s="75" t="s">
        <v>56</v>
      </c>
      <c r="W938" s="68">
        <v>176094590.59</v>
      </c>
      <c r="X938" s="68">
        <f t="shared" si="1081"/>
        <v>868.18381110382541</v>
      </c>
      <c r="Y938" s="68">
        <f t="shared" si="1054"/>
        <v>963.68208235055909</v>
      </c>
      <c r="Z938" s="68">
        <f t="shared" si="1055"/>
        <v>1670.4889303230091</v>
      </c>
      <c r="AA938" s="68" t="str">
        <f t="shared" si="1056"/>
        <v/>
      </c>
      <c r="AB938" s="73" t="s">
        <v>73</v>
      </c>
      <c r="AC938" s="55"/>
      <c r="AD938" s="93">
        <f t="shared" ref="AD938" si="1095">W938/AC926</f>
        <v>0.13911894282840245</v>
      </c>
    </row>
    <row r="939" spans="1:30" s="55" customFormat="1" ht="15" customHeight="1">
      <c r="A939" s="57"/>
      <c r="B939" s="58" t="s">
        <v>48</v>
      </c>
      <c r="C939" s="58" t="s">
        <v>225</v>
      </c>
      <c r="D939" s="58" t="s">
        <v>270</v>
      </c>
      <c r="E939" s="58" t="s">
        <v>20</v>
      </c>
      <c r="F939" s="58" t="s">
        <v>21</v>
      </c>
      <c r="G939" s="58" t="s">
        <v>50</v>
      </c>
      <c r="H939" s="58"/>
      <c r="I939" s="58" t="s">
        <v>274</v>
      </c>
      <c r="J939" s="58"/>
      <c r="K939" s="58" t="s">
        <v>275</v>
      </c>
      <c r="L939" s="59">
        <v>2018</v>
      </c>
      <c r="M939" s="58" t="s">
        <v>166</v>
      </c>
      <c r="N939" s="58" t="s">
        <v>24</v>
      </c>
      <c r="O939" s="58" t="s">
        <v>54</v>
      </c>
      <c r="P939" s="58" t="s">
        <v>25</v>
      </c>
      <c r="Q939" s="60">
        <v>710185</v>
      </c>
      <c r="R939" s="60">
        <v>603657</v>
      </c>
      <c r="S939" s="61">
        <v>281965</v>
      </c>
      <c r="T939" s="61"/>
      <c r="U939" s="62" t="s">
        <v>55</v>
      </c>
      <c r="V939" s="63" t="s">
        <v>56</v>
      </c>
      <c r="W939" s="60">
        <v>188901340.52501509</v>
      </c>
      <c r="X939" s="60">
        <f t="shared" si="1068"/>
        <v>265.98891911968724</v>
      </c>
      <c r="Y939" s="60">
        <f t="shared" ref="Y939:Y993" si="1096">IF(R939&gt;0,$W939/R939,"")</f>
        <v>312.9282697376409</v>
      </c>
      <c r="Z939" s="60">
        <f t="shared" ref="Z939:Z993" si="1097">IF(S939&gt;0,$W939/S939,"")</f>
        <v>669.94605899673752</v>
      </c>
      <c r="AA939" s="60" t="str">
        <f t="shared" ref="AA939:AA993" si="1098">IF(T939&gt;0,$W939/T939,"")</f>
        <v/>
      </c>
      <c r="AB939" s="64" t="s">
        <v>73</v>
      </c>
      <c r="AC939" s="92">
        <f t="shared" ref="AC939" si="1099">SUM(W939:W951)</f>
        <v>3125524185</v>
      </c>
      <c r="AD939" s="93">
        <f t="shared" ref="AD939" si="1100">W939/AC939</f>
        <v>6.0438291097406782E-2</v>
      </c>
    </row>
    <row r="940" spans="1:30" s="55" customFormat="1" ht="15.95">
      <c r="A940" s="57"/>
      <c r="B940" s="58" t="s">
        <v>48</v>
      </c>
      <c r="C940" s="58" t="s">
        <v>225</v>
      </c>
      <c r="D940" s="58" t="s">
        <v>270</v>
      </c>
      <c r="E940" s="58" t="s">
        <v>20</v>
      </c>
      <c r="F940" s="58" t="s">
        <v>21</v>
      </c>
      <c r="G940" s="58" t="s">
        <v>50</v>
      </c>
      <c r="H940" s="58"/>
      <c r="I940" s="58" t="s">
        <v>274</v>
      </c>
      <c r="J940" s="58"/>
      <c r="K940" s="58" t="s">
        <v>275</v>
      </c>
      <c r="L940" s="59">
        <v>2018</v>
      </c>
      <c r="M940" s="58" t="s">
        <v>166</v>
      </c>
      <c r="N940" s="58" t="s">
        <v>24</v>
      </c>
      <c r="O940" s="58" t="s">
        <v>54</v>
      </c>
      <c r="P940" s="58" t="s">
        <v>25</v>
      </c>
      <c r="Q940" s="60">
        <v>710185</v>
      </c>
      <c r="R940" s="60">
        <v>603657</v>
      </c>
      <c r="S940" s="61">
        <v>281965</v>
      </c>
      <c r="T940" s="61"/>
      <c r="U940" s="62" t="s">
        <v>58</v>
      </c>
      <c r="V940" s="63" t="s">
        <v>56</v>
      </c>
      <c r="W940" s="60">
        <v>956251667.39790893</v>
      </c>
      <c r="X940" s="60">
        <f t="shared" ref="X940:X1003" si="1101">IF(Q940&gt;0,$W940/Q940,"")</f>
        <v>1346.4824903340805</v>
      </c>
      <c r="Y940" s="60">
        <f t="shared" si="1096"/>
        <v>1584.0977034937207</v>
      </c>
      <c r="Z940" s="60">
        <f t="shared" si="1097"/>
        <v>3391.3842760552157</v>
      </c>
      <c r="AA940" s="60" t="str">
        <f t="shared" si="1098"/>
        <v/>
      </c>
      <c r="AB940" s="64" t="s">
        <v>73</v>
      </c>
      <c r="AD940" s="93">
        <f t="shared" ref="AD940" si="1102">W940/AC939</f>
        <v>0.30594921389095214</v>
      </c>
    </row>
    <row r="941" spans="1:30" s="55" customFormat="1" ht="15.95">
      <c r="A941" s="57"/>
      <c r="B941" s="58" t="s">
        <v>48</v>
      </c>
      <c r="C941" s="58" t="s">
        <v>225</v>
      </c>
      <c r="D941" s="58" t="s">
        <v>270</v>
      </c>
      <c r="E941" s="58" t="s">
        <v>20</v>
      </c>
      <c r="F941" s="58" t="s">
        <v>21</v>
      </c>
      <c r="G941" s="58" t="s">
        <v>50</v>
      </c>
      <c r="H941" s="58"/>
      <c r="I941" s="58" t="s">
        <v>274</v>
      </c>
      <c r="J941" s="58"/>
      <c r="K941" s="58" t="s">
        <v>275</v>
      </c>
      <c r="L941" s="59">
        <v>2018</v>
      </c>
      <c r="M941" s="58" t="s">
        <v>166</v>
      </c>
      <c r="N941" s="58" t="s">
        <v>24</v>
      </c>
      <c r="O941" s="58" t="s">
        <v>54</v>
      </c>
      <c r="P941" s="58" t="s">
        <v>25</v>
      </c>
      <c r="Q941" s="60">
        <v>710185</v>
      </c>
      <c r="R941" s="60">
        <v>603657</v>
      </c>
      <c r="S941" s="61">
        <v>281965</v>
      </c>
      <c r="T941" s="61"/>
      <c r="U941" s="62" t="s">
        <v>59</v>
      </c>
      <c r="V941" s="63" t="s">
        <v>56</v>
      </c>
      <c r="W941" s="60">
        <v>78467733.886476338</v>
      </c>
      <c r="X941" s="60">
        <f t="shared" si="1101"/>
        <v>110.48914562610635</v>
      </c>
      <c r="Y941" s="60">
        <f t="shared" si="1096"/>
        <v>129.98728398159275</v>
      </c>
      <c r="Z941" s="60">
        <f t="shared" si="1097"/>
        <v>278.28891488828873</v>
      </c>
      <c r="AA941" s="60" t="str">
        <f t="shared" si="1098"/>
        <v/>
      </c>
      <c r="AB941" s="64" t="s">
        <v>73</v>
      </c>
      <c r="AD941" s="93">
        <f t="shared" ref="AD941" si="1103">W941/AC939</f>
        <v>2.5105463673280242E-2</v>
      </c>
    </row>
    <row r="942" spans="1:30" s="55" customFormat="1" ht="15.95">
      <c r="A942" s="57"/>
      <c r="B942" s="58" t="s">
        <v>48</v>
      </c>
      <c r="C942" s="58" t="s">
        <v>225</v>
      </c>
      <c r="D942" s="58" t="s">
        <v>270</v>
      </c>
      <c r="E942" s="58" t="s">
        <v>20</v>
      </c>
      <c r="F942" s="58" t="s">
        <v>21</v>
      </c>
      <c r="G942" s="58" t="s">
        <v>50</v>
      </c>
      <c r="H942" s="58"/>
      <c r="I942" s="58" t="s">
        <v>274</v>
      </c>
      <c r="J942" s="58"/>
      <c r="K942" s="58" t="s">
        <v>275</v>
      </c>
      <c r="L942" s="59">
        <v>2018</v>
      </c>
      <c r="M942" s="58" t="s">
        <v>166</v>
      </c>
      <c r="N942" s="58" t="s">
        <v>24</v>
      </c>
      <c r="O942" s="58" t="s">
        <v>54</v>
      </c>
      <c r="P942" s="58" t="s">
        <v>25</v>
      </c>
      <c r="Q942" s="60">
        <v>710185</v>
      </c>
      <c r="R942" s="60">
        <v>603657</v>
      </c>
      <c r="S942" s="61">
        <v>281965</v>
      </c>
      <c r="T942" s="61"/>
      <c r="U942" s="62" t="s">
        <v>60</v>
      </c>
      <c r="V942" s="63" t="s">
        <v>56</v>
      </c>
      <c r="W942" s="60">
        <v>120479139.27240391</v>
      </c>
      <c r="X942" s="60">
        <f t="shared" si="1101"/>
        <v>169.64472534959751</v>
      </c>
      <c r="Y942" s="60">
        <f t="shared" si="1096"/>
        <v>199.58211247845037</v>
      </c>
      <c r="Z942" s="60">
        <f t="shared" si="1097"/>
        <v>427.28402203253563</v>
      </c>
      <c r="AA942" s="60" t="str">
        <f t="shared" si="1098"/>
        <v/>
      </c>
      <c r="AB942" s="64" t="s">
        <v>73</v>
      </c>
      <c r="AD942" s="93">
        <f t="shared" ref="AD942" si="1104">W942/AC939</f>
        <v>3.8546858747920361E-2</v>
      </c>
    </row>
    <row r="943" spans="1:30" s="55" customFormat="1" ht="15.95">
      <c r="A943" s="57"/>
      <c r="B943" s="58" t="s">
        <v>48</v>
      </c>
      <c r="C943" s="58" t="s">
        <v>225</v>
      </c>
      <c r="D943" s="58" t="s">
        <v>270</v>
      </c>
      <c r="E943" s="58" t="s">
        <v>20</v>
      </c>
      <c r="F943" s="58" t="s">
        <v>21</v>
      </c>
      <c r="G943" s="58" t="s">
        <v>50</v>
      </c>
      <c r="H943" s="58"/>
      <c r="I943" s="58" t="s">
        <v>274</v>
      </c>
      <c r="J943" s="58"/>
      <c r="K943" s="58" t="s">
        <v>275</v>
      </c>
      <c r="L943" s="59">
        <v>2018</v>
      </c>
      <c r="M943" s="58" t="s">
        <v>166</v>
      </c>
      <c r="N943" s="58" t="s">
        <v>24</v>
      </c>
      <c r="O943" s="58" t="s">
        <v>54</v>
      </c>
      <c r="P943" s="58" t="s">
        <v>25</v>
      </c>
      <c r="Q943" s="60">
        <v>710185</v>
      </c>
      <c r="R943" s="60">
        <v>603657</v>
      </c>
      <c r="S943" s="61">
        <v>281965</v>
      </c>
      <c r="T943" s="61"/>
      <c r="U943" s="62" t="s">
        <v>61</v>
      </c>
      <c r="V943" s="63" t="s">
        <v>56</v>
      </c>
      <c r="W943" s="60">
        <v>175921923.28629762</v>
      </c>
      <c r="X943" s="60">
        <f t="shared" si="1101"/>
        <v>247.71281185366857</v>
      </c>
      <c r="Y943" s="60">
        <f t="shared" si="1096"/>
        <v>291.42695816713399</v>
      </c>
      <c r="Z943" s="60">
        <f t="shared" si="1097"/>
        <v>623.91404353837402</v>
      </c>
      <c r="AA943" s="60" t="str">
        <f t="shared" si="1098"/>
        <v/>
      </c>
      <c r="AB943" s="64" t="s">
        <v>73</v>
      </c>
      <c r="AD943" s="93">
        <f t="shared" ref="AD943" si="1105">W943/AC939</f>
        <v>5.6285574154435032E-2</v>
      </c>
    </row>
    <row r="944" spans="1:30" s="55" customFormat="1" ht="15.95">
      <c r="A944" s="57"/>
      <c r="B944" s="58" t="s">
        <v>48</v>
      </c>
      <c r="C944" s="58" t="s">
        <v>225</v>
      </c>
      <c r="D944" s="58" t="s">
        <v>270</v>
      </c>
      <c r="E944" s="58" t="s">
        <v>20</v>
      </c>
      <c r="F944" s="58" t="s">
        <v>21</v>
      </c>
      <c r="G944" s="58" t="s">
        <v>50</v>
      </c>
      <c r="H944" s="58"/>
      <c r="I944" s="58" t="s">
        <v>274</v>
      </c>
      <c r="J944" s="58"/>
      <c r="K944" s="58" t="s">
        <v>275</v>
      </c>
      <c r="L944" s="59">
        <v>2018</v>
      </c>
      <c r="M944" s="58" t="s">
        <v>166</v>
      </c>
      <c r="N944" s="58" t="s">
        <v>24</v>
      </c>
      <c r="O944" s="58" t="s">
        <v>54</v>
      </c>
      <c r="P944" s="58" t="s">
        <v>25</v>
      </c>
      <c r="Q944" s="60">
        <v>710185</v>
      </c>
      <c r="R944" s="60">
        <v>603657</v>
      </c>
      <c r="S944" s="61">
        <v>281965</v>
      </c>
      <c r="T944" s="61"/>
      <c r="U944" s="62" t="s">
        <v>62</v>
      </c>
      <c r="V944" s="63" t="s">
        <v>56</v>
      </c>
      <c r="W944" s="60">
        <v>34057679.268188238</v>
      </c>
      <c r="X944" s="60">
        <f t="shared" si="1101"/>
        <v>47.956066754702277</v>
      </c>
      <c r="Y944" s="60">
        <f t="shared" si="1096"/>
        <v>56.418925429818984</v>
      </c>
      <c r="Z944" s="60">
        <f t="shared" si="1097"/>
        <v>120.78690358089918</v>
      </c>
      <c r="AA944" s="60" t="str">
        <f t="shared" si="1098"/>
        <v/>
      </c>
      <c r="AB944" s="64" t="s">
        <v>73</v>
      </c>
      <c r="AD944" s="93">
        <f t="shared" ref="AD944" si="1106">W944/AC939</f>
        <v>1.0896629573892815E-2</v>
      </c>
    </row>
    <row r="945" spans="1:30" s="55" customFormat="1" ht="15.95">
      <c r="A945" s="57"/>
      <c r="B945" s="58" t="s">
        <v>48</v>
      </c>
      <c r="C945" s="58" t="s">
        <v>225</v>
      </c>
      <c r="D945" s="58" t="s">
        <v>270</v>
      </c>
      <c r="E945" s="58" t="s">
        <v>20</v>
      </c>
      <c r="F945" s="58" t="s">
        <v>21</v>
      </c>
      <c r="G945" s="58" t="s">
        <v>50</v>
      </c>
      <c r="H945" s="58"/>
      <c r="I945" s="58" t="s">
        <v>274</v>
      </c>
      <c r="J945" s="58"/>
      <c r="K945" s="58" t="s">
        <v>275</v>
      </c>
      <c r="L945" s="59">
        <v>2018</v>
      </c>
      <c r="M945" s="58" t="s">
        <v>166</v>
      </c>
      <c r="N945" s="58" t="s">
        <v>24</v>
      </c>
      <c r="O945" s="58" t="s">
        <v>54</v>
      </c>
      <c r="P945" s="58" t="s">
        <v>25</v>
      </c>
      <c r="Q945" s="60">
        <v>710185</v>
      </c>
      <c r="R945" s="60">
        <v>603657</v>
      </c>
      <c r="S945" s="61">
        <v>281965</v>
      </c>
      <c r="T945" s="61"/>
      <c r="U945" s="62" t="s">
        <v>63</v>
      </c>
      <c r="V945" s="63" t="s">
        <v>56</v>
      </c>
      <c r="W945" s="60">
        <v>43102333.952410996</v>
      </c>
      <c r="X945" s="60">
        <f t="shared" si="1101"/>
        <v>60.691698574893863</v>
      </c>
      <c r="Y945" s="60">
        <f t="shared" si="1096"/>
        <v>71.402027894004377</v>
      </c>
      <c r="Z945" s="60">
        <f t="shared" si="1097"/>
        <v>152.86412835781391</v>
      </c>
      <c r="AA945" s="60" t="str">
        <f t="shared" si="1098"/>
        <v/>
      </c>
      <c r="AB945" s="64" t="s">
        <v>73</v>
      </c>
      <c r="AD945" s="93">
        <f t="shared" ref="AD945" si="1107">W945/AC939</f>
        <v>1.3790433668460318E-2</v>
      </c>
    </row>
    <row r="946" spans="1:30" s="55" customFormat="1" ht="15.95">
      <c r="A946" s="57"/>
      <c r="B946" s="58" t="s">
        <v>48</v>
      </c>
      <c r="C946" s="58" t="s">
        <v>225</v>
      </c>
      <c r="D946" s="58" t="s">
        <v>270</v>
      </c>
      <c r="E946" s="58" t="s">
        <v>20</v>
      </c>
      <c r="F946" s="58" t="s">
        <v>21</v>
      </c>
      <c r="G946" s="58" t="s">
        <v>50</v>
      </c>
      <c r="H946" s="58"/>
      <c r="I946" s="58" t="s">
        <v>274</v>
      </c>
      <c r="J946" s="58"/>
      <c r="K946" s="58" t="s">
        <v>275</v>
      </c>
      <c r="L946" s="59">
        <v>2018</v>
      </c>
      <c r="M946" s="58" t="s">
        <v>166</v>
      </c>
      <c r="N946" s="58" t="s">
        <v>24</v>
      </c>
      <c r="O946" s="58" t="s">
        <v>54</v>
      </c>
      <c r="P946" s="58" t="s">
        <v>25</v>
      </c>
      <c r="Q946" s="60">
        <v>710185</v>
      </c>
      <c r="R946" s="60">
        <v>603657</v>
      </c>
      <c r="S946" s="61">
        <v>281965</v>
      </c>
      <c r="T946" s="61"/>
      <c r="U946" s="62" t="s">
        <v>64</v>
      </c>
      <c r="V946" s="63" t="s">
        <v>56</v>
      </c>
      <c r="W946" s="60">
        <v>0</v>
      </c>
      <c r="X946" s="60">
        <f t="shared" si="1101"/>
        <v>0</v>
      </c>
      <c r="Y946" s="60">
        <f t="shared" si="1096"/>
        <v>0</v>
      </c>
      <c r="Z946" s="60">
        <f t="shared" si="1097"/>
        <v>0</v>
      </c>
      <c r="AA946" s="60" t="str">
        <f t="shared" si="1098"/>
        <v/>
      </c>
      <c r="AB946" s="64" t="s">
        <v>73</v>
      </c>
      <c r="AD946" s="93">
        <f t="shared" ref="AD946" si="1108">W946/AC939</f>
        <v>0</v>
      </c>
    </row>
    <row r="947" spans="1:30" s="55" customFormat="1" ht="15.95">
      <c r="A947" s="57"/>
      <c r="B947" s="58" t="s">
        <v>48</v>
      </c>
      <c r="C947" s="58" t="s">
        <v>225</v>
      </c>
      <c r="D947" s="58" t="s">
        <v>270</v>
      </c>
      <c r="E947" s="58" t="s">
        <v>20</v>
      </c>
      <c r="F947" s="58" t="s">
        <v>21</v>
      </c>
      <c r="G947" s="58" t="s">
        <v>50</v>
      </c>
      <c r="H947" s="58"/>
      <c r="I947" s="58" t="s">
        <v>274</v>
      </c>
      <c r="J947" s="58"/>
      <c r="K947" s="58" t="s">
        <v>275</v>
      </c>
      <c r="L947" s="59">
        <v>2018</v>
      </c>
      <c r="M947" s="58" t="s">
        <v>166</v>
      </c>
      <c r="N947" s="58" t="s">
        <v>24</v>
      </c>
      <c r="O947" s="58" t="s">
        <v>54</v>
      </c>
      <c r="P947" s="58" t="s">
        <v>25</v>
      </c>
      <c r="Q947" s="60">
        <v>710185</v>
      </c>
      <c r="R947" s="60">
        <v>603657</v>
      </c>
      <c r="S947" s="61">
        <v>281965</v>
      </c>
      <c r="T947" s="61"/>
      <c r="U947" s="62" t="s">
        <v>65</v>
      </c>
      <c r="V947" s="63" t="s">
        <v>56</v>
      </c>
      <c r="W947" s="60">
        <v>413782405.94314563</v>
      </c>
      <c r="X947" s="60">
        <f t="shared" si="1101"/>
        <v>582.64030631898117</v>
      </c>
      <c r="Y947" s="60">
        <f t="shared" si="1096"/>
        <v>685.45946778244206</v>
      </c>
      <c r="Z947" s="60">
        <f t="shared" si="1097"/>
        <v>1467.4956322350138</v>
      </c>
      <c r="AA947" s="60" t="str">
        <f t="shared" si="1098"/>
        <v/>
      </c>
      <c r="AB947" s="64" t="s">
        <v>73</v>
      </c>
      <c r="AD947" s="93">
        <f t="shared" ref="AD947" si="1109">W947/AC939</f>
        <v>0.13238816321721908</v>
      </c>
    </row>
    <row r="948" spans="1:30" s="55" customFormat="1" ht="15.95">
      <c r="A948" s="57"/>
      <c r="B948" s="58" t="s">
        <v>48</v>
      </c>
      <c r="C948" s="58" t="s">
        <v>225</v>
      </c>
      <c r="D948" s="58" t="s">
        <v>270</v>
      </c>
      <c r="E948" s="58" t="s">
        <v>20</v>
      </c>
      <c r="F948" s="58" t="s">
        <v>21</v>
      </c>
      <c r="G948" s="58" t="s">
        <v>50</v>
      </c>
      <c r="H948" s="58"/>
      <c r="I948" s="58" t="s">
        <v>274</v>
      </c>
      <c r="J948" s="58"/>
      <c r="K948" s="58" t="s">
        <v>275</v>
      </c>
      <c r="L948" s="59">
        <v>2018</v>
      </c>
      <c r="M948" s="58" t="s">
        <v>166</v>
      </c>
      <c r="N948" s="58" t="s">
        <v>24</v>
      </c>
      <c r="O948" s="58" t="s">
        <v>54</v>
      </c>
      <c r="P948" s="58" t="s">
        <v>25</v>
      </c>
      <c r="Q948" s="60">
        <v>710185</v>
      </c>
      <c r="R948" s="60">
        <v>603657</v>
      </c>
      <c r="S948" s="61">
        <v>281965</v>
      </c>
      <c r="T948" s="61"/>
      <c r="U948" s="62" t="s">
        <v>66</v>
      </c>
      <c r="V948" s="63" t="s">
        <v>56</v>
      </c>
      <c r="W948" s="60">
        <v>510750557.8670662</v>
      </c>
      <c r="X948" s="60">
        <f t="shared" si="1101"/>
        <v>719.17959104608826</v>
      </c>
      <c r="Y948" s="60">
        <f t="shared" si="1096"/>
        <v>846.09398692811681</v>
      </c>
      <c r="Z948" s="60">
        <f t="shared" si="1097"/>
        <v>1811.3970097957767</v>
      </c>
      <c r="AA948" s="60" t="str">
        <f t="shared" si="1098"/>
        <v/>
      </c>
      <c r="AB948" s="64" t="s">
        <v>73</v>
      </c>
      <c r="AD948" s="93">
        <f t="shared" ref="AD948" si="1110">W948/AC939</f>
        <v>0.16341276779052222</v>
      </c>
    </row>
    <row r="949" spans="1:30" s="55" customFormat="1" ht="15.95">
      <c r="A949" s="57"/>
      <c r="B949" s="58" t="s">
        <v>48</v>
      </c>
      <c r="C949" s="58" t="s">
        <v>225</v>
      </c>
      <c r="D949" s="58" t="s">
        <v>270</v>
      </c>
      <c r="E949" s="58" t="s">
        <v>20</v>
      </c>
      <c r="F949" s="58" t="s">
        <v>21</v>
      </c>
      <c r="G949" s="58" t="s">
        <v>50</v>
      </c>
      <c r="H949" s="58"/>
      <c r="I949" s="58" t="s">
        <v>274</v>
      </c>
      <c r="J949" s="58"/>
      <c r="K949" s="58" t="s">
        <v>275</v>
      </c>
      <c r="L949" s="59">
        <v>2018</v>
      </c>
      <c r="M949" s="58" t="s">
        <v>166</v>
      </c>
      <c r="N949" s="58" t="s">
        <v>24</v>
      </c>
      <c r="O949" s="58" t="s">
        <v>54</v>
      </c>
      <c r="P949" s="58" t="s">
        <v>25</v>
      </c>
      <c r="Q949" s="60">
        <v>710185</v>
      </c>
      <c r="R949" s="60">
        <v>603657</v>
      </c>
      <c r="S949" s="61">
        <v>281965</v>
      </c>
      <c r="T949" s="61"/>
      <c r="U949" s="62" t="s">
        <v>67</v>
      </c>
      <c r="V949" s="63" t="s">
        <v>56</v>
      </c>
      <c r="W949" s="60">
        <v>62510483.700000003</v>
      </c>
      <c r="X949" s="60">
        <f t="shared" si="1101"/>
        <v>88.02000000000001</v>
      </c>
      <c r="Y949" s="60">
        <f t="shared" si="1096"/>
        <v>103.55298406214125</v>
      </c>
      <c r="Z949" s="60">
        <f t="shared" si="1097"/>
        <v>221.69589736314791</v>
      </c>
      <c r="AA949" s="60" t="str">
        <f t="shared" si="1098"/>
        <v/>
      </c>
      <c r="AB949" s="64" t="s">
        <v>73</v>
      </c>
      <c r="AD949" s="93">
        <f t="shared" ref="AD949" si="1111">W949/AC939</f>
        <v>0.02</v>
      </c>
    </row>
    <row r="950" spans="1:30" s="55" customFormat="1" ht="15.95">
      <c r="A950" s="57"/>
      <c r="B950" s="58" t="s">
        <v>48</v>
      </c>
      <c r="C950" s="58" t="s">
        <v>225</v>
      </c>
      <c r="D950" s="58" t="s">
        <v>270</v>
      </c>
      <c r="E950" s="58" t="s">
        <v>20</v>
      </c>
      <c r="F950" s="58" t="s">
        <v>21</v>
      </c>
      <c r="G950" s="58" t="s">
        <v>50</v>
      </c>
      <c r="H950" s="58"/>
      <c r="I950" s="58" t="s">
        <v>274</v>
      </c>
      <c r="J950" s="58"/>
      <c r="K950" s="58" t="s">
        <v>275</v>
      </c>
      <c r="L950" s="59">
        <v>2018</v>
      </c>
      <c r="M950" s="58" t="s">
        <v>166</v>
      </c>
      <c r="N950" s="58" t="s">
        <v>24</v>
      </c>
      <c r="O950" s="58" t="s">
        <v>54</v>
      </c>
      <c r="P950" s="58" t="s">
        <v>25</v>
      </c>
      <c r="Q950" s="60">
        <v>710185</v>
      </c>
      <c r="R950" s="60">
        <v>603657</v>
      </c>
      <c r="S950" s="61">
        <v>281965</v>
      </c>
      <c r="T950" s="61"/>
      <c r="U950" s="62" t="s">
        <v>68</v>
      </c>
      <c r="V950" s="63" t="s">
        <v>56</v>
      </c>
      <c r="W950" s="60">
        <v>125227466.84764601</v>
      </c>
      <c r="X950" s="60">
        <f t="shared" si="1101"/>
        <v>176.33076852882843</v>
      </c>
      <c r="Y950" s="60">
        <f t="shared" si="1096"/>
        <v>207.4480488881037</v>
      </c>
      <c r="Z950" s="60">
        <f t="shared" si="1097"/>
        <v>444.12415316669097</v>
      </c>
      <c r="AA950" s="60" t="str">
        <f t="shared" si="1098"/>
        <v/>
      </c>
      <c r="AB950" s="64" t="s">
        <v>73</v>
      </c>
      <c r="AD950" s="93">
        <f t="shared" ref="AD950" si="1112">W950/AC939</f>
        <v>4.0066068740928974E-2</v>
      </c>
    </row>
    <row r="951" spans="1:30" s="55" customFormat="1" ht="15.95">
      <c r="A951" s="57"/>
      <c r="B951" s="58" t="s">
        <v>48</v>
      </c>
      <c r="C951" s="58" t="s">
        <v>225</v>
      </c>
      <c r="D951" s="58" t="s">
        <v>270</v>
      </c>
      <c r="E951" s="58" t="s">
        <v>20</v>
      </c>
      <c r="F951" s="58" t="s">
        <v>21</v>
      </c>
      <c r="G951" s="58" t="s">
        <v>50</v>
      </c>
      <c r="H951" s="58"/>
      <c r="I951" s="58" t="s">
        <v>274</v>
      </c>
      <c r="J951" s="58"/>
      <c r="K951" s="58" t="s">
        <v>275</v>
      </c>
      <c r="L951" s="59">
        <v>2018</v>
      </c>
      <c r="M951" s="58" t="s">
        <v>166</v>
      </c>
      <c r="N951" s="58" t="s">
        <v>24</v>
      </c>
      <c r="O951" s="58" t="s">
        <v>54</v>
      </c>
      <c r="P951" s="58" t="s">
        <v>25</v>
      </c>
      <c r="Q951" s="60">
        <v>710185</v>
      </c>
      <c r="R951" s="60">
        <v>603657</v>
      </c>
      <c r="S951" s="61">
        <v>281965</v>
      </c>
      <c r="T951" s="61"/>
      <c r="U951" s="62" t="s">
        <v>69</v>
      </c>
      <c r="V951" s="63" t="s">
        <v>56</v>
      </c>
      <c r="W951" s="60">
        <v>416071453.05344129</v>
      </c>
      <c r="X951" s="60">
        <f t="shared" si="1101"/>
        <v>585.86347649336619</v>
      </c>
      <c r="Y951" s="60">
        <f t="shared" si="1096"/>
        <v>689.25143426389707</v>
      </c>
      <c r="Z951" s="60">
        <f t="shared" si="1097"/>
        <v>1475.6138281469023</v>
      </c>
      <c r="AA951" s="60" t="str">
        <f t="shared" si="1098"/>
        <v/>
      </c>
      <c r="AB951" s="64" t="s">
        <v>73</v>
      </c>
      <c r="AD951" s="93">
        <f t="shared" ref="AD951" si="1113">W951/AC939</f>
        <v>0.13312053544498209</v>
      </c>
    </row>
    <row r="952" spans="1:30" s="32" customFormat="1" ht="15" customHeight="1">
      <c r="A952" s="65"/>
      <c r="B952" s="66" t="s">
        <v>48</v>
      </c>
      <c r="C952" s="66" t="s">
        <v>225</v>
      </c>
      <c r="D952" s="66" t="s">
        <v>270</v>
      </c>
      <c r="E952" s="66" t="s">
        <v>20</v>
      </c>
      <c r="F952" s="66" t="s">
        <v>21</v>
      </c>
      <c r="G952" s="66" t="s">
        <v>50</v>
      </c>
      <c r="H952" s="66"/>
      <c r="I952" s="66" t="s">
        <v>276</v>
      </c>
      <c r="J952" s="66"/>
      <c r="K952" s="66" t="s">
        <v>277</v>
      </c>
      <c r="L952" s="67">
        <v>2018</v>
      </c>
      <c r="M952" s="66" t="s">
        <v>166</v>
      </c>
      <c r="N952" s="66" t="s">
        <v>24</v>
      </c>
      <c r="O952" s="66" t="s">
        <v>54</v>
      </c>
      <c r="P952" s="66" t="s">
        <v>25</v>
      </c>
      <c r="Q952" s="68">
        <v>63518</v>
      </c>
      <c r="R952" s="68">
        <v>57223</v>
      </c>
      <c r="S952" s="69">
        <v>39498</v>
      </c>
      <c r="T952" s="69"/>
      <c r="U952" s="74" t="s">
        <v>55</v>
      </c>
      <c r="V952" s="75" t="s">
        <v>56</v>
      </c>
      <c r="W952" s="68">
        <v>19006990</v>
      </c>
      <c r="X952" s="68">
        <f t="shared" si="1101"/>
        <v>299.2378538367077</v>
      </c>
      <c r="Y952" s="68">
        <f t="shared" si="1096"/>
        <v>332.15647554305087</v>
      </c>
      <c r="Z952" s="68">
        <f t="shared" si="1097"/>
        <v>481.21398551825411</v>
      </c>
      <c r="AA952" s="68" t="str">
        <f t="shared" si="1098"/>
        <v/>
      </c>
      <c r="AB952" s="73" t="s">
        <v>73</v>
      </c>
      <c r="AC952" s="92">
        <f t="shared" ref="AC952" si="1114">SUM(W952:W964)</f>
        <v>532439373</v>
      </c>
      <c r="AD952" s="93">
        <f t="shared" ref="AD952" si="1115">W952/AC952</f>
        <v>3.5697942270696802E-2</v>
      </c>
    </row>
    <row r="953" spans="1:30" s="32" customFormat="1" ht="15.95">
      <c r="A953" s="65"/>
      <c r="B953" s="66" t="s">
        <v>48</v>
      </c>
      <c r="C953" s="66" t="s">
        <v>225</v>
      </c>
      <c r="D953" s="66" t="s">
        <v>270</v>
      </c>
      <c r="E953" s="66" t="s">
        <v>20</v>
      </c>
      <c r="F953" s="66" t="s">
        <v>21</v>
      </c>
      <c r="G953" s="66" t="s">
        <v>50</v>
      </c>
      <c r="H953" s="66"/>
      <c r="I953" s="66" t="s">
        <v>276</v>
      </c>
      <c r="J953" s="66"/>
      <c r="K953" s="66" t="s">
        <v>277</v>
      </c>
      <c r="L953" s="67">
        <v>2018</v>
      </c>
      <c r="M953" s="66" t="s">
        <v>166</v>
      </c>
      <c r="N953" s="66" t="s">
        <v>24</v>
      </c>
      <c r="O953" s="66" t="s">
        <v>54</v>
      </c>
      <c r="P953" s="66" t="s">
        <v>25</v>
      </c>
      <c r="Q953" s="68">
        <v>63518</v>
      </c>
      <c r="R953" s="68">
        <v>57223</v>
      </c>
      <c r="S953" s="69">
        <v>39498</v>
      </c>
      <c r="T953" s="69"/>
      <c r="U953" s="74" t="s">
        <v>58</v>
      </c>
      <c r="V953" s="75" t="s">
        <v>56</v>
      </c>
      <c r="W953" s="68">
        <v>48898882</v>
      </c>
      <c r="X953" s="68">
        <f t="shared" si="1101"/>
        <v>769.84291067099093</v>
      </c>
      <c r="Y953" s="68">
        <f t="shared" si="1096"/>
        <v>854.53195393460669</v>
      </c>
      <c r="Z953" s="68">
        <f t="shared" si="1097"/>
        <v>1238.0090637500632</v>
      </c>
      <c r="AA953" s="68" t="str">
        <f t="shared" si="1098"/>
        <v/>
      </c>
      <c r="AB953" s="73" t="s">
        <v>73</v>
      </c>
      <c r="AC953" s="55"/>
      <c r="AD953" s="93">
        <f t="shared" ref="AD953" si="1116">W953/AC952</f>
        <v>9.1839342617511491E-2</v>
      </c>
    </row>
    <row r="954" spans="1:30" s="32" customFormat="1" ht="15.95">
      <c r="A954" s="65"/>
      <c r="B954" s="66" t="s">
        <v>48</v>
      </c>
      <c r="C954" s="66" t="s">
        <v>225</v>
      </c>
      <c r="D954" s="66" t="s">
        <v>270</v>
      </c>
      <c r="E954" s="66" t="s">
        <v>20</v>
      </c>
      <c r="F954" s="66" t="s">
        <v>21</v>
      </c>
      <c r="G954" s="66" t="s">
        <v>50</v>
      </c>
      <c r="H954" s="66"/>
      <c r="I954" s="66" t="s">
        <v>276</v>
      </c>
      <c r="J954" s="66"/>
      <c r="K954" s="66" t="s">
        <v>277</v>
      </c>
      <c r="L954" s="67">
        <v>2018</v>
      </c>
      <c r="M954" s="66" t="s">
        <v>166</v>
      </c>
      <c r="N954" s="66" t="s">
        <v>24</v>
      </c>
      <c r="O954" s="66" t="s">
        <v>54</v>
      </c>
      <c r="P954" s="66" t="s">
        <v>25</v>
      </c>
      <c r="Q954" s="68">
        <v>63518</v>
      </c>
      <c r="R954" s="68">
        <v>57223</v>
      </c>
      <c r="S954" s="69">
        <v>39498</v>
      </c>
      <c r="T954" s="69"/>
      <c r="U954" s="74" t="s">
        <v>59</v>
      </c>
      <c r="V954" s="75" t="s">
        <v>56</v>
      </c>
      <c r="W954" s="68">
        <v>16244007</v>
      </c>
      <c r="X954" s="68">
        <f t="shared" si="1101"/>
        <v>255.7386410151453</v>
      </c>
      <c r="Y954" s="68">
        <f t="shared" si="1096"/>
        <v>283.87199203117626</v>
      </c>
      <c r="Z954" s="68">
        <f t="shared" si="1097"/>
        <v>411.26150691174234</v>
      </c>
      <c r="AA954" s="68" t="str">
        <f t="shared" si="1098"/>
        <v/>
      </c>
      <c r="AB954" s="73" t="s">
        <v>73</v>
      </c>
      <c r="AC954" s="55"/>
      <c r="AD954" s="93">
        <f t="shared" ref="AD954" si="1117">W954/AC952</f>
        <v>3.0508650982127874E-2</v>
      </c>
    </row>
    <row r="955" spans="1:30" s="32" customFormat="1" ht="15.95">
      <c r="A955" s="65"/>
      <c r="B955" s="66" t="s">
        <v>48</v>
      </c>
      <c r="C955" s="66" t="s">
        <v>225</v>
      </c>
      <c r="D955" s="66" t="s">
        <v>270</v>
      </c>
      <c r="E955" s="66" t="s">
        <v>20</v>
      </c>
      <c r="F955" s="66" t="s">
        <v>21</v>
      </c>
      <c r="G955" s="66" t="s">
        <v>50</v>
      </c>
      <c r="H955" s="66"/>
      <c r="I955" s="66" t="s">
        <v>276</v>
      </c>
      <c r="J955" s="66"/>
      <c r="K955" s="66" t="s">
        <v>277</v>
      </c>
      <c r="L955" s="67">
        <v>2018</v>
      </c>
      <c r="M955" s="66" t="s">
        <v>166</v>
      </c>
      <c r="N955" s="66" t="s">
        <v>24</v>
      </c>
      <c r="O955" s="66" t="s">
        <v>54</v>
      </c>
      <c r="P955" s="66" t="s">
        <v>25</v>
      </c>
      <c r="Q955" s="68">
        <v>63518</v>
      </c>
      <c r="R955" s="68">
        <v>57223</v>
      </c>
      <c r="S955" s="69">
        <v>39498</v>
      </c>
      <c r="T955" s="69"/>
      <c r="U955" s="74" t="s">
        <v>60</v>
      </c>
      <c r="V955" s="75" t="s">
        <v>56</v>
      </c>
      <c r="W955" s="68">
        <v>17285951</v>
      </c>
      <c r="X955" s="68">
        <f t="shared" si="1101"/>
        <v>272.14255801505084</v>
      </c>
      <c r="Y955" s="68">
        <f t="shared" si="1096"/>
        <v>302.08047463432536</v>
      </c>
      <c r="Z955" s="68">
        <f t="shared" si="1097"/>
        <v>437.64117170489646</v>
      </c>
      <c r="AA955" s="68" t="str">
        <f t="shared" si="1098"/>
        <v/>
      </c>
      <c r="AB955" s="73" t="s">
        <v>73</v>
      </c>
      <c r="AC955" s="55"/>
      <c r="AD955" s="93">
        <f t="shared" ref="AD955" si="1118">W955/AC952</f>
        <v>3.246557613236465E-2</v>
      </c>
    </row>
    <row r="956" spans="1:30" s="32" customFormat="1" ht="15.95">
      <c r="A956" s="65"/>
      <c r="B956" s="66" t="s">
        <v>48</v>
      </c>
      <c r="C956" s="66" t="s">
        <v>225</v>
      </c>
      <c r="D956" s="66" t="s">
        <v>270</v>
      </c>
      <c r="E956" s="66" t="s">
        <v>20</v>
      </c>
      <c r="F956" s="66" t="s">
        <v>21</v>
      </c>
      <c r="G956" s="66" t="s">
        <v>50</v>
      </c>
      <c r="H956" s="66"/>
      <c r="I956" s="66" t="s">
        <v>276</v>
      </c>
      <c r="J956" s="66"/>
      <c r="K956" s="66" t="s">
        <v>277</v>
      </c>
      <c r="L956" s="67">
        <v>2018</v>
      </c>
      <c r="M956" s="66" t="s">
        <v>166</v>
      </c>
      <c r="N956" s="66" t="s">
        <v>24</v>
      </c>
      <c r="O956" s="66" t="s">
        <v>54</v>
      </c>
      <c r="P956" s="66" t="s">
        <v>25</v>
      </c>
      <c r="Q956" s="68">
        <v>63518</v>
      </c>
      <c r="R956" s="68">
        <v>57223</v>
      </c>
      <c r="S956" s="69">
        <v>39498</v>
      </c>
      <c r="T956" s="69"/>
      <c r="U956" s="74" t="s">
        <v>61</v>
      </c>
      <c r="V956" s="75" t="s">
        <v>56</v>
      </c>
      <c r="W956" s="68">
        <v>80766039</v>
      </c>
      <c r="X956" s="68">
        <f t="shared" si="1101"/>
        <v>1271.5456878365187</v>
      </c>
      <c r="Y956" s="68">
        <f t="shared" si="1096"/>
        <v>1411.4261573143665</v>
      </c>
      <c r="Z956" s="68">
        <f t="shared" si="1097"/>
        <v>2044.8133829560991</v>
      </c>
      <c r="AA956" s="68" t="str">
        <f t="shared" si="1098"/>
        <v/>
      </c>
      <c r="AB956" s="73" t="s">
        <v>73</v>
      </c>
      <c r="AC956" s="55"/>
      <c r="AD956" s="93">
        <f t="shared" ref="AD956" si="1119">W956/AC952</f>
        <v>0.15169058318307349</v>
      </c>
    </row>
    <row r="957" spans="1:30" s="32" customFormat="1" ht="15.95">
      <c r="A957" s="65"/>
      <c r="B957" s="66" t="s">
        <v>48</v>
      </c>
      <c r="C957" s="66" t="s">
        <v>225</v>
      </c>
      <c r="D957" s="66" t="s">
        <v>270</v>
      </c>
      <c r="E957" s="66" t="s">
        <v>20</v>
      </c>
      <c r="F957" s="66" t="s">
        <v>21</v>
      </c>
      <c r="G957" s="66" t="s">
        <v>50</v>
      </c>
      <c r="H957" s="66"/>
      <c r="I957" s="66" t="s">
        <v>276</v>
      </c>
      <c r="J957" s="66"/>
      <c r="K957" s="66" t="s">
        <v>277</v>
      </c>
      <c r="L957" s="67">
        <v>2018</v>
      </c>
      <c r="M957" s="66" t="s">
        <v>166</v>
      </c>
      <c r="N957" s="66" t="s">
        <v>24</v>
      </c>
      <c r="O957" s="66" t="s">
        <v>54</v>
      </c>
      <c r="P957" s="66" t="s">
        <v>25</v>
      </c>
      <c r="Q957" s="68">
        <v>63518</v>
      </c>
      <c r="R957" s="68">
        <v>57223</v>
      </c>
      <c r="S957" s="69">
        <v>39498</v>
      </c>
      <c r="T957" s="69"/>
      <c r="U957" s="74" t="s">
        <v>62</v>
      </c>
      <c r="V957" s="75" t="s">
        <v>56</v>
      </c>
      <c r="W957" s="68">
        <v>9871984</v>
      </c>
      <c r="X957" s="68">
        <f t="shared" si="1101"/>
        <v>155.42025882427029</v>
      </c>
      <c r="Y957" s="68">
        <f t="shared" si="1096"/>
        <v>172.5177638362197</v>
      </c>
      <c r="Z957" s="68">
        <f t="shared" si="1097"/>
        <v>249.93630057218087</v>
      </c>
      <c r="AA957" s="68" t="str">
        <f t="shared" si="1098"/>
        <v/>
      </c>
      <c r="AB957" s="73" t="s">
        <v>73</v>
      </c>
      <c r="AC957" s="55"/>
      <c r="AD957" s="93">
        <f t="shared" ref="AD957" si="1120">W957/AC952</f>
        <v>1.8541048052808071E-2</v>
      </c>
    </row>
    <row r="958" spans="1:30" s="32" customFormat="1" ht="15.95">
      <c r="A958" s="65"/>
      <c r="B958" s="66" t="s">
        <v>48</v>
      </c>
      <c r="C958" s="66" t="s">
        <v>225</v>
      </c>
      <c r="D958" s="66" t="s">
        <v>270</v>
      </c>
      <c r="E958" s="66" t="s">
        <v>20</v>
      </c>
      <c r="F958" s="66" t="s">
        <v>21</v>
      </c>
      <c r="G958" s="66" t="s">
        <v>50</v>
      </c>
      <c r="H958" s="66"/>
      <c r="I958" s="66" t="s">
        <v>276</v>
      </c>
      <c r="J958" s="66"/>
      <c r="K958" s="66" t="s">
        <v>277</v>
      </c>
      <c r="L958" s="67">
        <v>2018</v>
      </c>
      <c r="M958" s="66" t="s">
        <v>166</v>
      </c>
      <c r="N958" s="66" t="s">
        <v>24</v>
      </c>
      <c r="O958" s="66" t="s">
        <v>54</v>
      </c>
      <c r="P958" s="66" t="s">
        <v>25</v>
      </c>
      <c r="Q958" s="68">
        <v>63518</v>
      </c>
      <c r="R958" s="68">
        <v>57223</v>
      </c>
      <c r="S958" s="69">
        <v>39498</v>
      </c>
      <c r="T958" s="69"/>
      <c r="U958" s="74" t="s">
        <v>63</v>
      </c>
      <c r="V958" s="75" t="s">
        <v>56</v>
      </c>
      <c r="W958" s="68">
        <v>10767106.990416512</v>
      </c>
      <c r="X958" s="68">
        <f t="shared" si="1101"/>
        <v>169.51268916553593</v>
      </c>
      <c r="Y958" s="68">
        <f t="shared" si="1096"/>
        <v>188.16047726292771</v>
      </c>
      <c r="Z958" s="68">
        <f t="shared" si="1097"/>
        <v>272.59878956951013</v>
      </c>
      <c r="AA958" s="68" t="str">
        <f t="shared" si="1098"/>
        <v/>
      </c>
      <c r="AB958" s="73" t="s">
        <v>73</v>
      </c>
      <c r="AC958" s="55"/>
      <c r="AD958" s="93">
        <f t="shared" ref="AD958" si="1121">W958/AC952</f>
        <v>2.0222221601963519E-2</v>
      </c>
    </row>
    <row r="959" spans="1:30" s="32" customFormat="1" ht="15.95">
      <c r="A959" s="65"/>
      <c r="B959" s="66" t="s">
        <v>48</v>
      </c>
      <c r="C959" s="66" t="s">
        <v>225</v>
      </c>
      <c r="D959" s="66" t="s">
        <v>270</v>
      </c>
      <c r="E959" s="66" t="s">
        <v>20</v>
      </c>
      <c r="F959" s="66" t="s">
        <v>21</v>
      </c>
      <c r="G959" s="66" t="s">
        <v>50</v>
      </c>
      <c r="H959" s="66"/>
      <c r="I959" s="66" t="s">
        <v>276</v>
      </c>
      <c r="J959" s="66"/>
      <c r="K959" s="66" t="s">
        <v>277</v>
      </c>
      <c r="L959" s="67">
        <v>2018</v>
      </c>
      <c r="M959" s="66" t="s">
        <v>166</v>
      </c>
      <c r="N959" s="66" t="s">
        <v>24</v>
      </c>
      <c r="O959" s="66" t="s">
        <v>54</v>
      </c>
      <c r="P959" s="66" t="s">
        <v>25</v>
      </c>
      <c r="Q959" s="68">
        <v>63518</v>
      </c>
      <c r="R959" s="68">
        <v>57223</v>
      </c>
      <c r="S959" s="69">
        <v>39498</v>
      </c>
      <c r="T959" s="69"/>
      <c r="U959" s="74" t="s">
        <v>64</v>
      </c>
      <c r="V959" s="75" t="s">
        <v>56</v>
      </c>
      <c r="W959" s="68">
        <v>0</v>
      </c>
      <c r="X959" s="68">
        <f t="shared" si="1101"/>
        <v>0</v>
      </c>
      <c r="Y959" s="68">
        <f t="shared" si="1096"/>
        <v>0</v>
      </c>
      <c r="Z959" s="68">
        <f t="shared" si="1097"/>
        <v>0</v>
      </c>
      <c r="AA959" s="68" t="str">
        <f t="shared" si="1098"/>
        <v/>
      </c>
      <c r="AB959" s="73" t="s">
        <v>73</v>
      </c>
      <c r="AC959" s="55"/>
      <c r="AD959" s="93">
        <f t="shared" ref="AD959" si="1122">W959/AC952</f>
        <v>0</v>
      </c>
    </row>
    <row r="960" spans="1:30" s="32" customFormat="1" ht="15.95">
      <c r="A960" s="65"/>
      <c r="B960" s="66" t="s">
        <v>48</v>
      </c>
      <c r="C960" s="66" t="s">
        <v>225</v>
      </c>
      <c r="D960" s="66" t="s">
        <v>270</v>
      </c>
      <c r="E960" s="66" t="s">
        <v>20</v>
      </c>
      <c r="F960" s="66" t="s">
        <v>21</v>
      </c>
      <c r="G960" s="66" t="s">
        <v>50</v>
      </c>
      <c r="H960" s="66"/>
      <c r="I960" s="66" t="s">
        <v>276</v>
      </c>
      <c r="J960" s="66"/>
      <c r="K960" s="66" t="s">
        <v>277</v>
      </c>
      <c r="L960" s="67">
        <v>2018</v>
      </c>
      <c r="M960" s="66" t="s">
        <v>166</v>
      </c>
      <c r="N960" s="66" t="s">
        <v>24</v>
      </c>
      <c r="O960" s="66" t="s">
        <v>54</v>
      </c>
      <c r="P960" s="66" t="s">
        <v>25</v>
      </c>
      <c r="Q960" s="68">
        <v>63518</v>
      </c>
      <c r="R960" s="68">
        <v>57223</v>
      </c>
      <c r="S960" s="69">
        <v>39498</v>
      </c>
      <c r="T960" s="69"/>
      <c r="U960" s="74" t="s">
        <v>65</v>
      </c>
      <c r="V960" s="75" t="s">
        <v>56</v>
      </c>
      <c r="W960" s="68">
        <v>96075723.914485827</v>
      </c>
      <c r="X960" s="68">
        <f t="shared" si="1101"/>
        <v>1512.5747648617057</v>
      </c>
      <c r="Y960" s="68">
        <f t="shared" si="1096"/>
        <v>1678.9704124999707</v>
      </c>
      <c r="Z960" s="68">
        <f t="shared" si="1097"/>
        <v>2432.419968466399</v>
      </c>
      <c r="AA960" s="68" t="str">
        <f t="shared" si="1098"/>
        <v/>
      </c>
      <c r="AB960" s="73" t="s">
        <v>73</v>
      </c>
      <c r="AC960" s="55"/>
      <c r="AD960" s="93">
        <f t="shared" ref="AD960" si="1123">W960/AC952</f>
        <v>0.18044443890982839</v>
      </c>
    </row>
    <row r="961" spans="1:30" s="32" customFormat="1" ht="15.95">
      <c r="A961" s="65"/>
      <c r="B961" s="66" t="s">
        <v>48</v>
      </c>
      <c r="C961" s="66" t="s">
        <v>225</v>
      </c>
      <c r="D961" s="66" t="s">
        <v>270</v>
      </c>
      <c r="E961" s="66" t="s">
        <v>20</v>
      </c>
      <c r="F961" s="66" t="s">
        <v>21</v>
      </c>
      <c r="G961" s="66" t="s">
        <v>50</v>
      </c>
      <c r="H961" s="66"/>
      <c r="I961" s="66" t="s">
        <v>276</v>
      </c>
      <c r="J961" s="66"/>
      <c r="K961" s="66" t="s">
        <v>277</v>
      </c>
      <c r="L961" s="67">
        <v>2018</v>
      </c>
      <c r="M961" s="66" t="s">
        <v>166</v>
      </c>
      <c r="N961" s="66" t="s">
        <v>24</v>
      </c>
      <c r="O961" s="66" t="s">
        <v>54</v>
      </c>
      <c r="P961" s="66" t="s">
        <v>25</v>
      </c>
      <c r="Q961" s="68">
        <v>63518</v>
      </c>
      <c r="R961" s="68">
        <v>57223</v>
      </c>
      <c r="S961" s="69">
        <v>39498</v>
      </c>
      <c r="T961" s="69"/>
      <c r="U961" s="74" t="s">
        <v>66</v>
      </c>
      <c r="V961" s="75" t="s">
        <v>56</v>
      </c>
      <c r="W961" s="68">
        <v>129595214.09509766</v>
      </c>
      <c r="X961" s="68">
        <f t="shared" si="1101"/>
        <v>2040.2911630576791</v>
      </c>
      <c r="Y961" s="68">
        <f t="shared" si="1096"/>
        <v>2264.7399488858964</v>
      </c>
      <c r="Z961" s="68">
        <f t="shared" si="1097"/>
        <v>3281.0576255784513</v>
      </c>
      <c r="AA961" s="68" t="str">
        <f t="shared" si="1098"/>
        <v/>
      </c>
      <c r="AB961" s="73" t="s">
        <v>73</v>
      </c>
      <c r="AC961" s="55"/>
      <c r="AD961" s="93">
        <f t="shared" ref="AD961" si="1124">W961/AC952</f>
        <v>0.24339900590916227</v>
      </c>
    </row>
    <row r="962" spans="1:30" s="32" customFormat="1" ht="15.95">
      <c r="A962" s="65"/>
      <c r="B962" s="66" t="s">
        <v>48</v>
      </c>
      <c r="C962" s="66" t="s">
        <v>225</v>
      </c>
      <c r="D962" s="66" t="s">
        <v>270</v>
      </c>
      <c r="E962" s="66" t="s">
        <v>20</v>
      </c>
      <c r="F962" s="66" t="s">
        <v>21</v>
      </c>
      <c r="G962" s="66" t="s">
        <v>50</v>
      </c>
      <c r="H962" s="66"/>
      <c r="I962" s="66" t="s">
        <v>276</v>
      </c>
      <c r="J962" s="66"/>
      <c r="K962" s="66" t="s">
        <v>277</v>
      </c>
      <c r="L962" s="67">
        <v>2018</v>
      </c>
      <c r="M962" s="66" t="s">
        <v>166</v>
      </c>
      <c r="N962" s="66" t="s">
        <v>24</v>
      </c>
      <c r="O962" s="66" t="s">
        <v>54</v>
      </c>
      <c r="P962" s="66" t="s">
        <v>25</v>
      </c>
      <c r="Q962" s="68">
        <v>63518</v>
      </c>
      <c r="R962" s="68">
        <v>57223</v>
      </c>
      <c r="S962" s="69">
        <v>39498</v>
      </c>
      <c r="T962" s="69"/>
      <c r="U962" s="74" t="s">
        <v>67</v>
      </c>
      <c r="V962" s="75" t="s">
        <v>56</v>
      </c>
      <c r="W962" s="68">
        <v>13230000</v>
      </c>
      <c r="X962" s="68">
        <f t="shared" si="1101"/>
        <v>208.28741459113951</v>
      </c>
      <c r="Y962" s="68">
        <f t="shared" si="1096"/>
        <v>231.20074096080248</v>
      </c>
      <c r="Z962" s="68">
        <f t="shared" si="1097"/>
        <v>334.95366854017925</v>
      </c>
      <c r="AA962" s="68" t="str">
        <f t="shared" si="1098"/>
        <v/>
      </c>
      <c r="AB962" s="73" t="s">
        <v>73</v>
      </c>
      <c r="AC962" s="55"/>
      <c r="AD962" s="93">
        <f t="shared" ref="AD962" si="1125">W962/AC952</f>
        <v>2.4847899443379444E-2</v>
      </c>
    </row>
    <row r="963" spans="1:30" s="32" customFormat="1" ht="15.95">
      <c r="A963" s="65"/>
      <c r="B963" s="66" t="s">
        <v>48</v>
      </c>
      <c r="C963" s="66" t="s">
        <v>225</v>
      </c>
      <c r="D963" s="66" t="s">
        <v>270</v>
      </c>
      <c r="E963" s="66" t="s">
        <v>20</v>
      </c>
      <c r="F963" s="66" t="s">
        <v>21</v>
      </c>
      <c r="G963" s="66" t="s">
        <v>50</v>
      </c>
      <c r="H963" s="66"/>
      <c r="I963" s="66" t="s">
        <v>276</v>
      </c>
      <c r="J963" s="66"/>
      <c r="K963" s="66" t="s">
        <v>277</v>
      </c>
      <c r="L963" s="67">
        <v>2018</v>
      </c>
      <c r="M963" s="66" t="s">
        <v>166</v>
      </c>
      <c r="N963" s="66" t="s">
        <v>24</v>
      </c>
      <c r="O963" s="66" t="s">
        <v>54</v>
      </c>
      <c r="P963" s="66" t="s">
        <v>25</v>
      </c>
      <c r="Q963" s="68">
        <v>63518</v>
      </c>
      <c r="R963" s="68">
        <v>57223</v>
      </c>
      <c r="S963" s="69">
        <v>39498</v>
      </c>
      <c r="T963" s="69"/>
      <c r="U963" s="74" t="s">
        <v>68</v>
      </c>
      <c r="V963" s="75" t="s">
        <v>56</v>
      </c>
      <c r="W963" s="68">
        <v>12850297.999999998</v>
      </c>
      <c r="X963" s="68">
        <f t="shared" si="1101"/>
        <v>202.30955004880502</v>
      </c>
      <c r="Y963" s="68">
        <f t="shared" si="1096"/>
        <v>224.56526221973678</v>
      </c>
      <c r="Z963" s="68">
        <f t="shared" si="1097"/>
        <v>325.34047293533843</v>
      </c>
      <c r="AA963" s="68" t="str">
        <f t="shared" si="1098"/>
        <v/>
      </c>
      <c r="AB963" s="73" t="s">
        <v>73</v>
      </c>
      <c r="AC963" s="55"/>
      <c r="AD963" s="93">
        <f t="shared" ref="AD963" si="1126">W963/AC952</f>
        <v>2.4134762851206346E-2</v>
      </c>
    </row>
    <row r="964" spans="1:30" s="32" customFormat="1" ht="15.95">
      <c r="A964" s="65"/>
      <c r="B964" s="66" t="s">
        <v>48</v>
      </c>
      <c r="C964" s="66" t="s">
        <v>225</v>
      </c>
      <c r="D964" s="66" t="s">
        <v>270</v>
      </c>
      <c r="E964" s="66" t="s">
        <v>20</v>
      </c>
      <c r="F964" s="66" t="s">
        <v>21</v>
      </c>
      <c r="G964" s="66" t="s">
        <v>50</v>
      </c>
      <c r="H964" s="66"/>
      <c r="I964" s="66" t="s">
        <v>276</v>
      </c>
      <c r="J964" s="66"/>
      <c r="K964" s="66" t="s">
        <v>277</v>
      </c>
      <c r="L964" s="67">
        <v>2018</v>
      </c>
      <c r="M964" s="66" t="s">
        <v>166</v>
      </c>
      <c r="N964" s="66" t="s">
        <v>24</v>
      </c>
      <c r="O964" s="66" t="s">
        <v>54</v>
      </c>
      <c r="P964" s="66" t="s">
        <v>25</v>
      </c>
      <c r="Q964" s="68">
        <v>63518</v>
      </c>
      <c r="R964" s="68">
        <v>57223</v>
      </c>
      <c r="S964" s="69">
        <v>39498</v>
      </c>
      <c r="T964" s="69"/>
      <c r="U964" s="74" t="s">
        <v>69</v>
      </c>
      <c r="V964" s="75" t="s">
        <v>56</v>
      </c>
      <c r="W964" s="68">
        <v>77847177</v>
      </c>
      <c r="X964" s="68">
        <f t="shared" si="1101"/>
        <v>1225.5923832614376</v>
      </c>
      <c r="Y964" s="68">
        <f t="shared" si="1096"/>
        <v>1360.4176117994514</v>
      </c>
      <c r="Z964" s="68">
        <f t="shared" si="1097"/>
        <v>1970.9144007291509</v>
      </c>
      <c r="AA964" s="68" t="str">
        <f t="shared" si="1098"/>
        <v/>
      </c>
      <c r="AB964" s="73" t="s">
        <v>73</v>
      </c>
      <c r="AC964" s="55"/>
      <c r="AD964" s="93">
        <f t="shared" ref="AD964" si="1127">W964/AC952</f>
        <v>0.14620852804587764</v>
      </c>
    </row>
    <row r="965" spans="1:30" s="55" customFormat="1" ht="15" customHeight="1">
      <c r="A965" s="57"/>
      <c r="B965" s="58" t="s">
        <v>48</v>
      </c>
      <c r="C965" s="58" t="s">
        <v>225</v>
      </c>
      <c r="D965" s="58" t="s">
        <v>278</v>
      </c>
      <c r="E965" s="58" t="s">
        <v>20</v>
      </c>
      <c r="F965" s="58" t="s">
        <v>21</v>
      </c>
      <c r="G965" s="58" t="s">
        <v>50</v>
      </c>
      <c r="H965" s="58"/>
      <c r="I965" s="58" t="s">
        <v>279</v>
      </c>
      <c r="J965" s="58"/>
      <c r="K965" s="58" t="s">
        <v>280</v>
      </c>
      <c r="L965" s="59">
        <v>2021</v>
      </c>
      <c r="M965" s="58" t="s">
        <v>281</v>
      </c>
      <c r="N965" s="58" t="s">
        <v>24</v>
      </c>
      <c r="O965" s="58" t="s">
        <v>54</v>
      </c>
      <c r="P965" s="58" t="s">
        <v>25</v>
      </c>
      <c r="Q965" s="60">
        <v>13539</v>
      </c>
      <c r="R965" s="60">
        <v>13225</v>
      </c>
      <c r="S965" s="61">
        <v>11508</v>
      </c>
      <c r="T965" s="61"/>
      <c r="U965" s="62" t="s">
        <v>55</v>
      </c>
      <c r="V965" s="63" t="s">
        <v>56</v>
      </c>
      <c r="W965" s="60">
        <v>9411185</v>
      </c>
      <c r="X965" s="60">
        <f t="shared" si="1101"/>
        <v>695.11669990398104</v>
      </c>
      <c r="Y965" s="60">
        <f t="shared" si="1096"/>
        <v>711.62079395085061</v>
      </c>
      <c r="Z965" s="60">
        <f t="shared" si="1097"/>
        <v>817.79501216545009</v>
      </c>
      <c r="AA965" s="60" t="str">
        <f t="shared" si="1098"/>
        <v/>
      </c>
      <c r="AB965" s="64" t="s">
        <v>73</v>
      </c>
      <c r="AC965" s="92">
        <f t="shared" ref="AC965" si="1128">SUM(W965:W977)</f>
        <v>74837156</v>
      </c>
      <c r="AD965" s="93">
        <f t="shared" ref="AD965" si="1129">W965/AC965</f>
        <v>0.12575551374507069</v>
      </c>
    </row>
    <row r="966" spans="1:30" s="55" customFormat="1" ht="15.95">
      <c r="A966" s="57"/>
      <c r="B966" s="58" t="s">
        <v>48</v>
      </c>
      <c r="C966" s="58" t="s">
        <v>225</v>
      </c>
      <c r="D966" s="58" t="s">
        <v>278</v>
      </c>
      <c r="E966" s="58" t="s">
        <v>20</v>
      </c>
      <c r="F966" s="58" t="s">
        <v>21</v>
      </c>
      <c r="G966" s="58" t="s">
        <v>50</v>
      </c>
      <c r="H966" s="58"/>
      <c r="I966" s="58" t="s">
        <v>279</v>
      </c>
      <c r="J966" s="58"/>
      <c r="K966" s="58" t="s">
        <v>280</v>
      </c>
      <c r="L966" s="59">
        <v>2021</v>
      </c>
      <c r="M966" s="58" t="s">
        <v>281</v>
      </c>
      <c r="N966" s="58" t="s">
        <v>24</v>
      </c>
      <c r="O966" s="58" t="s">
        <v>54</v>
      </c>
      <c r="P966" s="58" t="s">
        <v>25</v>
      </c>
      <c r="Q966" s="60">
        <v>13539</v>
      </c>
      <c r="R966" s="60">
        <v>13225</v>
      </c>
      <c r="S966" s="61">
        <v>11508</v>
      </c>
      <c r="T966" s="61"/>
      <c r="U966" s="62" t="s">
        <v>58</v>
      </c>
      <c r="V966" s="63" t="s">
        <v>56</v>
      </c>
      <c r="W966" s="60">
        <v>13637022</v>
      </c>
      <c r="X966" s="60">
        <f t="shared" si="1101"/>
        <v>1007.2399734101484</v>
      </c>
      <c r="Y966" s="60">
        <f t="shared" si="1096"/>
        <v>1031.1547826086955</v>
      </c>
      <c r="Z966" s="60">
        <f t="shared" si="1097"/>
        <v>1185.0036496350365</v>
      </c>
      <c r="AA966" s="60" t="str">
        <f t="shared" si="1098"/>
        <v/>
      </c>
      <c r="AB966" s="64" t="s">
        <v>73</v>
      </c>
      <c r="AD966" s="93">
        <f t="shared" ref="AD966" si="1130">W966/AC965</f>
        <v>0.182222611452525</v>
      </c>
    </row>
    <row r="967" spans="1:30" s="55" customFormat="1" ht="15.95">
      <c r="A967" s="57"/>
      <c r="B967" s="58" t="s">
        <v>48</v>
      </c>
      <c r="C967" s="58" t="s">
        <v>225</v>
      </c>
      <c r="D967" s="58" t="s">
        <v>278</v>
      </c>
      <c r="E967" s="58" t="s">
        <v>20</v>
      </c>
      <c r="F967" s="58" t="s">
        <v>21</v>
      </c>
      <c r="G967" s="58" t="s">
        <v>50</v>
      </c>
      <c r="H967" s="58"/>
      <c r="I967" s="58" t="s">
        <v>279</v>
      </c>
      <c r="J967" s="58"/>
      <c r="K967" s="58" t="s">
        <v>280</v>
      </c>
      <c r="L967" s="59">
        <v>2021</v>
      </c>
      <c r="M967" s="58" t="s">
        <v>281</v>
      </c>
      <c r="N967" s="58" t="s">
        <v>24</v>
      </c>
      <c r="O967" s="58" t="s">
        <v>54</v>
      </c>
      <c r="P967" s="58" t="s">
        <v>25</v>
      </c>
      <c r="Q967" s="60">
        <v>13539</v>
      </c>
      <c r="R967" s="60">
        <v>13225</v>
      </c>
      <c r="S967" s="61">
        <v>11508</v>
      </c>
      <c r="T967" s="61"/>
      <c r="U967" s="62" t="s">
        <v>59</v>
      </c>
      <c r="V967" s="63" t="s">
        <v>56</v>
      </c>
      <c r="W967" s="60">
        <v>7196396</v>
      </c>
      <c r="X967" s="60">
        <f t="shared" si="1101"/>
        <v>531.53083684171656</v>
      </c>
      <c r="Y967" s="60">
        <f t="shared" si="1096"/>
        <v>544.15092627599245</v>
      </c>
      <c r="Z967" s="60">
        <f t="shared" si="1097"/>
        <v>625.33854709767115</v>
      </c>
      <c r="AA967" s="60" t="str">
        <f t="shared" si="1098"/>
        <v/>
      </c>
      <c r="AB967" s="64" t="s">
        <v>73</v>
      </c>
      <c r="AD967" s="93">
        <f t="shared" ref="AD967" si="1131">W967/AC965</f>
        <v>9.6160735985210341E-2</v>
      </c>
    </row>
    <row r="968" spans="1:30" s="55" customFormat="1" ht="15.95">
      <c r="A968" s="57"/>
      <c r="B968" s="58" t="s">
        <v>48</v>
      </c>
      <c r="C968" s="58" t="s">
        <v>225</v>
      </c>
      <c r="D968" s="58" t="s">
        <v>278</v>
      </c>
      <c r="E968" s="58" t="s">
        <v>20</v>
      </c>
      <c r="F968" s="58" t="s">
        <v>21</v>
      </c>
      <c r="G968" s="58" t="s">
        <v>50</v>
      </c>
      <c r="H968" s="58"/>
      <c r="I968" s="58" t="s">
        <v>279</v>
      </c>
      <c r="J968" s="58"/>
      <c r="K968" s="58" t="s">
        <v>280</v>
      </c>
      <c r="L968" s="59">
        <v>2021</v>
      </c>
      <c r="M968" s="58" t="s">
        <v>281</v>
      </c>
      <c r="N968" s="58" t="s">
        <v>24</v>
      </c>
      <c r="O968" s="58" t="s">
        <v>54</v>
      </c>
      <c r="P968" s="58" t="s">
        <v>25</v>
      </c>
      <c r="Q968" s="60">
        <v>13539</v>
      </c>
      <c r="R968" s="60">
        <v>13225</v>
      </c>
      <c r="S968" s="61">
        <v>11508</v>
      </c>
      <c r="T968" s="61"/>
      <c r="U968" s="62" t="s">
        <v>60</v>
      </c>
      <c r="V968" s="63" t="s">
        <v>56</v>
      </c>
      <c r="W968" s="60">
        <v>2058510</v>
      </c>
      <c r="X968" s="60">
        <f t="shared" si="1101"/>
        <v>152.04298692665634</v>
      </c>
      <c r="Y968" s="60">
        <f t="shared" si="1096"/>
        <v>155.65293005671077</v>
      </c>
      <c r="Z968" s="60">
        <f t="shared" si="1097"/>
        <v>178.87643378519292</v>
      </c>
      <c r="AA968" s="60" t="str">
        <f t="shared" si="1098"/>
        <v/>
      </c>
      <c r="AB968" s="64" t="s">
        <v>73</v>
      </c>
      <c r="AD968" s="93">
        <f t="shared" ref="AD968" si="1132">W968/AC965</f>
        <v>2.7506523631122486E-2</v>
      </c>
    </row>
    <row r="969" spans="1:30" s="55" customFormat="1" ht="15.95">
      <c r="A969" s="57"/>
      <c r="B969" s="58" t="s">
        <v>48</v>
      </c>
      <c r="C969" s="58" t="s">
        <v>225</v>
      </c>
      <c r="D969" s="58" t="s">
        <v>278</v>
      </c>
      <c r="E969" s="58" t="s">
        <v>20</v>
      </c>
      <c r="F969" s="58" t="s">
        <v>21</v>
      </c>
      <c r="G969" s="58" t="s">
        <v>50</v>
      </c>
      <c r="H969" s="58"/>
      <c r="I969" s="58" t="s">
        <v>279</v>
      </c>
      <c r="J969" s="58"/>
      <c r="K969" s="58" t="s">
        <v>280</v>
      </c>
      <c r="L969" s="59">
        <v>2021</v>
      </c>
      <c r="M969" s="58" t="s">
        <v>281</v>
      </c>
      <c r="N969" s="58" t="s">
        <v>24</v>
      </c>
      <c r="O969" s="58" t="s">
        <v>54</v>
      </c>
      <c r="P969" s="58" t="s">
        <v>25</v>
      </c>
      <c r="Q969" s="60">
        <v>13539</v>
      </c>
      <c r="R969" s="60">
        <v>13225</v>
      </c>
      <c r="S969" s="61">
        <v>11508</v>
      </c>
      <c r="T969" s="61"/>
      <c r="U969" s="62" t="s">
        <v>61</v>
      </c>
      <c r="V969" s="63" t="s">
        <v>56</v>
      </c>
      <c r="W969" s="60">
        <v>4500675</v>
      </c>
      <c r="X969" s="60">
        <f t="shared" si="1101"/>
        <v>332.42300022158207</v>
      </c>
      <c r="Y969" s="60">
        <f t="shared" si="1096"/>
        <v>340.3156899810964</v>
      </c>
      <c r="Z969" s="60">
        <f t="shared" si="1097"/>
        <v>391.09098018769549</v>
      </c>
      <c r="AA969" s="60" t="str">
        <f t="shared" si="1098"/>
        <v/>
      </c>
      <c r="AB969" s="64" t="s">
        <v>73</v>
      </c>
      <c r="AD969" s="93">
        <f t="shared" ref="AD969" si="1133">W969/AC965</f>
        <v>6.0139578259761767E-2</v>
      </c>
    </row>
    <row r="970" spans="1:30" s="55" customFormat="1" ht="15.95">
      <c r="A970" s="57"/>
      <c r="B970" s="58" t="s">
        <v>48</v>
      </c>
      <c r="C970" s="58" t="s">
        <v>225</v>
      </c>
      <c r="D970" s="58" t="s">
        <v>278</v>
      </c>
      <c r="E970" s="58" t="s">
        <v>20</v>
      </c>
      <c r="F970" s="58" t="s">
        <v>21</v>
      </c>
      <c r="G970" s="58" t="s">
        <v>50</v>
      </c>
      <c r="H970" s="58"/>
      <c r="I970" s="58" t="s">
        <v>279</v>
      </c>
      <c r="J970" s="58"/>
      <c r="K970" s="58" t="s">
        <v>280</v>
      </c>
      <c r="L970" s="59">
        <v>2021</v>
      </c>
      <c r="M970" s="58" t="s">
        <v>281</v>
      </c>
      <c r="N970" s="58" t="s">
        <v>24</v>
      </c>
      <c r="O970" s="58" t="s">
        <v>54</v>
      </c>
      <c r="P970" s="58" t="s">
        <v>25</v>
      </c>
      <c r="Q970" s="60">
        <v>13539</v>
      </c>
      <c r="R970" s="60">
        <v>13225</v>
      </c>
      <c r="S970" s="61">
        <v>11508</v>
      </c>
      <c r="T970" s="61"/>
      <c r="U970" s="62" t="s">
        <v>62</v>
      </c>
      <c r="V970" s="63" t="s">
        <v>56</v>
      </c>
      <c r="W970" s="60">
        <v>1070400</v>
      </c>
      <c r="X970" s="60">
        <f t="shared" si="1101"/>
        <v>79.060491912253497</v>
      </c>
      <c r="Y970" s="60">
        <f t="shared" si="1096"/>
        <v>80.937618147448021</v>
      </c>
      <c r="Z970" s="60">
        <f t="shared" si="1097"/>
        <v>93.01355578727842</v>
      </c>
      <c r="AA970" s="60" t="str">
        <f t="shared" si="1098"/>
        <v/>
      </c>
      <c r="AB970" s="64" t="s">
        <v>73</v>
      </c>
      <c r="AD970" s="93">
        <f t="shared" ref="AD970" si="1134">W970/AC965</f>
        <v>1.4303055557055107E-2</v>
      </c>
    </row>
    <row r="971" spans="1:30" s="55" customFormat="1" ht="15.95">
      <c r="A971" s="57"/>
      <c r="B971" s="58" t="s">
        <v>48</v>
      </c>
      <c r="C971" s="58" t="s">
        <v>225</v>
      </c>
      <c r="D971" s="58" t="s">
        <v>278</v>
      </c>
      <c r="E971" s="58" t="s">
        <v>20</v>
      </c>
      <c r="F971" s="58" t="s">
        <v>21</v>
      </c>
      <c r="G971" s="58" t="s">
        <v>50</v>
      </c>
      <c r="H971" s="58"/>
      <c r="I971" s="58" t="s">
        <v>279</v>
      </c>
      <c r="J971" s="58"/>
      <c r="K971" s="58" t="s">
        <v>280</v>
      </c>
      <c r="L971" s="59">
        <v>2021</v>
      </c>
      <c r="M971" s="58" t="s">
        <v>281</v>
      </c>
      <c r="N971" s="58" t="s">
        <v>24</v>
      </c>
      <c r="O971" s="58" t="s">
        <v>54</v>
      </c>
      <c r="P971" s="58" t="s">
        <v>25</v>
      </c>
      <c r="Q971" s="60">
        <v>13539</v>
      </c>
      <c r="R971" s="60">
        <v>13225</v>
      </c>
      <c r="S971" s="61">
        <v>11508</v>
      </c>
      <c r="T971" s="61"/>
      <c r="U971" s="62" t="s">
        <v>63</v>
      </c>
      <c r="V971" s="63" t="s">
        <v>56</v>
      </c>
      <c r="W971" s="60">
        <v>153390</v>
      </c>
      <c r="X971" s="60">
        <f t="shared" si="1101"/>
        <v>11.329492576999778</v>
      </c>
      <c r="Y971" s="60">
        <f t="shared" si="1096"/>
        <v>11.598487712665406</v>
      </c>
      <c r="Z971" s="60">
        <f t="shared" si="1097"/>
        <v>13.328988529718456</v>
      </c>
      <c r="AA971" s="60" t="str">
        <f t="shared" si="1098"/>
        <v/>
      </c>
      <c r="AB971" s="64" t="s">
        <v>73</v>
      </c>
      <c r="AD971" s="93">
        <f t="shared" ref="AD971" si="1135">W971/AC965</f>
        <v>2.0496503100679024E-3</v>
      </c>
    </row>
    <row r="972" spans="1:30" s="55" customFormat="1" ht="15.95">
      <c r="A972" s="57"/>
      <c r="B972" s="58" t="s">
        <v>48</v>
      </c>
      <c r="C972" s="58" t="s">
        <v>225</v>
      </c>
      <c r="D972" s="58" t="s">
        <v>278</v>
      </c>
      <c r="E972" s="58" t="s">
        <v>20</v>
      </c>
      <c r="F972" s="58" t="s">
        <v>21</v>
      </c>
      <c r="G972" s="58" t="s">
        <v>50</v>
      </c>
      <c r="H972" s="58"/>
      <c r="I972" s="58" t="s">
        <v>279</v>
      </c>
      <c r="J972" s="58"/>
      <c r="K972" s="58" t="s">
        <v>280</v>
      </c>
      <c r="L972" s="59">
        <v>2021</v>
      </c>
      <c r="M972" s="58" t="s">
        <v>281</v>
      </c>
      <c r="N972" s="58" t="s">
        <v>24</v>
      </c>
      <c r="O972" s="58" t="s">
        <v>54</v>
      </c>
      <c r="P972" s="58" t="s">
        <v>25</v>
      </c>
      <c r="Q972" s="60">
        <v>13539</v>
      </c>
      <c r="R972" s="60">
        <v>13225</v>
      </c>
      <c r="S972" s="61">
        <v>11508</v>
      </c>
      <c r="T972" s="61"/>
      <c r="U972" s="62" t="s">
        <v>64</v>
      </c>
      <c r="V972" s="63" t="s">
        <v>56</v>
      </c>
      <c r="W972" s="60">
        <v>0</v>
      </c>
      <c r="X972" s="60">
        <f t="shared" si="1101"/>
        <v>0</v>
      </c>
      <c r="Y972" s="60">
        <f t="shared" si="1096"/>
        <v>0</v>
      </c>
      <c r="Z972" s="60">
        <f t="shared" si="1097"/>
        <v>0</v>
      </c>
      <c r="AA972" s="60" t="str">
        <f t="shared" si="1098"/>
        <v/>
      </c>
      <c r="AB972" s="64" t="s">
        <v>73</v>
      </c>
      <c r="AD972" s="93">
        <f t="shared" ref="AD972" si="1136">W972/AC965</f>
        <v>0</v>
      </c>
    </row>
    <row r="973" spans="1:30" s="55" customFormat="1" ht="15.95">
      <c r="A973" s="57"/>
      <c r="B973" s="58" t="s">
        <v>48</v>
      </c>
      <c r="C973" s="58" t="s">
        <v>225</v>
      </c>
      <c r="D973" s="58" t="s">
        <v>278</v>
      </c>
      <c r="E973" s="58" t="s">
        <v>20</v>
      </c>
      <c r="F973" s="58" t="s">
        <v>21</v>
      </c>
      <c r="G973" s="58" t="s">
        <v>50</v>
      </c>
      <c r="H973" s="58"/>
      <c r="I973" s="58" t="s">
        <v>279</v>
      </c>
      <c r="J973" s="58"/>
      <c r="K973" s="58" t="s">
        <v>280</v>
      </c>
      <c r="L973" s="59">
        <v>2021</v>
      </c>
      <c r="M973" s="58" t="s">
        <v>281</v>
      </c>
      <c r="N973" s="58" t="s">
        <v>24</v>
      </c>
      <c r="O973" s="58" t="s">
        <v>54</v>
      </c>
      <c r="P973" s="58" t="s">
        <v>25</v>
      </c>
      <c r="Q973" s="60">
        <v>13539</v>
      </c>
      <c r="R973" s="60">
        <v>13225</v>
      </c>
      <c r="S973" s="61">
        <v>11508</v>
      </c>
      <c r="T973" s="61"/>
      <c r="U973" s="62" t="s">
        <v>65</v>
      </c>
      <c r="V973" s="63" t="s">
        <v>56</v>
      </c>
      <c r="W973" s="60">
        <v>12431500</v>
      </c>
      <c r="X973" s="60">
        <f t="shared" si="1101"/>
        <v>918.19927616515247</v>
      </c>
      <c r="Y973" s="60">
        <f t="shared" si="1096"/>
        <v>940</v>
      </c>
      <c r="Z973" s="60">
        <f t="shared" si="1097"/>
        <v>1080.248522766771</v>
      </c>
      <c r="AA973" s="60" t="str">
        <f t="shared" si="1098"/>
        <v/>
      </c>
      <c r="AB973" s="64" t="s">
        <v>73</v>
      </c>
      <c r="AD973" s="93">
        <f t="shared" ref="AD973" si="1137">W973/AC965</f>
        <v>0.16611400892893363</v>
      </c>
    </row>
    <row r="974" spans="1:30" s="55" customFormat="1" ht="15.95">
      <c r="A974" s="57"/>
      <c r="B974" s="58" t="s">
        <v>48</v>
      </c>
      <c r="C974" s="58" t="s">
        <v>225</v>
      </c>
      <c r="D974" s="58" t="s">
        <v>278</v>
      </c>
      <c r="E974" s="58" t="s">
        <v>20</v>
      </c>
      <c r="F974" s="58" t="s">
        <v>21</v>
      </c>
      <c r="G974" s="58" t="s">
        <v>50</v>
      </c>
      <c r="H974" s="58"/>
      <c r="I974" s="58" t="s">
        <v>279</v>
      </c>
      <c r="J974" s="58"/>
      <c r="K974" s="58" t="s">
        <v>280</v>
      </c>
      <c r="L974" s="59">
        <v>2021</v>
      </c>
      <c r="M974" s="58" t="s">
        <v>281</v>
      </c>
      <c r="N974" s="58" t="s">
        <v>24</v>
      </c>
      <c r="O974" s="58" t="s">
        <v>54</v>
      </c>
      <c r="P974" s="58" t="s">
        <v>25</v>
      </c>
      <c r="Q974" s="60">
        <v>13539</v>
      </c>
      <c r="R974" s="60">
        <v>13225</v>
      </c>
      <c r="S974" s="61">
        <v>11508</v>
      </c>
      <c r="T974" s="61"/>
      <c r="U974" s="62" t="s">
        <v>66</v>
      </c>
      <c r="V974" s="63" t="s">
        <v>56</v>
      </c>
      <c r="W974" s="60">
        <v>7987900</v>
      </c>
      <c r="X974" s="60">
        <f t="shared" si="1101"/>
        <v>589.99187532314056</v>
      </c>
      <c r="Y974" s="60">
        <f t="shared" si="1096"/>
        <v>604</v>
      </c>
      <c r="Z974" s="60">
        <f t="shared" si="1097"/>
        <v>694.11713590545708</v>
      </c>
      <c r="AA974" s="60" t="str">
        <f t="shared" si="1098"/>
        <v/>
      </c>
      <c r="AB974" s="64" t="s">
        <v>73</v>
      </c>
      <c r="AD974" s="93">
        <f t="shared" ref="AD974" si="1138">W974/AC965</f>
        <v>0.10673708658837863</v>
      </c>
    </row>
    <row r="975" spans="1:30" s="55" customFormat="1" ht="15.95">
      <c r="A975" s="57"/>
      <c r="B975" s="58" t="s">
        <v>48</v>
      </c>
      <c r="C975" s="58" t="s">
        <v>225</v>
      </c>
      <c r="D975" s="58" t="s">
        <v>278</v>
      </c>
      <c r="E975" s="58" t="s">
        <v>20</v>
      </c>
      <c r="F975" s="58" t="s">
        <v>21</v>
      </c>
      <c r="G975" s="58" t="s">
        <v>50</v>
      </c>
      <c r="H975" s="58"/>
      <c r="I975" s="58" t="s">
        <v>279</v>
      </c>
      <c r="J975" s="58"/>
      <c r="K975" s="58" t="s">
        <v>280</v>
      </c>
      <c r="L975" s="59">
        <v>2021</v>
      </c>
      <c r="M975" s="58" t="s">
        <v>281</v>
      </c>
      <c r="N975" s="58" t="s">
        <v>24</v>
      </c>
      <c r="O975" s="58" t="s">
        <v>54</v>
      </c>
      <c r="P975" s="58" t="s">
        <v>25</v>
      </c>
      <c r="Q975" s="60">
        <v>13539</v>
      </c>
      <c r="R975" s="60">
        <v>13225</v>
      </c>
      <c r="S975" s="61">
        <v>11508</v>
      </c>
      <c r="T975" s="61"/>
      <c r="U975" s="62" t="s">
        <v>67</v>
      </c>
      <c r="V975" s="63" t="s">
        <v>56</v>
      </c>
      <c r="W975" s="60">
        <v>400000</v>
      </c>
      <c r="X975" s="60">
        <f t="shared" si="1101"/>
        <v>29.544279488883966</v>
      </c>
      <c r="Y975" s="60">
        <f t="shared" si="1096"/>
        <v>30.245746691871457</v>
      </c>
      <c r="Z975" s="60">
        <f t="shared" si="1097"/>
        <v>34.758428919012857</v>
      </c>
      <c r="AA975" s="60" t="str">
        <f t="shared" si="1098"/>
        <v/>
      </c>
      <c r="AB975" s="64" t="s">
        <v>73</v>
      </c>
      <c r="AD975" s="93">
        <f t="shared" ref="AD975" si="1139">W975/AC965</f>
        <v>5.3449385489742554E-3</v>
      </c>
    </row>
    <row r="976" spans="1:30" s="55" customFormat="1" ht="15.95">
      <c r="A976" s="57"/>
      <c r="B976" s="58" t="s">
        <v>48</v>
      </c>
      <c r="C976" s="58" t="s">
        <v>225</v>
      </c>
      <c r="D976" s="58" t="s">
        <v>278</v>
      </c>
      <c r="E976" s="58" t="s">
        <v>20</v>
      </c>
      <c r="F976" s="58" t="s">
        <v>21</v>
      </c>
      <c r="G976" s="58" t="s">
        <v>50</v>
      </c>
      <c r="H976" s="58"/>
      <c r="I976" s="58" t="s">
        <v>279</v>
      </c>
      <c r="J976" s="58"/>
      <c r="K976" s="58" t="s">
        <v>280</v>
      </c>
      <c r="L976" s="59">
        <v>2021</v>
      </c>
      <c r="M976" s="58" t="s">
        <v>281</v>
      </c>
      <c r="N976" s="58" t="s">
        <v>24</v>
      </c>
      <c r="O976" s="58" t="s">
        <v>54</v>
      </c>
      <c r="P976" s="58" t="s">
        <v>25</v>
      </c>
      <c r="Q976" s="60">
        <v>13539</v>
      </c>
      <c r="R976" s="60">
        <v>13225</v>
      </c>
      <c r="S976" s="61">
        <v>11508</v>
      </c>
      <c r="T976" s="61"/>
      <c r="U976" s="62" t="s">
        <v>68</v>
      </c>
      <c r="V976" s="63" t="s">
        <v>56</v>
      </c>
      <c r="W976" s="60">
        <v>7971912</v>
      </c>
      <c r="X976" s="60">
        <f t="shared" si="1101"/>
        <v>588.81099047196983</v>
      </c>
      <c r="Y976" s="60">
        <f t="shared" si="1096"/>
        <v>602.79107750472588</v>
      </c>
      <c r="Z976" s="60">
        <f t="shared" si="1097"/>
        <v>692.72784150156417</v>
      </c>
      <c r="AA976" s="60" t="str">
        <f t="shared" si="1098"/>
        <v/>
      </c>
      <c r="AB976" s="64" t="s">
        <v>73</v>
      </c>
      <c r="AD976" s="93">
        <f t="shared" ref="AD976" si="1140">W976/AC965</f>
        <v>0.10652344939457614</v>
      </c>
    </row>
    <row r="977" spans="1:30" s="55" customFormat="1" ht="15.95">
      <c r="A977" s="57"/>
      <c r="B977" s="58" t="s">
        <v>48</v>
      </c>
      <c r="C977" s="58" t="s">
        <v>225</v>
      </c>
      <c r="D977" s="58" t="s">
        <v>278</v>
      </c>
      <c r="E977" s="58" t="s">
        <v>20</v>
      </c>
      <c r="F977" s="58" t="s">
        <v>21</v>
      </c>
      <c r="G977" s="58" t="s">
        <v>50</v>
      </c>
      <c r="H977" s="58"/>
      <c r="I977" s="58" t="s">
        <v>279</v>
      </c>
      <c r="J977" s="58"/>
      <c r="K977" s="58" t="s">
        <v>280</v>
      </c>
      <c r="L977" s="59">
        <v>2021</v>
      </c>
      <c r="M977" s="58" t="s">
        <v>281</v>
      </c>
      <c r="N977" s="58" t="s">
        <v>24</v>
      </c>
      <c r="O977" s="58" t="s">
        <v>54</v>
      </c>
      <c r="P977" s="58" t="s">
        <v>25</v>
      </c>
      <c r="Q977" s="60">
        <v>13539</v>
      </c>
      <c r="R977" s="60">
        <v>13225</v>
      </c>
      <c r="S977" s="61">
        <v>11508</v>
      </c>
      <c r="T977" s="61"/>
      <c r="U977" s="62" t="s">
        <v>69</v>
      </c>
      <c r="V977" s="63" t="s">
        <v>56</v>
      </c>
      <c r="W977" s="60">
        <v>8018266</v>
      </c>
      <c r="X977" s="60">
        <f t="shared" si="1101"/>
        <v>592.23472930053913</v>
      </c>
      <c r="Y977" s="60">
        <f t="shared" si="1096"/>
        <v>606.29610586011347</v>
      </c>
      <c r="Z977" s="60">
        <f t="shared" si="1097"/>
        <v>696.75582203684394</v>
      </c>
      <c r="AA977" s="60" t="str">
        <f t="shared" si="1098"/>
        <v/>
      </c>
      <c r="AB977" s="64" t="s">
        <v>73</v>
      </c>
      <c r="AD977" s="93">
        <f t="shared" ref="AD977" si="1141">W977/AC965</f>
        <v>0.10714284759832401</v>
      </c>
    </row>
    <row r="978" spans="1:30" s="32" customFormat="1" ht="15" customHeight="1">
      <c r="A978" s="65"/>
      <c r="B978" s="66" t="s">
        <v>48</v>
      </c>
      <c r="C978" s="66" t="s">
        <v>225</v>
      </c>
      <c r="D978" s="66" t="s">
        <v>278</v>
      </c>
      <c r="E978" s="66" t="s">
        <v>20</v>
      </c>
      <c r="F978" s="66" t="s">
        <v>21</v>
      </c>
      <c r="G978" s="66" t="s">
        <v>50</v>
      </c>
      <c r="H978" s="66"/>
      <c r="I978" s="66" t="s">
        <v>282</v>
      </c>
      <c r="J978" s="66"/>
      <c r="K978" s="66" t="s">
        <v>283</v>
      </c>
      <c r="L978" s="67">
        <v>2023</v>
      </c>
      <c r="M978" s="66" t="s">
        <v>284</v>
      </c>
      <c r="N978" s="66" t="s">
        <v>24</v>
      </c>
      <c r="O978" s="66" t="s">
        <v>54</v>
      </c>
      <c r="P978" s="66" t="s">
        <v>25</v>
      </c>
      <c r="Q978" s="68">
        <v>4266</v>
      </c>
      <c r="R978" s="68">
        <v>4170</v>
      </c>
      <c r="S978" s="69">
        <v>2635</v>
      </c>
      <c r="T978" s="69"/>
      <c r="U978" s="74" t="s">
        <v>55</v>
      </c>
      <c r="V978" s="75" t="s">
        <v>56</v>
      </c>
      <c r="W978" s="68">
        <v>550359.91484148137</v>
      </c>
      <c r="X978" s="68">
        <f t="shared" si="1101"/>
        <v>129.01076297268668</v>
      </c>
      <c r="Y978" s="68">
        <f t="shared" si="1096"/>
        <v>131.98079492601471</v>
      </c>
      <c r="Z978" s="68">
        <f t="shared" si="1097"/>
        <v>208.86524282409161</v>
      </c>
      <c r="AA978" s="68" t="str">
        <f t="shared" si="1098"/>
        <v/>
      </c>
      <c r="AB978" s="73" t="s">
        <v>73</v>
      </c>
      <c r="AC978" s="92">
        <f t="shared" ref="AC978" si="1142">SUM(W978:W990)</f>
        <v>22450000</v>
      </c>
      <c r="AD978" s="93">
        <f t="shared" ref="AD978" si="1143">W978/AC978</f>
        <v>2.4514918255745272E-2</v>
      </c>
    </row>
    <row r="979" spans="1:30" s="32" customFormat="1" ht="15.95">
      <c r="A979" s="65"/>
      <c r="B979" s="66" t="s">
        <v>48</v>
      </c>
      <c r="C979" s="66" t="s">
        <v>225</v>
      </c>
      <c r="D979" s="66" t="s">
        <v>278</v>
      </c>
      <c r="E979" s="66" t="s">
        <v>20</v>
      </c>
      <c r="F979" s="66" t="s">
        <v>21</v>
      </c>
      <c r="G979" s="66" t="s">
        <v>50</v>
      </c>
      <c r="H979" s="66"/>
      <c r="I979" s="66" t="s">
        <v>282</v>
      </c>
      <c r="J979" s="66"/>
      <c r="K979" s="66" t="s">
        <v>283</v>
      </c>
      <c r="L979" s="67">
        <v>2023</v>
      </c>
      <c r="M979" s="66" t="s">
        <v>284</v>
      </c>
      <c r="N979" s="66" t="s">
        <v>24</v>
      </c>
      <c r="O979" s="66" t="s">
        <v>54</v>
      </c>
      <c r="P979" s="66" t="s">
        <v>25</v>
      </c>
      <c r="Q979" s="68">
        <v>4266</v>
      </c>
      <c r="R979" s="68">
        <v>4170</v>
      </c>
      <c r="S979" s="69">
        <v>2635</v>
      </c>
      <c r="T979" s="69"/>
      <c r="U979" s="74" t="s">
        <v>58</v>
      </c>
      <c r="V979" s="75" t="s">
        <v>56</v>
      </c>
      <c r="W979" s="68">
        <v>5300450.2429069141</v>
      </c>
      <c r="X979" s="68">
        <f t="shared" si="1101"/>
        <v>1242.48716430073</v>
      </c>
      <c r="Y979" s="68">
        <f t="shared" si="1096"/>
        <v>1271.0911853493799</v>
      </c>
      <c r="Z979" s="68">
        <f t="shared" si="1097"/>
        <v>2011.5560694143887</v>
      </c>
      <c r="AA979" s="68" t="str">
        <f t="shared" si="1098"/>
        <v/>
      </c>
      <c r="AB979" s="73" t="s">
        <v>73</v>
      </c>
      <c r="AC979" s="55"/>
      <c r="AD979" s="93">
        <f t="shared" ref="AD979" si="1144">W979/AC978</f>
        <v>0.23610023353705631</v>
      </c>
    </row>
    <row r="980" spans="1:30" s="32" customFormat="1" ht="15.95">
      <c r="A980" s="65"/>
      <c r="B980" s="66" t="s">
        <v>48</v>
      </c>
      <c r="C980" s="66" t="s">
        <v>225</v>
      </c>
      <c r="D980" s="66" t="s">
        <v>278</v>
      </c>
      <c r="E980" s="66" t="s">
        <v>20</v>
      </c>
      <c r="F980" s="66" t="s">
        <v>21</v>
      </c>
      <c r="G980" s="66" t="s">
        <v>50</v>
      </c>
      <c r="H980" s="66"/>
      <c r="I980" s="66" t="s">
        <v>282</v>
      </c>
      <c r="J980" s="66"/>
      <c r="K980" s="66" t="s">
        <v>283</v>
      </c>
      <c r="L980" s="67">
        <v>2023</v>
      </c>
      <c r="M980" s="66" t="s">
        <v>284</v>
      </c>
      <c r="N980" s="66" t="s">
        <v>24</v>
      </c>
      <c r="O980" s="66" t="s">
        <v>54</v>
      </c>
      <c r="P980" s="66" t="s">
        <v>25</v>
      </c>
      <c r="Q980" s="68">
        <v>4266</v>
      </c>
      <c r="R980" s="68">
        <v>4170</v>
      </c>
      <c r="S980" s="69">
        <v>2635</v>
      </c>
      <c r="T980" s="69"/>
      <c r="U980" s="74" t="s">
        <v>59</v>
      </c>
      <c r="V980" s="75" t="s">
        <v>56</v>
      </c>
      <c r="W980" s="68">
        <v>1541576.6838743798</v>
      </c>
      <c r="X980" s="68">
        <f t="shared" si="1101"/>
        <v>361.36349832967181</v>
      </c>
      <c r="Y980" s="68">
        <f t="shared" si="1096"/>
        <v>369.68265800344841</v>
      </c>
      <c r="Z980" s="68">
        <f t="shared" si="1097"/>
        <v>585.03858970564704</v>
      </c>
      <c r="AA980" s="68" t="str">
        <f t="shared" si="1098"/>
        <v/>
      </c>
      <c r="AB980" s="73" t="s">
        <v>73</v>
      </c>
      <c r="AC980" s="55"/>
      <c r="AD980" s="93">
        <f t="shared" ref="AD980" si="1145">W980/AC978</f>
        <v>6.8667112867455679E-2</v>
      </c>
    </row>
    <row r="981" spans="1:30" s="32" customFormat="1" ht="15.95">
      <c r="A981" s="65"/>
      <c r="B981" s="66" t="s">
        <v>48</v>
      </c>
      <c r="C981" s="66" t="s">
        <v>225</v>
      </c>
      <c r="D981" s="66" t="s">
        <v>278</v>
      </c>
      <c r="E981" s="66" t="s">
        <v>20</v>
      </c>
      <c r="F981" s="66" t="s">
        <v>21</v>
      </c>
      <c r="G981" s="66" t="s">
        <v>50</v>
      </c>
      <c r="H981" s="66"/>
      <c r="I981" s="66" t="s">
        <v>282</v>
      </c>
      <c r="J981" s="66"/>
      <c r="K981" s="66" t="s">
        <v>283</v>
      </c>
      <c r="L981" s="67">
        <v>2023</v>
      </c>
      <c r="M981" s="66" t="s">
        <v>284</v>
      </c>
      <c r="N981" s="66" t="s">
        <v>24</v>
      </c>
      <c r="O981" s="66" t="s">
        <v>54</v>
      </c>
      <c r="P981" s="66" t="s">
        <v>25</v>
      </c>
      <c r="Q981" s="68">
        <v>4266</v>
      </c>
      <c r="R981" s="68">
        <v>4170</v>
      </c>
      <c r="S981" s="69">
        <v>2635</v>
      </c>
      <c r="T981" s="69"/>
      <c r="U981" s="74" t="s">
        <v>60</v>
      </c>
      <c r="V981" s="75" t="s">
        <v>56</v>
      </c>
      <c r="W981" s="68">
        <v>810204.59109198686</v>
      </c>
      <c r="X981" s="68">
        <f t="shared" si="1101"/>
        <v>189.92137625222384</v>
      </c>
      <c r="Y981" s="68">
        <f t="shared" si="1096"/>
        <v>194.29366692853401</v>
      </c>
      <c r="Z981" s="68">
        <f t="shared" si="1097"/>
        <v>307.47802318481473</v>
      </c>
      <c r="AA981" s="68" t="str">
        <f t="shared" si="1098"/>
        <v/>
      </c>
      <c r="AB981" s="73" t="s">
        <v>73</v>
      </c>
      <c r="AC981" s="55"/>
      <c r="AD981" s="93">
        <f t="shared" ref="AD981" si="1146">W981/AC978</f>
        <v>3.608929136267202E-2</v>
      </c>
    </row>
    <row r="982" spans="1:30" s="32" customFormat="1" ht="15.95">
      <c r="A982" s="65"/>
      <c r="B982" s="66" t="s">
        <v>48</v>
      </c>
      <c r="C982" s="66" t="s">
        <v>225</v>
      </c>
      <c r="D982" s="66" t="s">
        <v>278</v>
      </c>
      <c r="E982" s="66" t="s">
        <v>20</v>
      </c>
      <c r="F982" s="66" t="s">
        <v>21</v>
      </c>
      <c r="G982" s="66" t="s">
        <v>50</v>
      </c>
      <c r="H982" s="66"/>
      <c r="I982" s="66" t="s">
        <v>282</v>
      </c>
      <c r="J982" s="66"/>
      <c r="K982" s="66" t="s">
        <v>283</v>
      </c>
      <c r="L982" s="67">
        <v>2023</v>
      </c>
      <c r="M982" s="66" t="s">
        <v>284</v>
      </c>
      <c r="N982" s="66" t="s">
        <v>24</v>
      </c>
      <c r="O982" s="66" t="s">
        <v>54</v>
      </c>
      <c r="P982" s="66" t="s">
        <v>25</v>
      </c>
      <c r="Q982" s="68">
        <v>4266</v>
      </c>
      <c r="R982" s="68">
        <v>4170</v>
      </c>
      <c r="S982" s="69">
        <v>2635</v>
      </c>
      <c r="T982" s="69"/>
      <c r="U982" s="74" t="s">
        <v>61</v>
      </c>
      <c r="V982" s="75" t="s">
        <v>56</v>
      </c>
      <c r="W982" s="68">
        <v>1516220.5295670461</v>
      </c>
      <c r="X982" s="68">
        <f t="shared" si="1101"/>
        <v>355.41972094867464</v>
      </c>
      <c r="Y982" s="68">
        <f t="shared" si="1096"/>
        <v>363.60204545972329</v>
      </c>
      <c r="Z982" s="68">
        <f t="shared" si="1097"/>
        <v>575.41576074650709</v>
      </c>
      <c r="AA982" s="68" t="str">
        <f t="shared" si="1098"/>
        <v/>
      </c>
      <c r="AB982" s="73" t="s">
        <v>73</v>
      </c>
      <c r="AC982" s="55"/>
      <c r="AD982" s="93">
        <f t="shared" ref="AD982" si="1147">W982/AC978</f>
        <v>6.7537662786950822E-2</v>
      </c>
    </row>
    <row r="983" spans="1:30" s="32" customFormat="1" ht="15.95">
      <c r="A983" s="65"/>
      <c r="B983" s="66" t="s">
        <v>48</v>
      </c>
      <c r="C983" s="66" t="s">
        <v>225</v>
      </c>
      <c r="D983" s="66" t="s">
        <v>278</v>
      </c>
      <c r="E983" s="66" t="s">
        <v>20</v>
      </c>
      <c r="F983" s="66" t="s">
        <v>21</v>
      </c>
      <c r="G983" s="66" t="s">
        <v>50</v>
      </c>
      <c r="H983" s="66"/>
      <c r="I983" s="66" t="s">
        <v>282</v>
      </c>
      <c r="J983" s="66"/>
      <c r="K983" s="66" t="s">
        <v>283</v>
      </c>
      <c r="L983" s="67">
        <v>2023</v>
      </c>
      <c r="M983" s="66" t="s">
        <v>284</v>
      </c>
      <c r="N983" s="66" t="s">
        <v>24</v>
      </c>
      <c r="O983" s="66" t="s">
        <v>54</v>
      </c>
      <c r="P983" s="66" t="s">
        <v>25</v>
      </c>
      <c r="Q983" s="68">
        <v>4266</v>
      </c>
      <c r="R983" s="68">
        <v>4170</v>
      </c>
      <c r="S983" s="69">
        <v>2635</v>
      </c>
      <c r="T983" s="69"/>
      <c r="U983" s="74" t="s">
        <v>62</v>
      </c>
      <c r="V983" s="75" t="s">
        <v>56</v>
      </c>
      <c r="W983" s="68">
        <v>111659.60578378313</v>
      </c>
      <c r="X983" s="68">
        <f t="shared" si="1101"/>
        <v>26.174309841486902</v>
      </c>
      <c r="Y983" s="68">
        <f t="shared" si="1096"/>
        <v>26.776883881003148</v>
      </c>
      <c r="Z983" s="68">
        <f t="shared" si="1097"/>
        <v>42.375561967280127</v>
      </c>
      <c r="AA983" s="68" t="str">
        <f t="shared" si="1098"/>
        <v/>
      </c>
      <c r="AB983" s="73" t="s">
        <v>73</v>
      </c>
      <c r="AC983" s="55"/>
      <c r="AD983" s="93">
        <f t="shared" ref="AD983" si="1148">W983/AC978</f>
        <v>4.9737018166495827E-3</v>
      </c>
    </row>
    <row r="984" spans="1:30" s="32" customFormat="1" ht="15.95">
      <c r="A984" s="65"/>
      <c r="B984" s="66" t="s">
        <v>48</v>
      </c>
      <c r="C984" s="66" t="s">
        <v>225</v>
      </c>
      <c r="D984" s="66" t="s">
        <v>278</v>
      </c>
      <c r="E984" s="66" t="s">
        <v>20</v>
      </c>
      <c r="F984" s="66" t="s">
        <v>21</v>
      </c>
      <c r="G984" s="66" t="s">
        <v>50</v>
      </c>
      <c r="H984" s="66"/>
      <c r="I984" s="66" t="s">
        <v>282</v>
      </c>
      <c r="J984" s="66"/>
      <c r="K984" s="66" t="s">
        <v>283</v>
      </c>
      <c r="L984" s="67">
        <v>2023</v>
      </c>
      <c r="M984" s="66" t="s">
        <v>284</v>
      </c>
      <c r="N984" s="66" t="s">
        <v>24</v>
      </c>
      <c r="O984" s="66" t="s">
        <v>54</v>
      </c>
      <c r="P984" s="66" t="s">
        <v>25</v>
      </c>
      <c r="Q984" s="68">
        <v>4266</v>
      </c>
      <c r="R984" s="68">
        <v>4170</v>
      </c>
      <c r="S984" s="69">
        <v>2635</v>
      </c>
      <c r="T984" s="69"/>
      <c r="U984" s="74" t="s">
        <v>63</v>
      </c>
      <c r="V984" s="75" t="s">
        <v>56</v>
      </c>
      <c r="W984" s="68">
        <v>207400.43193440841</v>
      </c>
      <c r="X984" s="68">
        <f t="shared" si="1101"/>
        <v>48.617072652228885</v>
      </c>
      <c r="Y984" s="68">
        <f t="shared" si="1096"/>
        <v>49.736314612567966</v>
      </c>
      <c r="Z984" s="68">
        <f t="shared" si="1097"/>
        <v>78.709841341331469</v>
      </c>
      <c r="AA984" s="68" t="str">
        <f t="shared" si="1098"/>
        <v/>
      </c>
      <c r="AB984" s="73" t="s">
        <v>73</v>
      </c>
      <c r="AC984" s="55"/>
      <c r="AD984" s="93">
        <f t="shared" ref="AD984" si="1149">W984/AC978</f>
        <v>9.2383265895059422E-3</v>
      </c>
    </row>
    <row r="985" spans="1:30" s="32" customFormat="1" ht="15.95">
      <c r="A985" s="65"/>
      <c r="B985" s="66" t="s">
        <v>48</v>
      </c>
      <c r="C985" s="66" t="s">
        <v>225</v>
      </c>
      <c r="D985" s="66" t="s">
        <v>278</v>
      </c>
      <c r="E985" s="66" t="s">
        <v>20</v>
      </c>
      <c r="F985" s="66" t="s">
        <v>21</v>
      </c>
      <c r="G985" s="66" t="s">
        <v>50</v>
      </c>
      <c r="H985" s="66"/>
      <c r="I985" s="66" t="s">
        <v>282</v>
      </c>
      <c r="J985" s="66"/>
      <c r="K985" s="66" t="s">
        <v>283</v>
      </c>
      <c r="L985" s="67">
        <v>2023</v>
      </c>
      <c r="M985" s="66" t="s">
        <v>284</v>
      </c>
      <c r="N985" s="66" t="s">
        <v>24</v>
      </c>
      <c r="O985" s="66" t="s">
        <v>54</v>
      </c>
      <c r="P985" s="66" t="s">
        <v>25</v>
      </c>
      <c r="Q985" s="68">
        <v>4266</v>
      </c>
      <c r="R985" s="68">
        <v>4170</v>
      </c>
      <c r="S985" s="69">
        <v>2635</v>
      </c>
      <c r="T985" s="69"/>
      <c r="U985" s="74" t="s">
        <v>64</v>
      </c>
      <c r="V985" s="75" t="s">
        <v>56</v>
      </c>
      <c r="W985" s="68">
        <v>0</v>
      </c>
      <c r="X985" s="68">
        <f t="shared" si="1101"/>
        <v>0</v>
      </c>
      <c r="Y985" s="68">
        <f t="shared" si="1096"/>
        <v>0</v>
      </c>
      <c r="Z985" s="68">
        <f t="shared" si="1097"/>
        <v>0</v>
      </c>
      <c r="AA985" s="68" t="str">
        <f t="shared" si="1098"/>
        <v/>
      </c>
      <c r="AB985" s="73" t="s">
        <v>73</v>
      </c>
      <c r="AC985" s="55"/>
      <c r="AD985" s="93">
        <f t="shared" ref="AD985" si="1150">W985/AC978</f>
        <v>0</v>
      </c>
    </row>
    <row r="986" spans="1:30" s="32" customFormat="1" ht="15.95">
      <c r="A986" s="65"/>
      <c r="B986" s="66" t="s">
        <v>48</v>
      </c>
      <c r="C986" s="66" t="s">
        <v>225</v>
      </c>
      <c r="D986" s="66" t="s">
        <v>278</v>
      </c>
      <c r="E986" s="66" t="s">
        <v>20</v>
      </c>
      <c r="F986" s="66" t="s">
        <v>21</v>
      </c>
      <c r="G986" s="66" t="s">
        <v>50</v>
      </c>
      <c r="H986" s="66"/>
      <c r="I986" s="66" t="s">
        <v>282</v>
      </c>
      <c r="J986" s="66"/>
      <c r="K986" s="66" t="s">
        <v>283</v>
      </c>
      <c r="L986" s="67">
        <v>2023</v>
      </c>
      <c r="M986" s="66" t="s">
        <v>284</v>
      </c>
      <c r="N986" s="66" t="s">
        <v>24</v>
      </c>
      <c r="O986" s="66" t="s">
        <v>54</v>
      </c>
      <c r="P986" s="66" t="s">
        <v>25</v>
      </c>
      <c r="Q986" s="68">
        <v>4266</v>
      </c>
      <c r="R986" s="68">
        <v>4170</v>
      </c>
      <c r="S986" s="69">
        <v>2635</v>
      </c>
      <c r="T986" s="69"/>
      <c r="U986" s="74" t="s">
        <v>65</v>
      </c>
      <c r="V986" s="75" t="s">
        <v>56</v>
      </c>
      <c r="W986" s="68">
        <v>2383645</v>
      </c>
      <c r="X986" s="68">
        <f t="shared" si="1101"/>
        <v>558.7541022034693</v>
      </c>
      <c r="Y986" s="68">
        <f t="shared" si="1096"/>
        <v>571.61750599520383</v>
      </c>
      <c r="Z986" s="68">
        <f t="shared" si="1097"/>
        <v>904.6091081593928</v>
      </c>
      <c r="AA986" s="68" t="str">
        <f t="shared" si="1098"/>
        <v/>
      </c>
      <c r="AB986" s="73" t="s">
        <v>73</v>
      </c>
      <c r="AC986" s="55"/>
      <c r="AD986" s="93">
        <f t="shared" ref="AD986" si="1151">W986/AC978</f>
        <v>0.10617572383073497</v>
      </c>
    </row>
    <row r="987" spans="1:30" s="32" customFormat="1" ht="15.95">
      <c r="A987" s="65"/>
      <c r="B987" s="66" t="s">
        <v>48</v>
      </c>
      <c r="C987" s="66" t="s">
        <v>225</v>
      </c>
      <c r="D987" s="66" t="s">
        <v>278</v>
      </c>
      <c r="E987" s="66" t="s">
        <v>20</v>
      </c>
      <c r="F987" s="66" t="s">
        <v>21</v>
      </c>
      <c r="G987" s="66" t="s">
        <v>50</v>
      </c>
      <c r="H987" s="66"/>
      <c r="I987" s="66" t="s">
        <v>282</v>
      </c>
      <c r="J987" s="66"/>
      <c r="K987" s="66" t="s">
        <v>283</v>
      </c>
      <c r="L987" s="67">
        <v>2023</v>
      </c>
      <c r="M987" s="66" t="s">
        <v>284</v>
      </c>
      <c r="N987" s="66" t="s">
        <v>24</v>
      </c>
      <c r="O987" s="66" t="s">
        <v>54</v>
      </c>
      <c r="P987" s="66" t="s">
        <v>25</v>
      </c>
      <c r="Q987" s="68">
        <v>4266</v>
      </c>
      <c r="R987" s="68">
        <v>4170</v>
      </c>
      <c r="S987" s="69">
        <v>2635</v>
      </c>
      <c r="T987" s="69"/>
      <c r="U987" s="74" t="s">
        <v>66</v>
      </c>
      <c r="V987" s="75" t="s">
        <v>56</v>
      </c>
      <c r="W987" s="68">
        <v>4543478</v>
      </c>
      <c r="X987" s="68">
        <f t="shared" si="1101"/>
        <v>1065.0440693858416</v>
      </c>
      <c r="Y987" s="68">
        <f t="shared" si="1096"/>
        <v>1089.5630695443645</v>
      </c>
      <c r="Z987" s="68">
        <f t="shared" si="1097"/>
        <v>1724.2800759013282</v>
      </c>
      <c r="AA987" s="68" t="str">
        <f t="shared" si="1098"/>
        <v/>
      </c>
      <c r="AB987" s="73" t="s">
        <v>73</v>
      </c>
      <c r="AC987" s="55"/>
      <c r="AD987" s="93">
        <f t="shared" ref="AD987" si="1152">W987/AC978</f>
        <v>0.20238209354120268</v>
      </c>
    </row>
    <row r="988" spans="1:30" s="32" customFormat="1" ht="15.95">
      <c r="A988" s="65"/>
      <c r="B988" s="66" t="s">
        <v>48</v>
      </c>
      <c r="C988" s="66" t="s">
        <v>225</v>
      </c>
      <c r="D988" s="66" t="s">
        <v>278</v>
      </c>
      <c r="E988" s="66" t="s">
        <v>20</v>
      </c>
      <c r="F988" s="66" t="s">
        <v>21</v>
      </c>
      <c r="G988" s="66" t="s">
        <v>50</v>
      </c>
      <c r="H988" s="66"/>
      <c r="I988" s="66" t="s">
        <v>282</v>
      </c>
      <c r="J988" s="66"/>
      <c r="K988" s="66" t="s">
        <v>283</v>
      </c>
      <c r="L988" s="67">
        <v>2023</v>
      </c>
      <c r="M988" s="66" t="s">
        <v>284</v>
      </c>
      <c r="N988" s="66" t="s">
        <v>24</v>
      </c>
      <c r="O988" s="66" t="s">
        <v>54</v>
      </c>
      <c r="P988" s="66" t="s">
        <v>25</v>
      </c>
      <c r="Q988" s="68">
        <v>4266</v>
      </c>
      <c r="R988" s="68">
        <v>4170</v>
      </c>
      <c r="S988" s="69">
        <v>2635</v>
      </c>
      <c r="T988" s="69"/>
      <c r="U988" s="74" t="s">
        <v>67</v>
      </c>
      <c r="V988" s="75" t="s">
        <v>56</v>
      </c>
      <c r="W988" s="68">
        <v>0</v>
      </c>
      <c r="X988" s="68">
        <f t="shared" si="1101"/>
        <v>0</v>
      </c>
      <c r="Y988" s="68">
        <f t="shared" si="1096"/>
        <v>0</v>
      </c>
      <c r="Z988" s="68">
        <f t="shared" si="1097"/>
        <v>0</v>
      </c>
      <c r="AA988" s="68" t="str">
        <f t="shared" si="1098"/>
        <v/>
      </c>
      <c r="AB988" s="73" t="s">
        <v>73</v>
      </c>
      <c r="AC988" s="55"/>
      <c r="AD988" s="93">
        <f t="shared" ref="AD988" si="1153">W988/AC978</f>
        <v>0</v>
      </c>
    </row>
    <row r="989" spans="1:30" s="32" customFormat="1" ht="15.95">
      <c r="A989" s="65"/>
      <c r="B989" s="66" t="s">
        <v>48</v>
      </c>
      <c r="C989" s="66" t="s">
        <v>225</v>
      </c>
      <c r="D989" s="66" t="s">
        <v>278</v>
      </c>
      <c r="E989" s="66" t="s">
        <v>20</v>
      </c>
      <c r="F989" s="66" t="s">
        <v>21</v>
      </c>
      <c r="G989" s="66" t="s">
        <v>50</v>
      </c>
      <c r="H989" s="66"/>
      <c r="I989" s="66" t="s">
        <v>282</v>
      </c>
      <c r="J989" s="66"/>
      <c r="K989" s="66" t="s">
        <v>283</v>
      </c>
      <c r="L989" s="67">
        <v>2023</v>
      </c>
      <c r="M989" s="66" t="s">
        <v>284</v>
      </c>
      <c r="N989" s="66" t="s">
        <v>24</v>
      </c>
      <c r="O989" s="66" t="s">
        <v>54</v>
      </c>
      <c r="P989" s="66" t="s">
        <v>25</v>
      </c>
      <c r="Q989" s="68">
        <v>4266</v>
      </c>
      <c r="R989" s="68">
        <v>4170</v>
      </c>
      <c r="S989" s="69">
        <v>2635</v>
      </c>
      <c r="T989" s="69"/>
      <c r="U989" s="74" t="s">
        <v>68</v>
      </c>
      <c r="V989" s="75" t="s">
        <v>56</v>
      </c>
      <c r="W989" s="68">
        <v>2753005</v>
      </c>
      <c r="X989" s="68">
        <f t="shared" si="1101"/>
        <v>645.33638068448192</v>
      </c>
      <c r="Y989" s="68">
        <f t="shared" si="1096"/>
        <v>660.19304556354916</v>
      </c>
      <c r="Z989" s="68">
        <f t="shared" si="1097"/>
        <v>1044.7836812144212</v>
      </c>
      <c r="AA989" s="68" t="str">
        <f t="shared" si="1098"/>
        <v/>
      </c>
      <c r="AB989" s="73" t="s">
        <v>73</v>
      </c>
      <c r="AC989" s="55"/>
      <c r="AD989" s="93">
        <f t="shared" ref="AD989" si="1154">W989/AC978</f>
        <v>0.122628285077951</v>
      </c>
    </row>
    <row r="990" spans="1:30" s="32" customFormat="1" ht="15.95">
      <c r="A990" s="65"/>
      <c r="B990" s="66" t="s">
        <v>48</v>
      </c>
      <c r="C990" s="66" t="s">
        <v>225</v>
      </c>
      <c r="D990" s="66" t="s">
        <v>278</v>
      </c>
      <c r="E990" s="66" t="s">
        <v>20</v>
      </c>
      <c r="F990" s="66" t="s">
        <v>21</v>
      </c>
      <c r="G990" s="66" t="s">
        <v>50</v>
      </c>
      <c r="H990" s="66"/>
      <c r="I990" s="66" t="s">
        <v>282</v>
      </c>
      <c r="J990" s="66"/>
      <c r="K990" s="66" t="s">
        <v>283</v>
      </c>
      <c r="L990" s="67">
        <v>2023</v>
      </c>
      <c r="M990" s="66" t="s">
        <v>284</v>
      </c>
      <c r="N990" s="66" t="s">
        <v>24</v>
      </c>
      <c r="O990" s="66" t="s">
        <v>54</v>
      </c>
      <c r="P990" s="66" t="s">
        <v>25</v>
      </c>
      <c r="Q990" s="68">
        <v>4266</v>
      </c>
      <c r="R990" s="68">
        <v>4170</v>
      </c>
      <c r="S990" s="69">
        <v>2635</v>
      </c>
      <c r="T990" s="69"/>
      <c r="U990" s="74" t="s">
        <v>69</v>
      </c>
      <c r="V990" s="75" t="s">
        <v>56</v>
      </c>
      <c r="W990" s="68">
        <v>2732000</v>
      </c>
      <c r="X990" s="68">
        <f t="shared" si="1101"/>
        <v>640.41256446319733</v>
      </c>
      <c r="Y990" s="68">
        <f t="shared" si="1096"/>
        <v>655.15587529976017</v>
      </c>
      <c r="Z990" s="68">
        <f t="shared" si="1097"/>
        <v>1036.8121442125237</v>
      </c>
      <c r="AA990" s="68" t="str">
        <f t="shared" si="1098"/>
        <v/>
      </c>
      <c r="AB990" s="73" t="s">
        <v>73</v>
      </c>
      <c r="AC990" s="55"/>
      <c r="AD990" s="93">
        <f t="shared" ref="AD990" si="1155">W990/AC978</f>
        <v>0.12169265033407572</v>
      </c>
    </row>
    <row r="991" spans="1:30" s="55" customFormat="1" ht="15" customHeight="1">
      <c r="A991" s="57"/>
      <c r="B991" s="58" t="s">
        <v>48</v>
      </c>
      <c r="C991" s="58" t="s">
        <v>225</v>
      </c>
      <c r="D991" s="58" t="s">
        <v>278</v>
      </c>
      <c r="E991" s="58" t="s">
        <v>20</v>
      </c>
      <c r="F991" s="58" t="s">
        <v>21</v>
      </c>
      <c r="G991" s="58" t="s">
        <v>50</v>
      </c>
      <c r="H991" s="58"/>
      <c r="I991" s="58" t="s">
        <v>253</v>
      </c>
      <c r="J991" s="58"/>
      <c r="K991" s="58" t="s">
        <v>285</v>
      </c>
      <c r="L991" s="59">
        <v>2025</v>
      </c>
      <c r="M991" s="58" t="s">
        <v>281</v>
      </c>
      <c r="N991" s="58" t="s">
        <v>208</v>
      </c>
      <c r="O991" s="58" t="s">
        <v>54</v>
      </c>
      <c r="P991" s="58" t="s">
        <v>25</v>
      </c>
      <c r="Q991" s="60">
        <v>5106</v>
      </c>
      <c r="R991" s="60">
        <v>4595</v>
      </c>
      <c r="S991" s="61">
        <v>4120</v>
      </c>
      <c r="T991" s="61"/>
      <c r="U991" s="62" t="s">
        <v>55</v>
      </c>
      <c r="V991" s="63" t="s">
        <v>56</v>
      </c>
      <c r="W991" s="60">
        <v>1005111.6484855561</v>
      </c>
      <c r="X991" s="60">
        <f t="shared" si="1101"/>
        <v>196.84912817970155</v>
      </c>
      <c r="Y991" s="60">
        <f t="shared" si="1096"/>
        <v>218.74029346802092</v>
      </c>
      <c r="Z991" s="60">
        <f t="shared" si="1097"/>
        <v>243.95913798193109</v>
      </c>
      <c r="AA991" s="60" t="str">
        <f t="shared" si="1098"/>
        <v/>
      </c>
      <c r="AB991" s="64" t="s">
        <v>73</v>
      </c>
      <c r="AC991" s="92">
        <f t="shared" ref="AC991" si="1156">SUM(W991:W1003)</f>
        <v>41000000</v>
      </c>
      <c r="AD991" s="107">
        <f t="shared" ref="AD991" si="1157">W991/AC991</f>
        <v>2.4514918255745272E-2</v>
      </c>
    </row>
    <row r="992" spans="1:30" s="55" customFormat="1" ht="15.95">
      <c r="A992" s="57"/>
      <c r="B992" s="58" t="s">
        <v>48</v>
      </c>
      <c r="C992" s="58" t="s">
        <v>225</v>
      </c>
      <c r="D992" s="58" t="s">
        <v>278</v>
      </c>
      <c r="E992" s="58" t="s">
        <v>20</v>
      </c>
      <c r="F992" s="58" t="s">
        <v>21</v>
      </c>
      <c r="G992" s="58" t="s">
        <v>50</v>
      </c>
      <c r="H992" s="58"/>
      <c r="I992" s="58" t="s">
        <v>253</v>
      </c>
      <c r="J992" s="58"/>
      <c r="K992" s="58" t="s">
        <v>285</v>
      </c>
      <c r="L992" s="59">
        <v>2025</v>
      </c>
      <c r="M992" s="58" t="s">
        <v>281</v>
      </c>
      <c r="N992" s="58" t="s">
        <v>208</v>
      </c>
      <c r="O992" s="58" t="s">
        <v>54</v>
      </c>
      <c r="P992" s="58" t="s">
        <v>25</v>
      </c>
      <c r="Q992" s="60">
        <v>5106</v>
      </c>
      <c r="R992" s="60">
        <v>4595</v>
      </c>
      <c r="S992" s="61">
        <v>4120</v>
      </c>
      <c r="T992" s="61"/>
      <c r="U992" s="62" t="s">
        <v>58</v>
      </c>
      <c r="V992" s="63" t="s">
        <v>56</v>
      </c>
      <c r="W992" s="60">
        <v>9680109.5750193093</v>
      </c>
      <c r="X992" s="60">
        <f t="shared" si="1101"/>
        <v>1895.8303123813766</v>
      </c>
      <c r="Y992" s="60">
        <f t="shared" si="1096"/>
        <v>2106.6614961957148</v>
      </c>
      <c r="Z992" s="60">
        <f t="shared" si="1097"/>
        <v>2349.5411589852692</v>
      </c>
      <c r="AA992" s="60" t="str">
        <f t="shared" si="1098"/>
        <v/>
      </c>
      <c r="AB992" s="64" t="s">
        <v>73</v>
      </c>
      <c r="AD992" s="107">
        <f t="shared" ref="AD992" si="1158">W992/AC991</f>
        <v>0.23610023353705634</v>
      </c>
    </row>
    <row r="993" spans="1:30" s="55" customFormat="1" ht="15.95">
      <c r="A993" s="57"/>
      <c r="B993" s="58" t="s">
        <v>48</v>
      </c>
      <c r="C993" s="58" t="s">
        <v>225</v>
      </c>
      <c r="D993" s="58" t="s">
        <v>278</v>
      </c>
      <c r="E993" s="58" t="s">
        <v>20</v>
      </c>
      <c r="F993" s="58" t="s">
        <v>21</v>
      </c>
      <c r="G993" s="58" t="s">
        <v>50</v>
      </c>
      <c r="H993" s="58"/>
      <c r="I993" s="58" t="s">
        <v>253</v>
      </c>
      <c r="J993" s="58"/>
      <c r="K993" s="58" t="s">
        <v>285</v>
      </c>
      <c r="L993" s="59">
        <v>2025</v>
      </c>
      <c r="M993" s="58" t="s">
        <v>281</v>
      </c>
      <c r="N993" s="58" t="s">
        <v>208</v>
      </c>
      <c r="O993" s="58" t="s">
        <v>54</v>
      </c>
      <c r="P993" s="58" t="s">
        <v>25</v>
      </c>
      <c r="Q993" s="60">
        <v>5106</v>
      </c>
      <c r="R993" s="60">
        <v>4595</v>
      </c>
      <c r="S993" s="61">
        <v>4120</v>
      </c>
      <c r="T993" s="61"/>
      <c r="U993" s="62" t="s">
        <v>59</v>
      </c>
      <c r="V993" s="63" t="s">
        <v>56</v>
      </c>
      <c r="W993" s="60">
        <v>2815351.6275656824</v>
      </c>
      <c r="X993" s="60">
        <f t="shared" si="1101"/>
        <v>551.38104731016108</v>
      </c>
      <c r="Y993" s="60">
        <f t="shared" si="1096"/>
        <v>612.69893962256413</v>
      </c>
      <c r="Z993" s="60">
        <f t="shared" si="1097"/>
        <v>683.33777368099084</v>
      </c>
      <c r="AA993" s="60" t="str">
        <f t="shared" si="1098"/>
        <v/>
      </c>
      <c r="AB993" s="64" t="s">
        <v>73</v>
      </c>
      <c r="AD993" s="107">
        <f t="shared" ref="AD993" si="1159">W993/AC991</f>
        <v>6.8667112867455665E-2</v>
      </c>
    </row>
    <row r="994" spans="1:30" s="55" customFormat="1" ht="15.95">
      <c r="A994" s="57"/>
      <c r="B994" s="58" t="s">
        <v>48</v>
      </c>
      <c r="C994" s="58" t="s">
        <v>225</v>
      </c>
      <c r="D994" s="58" t="s">
        <v>278</v>
      </c>
      <c r="E994" s="58" t="s">
        <v>20</v>
      </c>
      <c r="F994" s="58" t="s">
        <v>21</v>
      </c>
      <c r="G994" s="58" t="s">
        <v>50</v>
      </c>
      <c r="H994" s="58"/>
      <c r="I994" s="58" t="s">
        <v>253</v>
      </c>
      <c r="J994" s="58"/>
      <c r="K994" s="58" t="s">
        <v>285</v>
      </c>
      <c r="L994" s="59">
        <v>2025</v>
      </c>
      <c r="M994" s="58" t="s">
        <v>281</v>
      </c>
      <c r="N994" s="58" t="s">
        <v>208</v>
      </c>
      <c r="O994" s="58" t="s">
        <v>54</v>
      </c>
      <c r="P994" s="58" t="s">
        <v>25</v>
      </c>
      <c r="Q994" s="60">
        <v>5106</v>
      </c>
      <c r="R994" s="60">
        <v>4595</v>
      </c>
      <c r="S994" s="61">
        <v>4120</v>
      </c>
      <c r="T994" s="61"/>
      <c r="U994" s="62" t="s">
        <v>60</v>
      </c>
      <c r="V994" s="63" t="s">
        <v>56</v>
      </c>
      <c r="W994" s="60">
        <v>1479660.9458695529</v>
      </c>
      <c r="X994" s="60">
        <f t="shared" si="1101"/>
        <v>289.78866938299115</v>
      </c>
      <c r="Y994" s="60">
        <f t="shared" ref="Y994:Y1003" si="1160">IF(R994&gt;0,$W994/R994,"")</f>
        <v>322.0154397975088</v>
      </c>
      <c r="Z994" s="60">
        <f t="shared" ref="Z994:Z1003" si="1161">IF(S994&gt;0,$W994/S994,"")</f>
        <v>359.14100627901769</v>
      </c>
      <c r="AA994" s="60" t="str">
        <f t="shared" ref="AA994:AA1003" si="1162">IF(T994&gt;0,$W994/T994,"")</f>
        <v/>
      </c>
      <c r="AB994" s="64" t="s">
        <v>73</v>
      </c>
      <c r="AD994" s="107">
        <f t="shared" ref="AD994" si="1163">W994/AC991</f>
        <v>3.608929136267202E-2</v>
      </c>
    </row>
    <row r="995" spans="1:30" s="55" customFormat="1" ht="15.95">
      <c r="A995" s="57"/>
      <c r="B995" s="58" t="s">
        <v>48</v>
      </c>
      <c r="C995" s="58" t="s">
        <v>225</v>
      </c>
      <c r="D995" s="58" t="s">
        <v>278</v>
      </c>
      <c r="E995" s="58" t="s">
        <v>20</v>
      </c>
      <c r="F995" s="58" t="s">
        <v>21</v>
      </c>
      <c r="G995" s="58" t="s">
        <v>50</v>
      </c>
      <c r="H995" s="58"/>
      <c r="I995" s="58" t="s">
        <v>253</v>
      </c>
      <c r="J995" s="58"/>
      <c r="K995" s="58" t="s">
        <v>285</v>
      </c>
      <c r="L995" s="59">
        <v>2025</v>
      </c>
      <c r="M995" s="58" t="s">
        <v>281</v>
      </c>
      <c r="N995" s="58" t="s">
        <v>208</v>
      </c>
      <c r="O995" s="58" t="s">
        <v>54</v>
      </c>
      <c r="P995" s="58" t="s">
        <v>25</v>
      </c>
      <c r="Q995" s="60">
        <v>5106</v>
      </c>
      <c r="R995" s="60">
        <v>4595</v>
      </c>
      <c r="S995" s="61">
        <v>4120</v>
      </c>
      <c r="T995" s="61"/>
      <c r="U995" s="62" t="s">
        <v>61</v>
      </c>
      <c r="V995" s="63" t="s">
        <v>56</v>
      </c>
      <c r="W995" s="60">
        <v>2769044.1742649837</v>
      </c>
      <c r="X995" s="60">
        <f t="shared" si="1101"/>
        <v>542.31182418037281</v>
      </c>
      <c r="Y995" s="60">
        <f t="shared" si="1160"/>
        <v>602.62114782698234</v>
      </c>
      <c r="Z995" s="60">
        <f t="shared" si="1161"/>
        <v>672.09810054975333</v>
      </c>
      <c r="AA995" s="60" t="str">
        <f t="shared" si="1162"/>
        <v/>
      </c>
      <c r="AB995" s="64" t="s">
        <v>73</v>
      </c>
      <c r="AD995" s="107">
        <f t="shared" ref="AD995" si="1164">W995/AC991</f>
        <v>6.7537662786950822E-2</v>
      </c>
    </row>
    <row r="996" spans="1:30" s="55" customFormat="1" ht="15.95">
      <c r="A996" s="57"/>
      <c r="B996" s="58" t="s">
        <v>48</v>
      </c>
      <c r="C996" s="58" t="s">
        <v>225</v>
      </c>
      <c r="D996" s="58" t="s">
        <v>278</v>
      </c>
      <c r="E996" s="58" t="s">
        <v>20</v>
      </c>
      <c r="F996" s="58" t="s">
        <v>21</v>
      </c>
      <c r="G996" s="58" t="s">
        <v>50</v>
      </c>
      <c r="H996" s="58"/>
      <c r="I996" s="58" t="s">
        <v>253</v>
      </c>
      <c r="J996" s="58"/>
      <c r="K996" s="58" t="s">
        <v>285</v>
      </c>
      <c r="L996" s="59">
        <v>2025</v>
      </c>
      <c r="M996" s="58" t="s">
        <v>281</v>
      </c>
      <c r="N996" s="58" t="s">
        <v>208</v>
      </c>
      <c r="O996" s="58" t="s">
        <v>54</v>
      </c>
      <c r="P996" s="58" t="s">
        <v>25</v>
      </c>
      <c r="Q996" s="60">
        <v>5106</v>
      </c>
      <c r="R996" s="60">
        <v>4595</v>
      </c>
      <c r="S996" s="61">
        <v>4120</v>
      </c>
      <c r="T996" s="61"/>
      <c r="U996" s="62" t="s">
        <v>62</v>
      </c>
      <c r="V996" s="63" t="s">
        <v>56</v>
      </c>
      <c r="W996" s="60">
        <v>203921.7744826329</v>
      </c>
      <c r="X996" s="60">
        <f t="shared" si="1101"/>
        <v>39.937676161894416</v>
      </c>
      <c r="Y996" s="60">
        <f t="shared" si="1160"/>
        <v>44.379058646927724</v>
      </c>
      <c r="Z996" s="60">
        <f t="shared" si="1161"/>
        <v>49.495576330736142</v>
      </c>
      <c r="AA996" s="60" t="str">
        <f t="shared" si="1162"/>
        <v/>
      </c>
      <c r="AB996" s="64" t="s">
        <v>73</v>
      </c>
      <c r="AD996" s="107">
        <f t="shared" ref="AD996" si="1165">W996/AC991</f>
        <v>4.9737018166495827E-3</v>
      </c>
    </row>
    <row r="997" spans="1:30" s="55" customFormat="1" ht="15.95">
      <c r="A997" s="57"/>
      <c r="B997" s="58" t="s">
        <v>48</v>
      </c>
      <c r="C997" s="58" t="s">
        <v>225</v>
      </c>
      <c r="D997" s="58" t="s">
        <v>278</v>
      </c>
      <c r="E997" s="58" t="s">
        <v>20</v>
      </c>
      <c r="F997" s="58" t="s">
        <v>21</v>
      </c>
      <c r="G997" s="58" t="s">
        <v>50</v>
      </c>
      <c r="H997" s="58"/>
      <c r="I997" s="58" t="s">
        <v>253</v>
      </c>
      <c r="J997" s="58"/>
      <c r="K997" s="58" t="s">
        <v>285</v>
      </c>
      <c r="L997" s="59">
        <v>2025</v>
      </c>
      <c r="M997" s="58" t="s">
        <v>281</v>
      </c>
      <c r="N997" s="58" t="s">
        <v>208</v>
      </c>
      <c r="O997" s="58" t="s">
        <v>54</v>
      </c>
      <c r="P997" s="58" t="s">
        <v>25</v>
      </c>
      <c r="Q997" s="60">
        <v>5106</v>
      </c>
      <c r="R997" s="60">
        <v>4595</v>
      </c>
      <c r="S997" s="61">
        <v>4120</v>
      </c>
      <c r="T997" s="61"/>
      <c r="U997" s="62" t="s">
        <v>63</v>
      </c>
      <c r="V997" s="63" t="s">
        <v>56</v>
      </c>
      <c r="W997" s="60">
        <v>378771.39016974362</v>
      </c>
      <c r="X997" s="60">
        <f t="shared" si="1101"/>
        <v>74.18162753030623</v>
      </c>
      <c r="Y997" s="60">
        <f t="shared" si="1160"/>
        <v>82.431205695265206</v>
      </c>
      <c r="Z997" s="60">
        <f t="shared" si="1161"/>
        <v>91.934803439258161</v>
      </c>
      <c r="AA997" s="60" t="str">
        <f t="shared" si="1162"/>
        <v/>
      </c>
      <c r="AB997" s="64" t="s">
        <v>73</v>
      </c>
      <c r="AD997" s="107">
        <f t="shared" ref="AD997" si="1166">W997/AC991</f>
        <v>9.2383265895059422E-3</v>
      </c>
    </row>
    <row r="998" spans="1:30" s="55" customFormat="1" ht="15.95">
      <c r="A998" s="57"/>
      <c r="B998" s="58" t="s">
        <v>48</v>
      </c>
      <c r="C998" s="58" t="s">
        <v>225</v>
      </c>
      <c r="D998" s="58" t="s">
        <v>278</v>
      </c>
      <c r="E998" s="58" t="s">
        <v>20</v>
      </c>
      <c r="F998" s="58" t="s">
        <v>21</v>
      </c>
      <c r="G998" s="58" t="s">
        <v>50</v>
      </c>
      <c r="H998" s="58"/>
      <c r="I998" s="58" t="s">
        <v>253</v>
      </c>
      <c r="J998" s="58"/>
      <c r="K998" s="58" t="s">
        <v>285</v>
      </c>
      <c r="L998" s="59">
        <v>2025</v>
      </c>
      <c r="M998" s="58" t="s">
        <v>281</v>
      </c>
      <c r="N998" s="58" t="s">
        <v>208</v>
      </c>
      <c r="O998" s="58" t="s">
        <v>54</v>
      </c>
      <c r="P998" s="58" t="s">
        <v>25</v>
      </c>
      <c r="Q998" s="60">
        <v>5106</v>
      </c>
      <c r="R998" s="60">
        <v>4595</v>
      </c>
      <c r="S998" s="61">
        <v>4120</v>
      </c>
      <c r="T998" s="61"/>
      <c r="U998" s="62" t="s">
        <v>64</v>
      </c>
      <c r="V998" s="63" t="s">
        <v>56</v>
      </c>
      <c r="W998" s="60">
        <v>0</v>
      </c>
      <c r="X998" s="60">
        <f t="shared" si="1101"/>
        <v>0</v>
      </c>
      <c r="Y998" s="60">
        <f t="shared" si="1160"/>
        <v>0</v>
      </c>
      <c r="Z998" s="60">
        <f t="shared" si="1161"/>
        <v>0</v>
      </c>
      <c r="AA998" s="60" t="str">
        <f t="shared" si="1162"/>
        <v/>
      </c>
      <c r="AB998" s="64" t="s">
        <v>73</v>
      </c>
      <c r="AD998" s="107">
        <f t="shared" ref="AD998" si="1167">W998/AC991</f>
        <v>0</v>
      </c>
    </row>
    <row r="999" spans="1:30" s="55" customFormat="1" ht="15.95">
      <c r="A999" s="57"/>
      <c r="B999" s="58" t="s">
        <v>48</v>
      </c>
      <c r="C999" s="58" t="s">
        <v>225</v>
      </c>
      <c r="D999" s="58" t="s">
        <v>278</v>
      </c>
      <c r="E999" s="58" t="s">
        <v>20</v>
      </c>
      <c r="F999" s="58" t="s">
        <v>21</v>
      </c>
      <c r="G999" s="58" t="s">
        <v>50</v>
      </c>
      <c r="H999" s="58"/>
      <c r="I999" s="58" t="s">
        <v>253</v>
      </c>
      <c r="J999" s="58"/>
      <c r="K999" s="58" t="s">
        <v>285</v>
      </c>
      <c r="L999" s="59">
        <v>2025</v>
      </c>
      <c r="M999" s="58" t="s">
        <v>281</v>
      </c>
      <c r="N999" s="58" t="s">
        <v>208</v>
      </c>
      <c r="O999" s="58" t="s">
        <v>54</v>
      </c>
      <c r="P999" s="58" t="s">
        <v>25</v>
      </c>
      <c r="Q999" s="60">
        <v>5106</v>
      </c>
      <c r="R999" s="60">
        <v>4595</v>
      </c>
      <c r="S999" s="61">
        <v>4120</v>
      </c>
      <c r="T999" s="61"/>
      <c r="U999" s="62" t="s">
        <v>65</v>
      </c>
      <c r="V999" s="63" t="s">
        <v>56</v>
      </c>
      <c r="W999" s="60">
        <v>4353204.6770601338</v>
      </c>
      <c r="X999" s="60">
        <f t="shared" si="1101"/>
        <v>852.56652508032391</v>
      </c>
      <c r="Y999" s="60">
        <f t="shared" si="1160"/>
        <v>947.37860218936532</v>
      </c>
      <c r="Z999" s="60">
        <f t="shared" si="1161"/>
        <v>1056.6030769563431</v>
      </c>
      <c r="AA999" s="60" t="str">
        <f t="shared" si="1162"/>
        <v/>
      </c>
      <c r="AB999" s="64" t="s">
        <v>73</v>
      </c>
      <c r="AD999" s="107">
        <f t="shared" ref="AD999" si="1168">W999/AC991</f>
        <v>0.10617572383073497</v>
      </c>
    </row>
    <row r="1000" spans="1:30" s="55" customFormat="1" ht="15.95">
      <c r="A1000" s="57"/>
      <c r="B1000" s="58" t="s">
        <v>48</v>
      </c>
      <c r="C1000" s="58" t="s">
        <v>225</v>
      </c>
      <c r="D1000" s="58" t="s">
        <v>278</v>
      </c>
      <c r="E1000" s="58" t="s">
        <v>20</v>
      </c>
      <c r="F1000" s="58" t="s">
        <v>21</v>
      </c>
      <c r="G1000" s="58" t="s">
        <v>50</v>
      </c>
      <c r="H1000" s="58"/>
      <c r="I1000" s="58" t="s">
        <v>253</v>
      </c>
      <c r="J1000" s="58"/>
      <c r="K1000" s="58" t="s">
        <v>285</v>
      </c>
      <c r="L1000" s="59">
        <v>2025</v>
      </c>
      <c r="M1000" s="58" t="s">
        <v>281</v>
      </c>
      <c r="N1000" s="58" t="s">
        <v>208</v>
      </c>
      <c r="O1000" s="58" t="s">
        <v>54</v>
      </c>
      <c r="P1000" s="58" t="s">
        <v>25</v>
      </c>
      <c r="Q1000" s="60">
        <v>5106</v>
      </c>
      <c r="R1000" s="60">
        <v>4595</v>
      </c>
      <c r="S1000" s="61">
        <v>4120</v>
      </c>
      <c r="T1000" s="61"/>
      <c r="U1000" s="62" t="s">
        <v>66</v>
      </c>
      <c r="V1000" s="63" t="s">
        <v>56</v>
      </c>
      <c r="W1000" s="60">
        <v>8297665.8351893099</v>
      </c>
      <c r="X1000" s="60">
        <f t="shared" si="1101"/>
        <v>1625.0814404992773</v>
      </c>
      <c r="Y1000" s="60">
        <f t="shared" si="1160"/>
        <v>1805.8032285504482</v>
      </c>
      <c r="Z1000" s="60">
        <f t="shared" si="1161"/>
        <v>2013.9965619391528</v>
      </c>
      <c r="AA1000" s="60" t="str">
        <f t="shared" si="1162"/>
        <v/>
      </c>
      <c r="AB1000" s="64" t="s">
        <v>73</v>
      </c>
      <c r="AD1000" s="107">
        <f t="shared" ref="AD1000" si="1169">W1000/AC991</f>
        <v>0.20238209354120268</v>
      </c>
    </row>
    <row r="1001" spans="1:30" s="55" customFormat="1" ht="15.95">
      <c r="A1001" s="57"/>
      <c r="B1001" s="58" t="s">
        <v>48</v>
      </c>
      <c r="C1001" s="58" t="s">
        <v>225</v>
      </c>
      <c r="D1001" s="58" t="s">
        <v>278</v>
      </c>
      <c r="E1001" s="58" t="s">
        <v>20</v>
      </c>
      <c r="F1001" s="58" t="s">
        <v>21</v>
      </c>
      <c r="G1001" s="58" t="s">
        <v>50</v>
      </c>
      <c r="H1001" s="58"/>
      <c r="I1001" s="58" t="s">
        <v>253</v>
      </c>
      <c r="J1001" s="58"/>
      <c r="K1001" s="58" t="s">
        <v>285</v>
      </c>
      <c r="L1001" s="59">
        <v>2025</v>
      </c>
      <c r="M1001" s="58" t="s">
        <v>281</v>
      </c>
      <c r="N1001" s="58" t="s">
        <v>208</v>
      </c>
      <c r="O1001" s="58" t="s">
        <v>54</v>
      </c>
      <c r="P1001" s="58" t="s">
        <v>25</v>
      </c>
      <c r="Q1001" s="60">
        <v>5106</v>
      </c>
      <c r="R1001" s="60">
        <v>4595</v>
      </c>
      <c r="S1001" s="61">
        <v>4120</v>
      </c>
      <c r="T1001" s="61"/>
      <c r="U1001" s="62" t="s">
        <v>67</v>
      </c>
      <c r="V1001" s="63" t="s">
        <v>56</v>
      </c>
      <c r="W1001" s="60">
        <v>0</v>
      </c>
      <c r="X1001" s="60">
        <f t="shared" si="1101"/>
        <v>0</v>
      </c>
      <c r="Y1001" s="60">
        <f t="shared" si="1160"/>
        <v>0</v>
      </c>
      <c r="Z1001" s="60">
        <f t="shared" si="1161"/>
        <v>0</v>
      </c>
      <c r="AA1001" s="60" t="str">
        <f t="shared" si="1162"/>
        <v/>
      </c>
      <c r="AB1001" s="64" t="s">
        <v>73</v>
      </c>
      <c r="AD1001" s="107">
        <f t="shared" ref="AD1001" si="1170">W1001/AC991</f>
        <v>0</v>
      </c>
    </row>
    <row r="1002" spans="1:30" s="55" customFormat="1" ht="15.95">
      <c r="A1002" s="57"/>
      <c r="B1002" s="58" t="s">
        <v>48</v>
      </c>
      <c r="C1002" s="58" t="s">
        <v>225</v>
      </c>
      <c r="D1002" s="58" t="s">
        <v>278</v>
      </c>
      <c r="E1002" s="58" t="s">
        <v>20</v>
      </c>
      <c r="F1002" s="58" t="s">
        <v>21</v>
      </c>
      <c r="G1002" s="58" t="s">
        <v>50</v>
      </c>
      <c r="H1002" s="58"/>
      <c r="I1002" s="58" t="s">
        <v>253</v>
      </c>
      <c r="J1002" s="58"/>
      <c r="K1002" s="58" t="s">
        <v>285</v>
      </c>
      <c r="L1002" s="59">
        <v>2025</v>
      </c>
      <c r="M1002" s="58" t="s">
        <v>281</v>
      </c>
      <c r="N1002" s="58" t="s">
        <v>208</v>
      </c>
      <c r="O1002" s="58" t="s">
        <v>54</v>
      </c>
      <c r="P1002" s="58" t="s">
        <v>25</v>
      </c>
      <c r="Q1002" s="60">
        <v>5106</v>
      </c>
      <c r="R1002" s="60">
        <v>4595</v>
      </c>
      <c r="S1002" s="61">
        <v>4120</v>
      </c>
      <c r="T1002" s="61"/>
      <c r="U1002" s="62" t="s">
        <v>68</v>
      </c>
      <c r="V1002" s="63" t="s">
        <v>56</v>
      </c>
      <c r="W1002" s="60">
        <v>5027759.6881959913</v>
      </c>
      <c r="X1002" s="60">
        <f t="shared" si="1101"/>
        <v>984.67678969760891</v>
      </c>
      <c r="Y1002" s="60">
        <f t="shared" si="1160"/>
        <v>1094.1805632635455</v>
      </c>
      <c r="Z1002" s="60">
        <f t="shared" si="1161"/>
        <v>1220.330021406794</v>
      </c>
      <c r="AA1002" s="60" t="str">
        <f t="shared" si="1162"/>
        <v/>
      </c>
      <c r="AB1002" s="64" t="s">
        <v>73</v>
      </c>
      <c r="AD1002" s="107">
        <f t="shared" ref="AD1002" si="1171">W1002/AC991</f>
        <v>0.12262828507795101</v>
      </c>
    </row>
    <row r="1003" spans="1:30" s="55" customFormat="1" ht="15.95">
      <c r="A1003" s="57"/>
      <c r="B1003" s="58" t="s">
        <v>48</v>
      </c>
      <c r="C1003" s="58" t="s">
        <v>225</v>
      </c>
      <c r="D1003" s="58" t="s">
        <v>278</v>
      </c>
      <c r="E1003" s="58" t="s">
        <v>20</v>
      </c>
      <c r="F1003" s="58" t="s">
        <v>21</v>
      </c>
      <c r="G1003" s="58" t="s">
        <v>50</v>
      </c>
      <c r="H1003" s="58"/>
      <c r="I1003" s="58" t="s">
        <v>253</v>
      </c>
      <c r="J1003" s="58"/>
      <c r="K1003" s="58" t="s">
        <v>285</v>
      </c>
      <c r="L1003" s="59">
        <v>2025</v>
      </c>
      <c r="M1003" s="58" t="s">
        <v>281</v>
      </c>
      <c r="N1003" s="58" t="s">
        <v>208</v>
      </c>
      <c r="O1003" s="58" t="s">
        <v>54</v>
      </c>
      <c r="P1003" s="58" t="s">
        <v>25</v>
      </c>
      <c r="Q1003" s="60">
        <v>5106</v>
      </c>
      <c r="R1003" s="60">
        <v>4595</v>
      </c>
      <c r="S1003" s="61">
        <v>4120</v>
      </c>
      <c r="T1003" s="61"/>
      <c r="U1003" s="62" t="s">
        <v>69</v>
      </c>
      <c r="V1003" s="63" t="s">
        <v>56</v>
      </c>
      <c r="W1003" s="60">
        <v>4989398.6636971049</v>
      </c>
      <c r="X1003" s="60">
        <f t="shared" si="1101"/>
        <v>977.16385893010283</v>
      </c>
      <c r="Y1003" s="60">
        <f t="shared" si="1160"/>
        <v>1085.8321357338639</v>
      </c>
      <c r="Z1003" s="60">
        <f t="shared" si="1161"/>
        <v>1211.0190931303653</v>
      </c>
      <c r="AA1003" s="60" t="str">
        <f t="shared" si="1162"/>
        <v/>
      </c>
      <c r="AB1003" s="64" t="s">
        <v>73</v>
      </c>
      <c r="AD1003" s="107">
        <f t="shared" ref="AD1003" si="1172">W1003/AC991</f>
        <v>0.12169265033407572</v>
      </c>
    </row>
    <row r="1004" spans="1:30" s="32" customFormat="1" ht="15" customHeight="1">
      <c r="A1004" s="57"/>
      <c r="B1004" s="66" t="s">
        <v>48</v>
      </c>
      <c r="C1004" s="66" t="s">
        <v>114</v>
      </c>
      <c r="D1004" s="66"/>
      <c r="E1004" s="66" t="s">
        <v>20</v>
      </c>
      <c r="F1004" s="66" t="s">
        <v>21</v>
      </c>
      <c r="G1004" s="66" t="s">
        <v>50</v>
      </c>
      <c r="H1004" s="66"/>
      <c r="I1004" s="66" t="s">
        <v>286</v>
      </c>
      <c r="J1004" s="66"/>
      <c r="K1004" s="66" t="s">
        <v>287</v>
      </c>
      <c r="L1004" s="67">
        <v>2025</v>
      </c>
      <c r="M1004" s="66" t="s">
        <v>121</v>
      </c>
      <c r="N1004" s="66" t="s">
        <v>24</v>
      </c>
      <c r="O1004" s="66" t="s">
        <v>54</v>
      </c>
      <c r="P1004" s="66" t="s">
        <v>25</v>
      </c>
      <c r="Q1004" s="80">
        <v>164530</v>
      </c>
      <c r="R1004" s="80">
        <v>152584</v>
      </c>
      <c r="S1004" s="80">
        <v>104799</v>
      </c>
      <c r="T1004" s="81">
        <v>1086</v>
      </c>
      <c r="U1004" s="82" t="s">
        <v>55</v>
      </c>
      <c r="V1004" s="83" t="s">
        <v>56</v>
      </c>
      <c r="W1004" s="80">
        <v>63839814.359999992</v>
      </c>
      <c r="X1004" s="68">
        <f t="shared" ref="X1004:X1016" si="1173">W1004/Q1004</f>
        <v>388.01321558378407</v>
      </c>
      <c r="Y1004" s="68">
        <f t="shared" ref="Y1004:Y1016" si="1174">W1004/R1004</f>
        <v>418.39127536307865</v>
      </c>
      <c r="Z1004" s="68">
        <f t="shared" ref="Z1004:Z1016" si="1175">W1004/S1004</f>
        <v>609.16434660636071</v>
      </c>
      <c r="AA1004" s="68">
        <f t="shared" ref="AA1004:AA1016" si="1176">W1004/T1004</f>
        <v>58784.359447513802</v>
      </c>
      <c r="AB1004" s="78" t="s">
        <v>73</v>
      </c>
      <c r="AC1004" s="92">
        <f t="shared" ref="AC1004" si="1177">SUM(W1004:W1016)</f>
        <v>955038000.39999998</v>
      </c>
      <c r="AD1004" s="93">
        <f t="shared" ref="AD1004" si="1178">W1004/AC1004</f>
        <v>6.6845313310320495E-2</v>
      </c>
    </row>
    <row r="1005" spans="1:30" s="32" customFormat="1" ht="15.95">
      <c r="A1005" s="57"/>
      <c r="B1005" s="66" t="s">
        <v>48</v>
      </c>
      <c r="C1005" s="66" t="s">
        <v>114</v>
      </c>
      <c r="D1005" s="66"/>
      <c r="E1005" s="66" t="s">
        <v>20</v>
      </c>
      <c r="F1005" s="66" t="s">
        <v>21</v>
      </c>
      <c r="G1005" s="66" t="s">
        <v>50</v>
      </c>
      <c r="H1005" s="66"/>
      <c r="I1005" s="66" t="s">
        <v>286</v>
      </c>
      <c r="J1005" s="66"/>
      <c r="K1005" s="66" t="s">
        <v>287</v>
      </c>
      <c r="L1005" s="67">
        <v>2025</v>
      </c>
      <c r="M1005" s="66" t="s">
        <v>121</v>
      </c>
      <c r="N1005" s="66" t="s">
        <v>24</v>
      </c>
      <c r="O1005" s="66" t="s">
        <v>54</v>
      </c>
      <c r="P1005" s="66" t="s">
        <v>25</v>
      </c>
      <c r="Q1005" s="80">
        <v>164530</v>
      </c>
      <c r="R1005" s="80">
        <v>152584</v>
      </c>
      <c r="S1005" s="80">
        <v>104799</v>
      </c>
      <c r="T1005" s="81">
        <v>1086</v>
      </c>
      <c r="U1005" s="82" t="s">
        <v>58</v>
      </c>
      <c r="V1005" s="83" t="s">
        <v>56</v>
      </c>
      <c r="W1005" s="80">
        <v>132823861.27999999</v>
      </c>
      <c r="X1005" s="68">
        <f t="shared" si="1173"/>
        <v>807.29265957576115</v>
      </c>
      <c r="Y1005" s="68">
        <f t="shared" si="1174"/>
        <v>870.49665286006382</v>
      </c>
      <c r="Z1005" s="68">
        <f t="shared" si="1175"/>
        <v>1267.4153501464707</v>
      </c>
      <c r="AA1005" s="68">
        <f t="shared" si="1176"/>
        <v>122305.58128913442</v>
      </c>
      <c r="AB1005" s="78" t="s">
        <v>73</v>
      </c>
      <c r="AC1005" s="55"/>
      <c r="AD1005" s="93">
        <f t="shared" ref="AD1005" si="1179">W1005/AC1004</f>
        <v>0.13907704324264497</v>
      </c>
    </row>
    <row r="1006" spans="1:30" s="32" customFormat="1" ht="15.95">
      <c r="A1006" s="57"/>
      <c r="B1006" s="66" t="s">
        <v>48</v>
      </c>
      <c r="C1006" s="66" t="s">
        <v>114</v>
      </c>
      <c r="D1006" s="66"/>
      <c r="E1006" s="66" t="s">
        <v>20</v>
      </c>
      <c r="F1006" s="66" t="s">
        <v>21</v>
      </c>
      <c r="G1006" s="66" t="s">
        <v>50</v>
      </c>
      <c r="H1006" s="66"/>
      <c r="I1006" s="66" t="s">
        <v>286</v>
      </c>
      <c r="J1006" s="66"/>
      <c r="K1006" s="66" t="s">
        <v>287</v>
      </c>
      <c r="L1006" s="67">
        <v>2025</v>
      </c>
      <c r="M1006" s="66" t="s">
        <v>121</v>
      </c>
      <c r="N1006" s="66" t="s">
        <v>24</v>
      </c>
      <c r="O1006" s="66" t="s">
        <v>54</v>
      </c>
      <c r="P1006" s="66" t="s">
        <v>25</v>
      </c>
      <c r="Q1006" s="80">
        <v>164530</v>
      </c>
      <c r="R1006" s="80">
        <v>152584</v>
      </c>
      <c r="S1006" s="80">
        <v>104799</v>
      </c>
      <c r="T1006" s="81">
        <v>1086</v>
      </c>
      <c r="U1006" s="82" t="s">
        <v>59</v>
      </c>
      <c r="V1006" s="83" t="s">
        <v>56</v>
      </c>
      <c r="W1006" s="80">
        <v>108330798.75</v>
      </c>
      <c r="X1006" s="68">
        <f t="shared" si="1173"/>
        <v>658.4258114021759</v>
      </c>
      <c r="Y1006" s="68">
        <f t="shared" si="1174"/>
        <v>709.97482534210667</v>
      </c>
      <c r="Z1006" s="68">
        <f t="shared" si="1175"/>
        <v>1033.7006913233904</v>
      </c>
      <c r="AA1006" s="68">
        <f t="shared" si="1176"/>
        <v>99752.116712707182</v>
      </c>
      <c r="AB1006" s="78" t="s">
        <v>73</v>
      </c>
      <c r="AC1006" s="55"/>
      <c r="AD1006" s="93">
        <f t="shared" ref="AD1006" si="1180">W1006/AC1004</f>
        <v>0.11343087783379054</v>
      </c>
    </row>
    <row r="1007" spans="1:30" s="32" customFormat="1" ht="15.95">
      <c r="A1007" s="57"/>
      <c r="B1007" s="66" t="s">
        <v>48</v>
      </c>
      <c r="C1007" s="66" t="s">
        <v>114</v>
      </c>
      <c r="D1007" s="66"/>
      <c r="E1007" s="66" t="s">
        <v>20</v>
      </c>
      <c r="F1007" s="66" t="s">
        <v>21</v>
      </c>
      <c r="G1007" s="66" t="s">
        <v>50</v>
      </c>
      <c r="H1007" s="66"/>
      <c r="I1007" s="66" t="s">
        <v>286</v>
      </c>
      <c r="J1007" s="66"/>
      <c r="K1007" s="66" t="s">
        <v>287</v>
      </c>
      <c r="L1007" s="67">
        <v>2025</v>
      </c>
      <c r="M1007" s="66" t="s">
        <v>121</v>
      </c>
      <c r="N1007" s="66" t="s">
        <v>24</v>
      </c>
      <c r="O1007" s="66" t="s">
        <v>54</v>
      </c>
      <c r="P1007" s="66" t="s">
        <v>25</v>
      </c>
      <c r="Q1007" s="80">
        <v>164530</v>
      </c>
      <c r="R1007" s="80">
        <v>152584</v>
      </c>
      <c r="S1007" s="80">
        <v>104799</v>
      </c>
      <c r="T1007" s="81">
        <v>1086</v>
      </c>
      <c r="U1007" s="82" t="s">
        <v>60</v>
      </c>
      <c r="V1007" s="83" t="s">
        <v>56</v>
      </c>
      <c r="W1007" s="80">
        <v>74303858.819999993</v>
      </c>
      <c r="X1007" s="68">
        <f t="shared" si="1173"/>
        <v>451.61282939281585</v>
      </c>
      <c r="Y1007" s="68">
        <f t="shared" si="1174"/>
        <v>486.97018573375971</v>
      </c>
      <c r="Z1007" s="68">
        <f t="shared" si="1175"/>
        <v>709.01305184209764</v>
      </c>
      <c r="AA1007" s="68">
        <f t="shared" si="1176"/>
        <v>68419.759502762419</v>
      </c>
      <c r="AB1007" s="78" t="s">
        <v>73</v>
      </c>
      <c r="AC1007" s="55"/>
      <c r="AD1007" s="93">
        <f t="shared" ref="AD1007" si="1181">W1007/AC1004</f>
        <v>7.7801991950979116E-2</v>
      </c>
    </row>
    <row r="1008" spans="1:30" s="32" customFormat="1" ht="15.95">
      <c r="A1008" s="57"/>
      <c r="B1008" s="66" t="s">
        <v>48</v>
      </c>
      <c r="C1008" s="66" t="s">
        <v>114</v>
      </c>
      <c r="D1008" s="66"/>
      <c r="E1008" s="66" t="s">
        <v>20</v>
      </c>
      <c r="F1008" s="66" t="s">
        <v>21</v>
      </c>
      <c r="G1008" s="66" t="s">
        <v>50</v>
      </c>
      <c r="H1008" s="66"/>
      <c r="I1008" s="66" t="s">
        <v>286</v>
      </c>
      <c r="J1008" s="66"/>
      <c r="K1008" s="66" t="s">
        <v>287</v>
      </c>
      <c r="L1008" s="67">
        <v>2025</v>
      </c>
      <c r="M1008" s="66" t="s">
        <v>121</v>
      </c>
      <c r="N1008" s="66" t="s">
        <v>24</v>
      </c>
      <c r="O1008" s="66" t="s">
        <v>54</v>
      </c>
      <c r="P1008" s="66" t="s">
        <v>25</v>
      </c>
      <c r="Q1008" s="80">
        <v>164530</v>
      </c>
      <c r="R1008" s="80">
        <v>152584</v>
      </c>
      <c r="S1008" s="80">
        <v>104799</v>
      </c>
      <c r="T1008" s="81">
        <v>1086</v>
      </c>
      <c r="U1008" s="82" t="s">
        <v>61</v>
      </c>
      <c r="V1008" s="83" t="s">
        <v>56</v>
      </c>
      <c r="W1008" s="80">
        <v>97271839</v>
      </c>
      <c r="X1008" s="68">
        <f t="shared" si="1173"/>
        <v>591.21035069592176</v>
      </c>
      <c r="Y1008" s="68">
        <f t="shared" si="1174"/>
        <v>637.49697871336446</v>
      </c>
      <c r="Z1008" s="68">
        <f t="shared" si="1175"/>
        <v>928.17525930590944</v>
      </c>
      <c r="AA1008" s="68">
        <f t="shared" si="1176"/>
        <v>89568.912523020263</v>
      </c>
      <c r="AB1008" s="78" t="s">
        <v>73</v>
      </c>
      <c r="AC1008" s="55"/>
      <c r="AD1008" s="93">
        <f t="shared" ref="AD1008" si="1182">W1008/AC1004</f>
        <v>0.10185127603222018</v>
      </c>
    </row>
    <row r="1009" spans="1:30" s="32" customFormat="1" ht="15.95">
      <c r="A1009" s="57"/>
      <c r="B1009" s="66" t="s">
        <v>48</v>
      </c>
      <c r="C1009" s="66" t="s">
        <v>114</v>
      </c>
      <c r="D1009" s="66"/>
      <c r="E1009" s="66" t="s">
        <v>20</v>
      </c>
      <c r="F1009" s="66" t="s">
        <v>21</v>
      </c>
      <c r="G1009" s="66" t="s">
        <v>50</v>
      </c>
      <c r="H1009" s="66"/>
      <c r="I1009" s="66" t="s">
        <v>286</v>
      </c>
      <c r="J1009" s="66"/>
      <c r="K1009" s="66" t="s">
        <v>287</v>
      </c>
      <c r="L1009" s="67">
        <v>2025</v>
      </c>
      <c r="M1009" s="66" t="s">
        <v>121</v>
      </c>
      <c r="N1009" s="66" t="s">
        <v>24</v>
      </c>
      <c r="O1009" s="66" t="s">
        <v>54</v>
      </c>
      <c r="P1009" s="66" t="s">
        <v>25</v>
      </c>
      <c r="Q1009" s="80">
        <v>164530</v>
      </c>
      <c r="R1009" s="80">
        <v>152584</v>
      </c>
      <c r="S1009" s="80">
        <v>104799</v>
      </c>
      <c r="T1009" s="81">
        <v>1086</v>
      </c>
      <c r="U1009" s="82" t="s">
        <v>62</v>
      </c>
      <c r="V1009" s="83" t="s">
        <v>56</v>
      </c>
      <c r="W1009" s="80">
        <v>82226892.400000006</v>
      </c>
      <c r="X1009" s="68">
        <f t="shared" si="1173"/>
        <v>499.76838509694284</v>
      </c>
      <c r="Y1009" s="68">
        <f t="shared" si="1174"/>
        <v>538.89590258480575</v>
      </c>
      <c r="Z1009" s="68">
        <f t="shared" si="1175"/>
        <v>784.61523869502582</v>
      </c>
      <c r="AA1009" s="68">
        <f t="shared" si="1176"/>
        <v>75715.370534069982</v>
      </c>
      <c r="AB1009" s="78" t="s">
        <v>73</v>
      </c>
      <c r="AC1009" s="55"/>
      <c r="AD1009" s="93">
        <f t="shared" ref="AD1009" si="1183">W1009/AC1004</f>
        <v>8.6098032084127335E-2</v>
      </c>
    </row>
    <row r="1010" spans="1:30" s="32" customFormat="1" ht="15.95">
      <c r="A1010" s="57"/>
      <c r="B1010" s="66" t="s">
        <v>48</v>
      </c>
      <c r="C1010" s="66" t="s">
        <v>114</v>
      </c>
      <c r="D1010" s="66"/>
      <c r="E1010" s="66" t="s">
        <v>20</v>
      </c>
      <c r="F1010" s="66" t="s">
        <v>21</v>
      </c>
      <c r="G1010" s="66" t="s">
        <v>50</v>
      </c>
      <c r="H1010" s="66"/>
      <c r="I1010" s="66" t="s">
        <v>286</v>
      </c>
      <c r="J1010" s="66"/>
      <c r="K1010" s="66" t="s">
        <v>287</v>
      </c>
      <c r="L1010" s="67">
        <v>2025</v>
      </c>
      <c r="M1010" s="66" t="s">
        <v>121</v>
      </c>
      <c r="N1010" s="66" t="s">
        <v>24</v>
      </c>
      <c r="O1010" s="66" t="s">
        <v>54</v>
      </c>
      <c r="P1010" s="66" t="s">
        <v>25</v>
      </c>
      <c r="Q1010" s="80">
        <v>164530</v>
      </c>
      <c r="R1010" s="80">
        <v>152584</v>
      </c>
      <c r="S1010" s="80">
        <v>104799</v>
      </c>
      <c r="T1010" s="81">
        <v>1086</v>
      </c>
      <c r="U1010" s="82" t="s">
        <v>63</v>
      </c>
      <c r="V1010" s="83" t="s">
        <v>56</v>
      </c>
      <c r="W1010" s="80">
        <v>8099933</v>
      </c>
      <c r="X1010" s="68">
        <f t="shared" si="1173"/>
        <v>49.23073603598128</v>
      </c>
      <c r="Y1010" s="68">
        <f t="shared" si="1174"/>
        <v>53.085074450794316</v>
      </c>
      <c r="Z1010" s="68">
        <f t="shared" si="1175"/>
        <v>77.290174524566069</v>
      </c>
      <c r="AA1010" s="68">
        <f t="shared" si="1176"/>
        <v>7458.5018416206258</v>
      </c>
      <c r="AB1010" s="78" t="s">
        <v>73</v>
      </c>
      <c r="AC1010" s="55"/>
      <c r="AD1010" s="93">
        <f t="shared" ref="AD1010" si="1184">W1010/AC1004</f>
        <v>8.4812677575211593E-3</v>
      </c>
    </row>
    <row r="1011" spans="1:30" s="32" customFormat="1" ht="15.95">
      <c r="A1011" s="57"/>
      <c r="B1011" s="66" t="s">
        <v>48</v>
      </c>
      <c r="C1011" s="66" t="s">
        <v>114</v>
      </c>
      <c r="D1011" s="66"/>
      <c r="E1011" s="66" t="s">
        <v>20</v>
      </c>
      <c r="F1011" s="66" t="s">
        <v>21</v>
      </c>
      <c r="G1011" s="66" t="s">
        <v>50</v>
      </c>
      <c r="H1011" s="66"/>
      <c r="I1011" s="66" t="s">
        <v>286</v>
      </c>
      <c r="J1011" s="66"/>
      <c r="K1011" s="66" t="s">
        <v>287</v>
      </c>
      <c r="L1011" s="67">
        <v>2025</v>
      </c>
      <c r="M1011" s="66" t="s">
        <v>121</v>
      </c>
      <c r="N1011" s="66" t="s">
        <v>24</v>
      </c>
      <c r="O1011" s="66" t="s">
        <v>54</v>
      </c>
      <c r="P1011" s="66" t="s">
        <v>25</v>
      </c>
      <c r="Q1011" s="80">
        <v>164530</v>
      </c>
      <c r="R1011" s="80">
        <v>152584</v>
      </c>
      <c r="S1011" s="80">
        <v>104799</v>
      </c>
      <c r="T1011" s="81">
        <v>1086</v>
      </c>
      <c r="U1011" s="82" t="s">
        <v>64</v>
      </c>
      <c r="V1011" s="83" t="s">
        <v>56</v>
      </c>
      <c r="W1011" s="80">
        <v>0</v>
      </c>
      <c r="X1011" s="68">
        <f t="shared" si="1173"/>
        <v>0</v>
      </c>
      <c r="Y1011" s="68">
        <f t="shared" si="1174"/>
        <v>0</v>
      </c>
      <c r="Z1011" s="68">
        <f t="shared" si="1175"/>
        <v>0</v>
      </c>
      <c r="AA1011" s="68">
        <f t="shared" si="1176"/>
        <v>0</v>
      </c>
      <c r="AB1011" s="78" t="s">
        <v>73</v>
      </c>
      <c r="AC1011" s="55"/>
      <c r="AD1011" s="93">
        <f t="shared" ref="AD1011" si="1185">W1011/AC1004</f>
        <v>0</v>
      </c>
    </row>
    <row r="1012" spans="1:30" s="32" customFormat="1" ht="15.95">
      <c r="A1012" s="57"/>
      <c r="B1012" s="66" t="s">
        <v>48</v>
      </c>
      <c r="C1012" s="66" t="s">
        <v>114</v>
      </c>
      <c r="D1012" s="66"/>
      <c r="E1012" s="66" t="s">
        <v>20</v>
      </c>
      <c r="F1012" s="66" t="s">
        <v>21</v>
      </c>
      <c r="G1012" s="66" t="s">
        <v>50</v>
      </c>
      <c r="H1012" s="66"/>
      <c r="I1012" s="66" t="s">
        <v>286</v>
      </c>
      <c r="J1012" s="66"/>
      <c r="K1012" s="66" t="s">
        <v>287</v>
      </c>
      <c r="L1012" s="67">
        <v>2025</v>
      </c>
      <c r="M1012" s="66" t="s">
        <v>121</v>
      </c>
      <c r="N1012" s="66" t="s">
        <v>24</v>
      </c>
      <c r="O1012" s="66" t="s">
        <v>54</v>
      </c>
      <c r="P1012" s="66" t="s">
        <v>25</v>
      </c>
      <c r="Q1012" s="80">
        <v>164530</v>
      </c>
      <c r="R1012" s="80">
        <v>152584</v>
      </c>
      <c r="S1012" s="80">
        <v>104799</v>
      </c>
      <c r="T1012" s="81">
        <v>1086</v>
      </c>
      <c r="U1012" s="82" t="s">
        <v>65</v>
      </c>
      <c r="V1012" s="83" t="s">
        <v>56</v>
      </c>
      <c r="W1012" s="80">
        <v>124529434</v>
      </c>
      <c r="X1012" s="68">
        <f t="shared" si="1173"/>
        <v>756.87980307542693</v>
      </c>
      <c r="Y1012" s="68">
        <f t="shared" si="1174"/>
        <v>816.13690819483043</v>
      </c>
      <c r="Z1012" s="68">
        <f t="shared" si="1175"/>
        <v>1188.2692964627524</v>
      </c>
      <c r="AA1012" s="68">
        <f t="shared" si="1176"/>
        <v>114667.98710865562</v>
      </c>
      <c r="AB1012" s="78" t="s">
        <v>73</v>
      </c>
      <c r="AC1012" s="55"/>
      <c r="AD1012" s="93">
        <f t="shared" ref="AD1012" si="1186">W1012/AC1004</f>
        <v>0.1303921246566557</v>
      </c>
    </row>
    <row r="1013" spans="1:30" s="32" customFormat="1" ht="15.95">
      <c r="A1013" s="57"/>
      <c r="B1013" s="66" t="s">
        <v>48</v>
      </c>
      <c r="C1013" s="66" t="s">
        <v>114</v>
      </c>
      <c r="D1013" s="66"/>
      <c r="E1013" s="66" t="s">
        <v>20</v>
      </c>
      <c r="F1013" s="66" t="s">
        <v>21</v>
      </c>
      <c r="G1013" s="66" t="s">
        <v>50</v>
      </c>
      <c r="H1013" s="66"/>
      <c r="I1013" s="66" t="s">
        <v>286</v>
      </c>
      <c r="J1013" s="66"/>
      <c r="K1013" s="66" t="s">
        <v>287</v>
      </c>
      <c r="L1013" s="67">
        <v>2025</v>
      </c>
      <c r="M1013" s="66" t="s">
        <v>121</v>
      </c>
      <c r="N1013" s="66" t="s">
        <v>24</v>
      </c>
      <c r="O1013" s="66" t="s">
        <v>54</v>
      </c>
      <c r="P1013" s="66" t="s">
        <v>25</v>
      </c>
      <c r="Q1013" s="80">
        <v>164530</v>
      </c>
      <c r="R1013" s="80">
        <v>152584</v>
      </c>
      <c r="S1013" s="80">
        <v>104799</v>
      </c>
      <c r="T1013" s="81">
        <v>1086</v>
      </c>
      <c r="U1013" s="82" t="s">
        <v>66</v>
      </c>
      <c r="V1013" s="83" t="s">
        <v>56</v>
      </c>
      <c r="W1013" s="80">
        <v>86313306</v>
      </c>
      <c r="X1013" s="68">
        <f t="shared" si="1173"/>
        <v>524.60527563362302</v>
      </c>
      <c r="Y1013" s="68">
        <f t="shared" si="1174"/>
        <v>565.67730561526764</v>
      </c>
      <c r="Z1013" s="68">
        <f t="shared" si="1175"/>
        <v>823.60810694758538</v>
      </c>
      <c r="AA1013" s="68">
        <f t="shared" si="1176"/>
        <v>79478.182320441992</v>
      </c>
      <c r="AB1013" s="78" t="s">
        <v>73</v>
      </c>
      <c r="AC1013" s="55"/>
      <c r="AD1013" s="93">
        <f t="shared" ref="AD1013" si="1187">W1013/AC1004</f>
        <v>9.0376828946962598E-2</v>
      </c>
    </row>
    <row r="1014" spans="1:30" s="32" customFormat="1" ht="15.95">
      <c r="A1014" s="57"/>
      <c r="B1014" s="66" t="s">
        <v>48</v>
      </c>
      <c r="C1014" s="66" t="s">
        <v>114</v>
      </c>
      <c r="D1014" s="66"/>
      <c r="E1014" s="66" t="s">
        <v>20</v>
      </c>
      <c r="F1014" s="66" t="s">
        <v>21</v>
      </c>
      <c r="G1014" s="66" t="s">
        <v>50</v>
      </c>
      <c r="H1014" s="66"/>
      <c r="I1014" s="66" t="s">
        <v>286</v>
      </c>
      <c r="J1014" s="66"/>
      <c r="K1014" s="66" t="s">
        <v>287</v>
      </c>
      <c r="L1014" s="67">
        <v>2025</v>
      </c>
      <c r="M1014" s="66" t="s">
        <v>121</v>
      </c>
      <c r="N1014" s="66" t="s">
        <v>24</v>
      </c>
      <c r="O1014" s="66" t="s">
        <v>54</v>
      </c>
      <c r="P1014" s="66" t="s">
        <v>25</v>
      </c>
      <c r="Q1014" s="80">
        <v>164530</v>
      </c>
      <c r="R1014" s="80">
        <v>152584</v>
      </c>
      <c r="S1014" s="80">
        <v>104799</v>
      </c>
      <c r="T1014" s="81">
        <v>1086</v>
      </c>
      <c r="U1014" s="82" t="s">
        <v>67</v>
      </c>
      <c r="V1014" s="83" t="s">
        <v>56</v>
      </c>
      <c r="W1014" s="80">
        <v>13149393</v>
      </c>
      <c r="X1014" s="68">
        <f t="shared" si="1173"/>
        <v>79.920944508600257</v>
      </c>
      <c r="Y1014" s="68">
        <f t="shared" si="1174"/>
        <v>86.178059298484769</v>
      </c>
      <c r="Z1014" s="68">
        <f t="shared" si="1175"/>
        <v>125.47250450863081</v>
      </c>
      <c r="AA1014" s="68">
        <f t="shared" si="1176"/>
        <v>12108.096685082874</v>
      </c>
      <c r="AB1014" s="78" t="s">
        <v>73</v>
      </c>
      <c r="AC1014" s="55"/>
      <c r="AD1014" s="93">
        <f t="shared" ref="AD1014" si="1188">W1014/AC1004</f>
        <v>1.376845004543549E-2</v>
      </c>
    </row>
    <row r="1015" spans="1:30" s="32" customFormat="1" ht="15.95">
      <c r="A1015" s="57"/>
      <c r="B1015" s="66" t="s">
        <v>48</v>
      </c>
      <c r="C1015" s="66" t="s">
        <v>114</v>
      </c>
      <c r="D1015" s="66"/>
      <c r="E1015" s="66" t="s">
        <v>20</v>
      </c>
      <c r="F1015" s="66" t="s">
        <v>21</v>
      </c>
      <c r="G1015" s="66" t="s">
        <v>50</v>
      </c>
      <c r="H1015" s="66"/>
      <c r="I1015" s="66" t="s">
        <v>286</v>
      </c>
      <c r="J1015" s="66"/>
      <c r="K1015" s="66" t="s">
        <v>287</v>
      </c>
      <c r="L1015" s="67">
        <v>2025</v>
      </c>
      <c r="M1015" s="66" t="s">
        <v>121</v>
      </c>
      <c r="N1015" s="66" t="s">
        <v>24</v>
      </c>
      <c r="O1015" s="66" t="s">
        <v>54</v>
      </c>
      <c r="P1015" s="66" t="s">
        <v>25</v>
      </c>
      <c r="Q1015" s="80">
        <v>164530</v>
      </c>
      <c r="R1015" s="80">
        <v>152584</v>
      </c>
      <c r="S1015" s="80">
        <v>104799</v>
      </c>
      <c r="T1015" s="81">
        <v>1086</v>
      </c>
      <c r="U1015" s="82" t="s">
        <v>68</v>
      </c>
      <c r="V1015" s="83" t="s">
        <v>56</v>
      </c>
      <c r="W1015" s="80">
        <v>35433078</v>
      </c>
      <c r="X1015" s="68">
        <f t="shared" si="1173"/>
        <v>215.35937518993498</v>
      </c>
      <c r="Y1015" s="68">
        <f t="shared" si="1174"/>
        <v>232.22014103706812</v>
      </c>
      <c r="Z1015" s="68">
        <f t="shared" si="1175"/>
        <v>338.10511550682736</v>
      </c>
      <c r="AA1015" s="68">
        <f t="shared" si="1176"/>
        <v>32627.14364640884</v>
      </c>
      <c r="AB1015" s="78" t="s">
        <v>73</v>
      </c>
      <c r="AC1015" s="55"/>
      <c r="AD1015" s="93">
        <f t="shared" ref="AD1015" si="1189">W1015/AC1004</f>
        <v>3.710122318186241E-2</v>
      </c>
    </row>
    <row r="1016" spans="1:30" s="32" customFormat="1" ht="15.95">
      <c r="A1016" s="57"/>
      <c r="B1016" s="66" t="s">
        <v>48</v>
      </c>
      <c r="C1016" s="66" t="s">
        <v>114</v>
      </c>
      <c r="D1016" s="66"/>
      <c r="E1016" s="66" t="s">
        <v>20</v>
      </c>
      <c r="F1016" s="66" t="s">
        <v>21</v>
      </c>
      <c r="G1016" s="66" t="s">
        <v>50</v>
      </c>
      <c r="H1016" s="66"/>
      <c r="I1016" s="66" t="s">
        <v>286</v>
      </c>
      <c r="J1016" s="66"/>
      <c r="K1016" s="66" t="s">
        <v>287</v>
      </c>
      <c r="L1016" s="67">
        <v>2025</v>
      </c>
      <c r="M1016" s="66" t="s">
        <v>121</v>
      </c>
      <c r="N1016" s="66" t="s">
        <v>24</v>
      </c>
      <c r="O1016" s="66" t="s">
        <v>54</v>
      </c>
      <c r="P1016" s="66" t="s">
        <v>25</v>
      </c>
      <c r="Q1016" s="80">
        <v>164530</v>
      </c>
      <c r="R1016" s="80">
        <v>152584</v>
      </c>
      <c r="S1016" s="80">
        <v>104799</v>
      </c>
      <c r="T1016" s="81">
        <v>1086</v>
      </c>
      <c r="U1016" s="82" t="s">
        <v>69</v>
      </c>
      <c r="V1016" s="83" t="s">
        <v>56</v>
      </c>
      <c r="W1016" s="80">
        <v>128715791.78999999</v>
      </c>
      <c r="X1016" s="68">
        <f t="shared" si="1173"/>
        <v>782.3241462955084</v>
      </c>
      <c r="Y1016" s="68">
        <f t="shared" si="1174"/>
        <v>843.57332217008332</v>
      </c>
      <c r="Z1016" s="68">
        <f t="shared" si="1175"/>
        <v>1228.2158397503792</v>
      </c>
      <c r="AA1016" s="68">
        <f t="shared" si="1176"/>
        <v>118522.8285359116</v>
      </c>
      <c r="AB1016" s="78" t="s">
        <v>73</v>
      </c>
      <c r="AC1016" s="55"/>
      <c r="AD1016" s="93">
        <f t="shared" ref="AD1016" si="1190">W1016/AC1004</f>
        <v>0.13477557095747997</v>
      </c>
    </row>
    <row r="1017" spans="1:30" s="55" customFormat="1" ht="15" customHeight="1">
      <c r="A1017" s="57"/>
      <c r="B1017" s="58" t="s">
        <v>48</v>
      </c>
      <c r="C1017" s="58" t="s">
        <v>114</v>
      </c>
      <c r="D1017" s="58"/>
      <c r="E1017" s="58" t="s">
        <v>20</v>
      </c>
      <c r="F1017" s="58" t="s">
        <v>21</v>
      </c>
      <c r="G1017" s="58" t="s">
        <v>249</v>
      </c>
      <c r="H1017" s="58"/>
      <c r="I1017" s="58" t="s">
        <v>288</v>
      </c>
      <c r="J1017" s="58"/>
      <c r="K1017" s="58" t="s">
        <v>289</v>
      </c>
      <c r="L1017" s="59">
        <v>2025</v>
      </c>
      <c r="M1017" s="58" t="s">
        <v>290</v>
      </c>
      <c r="N1017" s="58" t="s">
        <v>24</v>
      </c>
      <c r="O1017" s="58" t="s">
        <v>54</v>
      </c>
      <c r="P1017" s="58" t="s">
        <v>25</v>
      </c>
      <c r="Q1017" s="84">
        <v>114619</v>
      </c>
      <c r="R1017" s="84">
        <v>105936</v>
      </c>
      <c r="S1017" s="84">
        <v>68881</v>
      </c>
      <c r="T1017" s="89">
        <v>546</v>
      </c>
      <c r="U1017" s="86" t="s">
        <v>55</v>
      </c>
      <c r="V1017" s="87" t="s">
        <v>56</v>
      </c>
      <c r="W1017" s="84">
        <v>42890218.899901479</v>
      </c>
      <c r="X1017" s="60">
        <f t="shared" ref="X1017:X1029" si="1191">W1017/Q1017</f>
        <v>374.19815999006693</v>
      </c>
      <c r="Y1017" s="60">
        <f t="shared" ref="Y1017:Y1029" si="1192">W1017/R1017</f>
        <v>404.86915590452236</v>
      </c>
      <c r="Z1017" s="60">
        <f t="shared" ref="Z1017:Z1029" si="1193">W1017/S1017</f>
        <v>622.67125767485197</v>
      </c>
      <c r="AA1017" s="60">
        <f t="shared" ref="AA1017:AA1029" si="1194">W1017/T1017</f>
        <v>78553.514468684021</v>
      </c>
      <c r="AB1017" s="77" t="s">
        <v>73</v>
      </c>
      <c r="AC1017" s="92">
        <f t="shared" ref="AC1017" si="1195">SUM(W1017:W1029)</f>
        <v>684845751.99999988</v>
      </c>
      <c r="AD1017" s="107">
        <f t="shared" ref="AD1017" si="1196">W1017/AC1017</f>
        <v>6.2627560694720474E-2</v>
      </c>
    </row>
    <row r="1018" spans="1:30" s="55" customFormat="1" ht="15.95">
      <c r="A1018" s="57"/>
      <c r="B1018" s="58" t="s">
        <v>48</v>
      </c>
      <c r="C1018" s="58" t="s">
        <v>114</v>
      </c>
      <c r="D1018" s="58"/>
      <c r="E1018" s="58" t="s">
        <v>20</v>
      </c>
      <c r="F1018" s="58" t="s">
        <v>21</v>
      </c>
      <c r="G1018" s="58" t="s">
        <v>249</v>
      </c>
      <c r="H1018" s="58"/>
      <c r="I1018" s="58" t="s">
        <v>288</v>
      </c>
      <c r="J1018" s="58"/>
      <c r="K1018" s="58" t="s">
        <v>289</v>
      </c>
      <c r="L1018" s="59">
        <v>2025</v>
      </c>
      <c r="M1018" s="58" t="s">
        <v>290</v>
      </c>
      <c r="N1018" s="58" t="s">
        <v>24</v>
      </c>
      <c r="O1018" s="58" t="s">
        <v>54</v>
      </c>
      <c r="P1018" s="58" t="s">
        <v>25</v>
      </c>
      <c r="Q1018" s="84">
        <v>114619</v>
      </c>
      <c r="R1018" s="84">
        <v>105936</v>
      </c>
      <c r="S1018" s="84">
        <v>68881</v>
      </c>
      <c r="T1018" s="89">
        <v>546</v>
      </c>
      <c r="U1018" s="86" t="s">
        <v>58</v>
      </c>
      <c r="V1018" s="87" t="s">
        <v>56</v>
      </c>
      <c r="W1018" s="84">
        <v>92213413.288671359</v>
      </c>
      <c r="X1018" s="60">
        <f t="shared" si="1191"/>
        <v>804.52118138067306</v>
      </c>
      <c r="Y1018" s="60">
        <f t="shared" si="1192"/>
        <v>870.46342403594019</v>
      </c>
      <c r="Z1018" s="60">
        <f t="shared" si="1193"/>
        <v>1338.7351125661846</v>
      </c>
      <c r="AA1018" s="60">
        <f t="shared" si="1194"/>
        <v>168889.03532723692</v>
      </c>
      <c r="AB1018" s="77" t="s">
        <v>73</v>
      </c>
      <c r="AD1018" s="107">
        <f t="shared" ref="AD1018" si="1197">W1018/AC1017</f>
        <v>0.13464844166642562</v>
      </c>
    </row>
    <row r="1019" spans="1:30" s="55" customFormat="1" ht="15.95">
      <c r="A1019" s="57"/>
      <c r="B1019" s="58" t="s">
        <v>48</v>
      </c>
      <c r="C1019" s="58" t="s">
        <v>114</v>
      </c>
      <c r="D1019" s="58"/>
      <c r="E1019" s="58" t="s">
        <v>20</v>
      </c>
      <c r="F1019" s="58" t="s">
        <v>21</v>
      </c>
      <c r="G1019" s="58" t="s">
        <v>249</v>
      </c>
      <c r="H1019" s="58"/>
      <c r="I1019" s="58" t="s">
        <v>288</v>
      </c>
      <c r="J1019" s="58"/>
      <c r="K1019" s="58" t="s">
        <v>289</v>
      </c>
      <c r="L1019" s="59">
        <v>2025</v>
      </c>
      <c r="M1019" s="58" t="s">
        <v>290</v>
      </c>
      <c r="N1019" s="58" t="s">
        <v>24</v>
      </c>
      <c r="O1019" s="58" t="s">
        <v>54</v>
      </c>
      <c r="P1019" s="58" t="s">
        <v>25</v>
      </c>
      <c r="Q1019" s="84">
        <v>114619</v>
      </c>
      <c r="R1019" s="84">
        <v>105936</v>
      </c>
      <c r="S1019" s="84">
        <v>68881</v>
      </c>
      <c r="T1019" s="89">
        <v>546</v>
      </c>
      <c r="U1019" s="86" t="s">
        <v>59</v>
      </c>
      <c r="V1019" s="87" t="s">
        <v>56</v>
      </c>
      <c r="W1019" s="84">
        <v>87340482.443708897</v>
      </c>
      <c r="X1019" s="60">
        <f t="shared" si="1191"/>
        <v>762.00701841500006</v>
      </c>
      <c r="Y1019" s="60">
        <f t="shared" si="1192"/>
        <v>824.4646054571524</v>
      </c>
      <c r="Z1019" s="60">
        <f t="shared" si="1193"/>
        <v>1267.9909183041607</v>
      </c>
      <c r="AA1019" s="60">
        <f t="shared" si="1194"/>
        <v>159964.25355990641</v>
      </c>
      <c r="AB1019" s="77" t="s">
        <v>73</v>
      </c>
      <c r="AD1019" s="107">
        <f t="shared" ref="AD1019" si="1198">W1019/AC1017</f>
        <v>0.12753307177366988</v>
      </c>
    </row>
    <row r="1020" spans="1:30" s="55" customFormat="1" ht="15.95">
      <c r="A1020" s="57"/>
      <c r="B1020" s="58" t="s">
        <v>48</v>
      </c>
      <c r="C1020" s="58" t="s">
        <v>114</v>
      </c>
      <c r="D1020" s="58"/>
      <c r="E1020" s="58" t="s">
        <v>20</v>
      </c>
      <c r="F1020" s="58" t="s">
        <v>21</v>
      </c>
      <c r="G1020" s="58" t="s">
        <v>249</v>
      </c>
      <c r="H1020" s="58"/>
      <c r="I1020" s="58" t="s">
        <v>288</v>
      </c>
      <c r="J1020" s="58"/>
      <c r="K1020" s="58" t="s">
        <v>289</v>
      </c>
      <c r="L1020" s="59">
        <v>2025</v>
      </c>
      <c r="M1020" s="58" t="s">
        <v>290</v>
      </c>
      <c r="N1020" s="58" t="s">
        <v>24</v>
      </c>
      <c r="O1020" s="58" t="s">
        <v>54</v>
      </c>
      <c r="P1020" s="58" t="s">
        <v>25</v>
      </c>
      <c r="Q1020" s="84">
        <v>114619</v>
      </c>
      <c r="R1020" s="84">
        <v>105936</v>
      </c>
      <c r="S1020" s="84">
        <v>68881</v>
      </c>
      <c r="T1020" s="89">
        <v>546</v>
      </c>
      <c r="U1020" s="86" t="s">
        <v>60</v>
      </c>
      <c r="V1020" s="87" t="s">
        <v>56</v>
      </c>
      <c r="W1020" s="84">
        <v>26501960.570756193</v>
      </c>
      <c r="X1020" s="60">
        <f t="shared" si="1191"/>
        <v>231.2178658927071</v>
      </c>
      <c r="Y1020" s="60">
        <f t="shared" si="1192"/>
        <v>250.16954171156351</v>
      </c>
      <c r="Z1020" s="60">
        <f t="shared" si="1193"/>
        <v>384.74993932660954</v>
      </c>
      <c r="AA1020" s="60">
        <f t="shared" si="1194"/>
        <v>48538.389323729294</v>
      </c>
      <c r="AB1020" s="77" t="s">
        <v>73</v>
      </c>
      <c r="AD1020" s="107">
        <f t="shared" ref="AD1020" si="1199">W1020/AC1017</f>
        <v>3.869770746677012E-2</v>
      </c>
    </row>
    <row r="1021" spans="1:30" s="55" customFormat="1" ht="15.95">
      <c r="A1021" s="57"/>
      <c r="B1021" s="58" t="s">
        <v>48</v>
      </c>
      <c r="C1021" s="58" t="s">
        <v>114</v>
      </c>
      <c r="D1021" s="58"/>
      <c r="E1021" s="58" t="s">
        <v>20</v>
      </c>
      <c r="F1021" s="58" t="s">
        <v>21</v>
      </c>
      <c r="G1021" s="58" t="s">
        <v>249</v>
      </c>
      <c r="H1021" s="58"/>
      <c r="I1021" s="58" t="s">
        <v>288</v>
      </c>
      <c r="J1021" s="58"/>
      <c r="K1021" s="58" t="s">
        <v>289</v>
      </c>
      <c r="L1021" s="59">
        <v>2025</v>
      </c>
      <c r="M1021" s="58" t="s">
        <v>290</v>
      </c>
      <c r="N1021" s="58" t="s">
        <v>24</v>
      </c>
      <c r="O1021" s="58" t="s">
        <v>54</v>
      </c>
      <c r="P1021" s="58" t="s">
        <v>25</v>
      </c>
      <c r="Q1021" s="84">
        <v>114619</v>
      </c>
      <c r="R1021" s="84">
        <v>105936</v>
      </c>
      <c r="S1021" s="84">
        <v>68881</v>
      </c>
      <c r="T1021" s="89">
        <v>546</v>
      </c>
      <c r="U1021" s="86" t="s">
        <v>61</v>
      </c>
      <c r="V1021" s="87" t="s">
        <v>56</v>
      </c>
      <c r="W1021" s="84">
        <v>64183530.467559695</v>
      </c>
      <c r="X1021" s="60">
        <f t="shared" si="1191"/>
        <v>559.97287070694824</v>
      </c>
      <c r="Y1021" s="60">
        <f t="shared" si="1192"/>
        <v>605.87081320381833</v>
      </c>
      <c r="Z1021" s="60">
        <f t="shared" si="1193"/>
        <v>931.80311649888495</v>
      </c>
      <c r="AA1021" s="60">
        <f t="shared" si="1194"/>
        <v>117552.25360358918</v>
      </c>
      <c r="AB1021" s="77" t="s">
        <v>73</v>
      </c>
      <c r="AD1021" s="107">
        <f t="shared" ref="AD1021" si="1200">W1021/AC1017</f>
        <v>9.3719688382559618E-2</v>
      </c>
    </row>
    <row r="1022" spans="1:30" s="55" customFormat="1" ht="15.95">
      <c r="A1022" s="57"/>
      <c r="B1022" s="58" t="s">
        <v>48</v>
      </c>
      <c r="C1022" s="58" t="s">
        <v>114</v>
      </c>
      <c r="D1022" s="58"/>
      <c r="E1022" s="58" t="s">
        <v>20</v>
      </c>
      <c r="F1022" s="58" t="s">
        <v>21</v>
      </c>
      <c r="G1022" s="58" t="s">
        <v>249</v>
      </c>
      <c r="H1022" s="58"/>
      <c r="I1022" s="58" t="s">
        <v>288</v>
      </c>
      <c r="J1022" s="58"/>
      <c r="K1022" s="58" t="s">
        <v>289</v>
      </c>
      <c r="L1022" s="59">
        <v>2025</v>
      </c>
      <c r="M1022" s="58" t="s">
        <v>290</v>
      </c>
      <c r="N1022" s="58" t="s">
        <v>24</v>
      </c>
      <c r="O1022" s="58" t="s">
        <v>54</v>
      </c>
      <c r="P1022" s="58" t="s">
        <v>25</v>
      </c>
      <c r="Q1022" s="84">
        <v>114619</v>
      </c>
      <c r="R1022" s="84">
        <v>105936</v>
      </c>
      <c r="S1022" s="84">
        <v>68881</v>
      </c>
      <c r="T1022" s="89">
        <v>546</v>
      </c>
      <c r="U1022" s="86" t="s">
        <v>62</v>
      </c>
      <c r="V1022" s="87" t="s">
        <v>56</v>
      </c>
      <c r="W1022" s="84">
        <v>37942690.827161774</v>
      </c>
      <c r="X1022" s="60">
        <f t="shared" si="1191"/>
        <v>331.03316925781741</v>
      </c>
      <c r="Y1022" s="60">
        <f t="shared" si="1192"/>
        <v>358.16616473306311</v>
      </c>
      <c r="Z1022" s="60">
        <f t="shared" si="1193"/>
        <v>550.84407640948552</v>
      </c>
      <c r="AA1022" s="60">
        <f t="shared" si="1194"/>
        <v>69492.107742054533</v>
      </c>
      <c r="AB1022" s="77" t="s">
        <v>73</v>
      </c>
      <c r="AD1022" s="107">
        <f t="shared" ref="AD1022" si="1201">W1022/AC1017</f>
        <v>5.5403265211699498E-2</v>
      </c>
    </row>
    <row r="1023" spans="1:30" s="55" customFormat="1" ht="15.95">
      <c r="A1023" s="57"/>
      <c r="B1023" s="58" t="s">
        <v>48</v>
      </c>
      <c r="C1023" s="58" t="s">
        <v>114</v>
      </c>
      <c r="D1023" s="58"/>
      <c r="E1023" s="58" t="s">
        <v>20</v>
      </c>
      <c r="F1023" s="58" t="s">
        <v>21</v>
      </c>
      <c r="G1023" s="58" t="s">
        <v>249</v>
      </c>
      <c r="H1023" s="58"/>
      <c r="I1023" s="58" t="s">
        <v>288</v>
      </c>
      <c r="J1023" s="58"/>
      <c r="K1023" s="58" t="s">
        <v>289</v>
      </c>
      <c r="L1023" s="59">
        <v>2025</v>
      </c>
      <c r="M1023" s="58" t="s">
        <v>290</v>
      </c>
      <c r="N1023" s="58" t="s">
        <v>24</v>
      </c>
      <c r="O1023" s="58" t="s">
        <v>54</v>
      </c>
      <c r="P1023" s="58" t="s">
        <v>25</v>
      </c>
      <c r="Q1023" s="84">
        <v>114619</v>
      </c>
      <c r="R1023" s="84">
        <v>105936</v>
      </c>
      <c r="S1023" s="84">
        <v>68881</v>
      </c>
      <c r="T1023" s="89">
        <v>546</v>
      </c>
      <c r="U1023" s="86" t="s">
        <v>63</v>
      </c>
      <c r="V1023" s="87" t="s">
        <v>56</v>
      </c>
      <c r="W1023" s="84">
        <v>13288216.390180295</v>
      </c>
      <c r="X1023" s="60">
        <f t="shared" si="1191"/>
        <v>115.93380146555366</v>
      </c>
      <c r="Y1023" s="60">
        <f t="shared" si="1192"/>
        <v>125.43626708748957</v>
      </c>
      <c r="Z1023" s="60">
        <f t="shared" si="1193"/>
        <v>192.91555567108921</v>
      </c>
      <c r="AA1023" s="60">
        <f t="shared" si="1194"/>
        <v>24337.392656007865</v>
      </c>
      <c r="AB1023" s="77" t="s">
        <v>73</v>
      </c>
      <c r="AD1023" s="107">
        <f t="shared" ref="AD1023" si="1202">W1023/AC1017</f>
        <v>1.9403225253823722E-2</v>
      </c>
    </row>
    <row r="1024" spans="1:30" s="55" customFormat="1" ht="15.95">
      <c r="A1024" s="57"/>
      <c r="B1024" s="58" t="s">
        <v>48</v>
      </c>
      <c r="C1024" s="58" t="s">
        <v>114</v>
      </c>
      <c r="D1024" s="58"/>
      <c r="E1024" s="58" t="s">
        <v>20</v>
      </c>
      <c r="F1024" s="58" t="s">
        <v>21</v>
      </c>
      <c r="G1024" s="58" t="s">
        <v>249</v>
      </c>
      <c r="H1024" s="58"/>
      <c r="I1024" s="58" t="s">
        <v>288</v>
      </c>
      <c r="J1024" s="58"/>
      <c r="K1024" s="58" t="s">
        <v>289</v>
      </c>
      <c r="L1024" s="59">
        <v>2025</v>
      </c>
      <c r="M1024" s="58" t="s">
        <v>290</v>
      </c>
      <c r="N1024" s="58" t="s">
        <v>24</v>
      </c>
      <c r="O1024" s="58" t="s">
        <v>54</v>
      </c>
      <c r="P1024" s="58" t="s">
        <v>25</v>
      </c>
      <c r="Q1024" s="84">
        <v>114619</v>
      </c>
      <c r="R1024" s="84">
        <v>105936</v>
      </c>
      <c r="S1024" s="84">
        <v>68881</v>
      </c>
      <c r="T1024" s="89">
        <v>546</v>
      </c>
      <c r="U1024" s="86" t="s">
        <v>64</v>
      </c>
      <c r="V1024" s="87" t="s">
        <v>56</v>
      </c>
      <c r="W1024" s="84">
        <v>1649670.3314396837</v>
      </c>
      <c r="X1024" s="60">
        <f t="shared" si="1191"/>
        <v>14.392642855370259</v>
      </c>
      <c r="Y1024" s="60">
        <f t="shared" si="1192"/>
        <v>15.57232981648999</v>
      </c>
      <c r="Z1024" s="60">
        <f t="shared" si="1193"/>
        <v>23.949570003915213</v>
      </c>
      <c r="AA1024" s="60">
        <f t="shared" si="1194"/>
        <v>3021.3742334060139</v>
      </c>
      <c r="AB1024" s="77" t="s">
        <v>73</v>
      </c>
      <c r="AD1024" s="107">
        <f t="shared" ref="AD1024" si="1203">W1024/AC1017</f>
        <v>2.4088202732104906E-3</v>
      </c>
    </row>
    <row r="1025" spans="1:30" s="55" customFormat="1" ht="15.95">
      <c r="A1025" s="57"/>
      <c r="B1025" s="58" t="s">
        <v>48</v>
      </c>
      <c r="C1025" s="58" t="s">
        <v>114</v>
      </c>
      <c r="D1025" s="58"/>
      <c r="E1025" s="58" t="s">
        <v>20</v>
      </c>
      <c r="F1025" s="58" t="s">
        <v>21</v>
      </c>
      <c r="G1025" s="58" t="s">
        <v>249</v>
      </c>
      <c r="H1025" s="58"/>
      <c r="I1025" s="58" t="s">
        <v>288</v>
      </c>
      <c r="J1025" s="58"/>
      <c r="K1025" s="58" t="s">
        <v>289</v>
      </c>
      <c r="L1025" s="59">
        <v>2025</v>
      </c>
      <c r="M1025" s="58" t="s">
        <v>290</v>
      </c>
      <c r="N1025" s="58" t="s">
        <v>24</v>
      </c>
      <c r="O1025" s="58" t="s">
        <v>54</v>
      </c>
      <c r="P1025" s="58" t="s">
        <v>25</v>
      </c>
      <c r="Q1025" s="84">
        <v>114619</v>
      </c>
      <c r="R1025" s="84">
        <v>105936</v>
      </c>
      <c r="S1025" s="84">
        <v>68881</v>
      </c>
      <c r="T1025" s="89">
        <v>546</v>
      </c>
      <c r="U1025" s="86" t="s">
        <v>65</v>
      </c>
      <c r="V1025" s="87" t="s">
        <v>56</v>
      </c>
      <c r="W1025" s="84">
        <v>83194832.341013923</v>
      </c>
      <c r="X1025" s="60">
        <f t="shared" si="1191"/>
        <v>725.83805774796429</v>
      </c>
      <c r="Y1025" s="60">
        <f t="shared" si="1192"/>
        <v>785.33107103358554</v>
      </c>
      <c r="Z1025" s="60">
        <f t="shared" si="1193"/>
        <v>1207.8052342592866</v>
      </c>
      <c r="AA1025" s="60">
        <f t="shared" si="1194"/>
        <v>152371.48780405481</v>
      </c>
      <c r="AB1025" s="77" t="s">
        <v>73</v>
      </c>
      <c r="AD1025" s="107">
        <f t="shared" ref="AD1025" si="1204">W1025/AC1017</f>
        <v>0.12147966472458156</v>
      </c>
    </row>
    <row r="1026" spans="1:30" s="55" customFormat="1" ht="15.95">
      <c r="A1026" s="57"/>
      <c r="B1026" s="58" t="s">
        <v>48</v>
      </c>
      <c r="C1026" s="58" t="s">
        <v>114</v>
      </c>
      <c r="D1026" s="58"/>
      <c r="E1026" s="58" t="s">
        <v>20</v>
      </c>
      <c r="F1026" s="58" t="s">
        <v>21</v>
      </c>
      <c r="G1026" s="58" t="s">
        <v>249</v>
      </c>
      <c r="H1026" s="58"/>
      <c r="I1026" s="58" t="s">
        <v>288</v>
      </c>
      <c r="J1026" s="58"/>
      <c r="K1026" s="58" t="s">
        <v>289</v>
      </c>
      <c r="L1026" s="59">
        <v>2025</v>
      </c>
      <c r="M1026" s="58" t="s">
        <v>290</v>
      </c>
      <c r="N1026" s="58" t="s">
        <v>24</v>
      </c>
      <c r="O1026" s="58" t="s">
        <v>54</v>
      </c>
      <c r="P1026" s="58" t="s">
        <v>25</v>
      </c>
      <c r="Q1026" s="84">
        <v>114619</v>
      </c>
      <c r="R1026" s="84">
        <v>105936</v>
      </c>
      <c r="S1026" s="84">
        <v>68881</v>
      </c>
      <c r="T1026" s="89">
        <v>546</v>
      </c>
      <c r="U1026" s="86" t="s">
        <v>66</v>
      </c>
      <c r="V1026" s="87" t="s">
        <v>56</v>
      </c>
      <c r="W1026" s="84">
        <v>101522752.05822381</v>
      </c>
      <c r="X1026" s="60">
        <f t="shared" si="1191"/>
        <v>885.74103820678783</v>
      </c>
      <c r="Y1026" s="60">
        <f t="shared" si="1192"/>
        <v>958.34043250853165</v>
      </c>
      <c r="Z1026" s="60">
        <f t="shared" si="1193"/>
        <v>1473.8861523239182</v>
      </c>
      <c r="AA1026" s="60">
        <f t="shared" si="1194"/>
        <v>185939.10633374326</v>
      </c>
      <c r="AB1026" s="77" t="s">
        <v>73</v>
      </c>
      <c r="AD1026" s="107">
        <f t="shared" ref="AD1026" si="1205">W1026/AC1017</f>
        <v>0.14824177818397832</v>
      </c>
    </row>
    <row r="1027" spans="1:30" s="55" customFormat="1" ht="15.95">
      <c r="A1027" s="57"/>
      <c r="B1027" s="58" t="s">
        <v>48</v>
      </c>
      <c r="C1027" s="58" t="s">
        <v>114</v>
      </c>
      <c r="D1027" s="58"/>
      <c r="E1027" s="58" t="s">
        <v>20</v>
      </c>
      <c r="F1027" s="58" t="s">
        <v>21</v>
      </c>
      <c r="G1027" s="58" t="s">
        <v>249</v>
      </c>
      <c r="H1027" s="58"/>
      <c r="I1027" s="58" t="s">
        <v>288</v>
      </c>
      <c r="J1027" s="58"/>
      <c r="K1027" s="58" t="s">
        <v>289</v>
      </c>
      <c r="L1027" s="59">
        <v>2025</v>
      </c>
      <c r="M1027" s="58" t="s">
        <v>290</v>
      </c>
      <c r="N1027" s="58" t="s">
        <v>24</v>
      </c>
      <c r="O1027" s="58" t="s">
        <v>54</v>
      </c>
      <c r="P1027" s="58" t="s">
        <v>25</v>
      </c>
      <c r="Q1027" s="84">
        <v>114619</v>
      </c>
      <c r="R1027" s="84">
        <v>105936</v>
      </c>
      <c r="S1027" s="84">
        <v>68881</v>
      </c>
      <c r="T1027" s="89">
        <v>546</v>
      </c>
      <c r="U1027" s="86" t="s">
        <v>67</v>
      </c>
      <c r="V1027" s="87" t="s">
        <v>56</v>
      </c>
      <c r="W1027" s="84">
        <v>5356942.1381382812</v>
      </c>
      <c r="X1027" s="60">
        <f t="shared" si="1191"/>
        <v>46.736947086768176</v>
      </c>
      <c r="Y1027" s="60">
        <f t="shared" si="1192"/>
        <v>50.567721436889073</v>
      </c>
      <c r="Z1027" s="60">
        <f t="shared" si="1193"/>
        <v>77.770969325913981</v>
      </c>
      <c r="AA1027" s="60">
        <f t="shared" si="1194"/>
        <v>9811.2493372495992</v>
      </c>
      <c r="AB1027" s="77" t="s">
        <v>73</v>
      </c>
      <c r="AD1027" s="107">
        <f t="shared" ref="AD1027" si="1206">W1027/AC1017</f>
        <v>7.8221148667332058E-3</v>
      </c>
    </row>
    <row r="1028" spans="1:30" s="55" customFormat="1" ht="15.95">
      <c r="A1028" s="57"/>
      <c r="B1028" s="58" t="s">
        <v>48</v>
      </c>
      <c r="C1028" s="58" t="s">
        <v>114</v>
      </c>
      <c r="D1028" s="58"/>
      <c r="E1028" s="58" t="s">
        <v>20</v>
      </c>
      <c r="F1028" s="58" t="s">
        <v>21</v>
      </c>
      <c r="G1028" s="58" t="s">
        <v>249</v>
      </c>
      <c r="H1028" s="58"/>
      <c r="I1028" s="58" t="s">
        <v>288</v>
      </c>
      <c r="J1028" s="58"/>
      <c r="K1028" s="58" t="s">
        <v>289</v>
      </c>
      <c r="L1028" s="59">
        <v>2025</v>
      </c>
      <c r="M1028" s="58" t="s">
        <v>290</v>
      </c>
      <c r="N1028" s="58" t="s">
        <v>24</v>
      </c>
      <c r="O1028" s="58" t="s">
        <v>54</v>
      </c>
      <c r="P1028" s="58" t="s">
        <v>25</v>
      </c>
      <c r="Q1028" s="84">
        <v>114619</v>
      </c>
      <c r="R1028" s="84">
        <v>105936</v>
      </c>
      <c r="S1028" s="84">
        <v>68881</v>
      </c>
      <c r="T1028" s="89">
        <v>546</v>
      </c>
      <c r="U1028" s="86" t="s">
        <v>68</v>
      </c>
      <c r="V1028" s="87" t="s">
        <v>56</v>
      </c>
      <c r="W1028" s="84">
        <v>48212479.243244536</v>
      </c>
      <c r="X1028" s="60">
        <f t="shared" si="1191"/>
        <v>420.63252378091363</v>
      </c>
      <c r="Y1028" s="60">
        <f t="shared" si="1192"/>
        <v>455.10949293200173</v>
      </c>
      <c r="Z1028" s="60">
        <f t="shared" si="1193"/>
        <v>699.9387239332259</v>
      </c>
      <c r="AA1028" s="60">
        <f t="shared" si="1194"/>
        <v>88301.244035246404</v>
      </c>
      <c r="AB1028" s="77" t="s">
        <v>73</v>
      </c>
      <c r="AD1028" s="107">
        <f t="shared" ref="AD1028" si="1207">W1028/AC1017</f>
        <v>7.0399033800598865E-2</v>
      </c>
    </row>
    <row r="1029" spans="1:30" s="55" customFormat="1" ht="15.95">
      <c r="A1029" s="57"/>
      <c r="B1029" s="58" t="s">
        <v>48</v>
      </c>
      <c r="C1029" s="58" t="s">
        <v>114</v>
      </c>
      <c r="D1029" s="58"/>
      <c r="E1029" s="58" t="s">
        <v>20</v>
      </c>
      <c r="F1029" s="58" t="s">
        <v>21</v>
      </c>
      <c r="G1029" s="58" t="s">
        <v>249</v>
      </c>
      <c r="H1029" s="58"/>
      <c r="I1029" s="58" t="s">
        <v>288</v>
      </c>
      <c r="J1029" s="58"/>
      <c r="K1029" s="58" t="s">
        <v>289</v>
      </c>
      <c r="L1029" s="59">
        <v>2025</v>
      </c>
      <c r="M1029" s="58" t="s">
        <v>290</v>
      </c>
      <c r="N1029" s="58" t="s">
        <v>24</v>
      </c>
      <c r="O1029" s="58" t="s">
        <v>54</v>
      </c>
      <c r="P1029" s="58" t="s">
        <v>25</v>
      </c>
      <c r="Q1029" s="84">
        <v>114619</v>
      </c>
      <c r="R1029" s="84">
        <v>105936</v>
      </c>
      <c r="S1029" s="84">
        <v>68881</v>
      </c>
      <c r="T1029" s="89">
        <v>546</v>
      </c>
      <c r="U1029" s="86" t="s">
        <v>69</v>
      </c>
      <c r="V1029" s="87" t="s">
        <v>56</v>
      </c>
      <c r="W1029" s="84">
        <v>80548563</v>
      </c>
      <c r="X1029" s="60">
        <f t="shared" si="1191"/>
        <v>702.75053001683841</v>
      </c>
      <c r="Y1029" s="60">
        <f t="shared" si="1192"/>
        <v>760.351183733575</v>
      </c>
      <c r="Z1029" s="60">
        <f t="shared" si="1193"/>
        <v>1169.3872475718993</v>
      </c>
      <c r="AA1029" s="60">
        <f t="shared" si="1194"/>
        <v>147524.84065934067</v>
      </c>
      <c r="AB1029" s="77" t="s">
        <v>73</v>
      </c>
      <c r="AD1029" s="107">
        <f t="shared" ref="AD1029" si="1208">W1029/AC1017</f>
        <v>0.11761562770122871</v>
      </c>
    </row>
    <row r="1030" spans="1:30" s="32" customFormat="1" ht="15" customHeight="1">
      <c r="A1030" s="57"/>
      <c r="B1030" s="66" t="s">
        <v>48</v>
      </c>
      <c r="C1030" s="66" t="s">
        <v>114</v>
      </c>
      <c r="D1030" s="66"/>
      <c r="E1030" s="66" t="s">
        <v>20</v>
      </c>
      <c r="F1030" s="66" t="s">
        <v>21</v>
      </c>
      <c r="G1030" s="66" t="s">
        <v>249</v>
      </c>
      <c r="H1030" s="66"/>
      <c r="I1030" s="66" t="s">
        <v>291</v>
      </c>
      <c r="J1030" s="66"/>
      <c r="K1030" s="66" t="s">
        <v>292</v>
      </c>
      <c r="L1030" s="67">
        <v>2025</v>
      </c>
      <c r="M1030" s="66" t="s">
        <v>290</v>
      </c>
      <c r="N1030" s="66" t="s">
        <v>24</v>
      </c>
      <c r="O1030" s="66" t="s">
        <v>54</v>
      </c>
      <c r="P1030" s="66" t="s">
        <v>25</v>
      </c>
      <c r="Q1030" s="80">
        <v>118167</v>
      </c>
      <c r="R1030" s="80">
        <v>105347</v>
      </c>
      <c r="S1030" s="80">
        <v>69024</v>
      </c>
      <c r="T1030" s="81">
        <v>535</v>
      </c>
      <c r="U1030" s="82" t="s">
        <v>55</v>
      </c>
      <c r="V1030" s="83" t="s">
        <v>56</v>
      </c>
      <c r="W1030" s="80">
        <v>50113464.569481909</v>
      </c>
      <c r="X1030" s="68">
        <f t="shared" ref="X1030:X1042" si="1209">W1030/Q1030</f>
        <v>424.09018228000974</v>
      </c>
      <c r="Y1030" s="68">
        <f t="shared" ref="Y1030:Y1042" si="1210">W1030/R1030</f>
        <v>475.69901914133209</v>
      </c>
      <c r="Z1030" s="68">
        <f t="shared" ref="Z1030:Z1042" si="1211">W1030/S1030</f>
        <v>726.02956318790439</v>
      </c>
      <c r="AA1030" s="68">
        <f t="shared" ref="AA1030:AA1042" si="1212">W1030/T1030</f>
        <v>93670.027232676468</v>
      </c>
      <c r="AB1030" s="78" t="s">
        <v>73</v>
      </c>
      <c r="AC1030" s="92">
        <f t="shared" ref="AC1030" si="1213">SUM(W1030:W1042)</f>
        <v>675737018.99999988</v>
      </c>
      <c r="AD1030" s="93">
        <f t="shared" ref="AD1030" si="1214">W1030/AC1030</f>
        <v>7.4161194607397882E-2</v>
      </c>
    </row>
    <row r="1031" spans="1:30" s="32" customFormat="1" ht="15.95">
      <c r="A1031" s="57"/>
      <c r="B1031" s="66" t="s">
        <v>48</v>
      </c>
      <c r="C1031" s="66" t="s">
        <v>114</v>
      </c>
      <c r="D1031" s="66"/>
      <c r="E1031" s="66" t="s">
        <v>20</v>
      </c>
      <c r="F1031" s="66" t="s">
        <v>21</v>
      </c>
      <c r="G1031" s="66" t="s">
        <v>249</v>
      </c>
      <c r="H1031" s="66"/>
      <c r="I1031" s="66" t="s">
        <v>291</v>
      </c>
      <c r="J1031" s="66"/>
      <c r="K1031" s="66" t="s">
        <v>292</v>
      </c>
      <c r="L1031" s="67">
        <v>2025</v>
      </c>
      <c r="M1031" s="66" t="s">
        <v>290</v>
      </c>
      <c r="N1031" s="66" t="s">
        <v>24</v>
      </c>
      <c r="O1031" s="66" t="s">
        <v>54</v>
      </c>
      <c r="P1031" s="66" t="s">
        <v>25</v>
      </c>
      <c r="Q1031" s="80">
        <v>118167</v>
      </c>
      <c r="R1031" s="80">
        <v>105347</v>
      </c>
      <c r="S1031" s="80">
        <v>69024</v>
      </c>
      <c r="T1031" s="81">
        <v>535</v>
      </c>
      <c r="U1031" s="82" t="s">
        <v>58</v>
      </c>
      <c r="V1031" s="83" t="s">
        <v>56</v>
      </c>
      <c r="W1031" s="80">
        <v>91802143.873029724</v>
      </c>
      <c r="X1031" s="68">
        <f t="shared" si="1209"/>
        <v>776.88478063274624</v>
      </c>
      <c r="Y1031" s="68">
        <f t="shared" si="1210"/>
        <v>871.42627576513541</v>
      </c>
      <c r="Z1031" s="68">
        <f t="shared" si="1211"/>
        <v>1330.0032434085206</v>
      </c>
      <c r="AA1031" s="68">
        <f t="shared" si="1212"/>
        <v>171592.79228603686</v>
      </c>
      <c r="AB1031" s="78" t="s">
        <v>73</v>
      </c>
      <c r="AC1031" s="55"/>
      <c r="AD1031" s="93">
        <f t="shared" ref="AD1031" si="1215">W1031/AC1030</f>
        <v>0.13585483892666497</v>
      </c>
    </row>
    <row r="1032" spans="1:30" s="32" customFormat="1" ht="15.95">
      <c r="A1032" s="57"/>
      <c r="B1032" s="66" t="s">
        <v>48</v>
      </c>
      <c r="C1032" s="66" t="s">
        <v>114</v>
      </c>
      <c r="D1032" s="66"/>
      <c r="E1032" s="66" t="s">
        <v>20</v>
      </c>
      <c r="F1032" s="66" t="s">
        <v>21</v>
      </c>
      <c r="G1032" s="66" t="s">
        <v>249</v>
      </c>
      <c r="H1032" s="66"/>
      <c r="I1032" s="66" t="s">
        <v>291</v>
      </c>
      <c r="J1032" s="66"/>
      <c r="K1032" s="66" t="s">
        <v>292</v>
      </c>
      <c r="L1032" s="67">
        <v>2025</v>
      </c>
      <c r="M1032" s="66" t="s">
        <v>290</v>
      </c>
      <c r="N1032" s="66" t="s">
        <v>24</v>
      </c>
      <c r="O1032" s="66" t="s">
        <v>54</v>
      </c>
      <c r="P1032" s="66" t="s">
        <v>25</v>
      </c>
      <c r="Q1032" s="80">
        <v>118167</v>
      </c>
      <c r="R1032" s="80">
        <v>105347</v>
      </c>
      <c r="S1032" s="80">
        <v>69024</v>
      </c>
      <c r="T1032" s="81">
        <v>535</v>
      </c>
      <c r="U1032" s="82" t="s">
        <v>59</v>
      </c>
      <c r="V1032" s="83" t="s">
        <v>56</v>
      </c>
      <c r="W1032" s="80">
        <v>88549670.577638403</v>
      </c>
      <c r="X1032" s="68">
        <f t="shared" si="1209"/>
        <v>749.36040161498897</v>
      </c>
      <c r="Y1032" s="68">
        <f t="shared" si="1210"/>
        <v>840.55237052444215</v>
      </c>
      <c r="Z1032" s="68">
        <f t="shared" si="1211"/>
        <v>1282.8823391521557</v>
      </c>
      <c r="AA1032" s="68">
        <f t="shared" si="1212"/>
        <v>165513.40294885682</v>
      </c>
      <c r="AB1032" s="78" t="s">
        <v>73</v>
      </c>
      <c r="AC1032" s="55"/>
      <c r="AD1032" s="93">
        <f t="shared" ref="AD1032" si="1216">W1032/AC1030</f>
        <v>0.13104161543299794</v>
      </c>
    </row>
    <row r="1033" spans="1:30" s="32" customFormat="1" ht="15.95">
      <c r="A1033" s="57"/>
      <c r="B1033" s="66" t="s">
        <v>48</v>
      </c>
      <c r="C1033" s="66" t="s">
        <v>114</v>
      </c>
      <c r="D1033" s="66"/>
      <c r="E1033" s="66" t="s">
        <v>20</v>
      </c>
      <c r="F1033" s="66" t="s">
        <v>21</v>
      </c>
      <c r="G1033" s="66" t="s">
        <v>249</v>
      </c>
      <c r="H1033" s="66"/>
      <c r="I1033" s="66" t="s">
        <v>291</v>
      </c>
      <c r="J1033" s="66"/>
      <c r="K1033" s="66" t="s">
        <v>292</v>
      </c>
      <c r="L1033" s="67">
        <v>2025</v>
      </c>
      <c r="M1033" s="66" t="s">
        <v>290</v>
      </c>
      <c r="N1033" s="66" t="s">
        <v>24</v>
      </c>
      <c r="O1033" s="66" t="s">
        <v>54</v>
      </c>
      <c r="P1033" s="66" t="s">
        <v>25</v>
      </c>
      <c r="Q1033" s="80">
        <v>118167</v>
      </c>
      <c r="R1033" s="80">
        <v>105347</v>
      </c>
      <c r="S1033" s="80">
        <v>69024</v>
      </c>
      <c r="T1033" s="81">
        <v>535</v>
      </c>
      <c r="U1033" s="82" t="s">
        <v>60</v>
      </c>
      <c r="V1033" s="83" t="s">
        <v>56</v>
      </c>
      <c r="W1033" s="80">
        <v>23701784.383699875</v>
      </c>
      <c r="X1033" s="68">
        <f t="shared" si="1209"/>
        <v>200.5787096541325</v>
      </c>
      <c r="Y1033" s="68">
        <f t="shared" si="1210"/>
        <v>224.98774890314746</v>
      </c>
      <c r="Z1033" s="68">
        <f t="shared" si="1211"/>
        <v>343.38468335216555</v>
      </c>
      <c r="AA1033" s="68">
        <f t="shared" si="1212"/>
        <v>44302.400717196026</v>
      </c>
      <c r="AB1033" s="78" t="s">
        <v>73</v>
      </c>
      <c r="AC1033" s="55"/>
      <c r="AD1033" s="93">
        <f t="shared" ref="AD1033" si="1217">W1033/AC1030</f>
        <v>3.5075456453126298E-2</v>
      </c>
    </row>
    <row r="1034" spans="1:30" s="32" customFormat="1" ht="15.95">
      <c r="A1034" s="57"/>
      <c r="B1034" s="66" t="s">
        <v>48</v>
      </c>
      <c r="C1034" s="66" t="s">
        <v>114</v>
      </c>
      <c r="D1034" s="66"/>
      <c r="E1034" s="66" t="s">
        <v>20</v>
      </c>
      <c r="F1034" s="66" t="s">
        <v>21</v>
      </c>
      <c r="G1034" s="66" t="s">
        <v>249</v>
      </c>
      <c r="H1034" s="66"/>
      <c r="I1034" s="66" t="s">
        <v>291</v>
      </c>
      <c r="J1034" s="66"/>
      <c r="K1034" s="66" t="s">
        <v>292</v>
      </c>
      <c r="L1034" s="67">
        <v>2025</v>
      </c>
      <c r="M1034" s="66" t="s">
        <v>290</v>
      </c>
      <c r="N1034" s="66" t="s">
        <v>24</v>
      </c>
      <c r="O1034" s="66" t="s">
        <v>54</v>
      </c>
      <c r="P1034" s="66" t="s">
        <v>25</v>
      </c>
      <c r="Q1034" s="80">
        <v>118167</v>
      </c>
      <c r="R1034" s="80">
        <v>105347</v>
      </c>
      <c r="S1034" s="80">
        <v>69024</v>
      </c>
      <c r="T1034" s="81">
        <v>535</v>
      </c>
      <c r="U1034" s="82" t="s">
        <v>61</v>
      </c>
      <c r="V1034" s="83" t="s">
        <v>56</v>
      </c>
      <c r="W1034" s="80">
        <v>66906636.499948047</v>
      </c>
      <c r="X1034" s="68">
        <f t="shared" si="1209"/>
        <v>566.20407135619962</v>
      </c>
      <c r="Y1034" s="68">
        <f t="shared" si="1210"/>
        <v>635.10718387754798</v>
      </c>
      <c r="Z1034" s="68">
        <f t="shared" si="1211"/>
        <v>969.32424229178321</v>
      </c>
      <c r="AA1034" s="68">
        <f t="shared" si="1212"/>
        <v>125059.13364476271</v>
      </c>
      <c r="AB1034" s="78" t="s">
        <v>73</v>
      </c>
      <c r="AC1034" s="55"/>
      <c r="AD1034" s="93">
        <f t="shared" ref="AD1034" si="1218">W1034/AC1030</f>
        <v>9.9012832830974534E-2</v>
      </c>
    </row>
    <row r="1035" spans="1:30" s="32" customFormat="1" ht="15.95">
      <c r="A1035" s="57"/>
      <c r="B1035" s="66" t="s">
        <v>48</v>
      </c>
      <c r="C1035" s="66" t="s">
        <v>114</v>
      </c>
      <c r="D1035" s="66"/>
      <c r="E1035" s="66" t="s">
        <v>20</v>
      </c>
      <c r="F1035" s="66" t="s">
        <v>21</v>
      </c>
      <c r="G1035" s="66" t="s">
        <v>249</v>
      </c>
      <c r="H1035" s="66"/>
      <c r="I1035" s="66" t="s">
        <v>291</v>
      </c>
      <c r="J1035" s="66"/>
      <c r="K1035" s="66" t="s">
        <v>292</v>
      </c>
      <c r="L1035" s="67">
        <v>2025</v>
      </c>
      <c r="M1035" s="66" t="s">
        <v>290</v>
      </c>
      <c r="N1035" s="66" t="s">
        <v>24</v>
      </c>
      <c r="O1035" s="66" t="s">
        <v>54</v>
      </c>
      <c r="P1035" s="66" t="s">
        <v>25</v>
      </c>
      <c r="Q1035" s="80">
        <v>118167</v>
      </c>
      <c r="R1035" s="80">
        <v>105347</v>
      </c>
      <c r="S1035" s="80">
        <v>69024</v>
      </c>
      <c r="T1035" s="81">
        <v>535</v>
      </c>
      <c r="U1035" s="82" t="s">
        <v>62</v>
      </c>
      <c r="V1035" s="83" t="s">
        <v>56</v>
      </c>
      <c r="W1035" s="80">
        <v>35481983.171077266</v>
      </c>
      <c r="X1035" s="68">
        <f t="shared" si="1209"/>
        <v>300.26981450893453</v>
      </c>
      <c r="Y1035" s="68">
        <f t="shared" si="1210"/>
        <v>336.81057050582615</v>
      </c>
      <c r="Z1035" s="68">
        <f t="shared" si="1211"/>
        <v>514.05283917300164</v>
      </c>
      <c r="AA1035" s="68">
        <f t="shared" si="1212"/>
        <v>66321.463871172455</v>
      </c>
      <c r="AB1035" s="78" t="s">
        <v>73</v>
      </c>
      <c r="AC1035" s="55"/>
      <c r="AD1035" s="93">
        <f t="shared" ref="AD1035" si="1219">W1035/AC1030</f>
        <v>5.2508567939027286E-2</v>
      </c>
    </row>
    <row r="1036" spans="1:30" s="32" customFormat="1" ht="15.95">
      <c r="A1036" s="57"/>
      <c r="B1036" s="66" t="s">
        <v>48</v>
      </c>
      <c r="C1036" s="66" t="s">
        <v>114</v>
      </c>
      <c r="D1036" s="66"/>
      <c r="E1036" s="66" t="s">
        <v>20</v>
      </c>
      <c r="F1036" s="66" t="s">
        <v>21</v>
      </c>
      <c r="G1036" s="66" t="s">
        <v>249</v>
      </c>
      <c r="H1036" s="66"/>
      <c r="I1036" s="66" t="s">
        <v>291</v>
      </c>
      <c r="J1036" s="66"/>
      <c r="K1036" s="66" t="s">
        <v>292</v>
      </c>
      <c r="L1036" s="67">
        <v>2025</v>
      </c>
      <c r="M1036" s="66" t="s">
        <v>290</v>
      </c>
      <c r="N1036" s="66" t="s">
        <v>24</v>
      </c>
      <c r="O1036" s="66" t="s">
        <v>54</v>
      </c>
      <c r="P1036" s="66" t="s">
        <v>25</v>
      </c>
      <c r="Q1036" s="80">
        <v>118167</v>
      </c>
      <c r="R1036" s="80">
        <v>105347</v>
      </c>
      <c r="S1036" s="80">
        <v>69024</v>
      </c>
      <c r="T1036" s="81">
        <v>535</v>
      </c>
      <c r="U1036" s="82" t="s">
        <v>63</v>
      </c>
      <c r="V1036" s="83" t="s">
        <v>56</v>
      </c>
      <c r="W1036" s="80">
        <v>15604550.500516444</v>
      </c>
      <c r="X1036" s="68">
        <f t="shared" si="1209"/>
        <v>132.05506190828612</v>
      </c>
      <c r="Y1036" s="68">
        <f t="shared" si="1210"/>
        <v>148.12524799487829</v>
      </c>
      <c r="Z1036" s="68">
        <f t="shared" si="1211"/>
        <v>226.07427127544688</v>
      </c>
      <c r="AA1036" s="68">
        <f t="shared" si="1212"/>
        <v>29167.384113114851</v>
      </c>
      <c r="AB1036" s="78" t="s">
        <v>73</v>
      </c>
      <c r="AC1036" s="55"/>
      <c r="AD1036" s="93">
        <f t="shared" ref="AD1036" si="1220">W1036/AC1030</f>
        <v>2.3092638203556001E-2</v>
      </c>
    </row>
    <row r="1037" spans="1:30" s="32" customFormat="1" ht="15.95">
      <c r="A1037" s="57"/>
      <c r="B1037" s="66" t="s">
        <v>48</v>
      </c>
      <c r="C1037" s="66" t="s">
        <v>114</v>
      </c>
      <c r="D1037" s="66"/>
      <c r="E1037" s="66" t="s">
        <v>20</v>
      </c>
      <c r="F1037" s="66" t="s">
        <v>21</v>
      </c>
      <c r="G1037" s="66" t="s">
        <v>249</v>
      </c>
      <c r="H1037" s="66"/>
      <c r="I1037" s="66" t="s">
        <v>291</v>
      </c>
      <c r="J1037" s="66"/>
      <c r="K1037" s="66" t="s">
        <v>292</v>
      </c>
      <c r="L1037" s="67">
        <v>2025</v>
      </c>
      <c r="M1037" s="66" t="s">
        <v>290</v>
      </c>
      <c r="N1037" s="66" t="s">
        <v>24</v>
      </c>
      <c r="O1037" s="66" t="s">
        <v>54</v>
      </c>
      <c r="P1037" s="66" t="s">
        <v>25</v>
      </c>
      <c r="Q1037" s="80">
        <v>118167</v>
      </c>
      <c r="R1037" s="80">
        <v>105347</v>
      </c>
      <c r="S1037" s="80">
        <v>69024</v>
      </c>
      <c r="T1037" s="81">
        <v>535</v>
      </c>
      <c r="U1037" s="82" t="s">
        <v>64</v>
      </c>
      <c r="V1037" s="83" t="s">
        <v>56</v>
      </c>
      <c r="W1037" s="80">
        <v>2703533.5026126327</v>
      </c>
      <c r="X1037" s="68">
        <f t="shared" si="1209"/>
        <v>22.878921379172127</v>
      </c>
      <c r="Y1037" s="68">
        <f t="shared" si="1210"/>
        <v>25.663127593691634</v>
      </c>
      <c r="Z1037" s="68">
        <f t="shared" si="1211"/>
        <v>39.168021305815842</v>
      </c>
      <c r="AA1037" s="68">
        <f t="shared" si="1212"/>
        <v>5053.3336497432383</v>
      </c>
      <c r="AB1037" s="78" t="s">
        <v>73</v>
      </c>
      <c r="AC1037" s="55"/>
      <c r="AD1037" s="93">
        <f t="shared" ref="AD1037" si="1221">W1037/AC1030</f>
        <v>4.0008663527321617E-3</v>
      </c>
    </row>
    <row r="1038" spans="1:30" s="32" customFormat="1" ht="15.95">
      <c r="A1038" s="57"/>
      <c r="B1038" s="66" t="s">
        <v>48</v>
      </c>
      <c r="C1038" s="66" t="s">
        <v>114</v>
      </c>
      <c r="D1038" s="66"/>
      <c r="E1038" s="66" t="s">
        <v>20</v>
      </c>
      <c r="F1038" s="66" t="s">
        <v>21</v>
      </c>
      <c r="G1038" s="66" t="s">
        <v>249</v>
      </c>
      <c r="H1038" s="66"/>
      <c r="I1038" s="66" t="s">
        <v>291</v>
      </c>
      <c r="J1038" s="66"/>
      <c r="K1038" s="66" t="s">
        <v>292</v>
      </c>
      <c r="L1038" s="67">
        <v>2025</v>
      </c>
      <c r="M1038" s="66" t="s">
        <v>290</v>
      </c>
      <c r="N1038" s="66" t="s">
        <v>24</v>
      </c>
      <c r="O1038" s="66" t="s">
        <v>54</v>
      </c>
      <c r="P1038" s="66" t="s">
        <v>25</v>
      </c>
      <c r="Q1038" s="80">
        <v>118167</v>
      </c>
      <c r="R1038" s="80">
        <v>105347</v>
      </c>
      <c r="S1038" s="80">
        <v>69024</v>
      </c>
      <c r="T1038" s="81">
        <v>535</v>
      </c>
      <c r="U1038" s="82" t="s">
        <v>65</v>
      </c>
      <c r="V1038" s="83" t="s">
        <v>56</v>
      </c>
      <c r="W1038" s="80">
        <v>82060410.758137822</v>
      </c>
      <c r="X1038" s="68">
        <f t="shared" si="1209"/>
        <v>694.44439444293096</v>
      </c>
      <c r="Y1038" s="68">
        <f t="shared" si="1210"/>
        <v>778.95346576682607</v>
      </c>
      <c r="Z1038" s="68">
        <f t="shared" si="1211"/>
        <v>1188.8677961019041</v>
      </c>
      <c r="AA1038" s="68">
        <f t="shared" si="1212"/>
        <v>153383.94534231367</v>
      </c>
      <c r="AB1038" s="78" t="s">
        <v>73</v>
      </c>
      <c r="AC1038" s="55"/>
      <c r="AD1038" s="93">
        <f t="shared" ref="AD1038" si="1222">W1038/AC1030</f>
        <v>0.12143838275957741</v>
      </c>
    </row>
    <row r="1039" spans="1:30" s="32" customFormat="1" ht="15.95">
      <c r="A1039" s="57"/>
      <c r="B1039" s="66" t="s">
        <v>48</v>
      </c>
      <c r="C1039" s="66" t="s">
        <v>114</v>
      </c>
      <c r="D1039" s="66"/>
      <c r="E1039" s="66" t="s">
        <v>20</v>
      </c>
      <c r="F1039" s="66" t="s">
        <v>21</v>
      </c>
      <c r="G1039" s="66" t="s">
        <v>249</v>
      </c>
      <c r="H1039" s="66"/>
      <c r="I1039" s="66" t="s">
        <v>291</v>
      </c>
      <c r="J1039" s="66"/>
      <c r="K1039" s="66" t="s">
        <v>292</v>
      </c>
      <c r="L1039" s="67">
        <v>2025</v>
      </c>
      <c r="M1039" s="66" t="s">
        <v>290</v>
      </c>
      <c r="N1039" s="66" t="s">
        <v>24</v>
      </c>
      <c r="O1039" s="66" t="s">
        <v>54</v>
      </c>
      <c r="P1039" s="66" t="s">
        <v>25</v>
      </c>
      <c r="Q1039" s="80">
        <v>118167</v>
      </c>
      <c r="R1039" s="80">
        <v>105347</v>
      </c>
      <c r="S1039" s="80">
        <v>69024</v>
      </c>
      <c r="T1039" s="81">
        <v>535</v>
      </c>
      <c r="U1039" s="82" t="s">
        <v>66</v>
      </c>
      <c r="V1039" s="83" t="s">
        <v>56</v>
      </c>
      <c r="W1039" s="80">
        <v>93251234.269561291</v>
      </c>
      <c r="X1039" s="68">
        <f t="shared" si="1209"/>
        <v>789.14785235777583</v>
      </c>
      <c r="Y1039" s="68">
        <f t="shared" si="1210"/>
        <v>885.18167835402323</v>
      </c>
      <c r="Z1039" s="68">
        <f t="shared" si="1211"/>
        <v>1350.9972512395875</v>
      </c>
      <c r="AA1039" s="68">
        <f t="shared" si="1212"/>
        <v>174301.37246646971</v>
      </c>
      <c r="AB1039" s="78" t="s">
        <v>73</v>
      </c>
      <c r="AC1039" s="55"/>
      <c r="AD1039" s="93">
        <f t="shared" ref="AD1039" si="1223">W1039/AC1030</f>
        <v>0.13799929802212199</v>
      </c>
    </row>
    <row r="1040" spans="1:30" s="32" customFormat="1" ht="15.95">
      <c r="A1040" s="57"/>
      <c r="B1040" s="66" t="s">
        <v>48</v>
      </c>
      <c r="C1040" s="66" t="s">
        <v>114</v>
      </c>
      <c r="D1040" s="66"/>
      <c r="E1040" s="66" t="s">
        <v>20</v>
      </c>
      <c r="F1040" s="66" t="s">
        <v>21</v>
      </c>
      <c r="G1040" s="66" t="s">
        <v>249</v>
      </c>
      <c r="H1040" s="66"/>
      <c r="I1040" s="66" t="s">
        <v>291</v>
      </c>
      <c r="J1040" s="66"/>
      <c r="K1040" s="66" t="s">
        <v>292</v>
      </c>
      <c r="L1040" s="67">
        <v>2025</v>
      </c>
      <c r="M1040" s="66" t="s">
        <v>290</v>
      </c>
      <c r="N1040" s="66" t="s">
        <v>24</v>
      </c>
      <c r="O1040" s="66" t="s">
        <v>54</v>
      </c>
      <c r="P1040" s="66" t="s">
        <v>25</v>
      </c>
      <c r="Q1040" s="80">
        <v>118167</v>
      </c>
      <c r="R1040" s="80">
        <v>105347</v>
      </c>
      <c r="S1040" s="80">
        <v>69024</v>
      </c>
      <c r="T1040" s="81">
        <v>535</v>
      </c>
      <c r="U1040" s="82" t="s">
        <v>67</v>
      </c>
      <c r="V1040" s="83" t="s">
        <v>56</v>
      </c>
      <c r="W1040" s="80">
        <v>5346649.8617870715</v>
      </c>
      <c r="X1040" s="68">
        <f t="shared" si="1209"/>
        <v>45.246556667995897</v>
      </c>
      <c r="Y1040" s="68">
        <f t="shared" si="1210"/>
        <v>50.752749122301267</v>
      </c>
      <c r="Z1040" s="68">
        <f t="shared" si="1211"/>
        <v>77.460736291537316</v>
      </c>
      <c r="AA1040" s="68">
        <f t="shared" si="1212"/>
        <v>9993.7380594150873</v>
      </c>
      <c r="AB1040" s="78" t="s">
        <v>73</v>
      </c>
      <c r="AC1040" s="55"/>
      <c r="AD1040" s="93">
        <f t="shared" ref="AD1040" si="1224">W1040/AC1030</f>
        <v>7.912323450473966E-3</v>
      </c>
    </row>
    <row r="1041" spans="1:30" s="32" customFormat="1" ht="15.95">
      <c r="A1041" s="57"/>
      <c r="B1041" s="66" t="s">
        <v>48</v>
      </c>
      <c r="C1041" s="66" t="s">
        <v>114</v>
      </c>
      <c r="D1041" s="66"/>
      <c r="E1041" s="66" t="s">
        <v>20</v>
      </c>
      <c r="F1041" s="66" t="s">
        <v>21</v>
      </c>
      <c r="G1041" s="66" t="s">
        <v>249</v>
      </c>
      <c r="H1041" s="66"/>
      <c r="I1041" s="66" t="s">
        <v>291</v>
      </c>
      <c r="J1041" s="66"/>
      <c r="K1041" s="66" t="s">
        <v>292</v>
      </c>
      <c r="L1041" s="67">
        <v>2025</v>
      </c>
      <c r="M1041" s="66" t="s">
        <v>290</v>
      </c>
      <c r="N1041" s="66" t="s">
        <v>24</v>
      </c>
      <c r="O1041" s="66" t="s">
        <v>54</v>
      </c>
      <c r="P1041" s="66" t="s">
        <v>25</v>
      </c>
      <c r="Q1041" s="80">
        <v>118167</v>
      </c>
      <c r="R1041" s="80">
        <v>105347</v>
      </c>
      <c r="S1041" s="80">
        <v>69024</v>
      </c>
      <c r="T1041" s="81">
        <v>535</v>
      </c>
      <c r="U1041" s="82" t="s">
        <v>68</v>
      </c>
      <c r="V1041" s="83" t="s">
        <v>56</v>
      </c>
      <c r="W1041" s="80">
        <v>37426549.032509498</v>
      </c>
      <c r="X1041" s="68">
        <f t="shared" si="1209"/>
        <v>316.72589667597128</v>
      </c>
      <c r="Y1041" s="68">
        <f t="shared" si="1210"/>
        <v>355.26924385610886</v>
      </c>
      <c r="Z1041" s="68">
        <f t="shared" si="1211"/>
        <v>542.22515404076114</v>
      </c>
      <c r="AA1041" s="68">
        <f t="shared" si="1212"/>
        <v>69956.166415905609</v>
      </c>
      <c r="AB1041" s="78" t="s">
        <v>73</v>
      </c>
      <c r="AC1041" s="55"/>
      <c r="AD1041" s="93">
        <f t="shared" ref="AD1041" si="1225">W1041/AC1030</f>
        <v>5.5386264153317766E-2</v>
      </c>
    </row>
    <row r="1042" spans="1:30" s="32" customFormat="1" ht="15.95">
      <c r="A1042" s="57"/>
      <c r="B1042" s="66" t="s">
        <v>48</v>
      </c>
      <c r="C1042" s="66" t="s">
        <v>114</v>
      </c>
      <c r="D1042" s="66"/>
      <c r="E1042" s="66" t="s">
        <v>20</v>
      </c>
      <c r="F1042" s="66" t="s">
        <v>21</v>
      </c>
      <c r="G1042" s="66" t="s">
        <v>249</v>
      </c>
      <c r="H1042" s="66"/>
      <c r="I1042" s="66" t="s">
        <v>291</v>
      </c>
      <c r="J1042" s="66"/>
      <c r="K1042" s="66" t="s">
        <v>292</v>
      </c>
      <c r="L1042" s="67">
        <v>2025</v>
      </c>
      <c r="M1042" s="66" t="s">
        <v>290</v>
      </c>
      <c r="N1042" s="66" t="s">
        <v>24</v>
      </c>
      <c r="O1042" s="66" t="s">
        <v>54</v>
      </c>
      <c r="P1042" s="66" t="s">
        <v>25</v>
      </c>
      <c r="Q1042" s="80">
        <v>118167</v>
      </c>
      <c r="R1042" s="80">
        <v>105347</v>
      </c>
      <c r="S1042" s="80">
        <v>69024</v>
      </c>
      <c r="T1042" s="81">
        <v>535</v>
      </c>
      <c r="U1042" s="82" t="s">
        <v>69</v>
      </c>
      <c r="V1042" s="83" t="s">
        <v>56</v>
      </c>
      <c r="W1042" s="80">
        <v>82788408</v>
      </c>
      <c r="X1042" s="68">
        <f t="shared" si="1209"/>
        <v>700.60514356800127</v>
      </c>
      <c r="Y1042" s="68">
        <f t="shared" si="1210"/>
        <v>785.86393537547349</v>
      </c>
      <c r="Z1042" s="68">
        <f t="shared" si="1211"/>
        <v>1199.4148122392212</v>
      </c>
      <c r="AA1042" s="68">
        <f t="shared" si="1212"/>
        <v>154744.68785046728</v>
      </c>
      <c r="AB1042" s="78" t="s">
        <v>73</v>
      </c>
      <c r="AC1042" s="55"/>
      <c r="AD1042" s="93">
        <f t="shared" ref="AD1042" si="1226">W1042/AC1030</f>
        <v>0.12251572086803197</v>
      </c>
    </row>
    <row r="1043" spans="1:30" s="55" customFormat="1" ht="15" customHeight="1">
      <c r="A1043" s="57"/>
      <c r="B1043" s="58" t="s">
        <v>48</v>
      </c>
      <c r="C1043" s="58" t="s">
        <v>49</v>
      </c>
      <c r="D1043" s="58"/>
      <c r="E1043" s="58" t="s">
        <v>20</v>
      </c>
      <c r="F1043" s="58" t="s">
        <v>21</v>
      </c>
      <c r="G1043" s="58" t="s">
        <v>145</v>
      </c>
      <c r="H1043" s="58"/>
      <c r="I1043" s="58" t="s">
        <v>293</v>
      </c>
      <c r="J1043" s="58"/>
      <c r="K1043" s="58" t="s">
        <v>294</v>
      </c>
      <c r="L1043" s="59">
        <v>2025</v>
      </c>
      <c r="M1043" s="58" t="s">
        <v>281</v>
      </c>
      <c r="N1043" s="58" t="s">
        <v>208</v>
      </c>
      <c r="O1043" s="58" t="s">
        <v>54</v>
      </c>
      <c r="P1043" s="58" t="s">
        <v>25</v>
      </c>
      <c r="Q1043" s="60">
        <v>37917</v>
      </c>
      <c r="R1043" s="60">
        <v>34151</v>
      </c>
      <c r="S1043" s="61">
        <v>22689</v>
      </c>
      <c r="T1043" s="61">
        <v>38</v>
      </c>
      <c r="U1043" s="62" t="s">
        <v>55</v>
      </c>
      <c r="V1043" s="63" t="s">
        <v>56</v>
      </c>
      <c r="W1043" s="60">
        <v>15233927.596299998</v>
      </c>
      <c r="X1043" s="60">
        <f>IF(Q1043&gt;0,$W1043/Q1043,"")</f>
        <v>401.77038258037288</v>
      </c>
      <c r="Y1043" s="60">
        <f t="shared" ref="Y1043:Y1055" si="1227">IF(R1043&gt;0,$W1043/R1043,"")</f>
        <v>446.07559357851886</v>
      </c>
      <c r="Z1043" s="60">
        <f t="shared" ref="Z1043:Z1055" si="1228">IF(S1043&gt;0,$W1043/S1043,"")</f>
        <v>671.42349139671205</v>
      </c>
      <c r="AA1043" s="60">
        <f t="shared" ref="AA1043:AA1055" si="1229">IF(T1043&gt;0,$W1043/T1043,"")</f>
        <v>400892.83148157893</v>
      </c>
      <c r="AB1043" s="64" t="s">
        <v>73</v>
      </c>
      <c r="AC1043" s="92">
        <f t="shared" ref="AC1043" si="1230">SUM(W1043:W1055)</f>
        <v>389299999.74239999</v>
      </c>
      <c r="AD1043" s="93">
        <f t="shared" ref="AD1043" si="1231">W1043/AC1043</f>
        <v>3.9131589022297193E-2</v>
      </c>
    </row>
    <row r="1044" spans="1:30" s="55" customFormat="1" ht="15.95">
      <c r="A1044" s="57"/>
      <c r="B1044" s="58" t="s">
        <v>48</v>
      </c>
      <c r="C1044" s="58" t="s">
        <v>49</v>
      </c>
      <c r="D1044" s="58"/>
      <c r="E1044" s="58" t="s">
        <v>20</v>
      </c>
      <c r="F1044" s="58" t="s">
        <v>21</v>
      </c>
      <c r="G1044" s="58" t="s">
        <v>145</v>
      </c>
      <c r="H1044" s="58"/>
      <c r="I1044" s="58" t="s">
        <v>293</v>
      </c>
      <c r="J1044" s="58"/>
      <c r="K1044" s="58" t="s">
        <v>294</v>
      </c>
      <c r="L1044" s="59">
        <v>2025</v>
      </c>
      <c r="M1044" s="58" t="s">
        <v>281</v>
      </c>
      <c r="N1044" s="58" t="s">
        <v>208</v>
      </c>
      <c r="O1044" s="58" t="s">
        <v>54</v>
      </c>
      <c r="P1044" s="58" t="s">
        <v>25</v>
      </c>
      <c r="Q1044" s="60">
        <v>37917</v>
      </c>
      <c r="R1044" s="60">
        <v>34151</v>
      </c>
      <c r="S1044" s="61">
        <v>22689</v>
      </c>
      <c r="T1044" s="61">
        <v>38</v>
      </c>
      <c r="U1044" s="62" t="s">
        <v>58</v>
      </c>
      <c r="V1044" s="63" t="s">
        <v>56</v>
      </c>
      <c r="W1044" s="60">
        <v>31952036.856099997</v>
      </c>
      <c r="X1044" s="60">
        <f t="shared" ref="X1044:X1055" si="1232">IF(Q1044&gt;0,$W1044/Q1044,"")</f>
        <v>842.68367371100021</v>
      </c>
      <c r="Y1044" s="60">
        <f t="shared" si="1227"/>
        <v>935.61057819975974</v>
      </c>
      <c r="Z1044" s="60">
        <f t="shared" si="1228"/>
        <v>1408.2611334170742</v>
      </c>
      <c r="AA1044" s="60">
        <f t="shared" si="1229"/>
        <v>840843.0751605262</v>
      </c>
      <c r="AB1044" s="64" t="s">
        <v>73</v>
      </c>
      <c r="AD1044" s="93">
        <f t="shared" ref="AD1044" si="1233">W1044/AC1043</f>
        <v>8.2075614891453055E-2</v>
      </c>
    </row>
    <row r="1045" spans="1:30" s="55" customFormat="1" ht="15.95">
      <c r="A1045" s="57"/>
      <c r="B1045" s="58" t="s">
        <v>48</v>
      </c>
      <c r="C1045" s="58" t="s">
        <v>49</v>
      </c>
      <c r="D1045" s="58"/>
      <c r="E1045" s="58" t="s">
        <v>20</v>
      </c>
      <c r="F1045" s="58" t="s">
        <v>21</v>
      </c>
      <c r="G1045" s="58" t="s">
        <v>145</v>
      </c>
      <c r="H1045" s="58"/>
      <c r="I1045" s="58" t="s">
        <v>293</v>
      </c>
      <c r="J1045" s="58"/>
      <c r="K1045" s="58" t="s">
        <v>294</v>
      </c>
      <c r="L1045" s="59">
        <v>2025</v>
      </c>
      <c r="M1045" s="58" t="s">
        <v>281</v>
      </c>
      <c r="N1045" s="58" t="s">
        <v>208</v>
      </c>
      <c r="O1045" s="58" t="s">
        <v>54</v>
      </c>
      <c r="P1045" s="58" t="s">
        <v>25</v>
      </c>
      <c r="Q1045" s="60">
        <v>37917</v>
      </c>
      <c r="R1045" s="60">
        <v>34151</v>
      </c>
      <c r="S1045" s="61">
        <v>22689</v>
      </c>
      <c r="T1045" s="61">
        <v>38</v>
      </c>
      <c r="U1045" s="62" t="s">
        <v>59</v>
      </c>
      <c r="V1045" s="63" t="s">
        <v>56</v>
      </c>
      <c r="W1045" s="60">
        <v>87929702.169999987</v>
      </c>
      <c r="X1045" s="60">
        <f t="shared" si="1232"/>
        <v>2319.0047253210955</v>
      </c>
      <c r="Y1045" s="60">
        <f t="shared" si="1227"/>
        <v>2574.7328678516001</v>
      </c>
      <c r="Z1045" s="60">
        <f t="shared" si="1228"/>
        <v>3875.4331248622675</v>
      </c>
      <c r="AA1045" s="60">
        <f t="shared" si="1229"/>
        <v>2313939.5307894736</v>
      </c>
      <c r="AB1045" s="64" t="s">
        <v>73</v>
      </c>
      <c r="AD1045" s="93">
        <f t="shared" ref="AD1045" si="1234">W1045/AC1043</f>
        <v>0.22586617577236864</v>
      </c>
    </row>
    <row r="1046" spans="1:30" s="55" customFormat="1" ht="15.95">
      <c r="A1046" s="57"/>
      <c r="B1046" s="58" t="s">
        <v>48</v>
      </c>
      <c r="C1046" s="58" t="s">
        <v>49</v>
      </c>
      <c r="D1046" s="58"/>
      <c r="E1046" s="58" t="s">
        <v>20</v>
      </c>
      <c r="F1046" s="58" t="s">
        <v>21</v>
      </c>
      <c r="G1046" s="58" t="s">
        <v>145</v>
      </c>
      <c r="H1046" s="58"/>
      <c r="I1046" s="58" t="s">
        <v>293</v>
      </c>
      <c r="J1046" s="58"/>
      <c r="K1046" s="58" t="s">
        <v>294</v>
      </c>
      <c r="L1046" s="59">
        <v>2025</v>
      </c>
      <c r="M1046" s="58" t="s">
        <v>281</v>
      </c>
      <c r="N1046" s="58" t="s">
        <v>208</v>
      </c>
      <c r="O1046" s="58" t="s">
        <v>54</v>
      </c>
      <c r="P1046" s="58" t="s">
        <v>25</v>
      </c>
      <c r="Q1046" s="60">
        <v>37917</v>
      </c>
      <c r="R1046" s="60">
        <v>34151</v>
      </c>
      <c r="S1046" s="61">
        <v>22689</v>
      </c>
      <c r="T1046" s="61">
        <v>38</v>
      </c>
      <c r="U1046" s="62" t="s">
        <v>60</v>
      </c>
      <c r="V1046" s="63" t="s">
        <v>56</v>
      </c>
      <c r="W1046" s="60">
        <v>17107485.190000001</v>
      </c>
      <c r="X1046" s="60">
        <f t="shared" si="1232"/>
        <v>451.18245615423166</v>
      </c>
      <c r="Y1046" s="60">
        <f t="shared" si="1227"/>
        <v>500.93658135925745</v>
      </c>
      <c r="Z1046" s="60">
        <f t="shared" si="1228"/>
        <v>753.99908281546129</v>
      </c>
      <c r="AA1046" s="60">
        <f t="shared" si="1229"/>
        <v>450196.97868421057</v>
      </c>
      <c r="AB1046" s="64" t="s">
        <v>73</v>
      </c>
      <c r="AD1046" s="93">
        <f t="shared" ref="AD1046" si="1235">W1046/AC1043</f>
        <v>4.3944220912715215E-2</v>
      </c>
    </row>
    <row r="1047" spans="1:30" s="55" customFormat="1" ht="15.95">
      <c r="A1047" s="57"/>
      <c r="B1047" s="58" t="s">
        <v>48</v>
      </c>
      <c r="C1047" s="58" t="s">
        <v>49</v>
      </c>
      <c r="D1047" s="58"/>
      <c r="E1047" s="58" t="s">
        <v>20</v>
      </c>
      <c r="F1047" s="58" t="s">
        <v>21</v>
      </c>
      <c r="G1047" s="58" t="s">
        <v>145</v>
      </c>
      <c r="H1047" s="58"/>
      <c r="I1047" s="58" t="s">
        <v>293</v>
      </c>
      <c r="J1047" s="58"/>
      <c r="K1047" s="58" t="s">
        <v>294</v>
      </c>
      <c r="L1047" s="59">
        <v>2025</v>
      </c>
      <c r="M1047" s="58" t="s">
        <v>281</v>
      </c>
      <c r="N1047" s="58" t="s">
        <v>208</v>
      </c>
      <c r="O1047" s="58" t="s">
        <v>54</v>
      </c>
      <c r="P1047" s="58" t="s">
        <v>25</v>
      </c>
      <c r="Q1047" s="60">
        <v>37917</v>
      </c>
      <c r="R1047" s="60">
        <v>34151</v>
      </c>
      <c r="S1047" s="61">
        <v>22689</v>
      </c>
      <c r="T1047" s="61">
        <v>38</v>
      </c>
      <c r="U1047" s="62" t="s">
        <v>61</v>
      </c>
      <c r="V1047" s="63" t="s">
        <v>56</v>
      </c>
      <c r="W1047" s="60">
        <v>42405230.530000001</v>
      </c>
      <c r="X1047" s="60">
        <f t="shared" si="1232"/>
        <v>1118.3698744626422</v>
      </c>
      <c r="Y1047" s="60">
        <f t="shared" si="1227"/>
        <v>1241.6980624286259</v>
      </c>
      <c r="Z1047" s="60">
        <f t="shared" si="1228"/>
        <v>1868.9775014324123</v>
      </c>
      <c r="AA1047" s="60">
        <f t="shared" si="1229"/>
        <v>1115927.1192105263</v>
      </c>
      <c r="AB1047" s="64" t="s">
        <v>73</v>
      </c>
      <c r="AD1047" s="93">
        <f t="shared" ref="AD1047" si="1236">W1047/AC1043</f>
        <v>0.10892687017225677</v>
      </c>
    </row>
    <row r="1048" spans="1:30" s="55" customFormat="1" ht="15.95">
      <c r="A1048" s="57"/>
      <c r="B1048" s="58" t="s">
        <v>48</v>
      </c>
      <c r="C1048" s="58" t="s">
        <v>49</v>
      </c>
      <c r="D1048" s="58"/>
      <c r="E1048" s="58" t="s">
        <v>20</v>
      </c>
      <c r="F1048" s="58" t="s">
        <v>21</v>
      </c>
      <c r="G1048" s="58" t="s">
        <v>145</v>
      </c>
      <c r="H1048" s="58"/>
      <c r="I1048" s="58" t="s">
        <v>293</v>
      </c>
      <c r="J1048" s="58"/>
      <c r="K1048" s="58" t="s">
        <v>294</v>
      </c>
      <c r="L1048" s="59">
        <v>2025</v>
      </c>
      <c r="M1048" s="58" t="s">
        <v>281</v>
      </c>
      <c r="N1048" s="58" t="s">
        <v>208</v>
      </c>
      <c r="O1048" s="58" t="s">
        <v>54</v>
      </c>
      <c r="P1048" s="58" t="s">
        <v>25</v>
      </c>
      <c r="Q1048" s="60">
        <v>37917</v>
      </c>
      <c r="R1048" s="60">
        <v>34151</v>
      </c>
      <c r="S1048" s="61">
        <v>22689</v>
      </c>
      <c r="T1048" s="61">
        <v>38</v>
      </c>
      <c r="U1048" s="62" t="s">
        <v>62</v>
      </c>
      <c r="V1048" s="63" t="s">
        <v>56</v>
      </c>
      <c r="W1048" s="60">
        <v>14837248.82</v>
      </c>
      <c r="X1048" s="60">
        <f t="shared" si="1232"/>
        <v>391.30861671545745</v>
      </c>
      <c r="Y1048" s="60">
        <f t="shared" si="1227"/>
        <v>434.46015695001614</v>
      </c>
      <c r="Z1048" s="60">
        <f t="shared" si="1228"/>
        <v>653.94018334875932</v>
      </c>
      <c r="AA1048" s="60">
        <f t="shared" si="1229"/>
        <v>390453.91631578951</v>
      </c>
      <c r="AB1048" s="64" t="s">
        <v>73</v>
      </c>
      <c r="AD1048" s="93">
        <f t="shared" ref="AD1048" si="1237">W1048/AC1043</f>
        <v>3.811263506246549E-2</v>
      </c>
    </row>
    <row r="1049" spans="1:30" s="55" customFormat="1" ht="15.95">
      <c r="A1049" s="57"/>
      <c r="B1049" s="58" t="s">
        <v>48</v>
      </c>
      <c r="C1049" s="58" t="s">
        <v>49</v>
      </c>
      <c r="D1049" s="58"/>
      <c r="E1049" s="58" t="s">
        <v>20</v>
      </c>
      <c r="F1049" s="58" t="s">
        <v>21</v>
      </c>
      <c r="G1049" s="58" t="s">
        <v>145</v>
      </c>
      <c r="H1049" s="58"/>
      <c r="I1049" s="58" t="s">
        <v>293</v>
      </c>
      <c r="J1049" s="58"/>
      <c r="K1049" s="58" t="s">
        <v>294</v>
      </c>
      <c r="L1049" s="59">
        <v>2025</v>
      </c>
      <c r="M1049" s="58" t="s">
        <v>281</v>
      </c>
      <c r="N1049" s="58" t="s">
        <v>208</v>
      </c>
      <c r="O1049" s="58" t="s">
        <v>54</v>
      </c>
      <c r="P1049" s="58" t="s">
        <v>25</v>
      </c>
      <c r="Q1049" s="60">
        <v>37917</v>
      </c>
      <c r="R1049" s="60">
        <v>34151</v>
      </c>
      <c r="S1049" s="61">
        <v>22689</v>
      </c>
      <c r="T1049" s="61">
        <v>38</v>
      </c>
      <c r="U1049" s="62" t="s">
        <v>63</v>
      </c>
      <c r="V1049" s="63" t="s">
        <v>56</v>
      </c>
      <c r="W1049" s="60">
        <v>7758031.4100000001</v>
      </c>
      <c r="X1049" s="60">
        <f t="shared" si="1232"/>
        <v>204.60562307144554</v>
      </c>
      <c r="Y1049" s="60">
        <f t="shared" si="1227"/>
        <v>227.16849901906241</v>
      </c>
      <c r="Z1049" s="60">
        <f t="shared" si="1228"/>
        <v>341.92919079730268</v>
      </c>
      <c r="AA1049" s="60">
        <f t="shared" si="1229"/>
        <v>204158.72131578947</v>
      </c>
      <c r="AB1049" s="64" t="s">
        <v>73</v>
      </c>
      <c r="AD1049" s="93">
        <f t="shared" ref="AD1049" si="1238">W1049/AC1043</f>
        <v>1.9928156730371162E-2</v>
      </c>
    </row>
    <row r="1050" spans="1:30" s="55" customFormat="1" ht="15.95">
      <c r="A1050" s="57"/>
      <c r="B1050" s="58" t="s">
        <v>48</v>
      </c>
      <c r="C1050" s="58" t="s">
        <v>49</v>
      </c>
      <c r="D1050" s="58"/>
      <c r="E1050" s="58" t="s">
        <v>20</v>
      </c>
      <c r="F1050" s="58" t="s">
        <v>21</v>
      </c>
      <c r="G1050" s="58" t="s">
        <v>145</v>
      </c>
      <c r="H1050" s="58"/>
      <c r="I1050" s="58" t="s">
        <v>293</v>
      </c>
      <c r="J1050" s="58"/>
      <c r="K1050" s="58" t="s">
        <v>294</v>
      </c>
      <c r="L1050" s="59">
        <v>2025</v>
      </c>
      <c r="M1050" s="58" t="s">
        <v>281</v>
      </c>
      <c r="N1050" s="58" t="s">
        <v>208</v>
      </c>
      <c r="O1050" s="58" t="s">
        <v>54</v>
      </c>
      <c r="P1050" s="58" t="s">
        <v>25</v>
      </c>
      <c r="Q1050" s="60">
        <v>37917</v>
      </c>
      <c r="R1050" s="60">
        <v>34151</v>
      </c>
      <c r="S1050" s="61">
        <v>22689</v>
      </c>
      <c r="T1050" s="61">
        <v>38</v>
      </c>
      <c r="U1050" s="62" t="s">
        <v>64</v>
      </c>
      <c r="V1050" s="63" t="s">
        <v>56</v>
      </c>
      <c r="W1050" s="60">
        <v>0</v>
      </c>
      <c r="X1050" s="60">
        <f t="shared" si="1232"/>
        <v>0</v>
      </c>
      <c r="Y1050" s="60">
        <f t="shared" si="1227"/>
        <v>0</v>
      </c>
      <c r="Z1050" s="60">
        <f t="shared" si="1228"/>
        <v>0</v>
      </c>
      <c r="AA1050" s="60">
        <f t="shared" si="1229"/>
        <v>0</v>
      </c>
      <c r="AB1050" s="64" t="s">
        <v>73</v>
      </c>
      <c r="AD1050" s="93">
        <f t="shared" ref="AD1050" si="1239">W1050/AC1043</f>
        <v>0</v>
      </c>
    </row>
    <row r="1051" spans="1:30" s="55" customFormat="1" ht="15.95">
      <c r="A1051" s="57"/>
      <c r="B1051" s="58" t="s">
        <v>48</v>
      </c>
      <c r="C1051" s="58" t="s">
        <v>49</v>
      </c>
      <c r="D1051" s="58"/>
      <c r="E1051" s="58" t="s">
        <v>20</v>
      </c>
      <c r="F1051" s="58" t="s">
        <v>21</v>
      </c>
      <c r="G1051" s="58" t="s">
        <v>145</v>
      </c>
      <c r="H1051" s="58"/>
      <c r="I1051" s="58" t="s">
        <v>293</v>
      </c>
      <c r="J1051" s="58"/>
      <c r="K1051" s="58" t="s">
        <v>294</v>
      </c>
      <c r="L1051" s="59">
        <v>2025</v>
      </c>
      <c r="M1051" s="58" t="s">
        <v>281</v>
      </c>
      <c r="N1051" s="58" t="s">
        <v>208</v>
      </c>
      <c r="O1051" s="58" t="s">
        <v>54</v>
      </c>
      <c r="P1051" s="58" t="s">
        <v>25</v>
      </c>
      <c r="Q1051" s="60">
        <v>37917</v>
      </c>
      <c r="R1051" s="60">
        <v>34151</v>
      </c>
      <c r="S1051" s="61">
        <v>22689</v>
      </c>
      <c r="T1051" s="61">
        <v>38</v>
      </c>
      <c r="U1051" s="62" t="s">
        <v>65</v>
      </c>
      <c r="V1051" s="63" t="s">
        <v>56</v>
      </c>
      <c r="W1051" s="60">
        <v>45775839.809999995</v>
      </c>
      <c r="X1051" s="60">
        <f t="shared" si="1232"/>
        <v>1207.264282775536</v>
      </c>
      <c r="Y1051" s="60">
        <f t="shared" si="1227"/>
        <v>1340.3952976486778</v>
      </c>
      <c r="Z1051" s="60">
        <f t="shared" si="1228"/>
        <v>2017.534479703821</v>
      </c>
      <c r="AA1051" s="60">
        <f t="shared" si="1229"/>
        <v>1204627.3634210525</v>
      </c>
      <c r="AB1051" s="64" t="s">
        <v>73</v>
      </c>
      <c r="AD1051" s="93">
        <f t="shared" ref="AD1051" si="1240">W1051/AC1043</f>
        <v>0.11758499830539403</v>
      </c>
    </row>
    <row r="1052" spans="1:30" s="55" customFormat="1" ht="15.95">
      <c r="A1052" s="57"/>
      <c r="B1052" s="58" t="s">
        <v>48</v>
      </c>
      <c r="C1052" s="58" t="s">
        <v>49</v>
      </c>
      <c r="D1052" s="58"/>
      <c r="E1052" s="58" t="s">
        <v>20</v>
      </c>
      <c r="F1052" s="58" t="s">
        <v>21</v>
      </c>
      <c r="G1052" s="58" t="s">
        <v>145</v>
      </c>
      <c r="H1052" s="58"/>
      <c r="I1052" s="58" t="s">
        <v>293</v>
      </c>
      <c r="J1052" s="58"/>
      <c r="K1052" s="58" t="s">
        <v>294</v>
      </c>
      <c r="L1052" s="59">
        <v>2025</v>
      </c>
      <c r="M1052" s="58" t="s">
        <v>281</v>
      </c>
      <c r="N1052" s="58" t="s">
        <v>208</v>
      </c>
      <c r="O1052" s="58" t="s">
        <v>54</v>
      </c>
      <c r="P1052" s="58" t="s">
        <v>25</v>
      </c>
      <c r="Q1052" s="60">
        <v>37917</v>
      </c>
      <c r="R1052" s="60">
        <v>34151</v>
      </c>
      <c r="S1052" s="61">
        <v>22689</v>
      </c>
      <c r="T1052" s="61">
        <v>38</v>
      </c>
      <c r="U1052" s="62" t="s">
        <v>66</v>
      </c>
      <c r="V1052" s="63" t="s">
        <v>56</v>
      </c>
      <c r="W1052" s="60">
        <v>21895131.440000001</v>
      </c>
      <c r="X1052" s="60">
        <f t="shared" si="1232"/>
        <v>577.4489395258064</v>
      </c>
      <c r="Y1052" s="60">
        <f t="shared" si="1227"/>
        <v>641.12709554625053</v>
      </c>
      <c r="Z1052" s="60">
        <f t="shared" si="1228"/>
        <v>965.01086165102038</v>
      </c>
      <c r="AA1052" s="60">
        <f t="shared" si="1229"/>
        <v>576187.66947368428</v>
      </c>
      <c r="AB1052" s="64" t="s">
        <v>73</v>
      </c>
      <c r="AD1052" s="93">
        <f t="shared" ref="AD1052" si="1241">W1052/AC1043</f>
        <v>5.6242310440503519E-2</v>
      </c>
    </row>
    <row r="1053" spans="1:30" s="55" customFormat="1" ht="15.95">
      <c r="A1053" s="57"/>
      <c r="B1053" s="58" t="s">
        <v>48</v>
      </c>
      <c r="C1053" s="58" t="s">
        <v>49</v>
      </c>
      <c r="D1053" s="58"/>
      <c r="E1053" s="58" t="s">
        <v>20</v>
      </c>
      <c r="F1053" s="58" t="s">
        <v>21</v>
      </c>
      <c r="G1053" s="58" t="s">
        <v>145</v>
      </c>
      <c r="H1053" s="58"/>
      <c r="I1053" s="58" t="s">
        <v>293</v>
      </c>
      <c r="J1053" s="58"/>
      <c r="K1053" s="58" t="s">
        <v>294</v>
      </c>
      <c r="L1053" s="59">
        <v>2025</v>
      </c>
      <c r="M1053" s="58" t="s">
        <v>281</v>
      </c>
      <c r="N1053" s="58" t="s">
        <v>208</v>
      </c>
      <c r="O1053" s="58" t="s">
        <v>54</v>
      </c>
      <c r="P1053" s="58" t="s">
        <v>25</v>
      </c>
      <c r="Q1053" s="60">
        <v>37917</v>
      </c>
      <c r="R1053" s="60">
        <v>34151</v>
      </c>
      <c r="S1053" s="61">
        <v>22689</v>
      </c>
      <c r="T1053" s="61">
        <v>38</v>
      </c>
      <c r="U1053" s="62" t="s">
        <v>67</v>
      </c>
      <c r="V1053" s="63" t="s">
        <v>56</v>
      </c>
      <c r="W1053" s="60">
        <v>5494558.0999999996</v>
      </c>
      <c r="X1053" s="60">
        <f t="shared" si="1232"/>
        <v>144.91014848221113</v>
      </c>
      <c r="Y1053" s="60">
        <f t="shared" si="1227"/>
        <v>160.89010863517905</v>
      </c>
      <c r="Z1053" s="60">
        <f t="shared" si="1228"/>
        <v>242.1683679315968</v>
      </c>
      <c r="AA1053" s="60">
        <f t="shared" si="1229"/>
        <v>144593.6342105263</v>
      </c>
      <c r="AB1053" s="64" t="s">
        <v>73</v>
      </c>
      <c r="AD1053" s="93">
        <f t="shared" ref="AD1053" si="1242">W1053/AC1043</f>
        <v>1.411394324078025E-2</v>
      </c>
    </row>
    <row r="1054" spans="1:30" s="55" customFormat="1" ht="15.95">
      <c r="A1054" s="57"/>
      <c r="B1054" s="58" t="s">
        <v>48</v>
      </c>
      <c r="C1054" s="58" t="s">
        <v>49</v>
      </c>
      <c r="D1054" s="58"/>
      <c r="E1054" s="58" t="s">
        <v>20</v>
      </c>
      <c r="F1054" s="58" t="s">
        <v>21</v>
      </c>
      <c r="G1054" s="58" t="s">
        <v>145</v>
      </c>
      <c r="H1054" s="58"/>
      <c r="I1054" s="58" t="s">
        <v>293</v>
      </c>
      <c r="J1054" s="58"/>
      <c r="K1054" s="58" t="s">
        <v>294</v>
      </c>
      <c r="L1054" s="59">
        <v>2025</v>
      </c>
      <c r="M1054" s="58" t="s">
        <v>281</v>
      </c>
      <c r="N1054" s="58" t="s">
        <v>208</v>
      </c>
      <c r="O1054" s="58" t="s">
        <v>54</v>
      </c>
      <c r="P1054" s="58" t="s">
        <v>25</v>
      </c>
      <c r="Q1054" s="60">
        <v>37917</v>
      </c>
      <c r="R1054" s="60">
        <v>34151</v>
      </c>
      <c r="S1054" s="61">
        <v>22689</v>
      </c>
      <c r="T1054" s="61">
        <v>38</v>
      </c>
      <c r="U1054" s="62" t="s">
        <v>68</v>
      </c>
      <c r="V1054" s="63" t="s">
        <v>56</v>
      </c>
      <c r="W1054" s="60">
        <v>50873981.82</v>
      </c>
      <c r="X1054" s="60">
        <f t="shared" si="1232"/>
        <v>1341.7195933222565</v>
      </c>
      <c r="Y1054" s="60">
        <f t="shared" si="1227"/>
        <v>1489.6776615618869</v>
      </c>
      <c r="Z1054" s="60">
        <f t="shared" si="1228"/>
        <v>2242.2311172815021</v>
      </c>
      <c r="AA1054" s="60">
        <f t="shared" si="1229"/>
        <v>1338788.9952631579</v>
      </c>
      <c r="AB1054" s="64" t="s">
        <v>73</v>
      </c>
      <c r="AD1054" s="93">
        <f t="shared" ref="AD1054" si="1243">W1054/AC1043</f>
        <v>0.1306806623520764</v>
      </c>
    </row>
    <row r="1055" spans="1:30" s="55" customFormat="1" ht="15.95">
      <c r="A1055" s="57"/>
      <c r="B1055" s="58" t="s">
        <v>48</v>
      </c>
      <c r="C1055" s="58" t="s">
        <v>49</v>
      </c>
      <c r="D1055" s="58"/>
      <c r="E1055" s="58" t="s">
        <v>20</v>
      </c>
      <c r="F1055" s="58" t="s">
        <v>21</v>
      </c>
      <c r="G1055" s="58" t="s">
        <v>145</v>
      </c>
      <c r="H1055" s="58"/>
      <c r="I1055" s="58" t="s">
        <v>293</v>
      </c>
      <c r="J1055" s="58"/>
      <c r="K1055" s="58" t="s">
        <v>294</v>
      </c>
      <c r="L1055" s="59">
        <v>2025</v>
      </c>
      <c r="M1055" s="58" t="s">
        <v>281</v>
      </c>
      <c r="N1055" s="58" t="s">
        <v>208</v>
      </c>
      <c r="O1055" s="58" t="s">
        <v>54</v>
      </c>
      <c r="P1055" s="58" t="s">
        <v>25</v>
      </c>
      <c r="Q1055" s="60">
        <v>37917</v>
      </c>
      <c r="R1055" s="60">
        <v>34151</v>
      </c>
      <c r="S1055" s="61">
        <v>22689</v>
      </c>
      <c r="T1055" s="61">
        <v>38</v>
      </c>
      <c r="U1055" s="62" t="s">
        <v>69</v>
      </c>
      <c r="V1055" s="63" t="s">
        <v>56</v>
      </c>
      <c r="W1055" s="60">
        <v>48036826</v>
      </c>
      <c r="X1055" s="60">
        <f t="shared" si="1232"/>
        <v>1266.8941635677927</v>
      </c>
      <c r="Y1055" s="60">
        <f t="shared" si="1227"/>
        <v>1406.6008608825509</v>
      </c>
      <c r="Z1055" s="60">
        <f t="shared" si="1228"/>
        <v>2117.1856846930232</v>
      </c>
      <c r="AA1055" s="60">
        <f t="shared" si="1229"/>
        <v>1264127</v>
      </c>
      <c r="AB1055" s="64" t="s">
        <v>73</v>
      </c>
      <c r="AD1055" s="93">
        <f t="shared" ref="AD1055" si="1244">W1055/AC1043</f>
        <v>0.12339282309731825</v>
      </c>
    </row>
    <row r="1057" spans="2:30" s="20" customFormat="1" ht="48" customHeight="1">
      <c r="B1057" s="21"/>
      <c r="C1057" s="21" t="s">
        <v>0</v>
      </c>
      <c r="D1057" s="22"/>
      <c r="E1057" s="22" t="s">
        <v>1</v>
      </c>
      <c r="F1057" s="22" t="s">
        <v>2</v>
      </c>
      <c r="G1057" s="22" t="s">
        <v>35</v>
      </c>
      <c r="H1057" s="22"/>
      <c r="I1057" s="22" t="s">
        <v>295</v>
      </c>
      <c r="J1057" s="22"/>
      <c r="K1057" s="23" t="s">
        <v>3</v>
      </c>
      <c r="L1057" s="26" t="s">
        <v>4</v>
      </c>
      <c r="M1057" s="23" t="s">
        <v>5</v>
      </c>
      <c r="N1057" s="23" t="s">
        <v>6</v>
      </c>
      <c r="O1057" s="23" t="s">
        <v>40</v>
      </c>
      <c r="P1057" s="23" t="s">
        <v>7</v>
      </c>
      <c r="Q1057" s="33" t="s">
        <v>8</v>
      </c>
      <c r="R1057" s="33" t="s">
        <v>9</v>
      </c>
      <c r="S1057" s="33" t="s">
        <v>10</v>
      </c>
      <c r="T1057" s="33" t="s">
        <v>11</v>
      </c>
      <c r="U1057" s="29" t="s">
        <v>12</v>
      </c>
      <c r="V1057" s="39" t="s">
        <v>41</v>
      </c>
      <c r="W1057" s="33" t="s">
        <v>42</v>
      </c>
      <c r="X1057" s="33" t="s">
        <v>43</v>
      </c>
      <c r="Y1057" s="33" t="s">
        <v>44</v>
      </c>
      <c r="Z1057" s="33" t="s">
        <v>45</v>
      </c>
      <c r="AA1057" s="37" t="s">
        <v>46</v>
      </c>
      <c r="AB1057" s="51" t="s">
        <v>47</v>
      </c>
    </row>
    <row r="1058" spans="2:30" ht="18.95">
      <c r="B1058" s="54" t="s">
        <v>48</v>
      </c>
      <c r="C1058" s="54" t="s">
        <v>49</v>
      </c>
      <c r="D1058" s="2"/>
      <c r="E1058"/>
      <c r="F1058"/>
      <c r="G1058"/>
      <c r="H1058"/>
      <c r="I1058"/>
      <c r="J1058"/>
      <c r="K1058" s="31" t="s">
        <v>52</v>
      </c>
      <c r="L1058" s="49">
        <f t="shared" ref="L1058:L1089" si="1245">SUMIF($K$2:$K$1056,$K1058,L$2:L$1056)/13</f>
        <v>2016</v>
      </c>
      <c r="M1058"/>
      <c r="N1058"/>
      <c r="O1058"/>
      <c r="P1058" s="48">
        <f t="shared" ref="P1058:P1089" si="1246">COUNTIF($K$2:$K$1056,$K1058)</f>
        <v>13</v>
      </c>
      <c r="Q1058" s="47">
        <f t="shared" ref="Q1058:V1067" si="1247">SUMIF($K$2:$K$1056,$K1058,Q$2:Q$1056)/13</f>
        <v>32424.307174908714</v>
      </c>
      <c r="R1058" s="47">
        <f t="shared" si="1247"/>
        <v>30847</v>
      </c>
      <c r="S1058" s="47">
        <f t="shared" si="1247"/>
        <v>24540</v>
      </c>
      <c r="T1058" s="47">
        <f t="shared" si="1247"/>
        <v>108</v>
      </c>
      <c r="U1058" s="47">
        <f t="shared" si="1247"/>
        <v>0</v>
      </c>
      <c r="V1058" s="47">
        <f t="shared" si="1247"/>
        <v>0</v>
      </c>
      <c r="W1058" s="47">
        <f t="shared" ref="W1058:AA1067" si="1248">SUMIF($K$2:$K$1056,$K1058,W$2:W$1056)</f>
        <v>130950000</v>
      </c>
      <c r="X1058" s="47">
        <f t="shared" si="1248"/>
        <v>4038.6367947233907</v>
      </c>
      <c r="Y1058" s="47">
        <f t="shared" si="1248"/>
        <v>4245.1453950141013</v>
      </c>
      <c r="Z1058" s="47">
        <f t="shared" si="1248"/>
        <v>5336.1858190709045</v>
      </c>
      <c r="AA1058" s="47">
        <f t="shared" si="1248"/>
        <v>1212500</v>
      </c>
      <c r="AB1058" s="56" t="s">
        <v>57</v>
      </c>
      <c r="AC1058" s="20"/>
      <c r="AD1058" s="20"/>
    </row>
    <row r="1059" spans="2:30" ht="18.95">
      <c r="B1059" s="54" t="s">
        <v>48</v>
      </c>
      <c r="C1059" s="54" t="s">
        <v>49</v>
      </c>
      <c r="D1059" s="2"/>
      <c r="E1059"/>
      <c r="F1059"/>
      <c r="G1059"/>
      <c r="H1059"/>
      <c r="I1059"/>
      <c r="J1059"/>
      <c r="K1059" s="44" t="s">
        <v>71</v>
      </c>
      <c r="L1059" s="49">
        <f t="shared" si="1245"/>
        <v>2018</v>
      </c>
      <c r="M1059"/>
      <c r="N1059"/>
      <c r="O1059"/>
      <c r="P1059" s="48">
        <f t="shared" si="1246"/>
        <v>13</v>
      </c>
      <c r="Q1059" s="47">
        <f t="shared" si="1247"/>
        <v>107978</v>
      </c>
      <c r="R1059" s="47">
        <f t="shared" si="1247"/>
        <v>86196</v>
      </c>
      <c r="S1059" s="47">
        <f t="shared" si="1247"/>
        <v>81881</v>
      </c>
      <c r="T1059" s="47">
        <f t="shared" si="1247"/>
        <v>339</v>
      </c>
      <c r="U1059" s="47">
        <f t="shared" si="1247"/>
        <v>0</v>
      </c>
      <c r="V1059" s="47">
        <f t="shared" si="1247"/>
        <v>0</v>
      </c>
      <c r="W1059" s="47">
        <f t="shared" si="1248"/>
        <v>392000000</v>
      </c>
      <c r="X1059" s="47">
        <f t="shared" si="1248"/>
        <v>3630.3691492711482</v>
      </c>
      <c r="Y1059" s="47">
        <f t="shared" si="1248"/>
        <v>4547.7748387396168</v>
      </c>
      <c r="Z1059" s="47">
        <f t="shared" si="1248"/>
        <v>4787.435424579573</v>
      </c>
      <c r="AA1059" s="47">
        <f t="shared" si="1248"/>
        <v>1156342.1828908555</v>
      </c>
      <c r="AB1059" s="56" t="s">
        <v>73</v>
      </c>
      <c r="AC1059" s="20"/>
      <c r="AD1059" s="20"/>
    </row>
    <row r="1060" spans="2:30" ht="18.95">
      <c r="B1060" s="54" t="s">
        <v>48</v>
      </c>
      <c r="C1060" s="54" t="s">
        <v>49</v>
      </c>
      <c r="D1060" s="2"/>
      <c r="E1060"/>
      <c r="F1060"/>
      <c r="G1060"/>
      <c r="H1060"/>
      <c r="I1060"/>
      <c r="J1060"/>
      <c r="K1060" s="31" t="s">
        <v>75</v>
      </c>
      <c r="L1060" s="49">
        <f t="shared" si="1245"/>
        <v>2018</v>
      </c>
      <c r="M1060" s="45"/>
      <c r="N1060" s="45"/>
      <c r="O1060" s="46"/>
      <c r="P1060" s="48">
        <f t="shared" si="1246"/>
        <v>13</v>
      </c>
      <c r="Q1060" s="47">
        <f t="shared" si="1247"/>
        <v>42973</v>
      </c>
      <c r="R1060" s="47">
        <f t="shared" si="1247"/>
        <v>41225</v>
      </c>
      <c r="S1060" s="47">
        <f t="shared" si="1247"/>
        <v>34232</v>
      </c>
      <c r="T1060" s="47">
        <f t="shared" si="1247"/>
        <v>150</v>
      </c>
      <c r="U1060" s="47">
        <f t="shared" si="1247"/>
        <v>0</v>
      </c>
      <c r="V1060" s="47">
        <f t="shared" si="1247"/>
        <v>0</v>
      </c>
      <c r="W1060" s="47">
        <f t="shared" si="1248"/>
        <v>157509543</v>
      </c>
      <c r="X1060" s="47">
        <f t="shared" si="1248"/>
        <v>3665.3141042049656</v>
      </c>
      <c r="Y1060" s="47">
        <f t="shared" si="1248"/>
        <v>3820.728756822316</v>
      </c>
      <c r="Z1060" s="47">
        <f t="shared" si="1248"/>
        <v>4601.236942042533</v>
      </c>
      <c r="AA1060" s="47">
        <f t="shared" si="1248"/>
        <v>1050063.6199999999</v>
      </c>
      <c r="AB1060" s="56" t="s">
        <v>73</v>
      </c>
      <c r="AC1060" s="20"/>
      <c r="AD1060" s="20"/>
    </row>
    <row r="1061" spans="2:30" ht="18.95">
      <c r="B1061" s="54" t="s">
        <v>48</v>
      </c>
      <c r="C1061" s="54" t="s">
        <v>49</v>
      </c>
      <c r="D1061" s="2"/>
      <c r="E1061"/>
      <c r="F1061"/>
      <c r="G1061"/>
      <c r="H1061"/>
      <c r="I1061"/>
      <c r="J1061"/>
      <c r="K1061" s="44" t="s">
        <v>77</v>
      </c>
      <c r="L1061" s="49">
        <f t="shared" si="1245"/>
        <v>2019</v>
      </c>
      <c r="M1061" s="45"/>
      <c r="N1061" s="45"/>
      <c r="O1061" s="46"/>
      <c r="P1061" s="48">
        <f t="shared" si="1246"/>
        <v>13</v>
      </c>
      <c r="Q1061" s="47">
        <f t="shared" si="1247"/>
        <v>113250.30890290694</v>
      </c>
      <c r="R1061" s="47">
        <f t="shared" si="1247"/>
        <v>104555</v>
      </c>
      <c r="S1061" s="47">
        <f t="shared" si="1247"/>
        <v>69776</v>
      </c>
      <c r="T1061" s="47">
        <f t="shared" si="1247"/>
        <v>158</v>
      </c>
      <c r="U1061" s="47">
        <f t="shared" si="1247"/>
        <v>0</v>
      </c>
      <c r="V1061" s="47">
        <f t="shared" si="1247"/>
        <v>0</v>
      </c>
      <c r="W1061" s="47">
        <f t="shared" si="1248"/>
        <v>451204906</v>
      </c>
      <c r="X1061" s="47">
        <f t="shared" si="1248"/>
        <v>3984.1384131396248</v>
      </c>
      <c r="Y1061" s="47">
        <f t="shared" si="1248"/>
        <v>4315.4789919181294</v>
      </c>
      <c r="Z1061" s="47">
        <f t="shared" si="1248"/>
        <v>6466.4770981426263</v>
      </c>
      <c r="AA1061" s="47">
        <f t="shared" si="1248"/>
        <v>2855727.2531645568</v>
      </c>
      <c r="AB1061" s="56" t="s">
        <v>73</v>
      </c>
      <c r="AC1061" s="20"/>
      <c r="AD1061" s="20"/>
    </row>
    <row r="1062" spans="2:30" ht="18.95">
      <c r="B1062" s="54" t="s">
        <v>48</v>
      </c>
      <c r="C1062" s="54" t="s">
        <v>49</v>
      </c>
      <c r="D1062" s="2"/>
      <c r="E1062"/>
      <c r="F1062"/>
      <c r="G1062"/>
      <c r="H1062"/>
      <c r="I1062"/>
      <c r="J1062"/>
      <c r="K1062" s="31" t="s">
        <v>79</v>
      </c>
      <c r="L1062" s="49">
        <f t="shared" si="1245"/>
        <v>2022</v>
      </c>
      <c r="M1062" s="45"/>
      <c r="N1062" s="45"/>
      <c r="O1062" s="46"/>
      <c r="P1062" s="48">
        <f t="shared" si="1246"/>
        <v>13</v>
      </c>
      <c r="Q1062" s="47">
        <f t="shared" si="1247"/>
        <v>60504</v>
      </c>
      <c r="R1062" s="47">
        <f t="shared" si="1247"/>
        <v>58317</v>
      </c>
      <c r="S1062" s="47">
        <f t="shared" si="1247"/>
        <v>49568</v>
      </c>
      <c r="T1062" s="47">
        <f t="shared" si="1247"/>
        <v>150</v>
      </c>
      <c r="U1062" s="47">
        <f t="shared" si="1247"/>
        <v>0</v>
      </c>
      <c r="V1062" s="47">
        <f t="shared" si="1247"/>
        <v>0</v>
      </c>
      <c r="W1062" s="47">
        <f t="shared" si="1248"/>
        <v>209959928</v>
      </c>
      <c r="X1062" s="47">
        <f t="shared" si="1248"/>
        <v>3470.1825994975543</v>
      </c>
      <c r="Y1062" s="47">
        <f t="shared" si="1248"/>
        <v>3600.321141348149</v>
      </c>
      <c r="Z1062" s="47">
        <f t="shared" si="1248"/>
        <v>4235.7958360232406</v>
      </c>
      <c r="AA1062" s="47">
        <f t="shared" si="1248"/>
        <v>1399732.8533333333</v>
      </c>
      <c r="AB1062" s="56" t="s">
        <v>73</v>
      </c>
      <c r="AC1062" s="20"/>
      <c r="AD1062" s="20"/>
    </row>
    <row r="1063" spans="2:30" ht="18.95">
      <c r="B1063" s="54" t="s">
        <v>48</v>
      </c>
      <c r="C1063" s="54" t="s">
        <v>49</v>
      </c>
      <c r="D1063" s="2"/>
      <c r="E1063"/>
      <c r="F1063"/>
      <c r="G1063"/>
      <c r="H1063"/>
      <c r="I1063"/>
      <c r="J1063"/>
      <c r="K1063" s="44" t="s">
        <v>82</v>
      </c>
      <c r="L1063" s="49">
        <f t="shared" si="1245"/>
        <v>2022</v>
      </c>
      <c r="M1063" s="45"/>
      <c r="N1063" s="45"/>
      <c r="O1063" s="46"/>
      <c r="P1063" s="48">
        <f t="shared" si="1246"/>
        <v>13</v>
      </c>
      <c r="Q1063" s="47">
        <f t="shared" si="1247"/>
        <v>100608</v>
      </c>
      <c r="R1063" s="47">
        <f t="shared" si="1247"/>
        <v>96471</v>
      </c>
      <c r="S1063" s="47">
        <f t="shared" si="1247"/>
        <v>79924</v>
      </c>
      <c r="T1063" s="47">
        <f t="shared" si="1247"/>
        <v>268</v>
      </c>
      <c r="U1063" s="47">
        <f t="shared" si="1247"/>
        <v>0</v>
      </c>
      <c r="V1063" s="47">
        <f t="shared" si="1247"/>
        <v>0</v>
      </c>
      <c r="W1063" s="47">
        <f t="shared" si="1248"/>
        <v>350400248</v>
      </c>
      <c r="X1063" s="47">
        <f t="shared" si="1248"/>
        <v>3482.8268924936392</v>
      </c>
      <c r="Y1063" s="47">
        <f t="shared" si="1248"/>
        <v>3632.1821894662644</v>
      </c>
      <c r="Z1063" s="47">
        <f t="shared" si="1248"/>
        <v>4384.1680596566739</v>
      </c>
      <c r="AA1063" s="47">
        <f t="shared" si="1248"/>
        <v>1307463.6119402987</v>
      </c>
      <c r="AB1063" s="56" t="s">
        <v>73</v>
      </c>
      <c r="AC1063" s="20"/>
      <c r="AD1063" s="20"/>
    </row>
    <row r="1064" spans="2:30" ht="18.95">
      <c r="B1064" s="54" t="s">
        <v>48</v>
      </c>
      <c r="C1064" s="54" t="s">
        <v>49</v>
      </c>
      <c r="D1064" s="2"/>
      <c r="E1064"/>
      <c r="F1064"/>
      <c r="G1064"/>
      <c r="H1064"/>
      <c r="I1064"/>
      <c r="J1064"/>
      <c r="K1064" s="31" t="s">
        <v>83</v>
      </c>
      <c r="L1064" s="49">
        <f t="shared" si="1245"/>
        <v>2022</v>
      </c>
      <c r="M1064" s="45"/>
      <c r="N1064" s="45"/>
      <c r="O1064" s="46"/>
      <c r="P1064" s="48">
        <f t="shared" si="1246"/>
        <v>13</v>
      </c>
      <c r="Q1064" s="47">
        <f t="shared" si="1247"/>
        <v>95382.82035321767</v>
      </c>
      <c r="R1064" s="47">
        <f t="shared" si="1247"/>
        <v>90755</v>
      </c>
      <c r="S1064" s="47">
        <f t="shared" si="1247"/>
        <v>72244.360315499027</v>
      </c>
      <c r="T1064" s="47">
        <f t="shared" si="1247"/>
        <v>128</v>
      </c>
      <c r="U1064" s="47">
        <f t="shared" si="1247"/>
        <v>0</v>
      </c>
      <c r="V1064" s="47">
        <f t="shared" si="1247"/>
        <v>0</v>
      </c>
      <c r="W1064" s="47">
        <f t="shared" si="1248"/>
        <v>416000001</v>
      </c>
      <c r="X1064" s="47">
        <f t="shared" si="1248"/>
        <v>4361.3724091978629</v>
      </c>
      <c r="Y1064" s="47">
        <f t="shared" si="1248"/>
        <v>4583.769500303014</v>
      </c>
      <c r="Z1064" s="47">
        <f t="shared" si="1248"/>
        <v>5758.2349567950014</v>
      </c>
      <c r="AA1064" s="47">
        <f t="shared" si="1248"/>
        <v>3250000.0078125</v>
      </c>
      <c r="AB1064" s="56" t="s">
        <v>73</v>
      </c>
      <c r="AC1064" s="20"/>
      <c r="AD1064" s="20"/>
    </row>
    <row r="1065" spans="2:30" ht="18.95">
      <c r="B1065" s="54" t="s">
        <v>48</v>
      </c>
      <c r="C1065" s="54" t="s">
        <v>49</v>
      </c>
      <c r="D1065" s="2"/>
      <c r="E1065"/>
      <c r="F1065"/>
      <c r="G1065"/>
      <c r="H1065"/>
      <c r="I1065"/>
      <c r="J1065"/>
      <c r="K1065" s="44" t="s">
        <v>85</v>
      </c>
      <c r="L1065" s="49">
        <f t="shared" si="1245"/>
        <v>2022</v>
      </c>
      <c r="M1065" s="45"/>
      <c r="N1065" s="45"/>
      <c r="O1065" s="46"/>
      <c r="P1065" s="48">
        <f t="shared" si="1246"/>
        <v>13</v>
      </c>
      <c r="Q1065" s="47">
        <f t="shared" si="1247"/>
        <v>44954.431014780886</v>
      </c>
      <c r="R1065" s="47">
        <f t="shared" si="1247"/>
        <v>42855</v>
      </c>
      <c r="S1065" s="47">
        <f t="shared" si="1247"/>
        <v>34458.328301080459</v>
      </c>
      <c r="T1065" s="47">
        <f t="shared" si="1247"/>
        <v>75</v>
      </c>
      <c r="U1065" s="47">
        <f t="shared" si="1247"/>
        <v>0</v>
      </c>
      <c r="V1065" s="47">
        <f t="shared" si="1247"/>
        <v>0</v>
      </c>
      <c r="W1065" s="47">
        <f t="shared" si="1248"/>
        <v>236359000</v>
      </c>
      <c r="X1065" s="47">
        <f t="shared" si="1248"/>
        <v>5257.7464482263349</v>
      </c>
      <c r="Y1065" s="47">
        <f t="shared" si="1248"/>
        <v>5515.3190992882974</v>
      </c>
      <c r="Z1065" s="47">
        <f t="shared" si="1248"/>
        <v>6859.270651054444</v>
      </c>
      <c r="AA1065" s="47">
        <f t="shared" si="1248"/>
        <v>3151453.3333333335</v>
      </c>
      <c r="AB1065" s="56" t="s">
        <v>73</v>
      </c>
      <c r="AC1065" s="20"/>
      <c r="AD1065" s="20"/>
    </row>
    <row r="1066" spans="2:30" ht="18.95">
      <c r="B1066" s="54" t="s">
        <v>48</v>
      </c>
      <c r="C1066" s="54" t="s">
        <v>49</v>
      </c>
      <c r="D1066" s="2"/>
      <c r="E1066"/>
      <c r="F1066"/>
      <c r="G1066"/>
      <c r="H1066"/>
      <c r="I1066"/>
      <c r="J1066"/>
      <c r="K1066" s="31" t="s">
        <v>87</v>
      </c>
      <c r="L1066" s="49">
        <f t="shared" si="1245"/>
        <v>2022</v>
      </c>
      <c r="M1066" s="45"/>
      <c r="N1066" s="45"/>
      <c r="O1066" s="46"/>
      <c r="P1066" s="48">
        <f t="shared" si="1246"/>
        <v>13</v>
      </c>
      <c r="Q1066" s="47">
        <f t="shared" si="1247"/>
        <v>50269.467386356249</v>
      </c>
      <c r="R1066" s="47">
        <f t="shared" si="1247"/>
        <v>29853</v>
      </c>
      <c r="S1066" s="47">
        <f t="shared" si="1247"/>
        <v>32158.232610856652</v>
      </c>
      <c r="T1066" s="47">
        <f t="shared" si="1247"/>
        <v>40</v>
      </c>
      <c r="U1066" s="47">
        <f t="shared" si="1247"/>
        <v>0</v>
      </c>
      <c r="V1066" s="47">
        <f t="shared" si="1247"/>
        <v>0</v>
      </c>
      <c r="W1066" s="47">
        <f t="shared" si="1248"/>
        <v>275585149</v>
      </c>
      <c r="X1066" s="47">
        <f t="shared" si="1248"/>
        <v>5482.1577257211438</v>
      </c>
      <c r="Y1066" s="47">
        <f t="shared" si="1248"/>
        <v>9231.4055203832104</v>
      </c>
      <c r="Z1066" s="47">
        <f t="shared" si="1248"/>
        <v>8569.6609118674678</v>
      </c>
      <c r="AA1066" s="47">
        <f t="shared" si="1248"/>
        <v>6889628.7249999996</v>
      </c>
      <c r="AB1066" s="56" t="s">
        <v>73</v>
      </c>
      <c r="AC1066" s="20"/>
      <c r="AD1066" s="20"/>
    </row>
    <row r="1067" spans="2:30" ht="18.95">
      <c r="B1067" s="54" t="s">
        <v>48</v>
      </c>
      <c r="C1067" s="54" t="s">
        <v>49</v>
      </c>
      <c r="D1067" s="2"/>
      <c r="E1067"/>
      <c r="F1067"/>
      <c r="G1067"/>
      <c r="H1067"/>
      <c r="I1067"/>
      <c r="J1067"/>
      <c r="K1067" s="44" t="s">
        <v>90</v>
      </c>
      <c r="L1067" s="49">
        <f t="shared" si="1245"/>
        <v>2023</v>
      </c>
      <c r="M1067" s="45"/>
      <c r="N1067" s="45"/>
      <c r="O1067" s="46"/>
      <c r="P1067" s="48">
        <f t="shared" si="1246"/>
        <v>13</v>
      </c>
      <c r="Q1067" s="47">
        <f t="shared" si="1247"/>
        <v>155033</v>
      </c>
      <c r="R1067" s="47">
        <f t="shared" si="1247"/>
        <v>139235</v>
      </c>
      <c r="S1067" s="47">
        <f t="shared" si="1247"/>
        <v>76043</v>
      </c>
      <c r="T1067" s="47">
        <f t="shared" si="1247"/>
        <v>94</v>
      </c>
      <c r="U1067" s="47">
        <f t="shared" si="1247"/>
        <v>0</v>
      </c>
      <c r="V1067" s="47">
        <f t="shared" si="1247"/>
        <v>0</v>
      </c>
      <c r="W1067" s="47">
        <f t="shared" si="1248"/>
        <v>1061900221</v>
      </c>
      <c r="X1067" s="47">
        <f t="shared" si="1248"/>
        <v>6849.5108847793699</v>
      </c>
      <c r="Y1067" s="47">
        <f t="shared" si="1248"/>
        <v>7626.6759148202682</v>
      </c>
      <c r="Z1067" s="47">
        <f t="shared" si="1248"/>
        <v>13964.47037860158</v>
      </c>
      <c r="AA1067" s="47">
        <f t="shared" si="1248"/>
        <v>11296810.861702127</v>
      </c>
      <c r="AB1067" s="56" t="s">
        <v>73</v>
      </c>
      <c r="AC1067" s="20"/>
      <c r="AD1067" s="20"/>
    </row>
    <row r="1068" spans="2:30" ht="18.95">
      <c r="B1068" s="54" t="s">
        <v>48</v>
      </c>
      <c r="C1068" s="54" t="s">
        <v>19</v>
      </c>
      <c r="D1068" s="2"/>
      <c r="E1068"/>
      <c r="F1068"/>
      <c r="G1068"/>
      <c r="H1068"/>
      <c r="I1068"/>
      <c r="J1068"/>
      <c r="K1068" s="31" t="s">
        <v>93</v>
      </c>
      <c r="L1068" s="49">
        <f t="shared" si="1245"/>
        <v>2017</v>
      </c>
      <c r="M1068" s="45"/>
      <c r="N1068" s="45"/>
      <c r="O1068" s="46"/>
      <c r="P1068" s="48">
        <f t="shared" si="1246"/>
        <v>13</v>
      </c>
      <c r="Q1068" s="47">
        <f t="shared" ref="Q1068:V1077" si="1249">SUMIF($K$2:$K$1056,$K1068,Q$2:Q$1056)/13</f>
        <v>125513.0575349084</v>
      </c>
      <c r="R1068" s="47">
        <f t="shared" si="1249"/>
        <v>119545</v>
      </c>
      <c r="S1068" s="47">
        <f t="shared" si="1249"/>
        <v>95671</v>
      </c>
      <c r="T1068" s="47">
        <f t="shared" si="1249"/>
        <v>562</v>
      </c>
      <c r="U1068" s="47">
        <f t="shared" si="1249"/>
        <v>0</v>
      </c>
      <c r="V1068" s="47">
        <f t="shared" si="1249"/>
        <v>0</v>
      </c>
      <c r="W1068" s="47">
        <f t="shared" ref="W1068:AA1077" si="1250">SUMIF($K$2:$K$1056,$K1068,W$2:W$1056)</f>
        <v>454000000</v>
      </c>
      <c r="X1068" s="47">
        <f t="shared" si="1250"/>
        <v>3617.1535369834414</v>
      </c>
      <c r="Y1068" s="47">
        <f t="shared" si="1250"/>
        <v>3797.7330712284083</v>
      </c>
      <c r="Z1068" s="47">
        <f t="shared" si="1250"/>
        <v>4745.4296495280705</v>
      </c>
      <c r="AA1068" s="47">
        <f t="shared" si="1250"/>
        <v>807829.18149466196</v>
      </c>
      <c r="AB1068" s="56" t="s">
        <v>73</v>
      </c>
      <c r="AC1068" s="20"/>
      <c r="AD1068" s="20"/>
    </row>
    <row r="1069" spans="2:30" ht="18.95">
      <c r="B1069" s="54" t="s">
        <v>48</v>
      </c>
      <c r="C1069" s="54" t="s">
        <v>19</v>
      </c>
      <c r="D1069" s="2"/>
      <c r="E1069"/>
      <c r="F1069"/>
      <c r="G1069"/>
      <c r="H1069"/>
      <c r="I1069"/>
      <c r="J1069"/>
      <c r="K1069" s="44" t="s">
        <v>95</v>
      </c>
      <c r="L1069" s="49">
        <f t="shared" si="1245"/>
        <v>2019</v>
      </c>
      <c r="M1069" s="45"/>
      <c r="N1069" s="45"/>
      <c r="O1069" s="46"/>
      <c r="P1069" s="48">
        <f t="shared" si="1246"/>
        <v>13</v>
      </c>
      <c r="Q1069" s="47">
        <f t="shared" si="1249"/>
        <v>46330</v>
      </c>
      <c r="R1069" s="47">
        <f t="shared" si="1249"/>
        <v>44573</v>
      </c>
      <c r="S1069" s="47">
        <f t="shared" si="1249"/>
        <v>37543</v>
      </c>
      <c r="T1069" s="47">
        <f t="shared" si="1249"/>
        <v>258</v>
      </c>
      <c r="U1069" s="47">
        <f t="shared" si="1249"/>
        <v>0</v>
      </c>
      <c r="V1069" s="47">
        <f t="shared" si="1249"/>
        <v>0</v>
      </c>
      <c r="W1069" s="47">
        <f t="shared" si="1250"/>
        <v>146898134</v>
      </c>
      <c r="X1069" s="47">
        <f t="shared" si="1250"/>
        <v>3170.6914310382044</v>
      </c>
      <c r="Y1069" s="47">
        <f t="shared" si="1250"/>
        <v>3295.6752742691765</v>
      </c>
      <c r="Z1069" s="47">
        <f t="shared" si="1250"/>
        <v>3912.7968995551773</v>
      </c>
      <c r="AA1069" s="47">
        <f t="shared" si="1250"/>
        <v>569372.61240310071</v>
      </c>
      <c r="AB1069" s="56" t="s">
        <v>73</v>
      </c>
      <c r="AC1069" s="20"/>
      <c r="AD1069" s="20"/>
    </row>
    <row r="1070" spans="2:30" ht="18.95">
      <c r="B1070" s="54" t="s">
        <v>48</v>
      </c>
      <c r="C1070" s="54" t="s">
        <v>19</v>
      </c>
      <c r="D1070" s="2"/>
      <c r="K1070" s="31" t="s">
        <v>98</v>
      </c>
      <c r="L1070" s="49">
        <f t="shared" si="1245"/>
        <v>2019</v>
      </c>
      <c r="P1070" s="48">
        <f t="shared" si="1246"/>
        <v>13</v>
      </c>
      <c r="Q1070" s="47">
        <f t="shared" si="1249"/>
        <v>30262</v>
      </c>
      <c r="R1070" s="47">
        <f t="shared" si="1249"/>
        <v>29111</v>
      </c>
      <c r="S1070" s="47">
        <f t="shared" si="1249"/>
        <v>24506</v>
      </c>
      <c r="T1070" s="47">
        <f t="shared" si="1249"/>
        <v>168</v>
      </c>
      <c r="U1070" s="47">
        <f t="shared" si="1249"/>
        <v>0</v>
      </c>
      <c r="V1070" s="47">
        <f t="shared" si="1249"/>
        <v>0</v>
      </c>
      <c r="W1070" s="47">
        <f t="shared" si="1250"/>
        <v>96199861</v>
      </c>
      <c r="X1070" s="47">
        <f t="shared" si="1250"/>
        <v>3178.8996431167798</v>
      </c>
      <c r="Y1070" s="47">
        <f t="shared" si="1250"/>
        <v>3304.5879907938579</v>
      </c>
      <c r="Z1070" s="47">
        <f t="shared" si="1250"/>
        <v>3925.5635762670363</v>
      </c>
      <c r="AA1070" s="47">
        <f t="shared" si="1250"/>
        <v>572618.22023809527</v>
      </c>
      <c r="AB1070" s="56" t="s">
        <v>73</v>
      </c>
      <c r="AC1070" s="20"/>
      <c r="AD1070" s="20"/>
    </row>
    <row r="1071" spans="2:30" ht="18.95">
      <c r="B1071" s="54" t="s">
        <v>48</v>
      </c>
      <c r="C1071" s="54" t="s">
        <v>19</v>
      </c>
      <c r="D1071" s="2"/>
      <c r="K1071" s="44" t="s">
        <v>100</v>
      </c>
      <c r="L1071" s="49">
        <f t="shared" si="1245"/>
        <v>2021</v>
      </c>
      <c r="P1071" s="48">
        <f t="shared" si="1246"/>
        <v>13</v>
      </c>
      <c r="Q1071" s="47">
        <f t="shared" si="1249"/>
        <v>70082.126366837299</v>
      </c>
      <c r="R1071" s="47">
        <f t="shared" si="1249"/>
        <v>66355</v>
      </c>
      <c r="S1071" s="47">
        <f t="shared" si="1249"/>
        <v>51445.479798214401</v>
      </c>
      <c r="T1071" s="47">
        <f t="shared" si="1249"/>
        <v>362</v>
      </c>
      <c r="U1071" s="47">
        <f t="shared" si="1249"/>
        <v>0</v>
      </c>
      <c r="V1071" s="47">
        <f t="shared" si="1249"/>
        <v>0</v>
      </c>
      <c r="W1071" s="47">
        <f t="shared" si="1250"/>
        <v>196850001</v>
      </c>
      <c r="X1071" s="47">
        <f t="shared" si="1250"/>
        <v>2808.8474366432606</v>
      </c>
      <c r="Y1071" s="47">
        <f t="shared" si="1250"/>
        <v>2966.6189586316032</v>
      </c>
      <c r="Z1071" s="47">
        <f t="shared" si="1250"/>
        <v>3826.3808943391837</v>
      </c>
      <c r="AA1071" s="47">
        <f t="shared" si="1250"/>
        <v>543784.53314917127</v>
      </c>
      <c r="AB1071" s="56" t="s">
        <v>73</v>
      </c>
      <c r="AC1071" s="20"/>
      <c r="AD1071" s="20"/>
    </row>
    <row r="1072" spans="2:30" ht="18.95">
      <c r="B1072" s="54" t="s">
        <v>48</v>
      </c>
      <c r="C1072" s="54" t="s">
        <v>19</v>
      </c>
      <c r="D1072" s="2"/>
      <c r="K1072" s="31" t="s">
        <v>102</v>
      </c>
      <c r="L1072" s="49">
        <f t="shared" si="1245"/>
        <v>2021</v>
      </c>
      <c r="P1072" s="48">
        <f t="shared" si="1246"/>
        <v>13</v>
      </c>
      <c r="Q1072" s="47">
        <f t="shared" si="1249"/>
        <v>50858</v>
      </c>
      <c r="R1072" s="47">
        <f t="shared" si="1249"/>
        <v>48644</v>
      </c>
      <c r="S1072" s="47">
        <f t="shared" si="1249"/>
        <v>39787</v>
      </c>
      <c r="T1072" s="47">
        <f t="shared" si="1249"/>
        <v>202</v>
      </c>
      <c r="U1072" s="47">
        <f t="shared" si="1249"/>
        <v>0</v>
      </c>
      <c r="V1072" s="47">
        <f t="shared" si="1249"/>
        <v>0</v>
      </c>
      <c r="W1072" s="47">
        <f t="shared" si="1250"/>
        <v>173418188</v>
      </c>
      <c r="X1072" s="47">
        <f t="shared" si="1250"/>
        <v>3409.850721617051</v>
      </c>
      <c r="Y1072" s="47">
        <f t="shared" si="1250"/>
        <v>3565.0478579064225</v>
      </c>
      <c r="Z1072" s="47">
        <f t="shared" si="1250"/>
        <v>4358.6645889360852</v>
      </c>
      <c r="AA1072" s="47">
        <f t="shared" si="1250"/>
        <v>858505.88118811883</v>
      </c>
      <c r="AB1072" s="56" t="s">
        <v>73</v>
      </c>
      <c r="AC1072" s="20"/>
      <c r="AD1072" s="20"/>
    </row>
    <row r="1073" spans="2:30" ht="18.95">
      <c r="B1073" s="54" t="s">
        <v>48</v>
      </c>
      <c r="C1073" s="54" t="s">
        <v>19</v>
      </c>
      <c r="D1073" s="2"/>
      <c r="K1073" s="44" t="s">
        <v>108</v>
      </c>
      <c r="L1073" s="49">
        <f t="shared" si="1245"/>
        <v>2022</v>
      </c>
      <c r="P1073" s="48">
        <f t="shared" si="1246"/>
        <v>13</v>
      </c>
      <c r="Q1073" s="47">
        <f t="shared" si="1249"/>
        <v>69927.442655543084</v>
      </c>
      <c r="R1073" s="47">
        <f t="shared" si="1249"/>
        <v>66694</v>
      </c>
      <c r="S1073" s="47">
        <f t="shared" si="1249"/>
        <v>53763.970308159704</v>
      </c>
      <c r="T1073" s="47">
        <f t="shared" si="1249"/>
        <v>372</v>
      </c>
      <c r="U1073" s="47">
        <f t="shared" si="1249"/>
        <v>0</v>
      </c>
      <c r="V1073" s="47">
        <f t="shared" si="1249"/>
        <v>0</v>
      </c>
      <c r="W1073" s="47">
        <f t="shared" si="1250"/>
        <v>231487268</v>
      </c>
      <c r="X1073" s="47">
        <f t="shared" si="1250"/>
        <v>3310.3923039240481</v>
      </c>
      <c r="Y1073" s="47">
        <f t="shared" si="1250"/>
        <v>3470.8859567577297</v>
      </c>
      <c r="Z1073" s="47">
        <f t="shared" si="1250"/>
        <v>4305.6207842014137</v>
      </c>
      <c r="AA1073" s="47">
        <f t="shared" si="1250"/>
        <v>622277.60215053766</v>
      </c>
      <c r="AB1073" s="56" t="s">
        <v>73</v>
      </c>
      <c r="AC1073" s="20"/>
      <c r="AD1073" s="20"/>
    </row>
    <row r="1074" spans="2:30" ht="18.95">
      <c r="B1074" s="54" t="s">
        <v>48</v>
      </c>
      <c r="C1074" s="54" t="s">
        <v>19</v>
      </c>
      <c r="D1074" s="2"/>
      <c r="K1074" s="31" t="s">
        <v>106</v>
      </c>
      <c r="L1074" s="49">
        <f t="shared" si="1245"/>
        <v>2022</v>
      </c>
      <c r="P1074" s="48">
        <f t="shared" si="1246"/>
        <v>13</v>
      </c>
      <c r="Q1074" s="47">
        <f t="shared" si="1249"/>
        <v>91078</v>
      </c>
      <c r="R1074" s="47">
        <f t="shared" si="1249"/>
        <v>87165</v>
      </c>
      <c r="S1074" s="47">
        <f t="shared" si="1249"/>
        <v>71514</v>
      </c>
      <c r="T1074" s="47">
        <f t="shared" si="1249"/>
        <v>360</v>
      </c>
      <c r="U1074" s="47">
        <f t="shared" si="1249"/>
        <v>0</v>
      </c>
      <c r="V1074" s="47">
        <f t="shared" si="1249"/>
        <v>0</v>
      </c>
      <c r="W1074" s="47">
        <f t="shared" si="1250"/>
        <v>293698093</v>
      </c>
      <c r="X1074" s="47">
        <f t="shared" si="1250"/>
        <v>3224.6875535255499</v>
      </c>
      <c r="Y1074" s="47">
        <f t="shared" si="1250"/>
        <v>3369.4498135719609</v>
      </c>
      <c r="Z1074" s="47">
        <f t="shared" si="1250"/>
        <v>4106.861495651201</v>
      </c>
      <c r="AA1074" s="47">
        <f t="shared" si="1250"/>
        <v>815828.03611111105</v>
      </c>
      <c r="AB1074" s="56" t="s">
        <v>73</v>
      </c>
      <c r="AC1074" s="20"/>
      <c r="AD1074" s="20"/>
    </row>
    <row r="1075" spans="2:30" ht="18.95">
      <c r="B1075" s="54" t="s">
        <v>48</v>
      </c>
      <c r="C1075" s="54" t="s">
        <v>19</v>
      </c>
      <c r="D1075" s="2"/>
      <c r="K1075" s="44" t="s">
        <v>104</v>
      </c>
      <c r="L1075" s="49">
        <f t="shared" si="1245"/>
        <v>2022</v>
      </c>
      <c r="P1075" s="48">
        <f t="shared" si="1246"/>
        <v>13</v>
      </c>
      <c r="Q1075" s="47">
        <f t="shared" si="1249"/>
        <v>40228</v>
      </c>
      <c r="R1075" s="47">
        <f t="shared" si="1249"/>
        <v>38500</v>
      </c>
      <c r="S1075" s="47">
        <f t="shared" si="1249"/>
        <v>31589</v>
      </c>
      <c r="T1075" s="47">
        <f t="shared" si="1249"/>
        <v>161</v>
      </c>
      <c r="U1075" s="47">
        <f t="shared" si="1249"/>
        <v>0</v>
      </c>
      <c r="V1075" s="47">
        <f t="shared" si="1249"/>
        <v>0</v>
      </c>
      <c r="W1075" s="47">
        <f t="shared" si="1250"/>
        <v>130431033</v>
      </c>
      <c r="X1075" s="47">
        <f t="shared" si="1250"/>
        <v>3242.2947449537633</v>
      </c>
      <c r="Y1075" s="47">
        <f t="shared" si="1250"/>
        <v>3387.8190389610395</v>
      </c>
      <c r="Z1075" s="47">
        <f t="shared" si="1250"/>
        <v>4129.0016461426439</v>
      </c>
      <c r="AA1075" s="47">
        <f t="shared" si="1250"/>
        <v>810130.63975155284</v>
      </c>
      <c r="AB1075" s="56" t="s">
        <v>73</v>
      </c>
      <c r="AC1075" s="20"/>
      <c r="AD1075" s="20"/>
    </row>
    <row r="1076" spans="2:30" ht="18.95">
      <c r="B1076" s="54" t="s">
        <v>48</v>
      </c>
      <c r="C1076" s="54" t="s">
        <v>19</v>
      </c>
      <c r="D1076" s="2"/>
      <c r="K1076" s="31" t="s">
        <v>110</v>
      </c>
      <c r="L1076" s="49">
        <f t="shared" si="1245"/>
        <v>2022</v>
      </c>
      <c r="P1076" s="48">
        <f t="shared" si="1246"/>
        <v>13</v>
      </c>
      <c r="Q1076" s="47">
        <f t="shared" si="1249"/>
        <v>66576.055147297913</v>
      </c>
      <c r="R1076" s="47">
        <f t="shared" si="1249"/>
        <v>62831</v>
      </c>
      <c r="S1076" s="47">
        <f t="shared" si="1249"/>
        <v>47850.500283354551</v>
      </c>
      <c r="T1076" s="47">
        <f t="shared" si="1249"/>
        <v>330</v>
      </c>
      <c r="U1076" s="47">
        <f t="shared" si="1249"/>
        <v>0</v>
      </c>
      <c r="V1076" s="47">
        <f t="shared" si="1249"/>
        <v>0</v>
      </c>
      <c r="W1076" s="47">
        <f t="shared" si="1250"/>
        <v>202208000</v>
      </c>
      <c r="X1076" s="47">
        <f t="shared" si="1250"/>
        <v>3037.2481450368264</v>
      </c>
      <c r="Y1076" s="47">
        <f t="shared" si="1250"/>
        <v>3218.2839681049159</v>
      </c>
      <c r="Z1076" s="47">
        <f t="shared" si="1250"/>
        <v>4225.8283362262109</v>
      </c>
      <c r="AA1076" s="47">
        <f t="shared" si="1250"/>
        <v>612751.51515151514</v>
      </c>
      <c r="AB1076" s="56" t="s">
        <v>73</v>
      </c>
      <c r="AC1076" s="20"/>
      <c r="AD1076" s="20"/>
    </row>
    <row r="1077" spans="2:30" ht="18.95">
      <c r="B1077" s="54" t="s">
        <v>48</v>
      </c>
      <c r="C1077" s="54" t="s">
        <v>19</v>
      </c>
      <c r="D1077" s="2"/>
      <c r="K1077" s="44" t="s">
        <v>112</v>
      </c>
      <c r="L1077" s="49">
        <f t="shared" si="1245"/>
        <v>2023</v>
      </c>
      <c r="P1077" s="48">
        <f t="shared" si="1246"/>
        <v>13</v>
      </c>
      <c r="Q1077" s="47">
        <f t="shared" si="1249"/>
        <v>63022</v>
      </c>
      <c r="R1077" s="47">
        <f t="shared" si="1249"/>
        <v>59108</v>
      </c>
      <c r="S1077" s="47">
        <f t="shared" si="1249"/>
        <v>43452</v>
      </c>
      <c r="T1077" s="47">
        <f t="shared" si="1249"/>
        <v>308</v>
      </c>
      <c r="U1077" s="47">
        <f t="shared" si="1249"/>
        <v>0</v>
      </c>
      <c r="V1077" s="47">
        <f t="shared" si="1249"/>
        <v>0</v>
      </c>
      <c r="W1077" s="47">
        <f t="shared" si="1250"/>
        <v>209918416</v>
      </c>
      <c r="X1077" s="47">
        <f t="shared" si="1250"/>
        <v>3330.8751864428295</v>
      </c>
      <c r="Y1077" s="47">
        <f t="shared" si="1250"/>
        <v>3551.4383163023613</v>
      </c>
      <c r="Z1077" s="47">
        <f t="shared" si="1250"/>
        <v>4831.0415170763144</v>
      </c>
      <c r="AA1077" s="47">
        <f t="shared" si="1250"/>
        <v>681553.29870129877</v>
      </c>
      <c r="AB1077" s="56" t="s">
        <v>73</v>
      </c>
      <c r="AC1077" s="20"/>
      <c r="AD1077" s="20"/>
    </row>
    <row r="1078" spans="2:30" ht="18.95">
      <c r="B1078" s="54" t="s">
        <v>48</v>
      </c>
      <c r="C1078" s="54" t="s">
        <v>114</v>
      </c>
      <c r="D1078" s="2"/>
      <c r="K1078" s="31" t="s">
        <v>116</v>
      </c>
      <c r="L1078" s="49">
        <f t="shared" si="1245"/>
        <v>2016</v>
      </c>
      <c r="P1078" s="48">
        <f t="shared" si="1246"/>
        <v>13</v>
      </c>
      <c r="Q1078" s="47">
        <f t="shared" ref="Q1078:V1087" si="1251">SUMIF($K$2:$K$1056,$K1078,Q$2:Q$1056)/13</f>
        <v>153906</v>
      </c>
      <c r="R1078" s="47">
        <f t="shared" si="1251"/>
        <v>139164</v>
      </c>
      <c r="S1078" s="47">
        <f t="shared" si="1251"/>
        <v>94476</v>
      </c>
      <c r="T1078" s="47">
        <f t="shared" si="1251"/>
        <v>550</v>
      </c>
      <c r="U1078" s="47">
        <f t="shared" si="1251"/>
        <v>0</v>
      </c>
      <c r="V1078" s="47">
        <f t="shared" si="1251"/>
        <v>0</v>
      </c>
      <c r="W1078" s="47">
        <f t="shared" ref="W1078:AA1087" si="1252">SUMIF($K$2:$K$1056,$K1078,W$2:W$1056)</f>
        <v>723335934</v>
      </c>
      <c r="X1078" s="47">
        <f t="shared" si="1252"/>
        <v>4699.8553272776899</v>
      </c>
      <c r="Y1078" s="47">
        <f t="shared" si="1252"/>
        <v>5197.723074933172</v>
      </c>
      <c r="Z1078" s="47">
        <f t="shared" si="1252"/>
        <v>7656.2929632922642</v>
      </c>
      <c r="AA1078" s="47">
        <f t="shared" si="1252"/>
        <v>1315156.2436363637</v>
      </c>
      <c r="AB1078" s="56" t="s">
        <v>57</v>
      </c>
      <c r="AC1078" s="20"/>
      <c r="AD1078" s="20"/>
    </row>
    <row r="1079" spans="2:30" ht="18.95">
      <c r="B1079" s="54" t="s">
        <v>48</v>
      </c>
      <c r="C1079" s="54" t="s">
        <v>114</v>
      </c>
      <c r="D1079" s="2"/>
      <c r="K1079" s="44" t="s">
        <v>120</v>
      </c>
      <c r="L1079" s="49">
        <f t="shared" si="1245"/>
        <v>2016</v>
      </c>
      <c r="P1079" s="48">
        <f t="shared" si="1246"/>
        <v>13</v>
      </c>
      <c r="Q1079" s="47">
        <f t="shared" si="1251"/>
        <v>96574</v>
      </c>
      <c r="R1079" s="47">
        <f t="shared" si="1251"/>
        <v>94680</v>
      </c>
      <c r="S1079" s="47">
        <f t="shared" si="1251"/>
        <v>63384</v>
      </c>
      <c r="T1079" s="47">
        <f t="shared" si="1251"/>
        <v>344</v>
      </c>
      <c r="U1079" s="47">
        <f t="shared" si="1251"/>
        <v>0</v>
      </c>
      <c r="V1079" s="47">
        <f t="shared" si="1251"/>
        <v>0</v>
      </c>
      <c r="W1079" s="47">
        <f t="shared" si="1252"/>
        <v>674018836</v>
      </c>
      <c r="X1079" s="47">
        <f t="shared" si="1252"/>
        <v>6979.2991488392336</v>
      </c>
      <c r="Y1079" s="47">
        <f t="shared" si="1252"/>
        <v>7118.914617659485</v>
      </c>
      <c r="Z1079" s="47">
        <f t="shared" si="1252"/>
        <v>10633.895557238418</v>
      </c>
      <c r="AA1079" s="47">
        <f t="shared" si="1252"/>
        <v>1959357.081395349</v>
      </c>
      <c r="AB1079" s="56" t="s">
        <v>57</v>
      </c>
      <c r="AC1079" s="20"/>
      <c r="AD1079" s="20"/>
    </row>
    <row r="1080" spans="2:30" ht="18.95">
      <c r="B1080" s="54" t="s">
        <v>48</v>
      </c>
      <c r="C1080" s="54" t="s">
        <v>114</v>
      </c>
      <c r="D1080" s="2"/>
      <c r="K1080" s="31" t="s">
        <v>123</v>
      </c>
      <c r="L1080" s="49">
        <f t="shared" si="1245"/>
        <v>2017</v>
      </c>
      <c r="P1080" s="48">
        <f t="shared" si="1246"/>
        <v>13</v>
      </c>
      <c r="Q1080" s="47">
        <f t="shared" si="1251"/>
        <v>105380</v>
      </c>
      <c r="R1080" s="47">
        <f t="shared" si="1251"/>
        <v>103200</v>
      </c>
      <c r="S1080" s="47">
        <f t="shared" si="1251"/>
        <v>63452.930629232898</v>
      </c>
      <c r="T1080" s="47">
        <f t="shared" si="1251"/>
        <v>513</v>
      </c>
      <c r="U1080" s="47">
        <f t="shared" si="1251"/>
        <v>0</v>
      </c>
      <c r="V1080" s="47">
        <f t="shared" si="1251"/>
        <v>0</v>
      </c>
      <c r="W1080" s="47">
        <f t="shared" si="1252"/>
        <v>451967037</v>
      </c>
      <c r="X1080" s="47">
        <f t="shared" si="1252"/>
        <v>4288.9261434807358</v>
      </c>
      <c r="Y1080" s="47">
        <f t="shared" si="1252"/>
        <v>4379.525552325581</v>
      </c>
      <c r="Z1080" s="47">
        <f t="shared" si="1252"/>
        <v>7122.8709614836589</v>
      </c>
      <c r="AA1080" s="47">
        <f t="shared" si="1252"/>
        <v>881027.36257309932</v>
      </c>
      <c r="AB1080" s="56" t="s">
        <v>57</v>
      </c>
      <c r="AC1080" s="20"/>
      <c r="AD1080" s="20"/>
    </row>
    <row r="1081" spans="2:30" ht="18.95">
      <c r="B1081" s="54" t="s">
        <v>48</v>
      </c>
      <c r="C1081" s="54" t="s">
        <v>114</v>
      </c>
      <c r="D1081" s="2"/>
      <c r="K1081" s="44" t="s">
        <v>125</v>
      </c>
      <c r="L1081" s="49">
        <f t="shared" si="1245"/>
        <v>2018</v>
      </c>
      <c r="P1081" s="48">
        <f t="shared" si="1246"/>
        <v>13</v>
      </c>
      <c r="Q1081" s="47">
        <f t="shared" si="1251"/>
        <v>108275</v>
      </c>
      <c r="R1081" s="47">
        <f t="shared" si="1251"/>
        <v>106596</v>
      </c>
      <c r="S1081" s="47">
        <f t="shared" si="1251"/>
        <v>66045.856984921833</v>
      </c>
      <c r="T1081" s="47">
        <f t="shared" si="1251"/>
        <v>551</v>
      </c>
      <c r="U1081" s="47">
        <f t="shared" si="1251"/>
        <v>0</v>
      </c>
      <c r="V1081" s="47">
        <f t="shared" si="1251"/>
        <v>0</v>
      </c>
      <c r="W1081" s="47">
        <f t="shared" si="1252"/>
        <v>504775428</v>
      </c>
      <c r="X1081" s="47">
        <f t="shared" si="1252"/>
        <v>4661.9757838836294</v>
      </c>
      <c r="Y1081" s="47">
        <f t="shared" si="1252"/>
        <v>4735.4068445345038</v>
      </c>
      <c r="Z1081" s="47">
        <f t="shared" si="1252"/>
        <v>7642.8023049990788</v>
      </c>
      <c r="AA1081" s="47">
        <f t="shared" si="1252"/>
        <v>916107.85480943741</v>
      </c>
      <c r="AB1081" s="56" t="s">
        <v>57</v>
      </c>
      <c r="AC1081" s="20"/>
      <c r="AD1081" s="20"/>
    </row>
    <row r="1082" spans="2:30" ht="18.95">
      <c r="B1082" s="54" t="s">
        <v>48</v>
      </c>
      <c r="C1082" s="54" t="s">
        <v>114</v>
      </c>
      <c r="D1082" s="2"/>
      <c r="K1082" s="31" t="s">
        <v>128</v>
      </c>
      <c r="L1082" s="49">
        <f t="shared" si="1245"/>
        <v>2019</v>
      </c>
      <c r="P1082" s="48">
        <f t="shared" si="1246"/>
        <v>13</v>
      </c>
      <c r="Q1082" s="47">
        <f t="shared" si="1251"/>
        <v>55843</v>
      </c>
      <c r="R1082" s="47">
        <f t="shared" si="1251"/>
        <v>54294</v>
      </c>
      <c r="S1082" s="47">
        <f t="shared" si="1251"/>
        <v>35931</v>
      </c>
      <c r="T1082" s="47">
        <f t="shared" si="1251"/>
        <v>473</v>
      </c>
      <c r="U1082" s="47">
        <f t="shared" si="1251"/>
        <v>0</v>
      </c>
      <c r="V1082" s="47">
        <f t="shared" si="1251"/>
        <v>0</v>
      </c>
      <c r="W1082" s="47">
        <f t="shared" si="1252"/>
        <v>190370001</v>
      </c>
      <c r="X1082" s="47">
        <f t="shared" si="1252"/>
        <v>3409.0217395197251</v>
      </c>
      <c r="Y1082" s="47">
        <f t="shared" si="1252"/>
        <v>3506.280638744613</v>
      </c>
      <c r="Z1082" s="47">
        <f t="shared" si="1252"/>
        <v>5298.210486766302</v>
      </c>
      <c r="AA1082" s="47">
        <f t="shared" si="1252"/>
        <v>402473.57505285414</v>
      </c>
      <c r="AB1082" s="56" t="s">
        <v>57</v>
      </c>
      <c r="AC1082" s="20"/>
      <c r="AD1082" s="20"/>
    </row>
    <row r="1083" spans="2:30" ht="18.95">
      <c r="B1083" s="54" t="s">
        <v>48</v>
      </c>
      <c r="C1083" s="54" t="s">
        <v>114</v>
      </c>
      <c r="D1083" s="2"/>
      <c r="K1083" s="44" t="s">
        <v>130</v>
      </c>
      <c r="L1083" s="49">
        <f t="shared" si="1245"/>
        <v>2019</v>
      </c>
      <c r="P1083" s="48">
        <f t="shared" si="1246"/>
        <v>13</v>
      </c>
      <c r="Q1083" s="47">
        <f t="shared" si="1251"/>
        <v>60653.573518891848</v>
      </c>
      <c r="R1083" s="47">
        <f t="shared" si="1251"/>
        <v>59076</v>
      </c>
      <c r="S1083" s="47">
        <f t="shared" si="1251"/>
        <v>37727.496539358406</v>
      </c>
      <c r="T1083" s="47">
        <f t="shared" si="1251"/>
        <v>494</v>
      </c>
      <c r="U1083" s="47">
        <f t="shared" si="1251"/>
        <v>0</v>
      </c>
      <c r="V1083" s="47">
        <f t="shared" si="1251"/>
        <v>0</v>
      </c>
      <c r="W1083" s="47">
        <f t="shared" si="1252"/>
        <v>207583868</v>
      </c>
      <c r="X1083" s="47">
        <f t="shared" si="1252"/>
        <v>3422.4507470337844</v>
      </c>
      <c r="Y1083" s="47">
        <f t="shared" si="1252"/>
        <v>3513.8443361094187</v>
      </c>
      <c r="Z1083" s="47">
        <f t="shared" si="1252"/>
        <v>5502.1903662079067</v>
      </c>
      <c r="AA1083" s="47">
        <f t="shared" si="1252"/>
        <v>420210.25910931174</v>
      </c>
      <c r="AB1083" s="56" t="s">
        <v>57</v>
      </c>
      <c r="AC1083" s="20"/>
      <c r="AD1083" s="20"/>
    </row>
    <row r="1084" spans="2:30" ht="18.95">
      <c r="B1084" s="54" t="s">
        <v>48</v>
      </c>
      <c r="C1084" s="54" t="s">
        <v>114</v>
      </c>
      <c r="D1084" s="2"/>
      <c r="K1084" s="31" t="s">
        <v>132</v>
      </c>
      <c r="L1084" s="49">
        <f t="shared" si="1245"/>
        <v>2019</v>
      </c>
      <c r="P1084" s="48">
        <f t="shared" si="1246"/>
        <v>13</v>
      </c>
      <c r="Q1084" s="47">
        <f t="shared" si="1251"/>
        <v>39152.537648993413</v>
      </c>
      <c r="R1084" s="47">
        <f t="shared" si="1251"/>
        <v>37112</v>
      </c>
      <c r="S1084" s="47">
        <f t="shared" si="1251"/>
        <v>24231.08724532929</v>
      </c>
      <c r="T1084" s="47">
        <f t="shared" si="1251"/>
        <v>211</v>
      </c>
      <c r="U1084" s="47">
        <f t="shared" si="1251"/>
        <v>0</v>
      </c>
      <c r="V1084" s="47">
        <f t="shared" si="1251"/>
        <v>0</v>
      </c>
      <c r="W1084" s="47">
        <f t="shared" si="1252"/>
        <v>138250000</v>
      </c>
      <c r="X1084" s="47">
        <f t="shared" si="1252"/>
        <v>3531.0610320951782</v>
      </c>
      <c r="Y1084" s="47">
        <f t="shared" si="1252"/>
        <v>3725.2101746065969</v>
      </c>
      <c r="Z1084" s="47">
        <f t="shared" si="1252"/>
        <v>5705.480674485565</v>
      </c>
      <c r="AA1084" s="47">
        <f t="shared" si="1252"/>
        <v>655213.27014218015</v>
      </c>
      <c r="AB1084" s="56" t="s">
        <v>57</v>
      </c>
      <c r="AC1084" s="20"/>
      <c r="AD1084" s="20"/>
    </row>
    <row r="1085" spans="2:30" ht="18.95">
      <c r="B1085" s="54" t="s">
        <v>48</v>
      </c>
      <c r="C1085" s="54" t="s">
        <v>114</v>
      </c>
      <c r="D1085" s="2"/>
      <c r="K1085" s="44" t="s">
        <v>135</v>
      </c>
      <c r="L1085" s="49">
        <f t="shared" si="1245"/>
        <v>2021</v>
      </c>
      <c r="P1085" s="48">
        <f t="shared" si="1246"/>
        <v>13</v>
      </c>
      <c r="Q1085" s="47">
        <f t="shared" si="1251"/>
        <v>85248</v>
      </c>
      <c r="R1085" s="47">
        <f t="shared" si="1251"/>
        <v>76723</v>
      </c>
      <c r="S1085" s="47">
        <f t="shared" si="1251"/>
        <v>46963</v>
      </c>
      <c r="T1085" s="47">
        <f t="shared" si="1251"/>
        <v>427</v>
      </c>
      <c r="U1085" s="47">
        <f t="shared" si="1251"/>
        <v>0</v>
      </c>
      <c r="V1085" s="47">
        <f t="shared" si="1251"/>
        <v>0</v>
      </c>
      <c r="W1085" s="47">
        <f t="shared" si="1252"/>
        <v>337542001</v>
      </c>
      <c r="X1085" s="47">
        <f t="shared" si="1252"/>
        <v>3959.5298540728231</v>
      </c>
      <c r="Y1085" s="47">
        <f t="shared" si="1252"/>
        <v>4399.489084107764</v>
      </c>
      <c r="Z1085" s="47">
        <f t="shared" si="1252"/>
        <v>7187.4028703447402</v>
      </c>
      <c r="AA1085" s="47">
        <f t="shared" si="1252"/>
        <v>790496.48946135829</v>
      </c>
      <c r="AB1085" s="56" t="s">
        <v>57</v>
      </c>
      <c r="AC1085" s="20"/>
      <c r="AD1085" s="20"/>
    </row>
    <row r="1086" spans="2:30" ht="18.95">
      <c r="B1086" s="54" t="s">
        <v>48</v>
      </c>
      <c r="C1086" s="54" t="s">
        <v>114</v>
      </c>
      <c r="D1086" s="2"/>
      <c r="K1086" s="31" t="s">
        <v>137</v>
      </c>
      <c r="L1086" s="49">
        <f t="shared" si="1245"/>
        <v>2023</v>
      </c>
      <c r="P1086" s="48">
        <f t="shared" si="1246"/>
        <v>13</v>
      </c>
      <c r="Q1086" s="47">
        <f t="shared" si="1251"/>
        <v>48913</v>
      </c>
      <c r="R1086" s="47">
        <f t="shared" si="1251"/>
        <v>46883</v>
      </c>
      <c r="S1086" s="47">
        <f t="shared" si="1251"/>
        <v>29781</v>
      </c>
      <c r="T1086" s="47">
        <f t="shared" si="1251"/>
        <v>291</v>
      </c>
      <c r="U1086" s="47">
        <f t="shared" si="1251"/>
        <v>0</v>
      </c>
      <c r="V1086" s="47">
        <f t="shared" si="1251"/>
        <v>0</v>
      </c>
      <c r="W1086" s="47">
        <f t="shared" si="1252"/>
        <v>190000000</v>
      </c>
      <c r="X1086" s="47">
        <f t="shared" si="1252"/>
        <v>3884.4478972870202</v>
      </c>
      <c r="Y1086" s="47">
        <f t="shared" si="1252"/>
        <v>4052.641682486189</v>
      </c>
      <c r="Z1086" s="47">
        <f t="shared" si="1252"/>
        <v>6379.9066518921454</v>
      </c>
      <c r="AA1086" s="47">
        <f t="shared" si="1252"/>
        <v>652920.96219931263</v>
      </c>
      <c r="AB1086" s="56" t="s">
        <v>73</v>
      </c>
      <c r="AC1086" s="20"/>
      <c r="AD1086" s="20"/>
    </row>
    <row r="1087" spans="2:30" ht="18.95">
      <c r="B1087" s="54" t="s">
        <v>48</v>
      </c>
      <c r="C1087" s="54" t="s">
        <v>114</v>
      </c>
      <c r="D1087" s="2"/>
      <c r="K1087" s="44" t="s">
        <v>140</v>
      </c>
      <c r="L1087" s="49">
        <f t="shared" si="1245"/>
        <v>2023</v>
      </c>
      <c r="P1087" s="48">
        <f t="shared" si="1246"/>
        <v>13</v>
      </c>
      <c r="Q1087" s="47">
        <f t="shared" si="1251"/>
        <v>49705</v>
      </c>
      <c r="R1087" s="47">
        <f t="shared" si="1251"/>
        <v>46130</v>
      </c>
      <c r="S1087" s="47">
        <f t="shared" si="1251"/>
        <v>30977</v>
      </c>
      <c r="T1087" s="47">
        <f t="shared" si="1251"/>
        <v>304</v>
      </c>
      <c r="U1087" s="47">
        <f t="shared" si="1251"/>
        <v>0</v>
      </c>
      <c r="V1087" s="47">
        <f t="shared" si="1251"/>
        <v>0</v>
      </c>
      <c r="W1087" s="47">
        <f t="shared" si="1252"/>
        <v>194049999</v>
      </c>
      <c r="X1087" s="47">
        <f t="shared" si="1252"/>
        <v>3904.0337792978571</v>
      </c>
      <c r="Y1087" s="47">
        <f t="shared" si="1252"/>
        <v>4206.5900498590945</v>
      </c>
      <c r="Z1087" s="47">
        <f t="shared" si="1252"/>
        <v>6264.325112180004</v>
      </c>
      <c r="AA1087" s="47">
        <f t="shared" si="1252"/>
        <v>638322.36513157887</v>
      </c>
      <c r="AB1087" s="56" t="s">
        <v>73</v>
      </c>
      <c r="AC1087" s="20"/>
      <c r="AD1087" s="20"/>
    </row>
    <row r="1088" spans="2:30" ht="18.95">
      <c r="B1088" s="54" t="s">
        <v>48</v>
      </c>
      <c r="C1088" s="54" t="s">
        <v>114</v>
      </c>
      <c r="D1088" s="2"/>
      <c r="K1088" s="31" t="s">
        <v>154</v>
      </c>
      <c r="L1088" s="49">
        <f t="shared" si="1245"/>
        <v>2023</v>
      </c>
      <c r="P1088" s="48">
        <f t="shared" si="1246"/>
        <v>13</v>
      </c>
      <c r="Q1088" s="47">
        <f t="shared" ref="Q1088:V1097" si="1253">SUMIF($K$2:$K$1056,$K1088,Q$2:Q$1056)/13</f>
        <v>45453</v>
      </c>
      <c r="R1088" s="47">
        <f t="shared" si="1253"/>
        <v>43180</v>
      </c>
      <c r="S1088" s="47">
        <f t="shared" si="1253"/>
        <v>28495</v>
      </c>
      <c r="T1088" s="47">
        <f t="shared" si="1253"/>
        <v>213</v>
      </c>
      <c r="U1088" s="47">
        <f t="shared" si="1253"/>
        <v>0</v>
      </c>
      <c r="V1088" s="47">
        <f t="shared" si="1253"/>
        <v>0</v>
      </c>
      <c r="W1088" s="47">
        <f t="shared" ref="W1088:AA1097" si="1254">SUMIF($K$2:$K$1056,$K1088,W$2:W$1056)</f>
        <v>248378357</v>
      </c>
      <c r="X1088" s="47">
        <f t="shared" si="1254"/>
        <v>5464.5096473280082</v>
      </c>
      <c r="Y1088" s="47">
        <f t="shared" si="1254"/>
        <v>5752.16204261232</v>
      </c>
      <c r="Z1088" s="47">
        <f t="shared" si="1254"/>
        <v>8716.559291103702</v>
      </c>
      <c r="AA1088" s="47">
        <f t="shared" si="1254"/>
        <v>1166095.5727699529</v>
      </c>
      <c r="AB1088" s="56" t="s">
        <v>73</v>
      </c>
      <c r="AC1088" s="20"/>
      <c r="AD1088" s="20"/>
    </row>
    <row r="1089" spans="1:30" ht="18.95">
      <c r="B1089" s="54" t="s">
        <v>48</v>
      </c>
      <c r="C1089" s="54" t="s">
        <v>114</v>
      </c>
      <c r="D1089" s="2"/>
      <c r="K1089" s="44" t="s">
        <v>152</v>
      </c>
      <c r="L1089" s="49">
        <f t="shared" si="1245"/>
        <v>2023</v>
      </c>
      <c r="P1089" s="48">
        <f t="shared" si="1246"/>
        <v>13</v>
      </c>
      <c r="Q1089" s="47">
        <f t="shared" si="1253"/>
        <v>29992</v>
      </c>
      <c r="R1089" s="47">
        <f t="shared" si="1253"/>
        <v>28492</v>
      </c>
      <c r="S1089" s="47">
        <f t="shared" si="1253"/>
        <v>17820</v>
      </c>
      <c r="T1089" s="47">
        <f t="shared" si="1253"/>
        <v>160</v>
      </c>
      <c r="U1089" s="47">
        <f t="shared" si="1253"/>
        <v>0</v>
      </c>
      <c r="V1089" s="47">
        <f t="shared" si="1253"/>
        <v>0</v>
      </c>
      <c r="W1089" s="47">
        <f t="shared" si="1254"/>
        <v>146053469</v>
      </c>
      <c r="X1089" s="47">
        <f t="shared" si="1254"/>
        <v>4869.7475660176051</v>
      </c>
      <c r="Y1089" s="47">
        <f t="shared" si="1254"/>
        <v>5126.1220342552297</v>
      </c>
      <c r="Z1089" s="47">
        <f t="shared" si="1254"/>
        <v>8196.0420314253661</v>
      </c>
      <c r="AA1089" s="47">
        <f t="shared" si="1254"/>
        <v>912834.18125000014</v>
      </c>
      <c r="AB1089" s="56" t="s">
        <v>73</v>
      </c>
      <c r="AC1089" s="20"/>
      <c r="AD1089" s="20"/>
    </row>
    <row r="1090" spans="1:30" ht="18.95">
      <c r="B1090" s="54" t="s">
        <v>48</v>
      </c>
      <c r="C1090" s="54" t="s">
        <v>114</v>
      </c>
      <c r="D1090" s="2"/>
      <c r="K1090" s="31" t="s">
        <v>156</v>
      </c>
      <c r="L1090" s="49">
        <f t="shared" ref="L1090:L1121" si="1255">SUMIF($K$2:$K$1056,$K1090,L$2:L$1056)/13</f>
        <v>2023</v>
      </c>
      <c r="P1090" s="48">
        <f t="shared" ref="P1090:P1121" si="1256">COUNTIF($K$2:$K$1056,$K1090)</f>
        <v>13</v>
      </c>
      <c r="Q1090" s="47">
        <f t="shared" si="1253"/>
        <v>42549</v>
      </c>
      <c r="R1090" s="47">
        <f t="shared" si="1253"/>
        <v>40422</v>
      </c>
      <c r="S1090" s="47">
        <f t="shared" si="1253"/>
        <v>28496</v>
      </c>
      <c r="T1090" s="47">
        <f t="shared" si="1253"/>
        <v>213</v>
      </c>
      <c r="U1090" s="47">
        <f t="shared" si="1253"/>
        <v>0</v>
      </c>
      <c r="V1090" s="47">
        <f t="shared" si="1253"/>
        <v>0</v>
      </c>
      <c r="W1090" s="47">
        <f t="shared" si="1254"/>
        <v>247287376</v>
      </c>
      <c r="X1090" s="47">
        <f t="shared" si="1254"/>
        <v>5811.8258008413814</v>
      </c>
      <c r="Y1090" s="47">
        <f t="shared" si="1254"/>
        <v>6117.6432635693436</v>
      </c>
      <c r="Z1090" s="47">
        <f t="shared" si="1254"/>
        <v>8677.967995508141</v>
      </c>
      <c r="AA1090" s="47">
        <f t="shared" si="1254"/>
        <v>1160973.5962441314</v>
      </c>
      <c r="AB1090" s="56" t="s">
        <v>73</v>
      </c>
      <c r="AC1090" s="20"/>
      <c r="AD1090" s="20"/>
    </row>
    <row r="1091" spans="1:30" ht="18.95">
      <c r="B1091" s="54" t="s">
        <v>48</v>
      </c>
      <c r="C1091" s="54" t="s">
        <v>114</v>
      </c>
      <c r="D1091" s="2"/>
      <c r="K1091" s="44" t="s">
        <v>150</v>
      </c>
      <c r="L1091" s="49">
        <f t="shared" si="1255"/>
        <v>2023</v>
      </c>
      <c r="P1091" s="48">
        <f t="shared" si="1256"/>
        <v>13</v>
      </c>
      <c r="Q1091" s="47">
        <f t="shared" si="1253"/>
        <v>20615</v>
      </c>
      <c r="R1091" s="47">
        <f t="shared" si="1253"/>
        <v>19585</v>
      </c>
      <c r="S1091" s="47">
        <f t="shared" si="1253"/>
        <v>11615</v>
      </c>
      <c r="T1091" s="47">
        <f t="shared" si="1253"/>
        <v>129</v>
      </c>
      <c r="U1091" s="47">
        <f t="shared" si="1253"/>
        <v>0</v>
      </c>
      <c r="V1091" s="47">
        <f t="shared" si="1253"/>
        <v>0</v>
      </c>
      <c r="W1091" s="47">
        <f t="shared" si="1254"/>
        <v>103059656</v>
      </c>
      <c r="X1091" s="47">
        <f t="shared" si="1254"/>
        <v>4999.2556876061117</v>
      </c>
      <c r="Y1091" s="47">
        <f t="shared" si="1254"/>
        <v>5262.1728874138362</v>
      </c>
      <c r="Z1091" s="47">
        <f t="shared" si="1254"/>
        <v>8872.9794231597061</v>
      </c>
      <c r="AA1091" s="47">
        <f t="shared" si="1254"/>
        <v>798912.06201550399</v>
      </c>
      <c r="AB1091" s="56" t="s">
        <v>73</v>
      </c>
      <c r="AC1091" s="20"/>
      <c r="AD1091" s="20"/>
    </row>
    <row r="1092" spans="1:30" ht="18.95">
      <c r="B1092" s="54" t="s">
        <v>48</v>
      </c>
      <c r="C1092" s="54" t="s">
        <v>114</v>
      </c>
      <c r="D1092" s="2"/>
      <c r="K1092" s="31" t="s">
        <v>147</v>
      </c>
      <c r="L1092" s="49">
        <f t="shared" si="1255"/>
        <v>2023</v>
      </c>
      <c r="P1092" s="48">
        <f t="shared" si="1256"/>
        <v>13</v>
      </c>
      <c r="Q1092" s="47">
        <f t="shared" si="1253"/>
        <v>20722</v>
      </c>
      <c r="R1092" s="47">
        <f t="shared" si="1253"/>
        <v>19686</v>
      </c>
      <c r="S1092" s="47">
        <f t="shared" si="1253"/>
        <v>11217</v>
      </c>
      <c r="T1092" s="47">
        <f t="shared" si="1253"/>
        <v>129</v>
      </c>
      <c r="U1092" s="47">
        <f t="shared" si="1253"/>
        <v>0</v>
      </c>
      <c r="V1092" s="47">
        <f t="shared" si="1253"/>
        <v>0</v>
      </c>
      <c r="W1092" s="47">
        <f t="shared" si="1254"/>
        <v>98859657</v>
      </c>
      <c r="X1092" s="47">
        <f t="shared" si="1254"/>
        <v>4770.7584692597247</v>
      </c>
      <c r="Y1092" s="47">
        <f t="shared" si="1254"/>
        <v>5021.8255105150874</v>
      </c>
      <c r="Z1092" s="47">
        <f t="shared" si="1254"/>
        <v>8813.3776410805021</v>
      </c>
      <c r="AA1092" s="47">
        <f t="shared" si="1254"/>
        <v>766353.93023255828</v>
      </c>
      <c r="AB1092" s="56" t="s">
        <v>73</v>
      </c>
      <c r="AC1092" s="20"/>
      <c r="AD1092" s="20"/>
    </row>
    <row r="1093" spans="1:30" ht="18.95">
      <c r="B1093" s="54" t="s">
        <v>48</v>
      </c>
      <c r="C1093" s="54" t="s">
        <v>114</v>
      </c>
      <c r="D1093" s="2"/>
      <c r="K1093" s="44" t="s">
        <v>143</v>
      </c>
      <c r="L1093" s="49">
        <f t="shared" si="1255"/>
        <v>2023</v>
      </c>
      <c r="P1093" s="48">
        <f t="shared" si="1256"/>
        <v>13</v>
      </c>
      <c r="Q1093" s="47">
        <f t="shared" si="1253"/>
        <v>60087</v>
      </c>
      <c r="R1093" s="47">
        <f t="shared" si="1253"/>
        <v>57083</v>
      </c>
      <c r="S1093" s="47">
        <f t="shared" si="1253"/>
        <v>35537</v>
      </c>
      <c r="T1093" s="47">
        <f t="shared" si="1253"/>
        <v>335</v>
      </c>
      <c r="U1093" s="47">
        <f t="shared" si="1253"/>
        <v>0</v>
      </c>
      <c r="V1093" s="47">
        <f t="shared" si="1253"/>
        <v>0</v>
      </c>
      <c r="W1093" s="47">
        <f t="shared" si="1254"/>
        <v>168097474</v>
      </c>
      <c r="X1093" s="47">
        <f t="shared" si="1254"/>
        <v>2797.5680929319151</v>
      </c>
      <c r="Y1093" s="47">
        <f t="shared" si="1254"/>
        <v>2944.7904630100034</v>
      </c>
      <c r="Z1093" s="47">
        <f t="shared" si="1254"/>
        <v>4730.2100346118132</v>
      </c>
      <c r="AA1093" s="47">
        <f t="shared" si="1254"/>
        <v>501783.50447761192</v>
      </c>
      <c r="AB1093" s="56" t="s">
        <v>73</v>
      </c>
      <c r="AC1093" s="20"/>
      <c r="AD1093" s="20"/>
    </row>
    <row r="1094" spans="1:30" ht="18.95">
      <c r="B1094" s="54" t="s">
        <v>48</v>
      </c>
      <c r="C1094" s="54" t="s">
        <v>114</v>
      </c>
      <c r="D1094" s="2"/>
      <c r="K1094" s="31" t="s">
        <v>158</v>
      </c>
      <c r="L1094" s="49">
        <f t="shared" si="1255"/>
        <v>2024</v>
      </c>
      <c r="P1094" s="48">
        <f t="shared" si="1256"/>
        <v>13</v>
      </c>
      <c r="Q1094" s="47">
        <f t="shared" si="1253"/>
        <v>45109</v>
      </c>
      <c r="R1094" s="47">
        <f t="shared" si="1253"/>
        <v>42854</v>
      </c>
      <c r="S1094" s="47">
        <f t="shared" si="1253"/>
        <v>28308</v>
      </c>
      <c r="T1094" s="47">
        <f t="shared" si="1253"/>
        <v>217</v>
      </c>
      <c r="U1094" s="47">
        <f t="shared" si="1253"/>
        <v>0</v>
      </c>
      <c r="V1094" s="47">
        <f t="shared" si="1253"/>
        <v>0</v>
      </c>
      <c r="W1094" s="47">
        <f t="shared" si="1254"/>
        <v>254072476</v>
      </c>
      <c r="X1094" s="47">
        <f t="shared" si="1254"/>
        <v>5632.4120685450789</v>
      </c>
      <c r="Y1094" s="47">
        <f t="shared" si="1254"/>
        <v>5928.7925514537737</v>
      </c>
      <c r="Z1094" s="47">
        <f t="shared" si="1254"/>
        <v>8975.2888229475757</v>
      </c>
      <c r="AA1094" s="47">
        <f t="shared" si="1254"/>
        <v>1170840.9032258063</v>
      </c>
      <c r="AB1094" s="56" t="s">
        <v>73</v>
      </c>
      <c r="AC1094" s="20"/>
      <c r="AD1094" s="20"/>
    </row>
    <row r="1095" spans="1:30" ht="18.95">
      <c r="B1095" s="54" t="s">
        <v>48</v>
      </c>
      <c r="C1095" s="54" t="s">
        <v>114</v>
      </c>
      <c r="D1095" s="2"/>
      <c r="K1095" s="44" t="s">
        <v>162</v>
      </c>
      <c r="L1095" s="49">
        <f t="shared" si="1255"/>
        <v>2024</v>
      </c>
      <c r="P1095" s="48">
        <f t="shared" si="1256"/>
        <v>13</v>
      </c>
      <c r="Q1095" s="47">
        <f t="shared" si="1253"/>
        <v>313548</v>
      </c>
      <c r="R1095" s="47">
        <f t="shared" si="1253"/>
        <v>280221</v>
      </c>
      <c r="S1095" s="47">
        <f t="shared" si="1253"/>
        <v>213367</v>
      </c>
      <c r="T1095" s="47">
        <f t="shared" si="1253"/>
        <v>984</v>
      </c>
      <c r="U1095" s="47">
        <f t="shared" si="1253"/>
        <v>0</v>
      </c>
      <c r="V1095" s="47">
        <f t="shared" si="1253"/>
        <v>0</v>
      </c>
      <c r="W1095" s="47">
        <f t="shared" si="1254"/>
        <v>1214455500</v>
      </c>
      <c r="X1095" s="47">
        <f t="shared" si="1254"/>
        <v>3873.268207738528</v>
      </c>
      <c r="Y1095" s="47">
        <f t="shared" si="1254"/>
        <v>4333.9203699936834</v>
      </c>
      <c r="Z1095" s="47">
        <f t="shared" si="1254"/>
        <v>5691.8619092924391</v>
      </c>
      <c r="AA1095" s="47">
        <f t="shared" si="1254"/>
        <v>1234202.743902439</v>
      </c>
      <c r="AB1095" s="56" t="s">
        <v>73</v>
      </c>
      <c r="AC1095" s="20"/>
      <c r="AD1095" s="20"/>
    </row>
    <row r="1096" spans="1:30" ht="18.95">
      <c r="B1096" s="54" t="s">
        <v>48</v>
      </c>
      <c r="C1096" s="54" t="s">
        <v>114</v>
      </c>
      <c r="D1096" s="2"/>
      <c r="K1096" s="31" t="s">
        <v>165</v>
      </c>
      <c r="L1096" s="49">
        <f t="shared" si="1255"/>
        <v>2024</v>
      </c>
      <c r="P1096" s="48">
        <f t="shared" si="1256"/>
        <v>13</v>
      </c>
      <c r="Q1096" s="47">
        <f t="shared" si="1253"/>
        <v>113906</v>
      </c>
      <c r="R1096" s="47">
        <f t="shared" si="1253"/>
        <v>108211</v>
      </c>
      <c r="S1096" s="47">
        <f t="shared" si="1253"/>
        <v>65631</v>
      </c>
      <c r="T1096" s="47">
        <f t="shared" si="1253"/>
        <v>76</v>
      </c>
      <c r="U1096" s="47">
        <f t="shared" si="1253"/>
        <v>0</v>
      </c>
      <c r="V1096" s="47">
        <f t="shared" si="1253"/>
        <v>0</v>
      </c>
      <c r="W1096" s="47">
        <f t="shared" si="1254"/>
        <v>1820768104</v>
      </c>
      <c r="X1096" s="47">
        <f t="shared" si="1254"/>
        <v>15984.830509367373</v>
      </c>
      <c r="Y1096" s="47">
        <f t="shared" si="1254"/>
        <v>16826.090730147582</v>
      </c>
      <c r="Z1096" s="47">
        <f t="shared" si="1254"/>
        <v>27742.501317974737</v>
      </c>
      <c r="AA1096" s="47">
        <f t="shared" si="1254"/>
        <v>23957475.052631576</v>
      </c>
      <c r="AB1096" s="56" t="s">
        <v>73</v>
      </c>
      <c r="AC1096" s="20"/>
      <c r="AD1096" s="20"/>
    </row>
    <row r="1097" spans="1:30" ht="18.95">
      <c r="A1097" s="55" t="s">
        <v>167</v>
      </c>
      <c r="B1097" s="54" t="s">
        <v>48</v>
      </c>
      <c r="C1097" s="54" t="s">
        <v>114</v>
      </c>
      <c r="D1097" s="2"/>
      <c r="K1097" s="44" t="s">
        <v>170</v>
      </c>
      <c r="L1097" s="49">
        <f t="shared" si="1255"/>
        <v>2024</v>
      </c>
      <c r="P1097" s="48">
        <f t="shared" si="1256"/>
        <v>13</v>
      </c>
      <c r="Q1097" s="47">
        <f t="shared" si="1253"/>
        <v>23646</v>
      </c>
      <c r="R1097" s="47">
        <f t="shared" si="1253"/>
        <v>19796</v>
      </c>
      <c r="S1097" s="47">
        <f t="shared" si="1253"/>
        <v>10849</v>
      </c>
      <c r="T1097" s="47">
        <f t="shared" si="1253"/>
        <v>38</v>
      </c>
      <c r="U1097" s="47">
        <f t="shared" si="1253"/>
        <v>0</v>
      </c>
      <c r="V1097" s="47">
        <f t="shared" si="1253"/>
        <v>0</v>
      </c>
      <c r="W1097" s="47">
        <f t="shared" si="1254"/>
        <v>149314146</v>
      </c>
      <c r="X1097" s="47">
        <f t="shared" si="1254"/>
        <v>6314.5625475767556</v>
      </c>
      <c r="Y1097" s="47">
        <f t="shared" si="1254"/>
        <v>7542.6422509597878</v>
      </c>
      <c r="Z1097" s="47">
        <f t="shared" si="1254"/>
        <v>13762.940916213474</v>
      </c>
      <c r="AA1097" s="47">
        <f t="shared" si="1254"/>
        <v>3929319.631578947</v>
      </c>
      <c r="AB1097" s="56" t="s">
        <v>73</v>
      </c>
      <c r="AC1097" s="20"/>
      <c r="AD1097" s="20"/>
    </row>
    <row r="1098" spans="1:30" ht="18.95">
      <c r="A1098" s="55" t="s">
        <v>167</v>
      </c>
      <c r="B1098" s="54" t="s">
        <v>48</v>
      </c>
      <c r="C1098" s="54" t="s">
        <v>114</v>
      </c>
      <c r="D1098" s="2"/>
      <c r="K1098" s="31" t="s">
        <v>174</v>
      </c>
      <c r="L1098" s="49">
        <f t="shared" si="1255"/>
        <v>2024</v>
      </c>
      <c r="P1098" s="48">
        <f t="shared" si="1256"/>
        <v>13</v>
      </c>
      <c r="Q1098" s="47">
        <f t="shared" ref="Q1098:V1107" si="1257">SUMIF($K$2:$K$1056,$K1098,Q$2:Q$1056)/13</f>
        <v>190388</v>
      </c>
      <c r="R1098" s="47">
        <f t="shared" si="1257"/>
        <v>177346</v>
      </c>
      <c r="S1098" s="47">
        <f t="shared" si="1257"/>
        <v>112679</v>
      </c>
      <c r="T1098" s="47">
        <f t="shared" si="1257"/>
        <v>668</v>
      </c>
      <c r="U1098" s="47">
        <f t="shared" si="1257"/>
        <v>0</v>
      </c>
      <c r="V1098" s="47">
        <f t="shared" si="1257"/>
        <v>0</v>
      </c>
      <c r="W1098" s="47">
        <f t="shared" ref="W1098:AA1107" si="1258">SUMIF($K$2:$K$1056,$K1098,W$2:W$1056)</f>
        <v>1130144897</v>
      </c>
      <c r="X1098" s="47">
        <f t="shared" si="1258"/>
        <v>5936.0090814547129</v>
      </c>
      <c r="Y1098" s="47">
        <f t="shared" si="1258"/>
        <v>6372.542357876694</v>
      </c>
      <c r="Z1098" s="47">
        <f t="shared" si="1258"/>
        <v>10029.773933031</v>
      </c>
      <c r="AA1098" s="47">
        <f t="shared" si="1258"/>
        <v>1691833.6781437122</v>
      </c>
      <c r="AB1098" s="56" t="s">
        <v>73</v>
      </c>
      <c r="AC1098" s="20"/>
      <c r="AD1098" s="20"/>
    </row>
    <row r="1099" spans="1:30" ht="18.95">
      <c r="A1099" s="55" t="s">
        <v>167</v>
      </c>
      <c r="B1099" s="54" t="s">
        <v>48</v>
      </c>
      <c r="C1099" s="54" t="s">
        <v>114</v>
      </c>
      <c r="D1099" s="2"/>
      <c r="K1099" s="44" t="s">
        <v>178</v>
      </c>
      <c r="L1099" s="49">
        <f t="shared" si="1255"/>
        <v>2024</v>
      </c>
      <c r="P1099" s="48">
        <f t="shared" si="1256"/>
        <v>13</v>
      </c>
      <c r="Q1099" s="47">
        <f t="shared" si="1257"/>
        <v>43888</v>
      </c>
      <c r="R1099" s="47">
        <f t="shared" si="1257"/>
        <v>34725</v>
      </c>
      <c r="S1099" s="47">
        <f t="shared" si="1257"/>
        <v>25999</v>
      </c>
      <c r="T1099" s="47">
        <f t="shared" si="1257"/>
        <v>88</v>
      </c>
      <c r="U1099" s="47">
        <f t="shared" si="1257"/>
        <v>0</v>
      </c>
      <c r="V1099" s="47">
        <f t="shared" si="1257"/>
        <v>0</v>
      </c>
      <c r="W1099" s="47">
        <f t="shared" si="1258"/>
        <v>398467000.47000003</v>
      </c>
      <c r="X1099" s="47">
        <f t="shared" si="1258"/>
        <v>9079.178829520597</v>
      </c>
      <c r="Y1099" s="47">
        <f t="shared" si="1258"/>
        <v>11474.93161900648</v>
      </c>
      <c r="Z1099" s="47">
        <f t="shared" si="1258"/>
        <v>15326.243335128273</v>
      </c>
      <c r="AA1099" s="47">
        <f t="shared" si="1258"/>
        <v>4528034.0962499995</v>
      </c>
      <c r="AB1099" s="56" t="s">
        <v>73</v>
      </c>
      <c r="AC1099" s="20"/>
      <c r="AD1099" s="20"/>
    </row>
    <row r="1100" spans="1:30" ht="18.95">
      <c r="B1100" s="54" t="s">
        <v>48</v>
      </c>
      <c r="C1100" s="54" t="s">
        <v>180</v>
      </c>
      <c r="D1100" s="2"/>
      <c r="K1100" s="31" t="s">
        <v>182</v>
      </c>
      <c r="L1100" s="49">
        <f t="shared" si="1255"/>
        <v>2015</v>
      </c>
      <c r="P1100" s="48">
        <f t="shared" si="1256"/>
        <v>13</v>
      </c>
      <c r="Q1100" s="47">
        <f t="shared" si="1257"/>
        <v>260111</v>
      </c>
      <c r="R1100" s="47">
        <f t="shared" si="1257"/>
        <v>249889</v>
      </c>
      <c r="S1100" s="47">
        <f t="shared" si="1257"/>
        <v>163996</v>
      </c>
      <c r="T1100" s="47">
        <f t="shared" si="1257"/>
        <v>731</v>
      </c>
      <c r="U1100" s="47">
        <f t="shared" si="1257"/>
        <v>0</v>
      </c>
      <c r="V1100" s="47">
        <f t="shared" si="1257"/>
        <v>0</v>
      </c>
      <c r="W1100" s="47">
        <f t="shared" si="1258"/>
        <v>2263089101</v>
      </c>
      <c r="X1100" s="47">
        <f t="shared" si="1258"/>
        <v>8700.474416691337</v>
      </c>
      <c r="Y1100" s="47">
        <f t="shared" si="1258"/>
        <v>9056.3774355813985</v>
      </c>
      <c r="Z1100" s="47">
        <f t="shared" si="1258"/>
        <v>13799.660363667408</v>
      </c>
      <c r="AA1100" s="47">
        <f t="shared" si="1258"/>
        <v>3095881.1231190152</v>
      </c>
      <c r="AB1100" s="56" t="s">
        <v>73</v>
      </c>
      <c r="AC1100" s="20"/>
      <c r="AD1100" s="20"/>
    </row>
    <row r="1101" spans="1:30" ht="18.95">
      <c r="B1101" s="54" t="s">
        <v>48</v>
      </c>
      <c r="C1101" s="54" t="s">
        <v>180</v>
      </c>
      <c r="D1101" s="2"/>
      <c r="K1101" s="44" t="s">
        <v>187</v>
      </c>
      <c r="L1101" s="49">
        <f t="shared" si="1255"/>
        <v>2018</v>
      </c>
      <c r="P1101" s="48">
        <f t="shared" si="1256"/>
        <v>13</v>
      </c>
      <c r="Q1101" s="47">
        <f t="shared" si="1257"/>
        <v>11646</v>
      </c>
      <c r="R1101" s="47">
        <f t="shared" si="1257"/>
        <v>10978</v>
      </c>
      <c r="S1101" s="47">
        <f t="shared" si="1257"/>
        <v>8799</v>
      </c>
      <c r="T1101" s="47">
        <f t="shared" si="1257"/>
        <v>140</v>
      </c>
      <c r="U1101" s="47">
        <f t="shared" si="1257"/>
        <v>0</v>
      </c>
      <c r="V1101" s="47">
        <f t="shared" si="1257"/>
        <v>0</v>
      </c>
      <c r="W1101" s="47">
        <f t="shared" si="1258"/>
        <v>117287998</v>
      </c>
      <c r="X1101" s="47">
        <f t="shared" si="1258"/>
        <v>10071.097200755625</v>
      </c>
      <c r="Y1101" s="47">
        <f t="shared" si="1258"/>
        <v>10683.913098925123</v>
      </c>
      <c r="Z1101" s="47">
        <f t="shared" si="1258"/>
        <v>13329.696329128308</v>
      </c>
      <c r="AA1101" s="47">
        <f t="shared" si="1258"/>
        <v>837771.41428571416</v>
      </c>
      <c r="AB1101" s="56" t="s">
        <v>73</v>
      </c>
      <c r="AC1101" s="20"/>
      <c r="AD1101" s="20"/>
    </row>
    <row r="1102" spans="1:30" ht="18.95">
      <c r="B1102" s="54" t="s">
        <v>48</v>
      </c>
      <c r="C1102" s="54" t="s">
        <v>180</v>
      </c>
      <c r="D1102" s="2"/>
      <c r="K1102" s="31" t="s">
        <v>191</v>
      </c>
      <c r="L1102" s="49">
        <f t="shared" si="1255"/>
        <v>2018</v>
      </c>
      <c r="P1102" s="48">
        <f t="shared" si="1256"/>
        <v>13</v>
      </c>
      <c r="Q1102" s="47">
        <f t="shared" si="1257"/>
        <v>13295</v>
      </c>
      <c r="R1102" s="47">
        <f t="shared" si="1257"/>
        <v>12630</v>
      </c>
      <c r="S1102" s="47">
        <f t="shared" si="1257"/>
        <v>8509</v>
      </c>
      <c r="T1102" s="47">
        <f t="shared" si="1257"/>
        <v>152</v>
      </c>
      <c r="U1102" s="47">
        <f t="shared" si="1257"/>
        <v>0</v>
      </c>
      <c r="V1102" s="47">
        <f t="shared" si="1257"/>
        <v>0</v>
      </c>
      <c r="W1102" s="47">
        <f t="shared" si="1258"/>
        <v>91818182</v>
      </c>
      <c r="X1102" s="47">
        <f t="shared" si="1258"/>
        <v>6906.2190297104171</v>
      </c>
      <c r="Y1102" s="47">
        <f t="shared" si="1258"/>
        <v>7269.8481393507536</v>
      </c>
      <c r="Z1102" s="47">
        <f t="shared" si="1258"/>
        <v>10790.713597367494</v>
      </c>
      <c r="AA1102" s="47">
        <f t="shared" si="1258"/>
        <v>604066.98684210528</v>
      </c>
      <c r="AB1102" s="56" t="s">
        <v>73</v>
      </c>
      <c r="AC1102" s="20"/>
      <c r="AD1102" s="20"/>
    </row>
    <row r="1103" spans="1:30" ht="18.95">
      <c r="B1103" s="54" t="s">
        <v>48</v>
      </c>
      <c r="C1103" s="54" t="s">
        <v>193</v>
      </c>
      <c r="D1103" s="2"/>
      <c r="K1103" s="44" t="s">
        <v>195</v>
      </c>
      <c r="L1103" s="49">
        <f t="shared" si="1255"/>
        <v>2016</v>
      </c>
      <c r="P1103" s="48">
        <f t="shared" si="1256"/>
        <v>13</v>
      </c>
      <c r="Q1103" s="47">
        <f t="shared" si="1257"/>
        <v>139576</v>
      </c>
      <c r="R1103" s="47">
        <f t="shared" si="1257"/>
        <v>124470</v>
      </c>
      <c r="S1103" s="47">
        <f t="shared" si="1257"/>
        <v>78184</v>
      </c>
      <c r="T1103" s="47">
        <f t="shared" si="1257"/>
        <v>0</v>
      </c>
      <c r="U1103" s="47">
        <f t="shared" si="1257"/>
        <v>0</v>
      </c>
      <c r="V1103" s="47">
        <f t="shared" si="1257"/>
        <v>0</v>
      </c>
      <c r="W1103" s="47">
        <f t="shared" si="1258"/>
        <v>466000000</v>
      </c>
      <c r="X1103" s="47">
        <f t="shared" si="1258"/>
        <v>3338.6828681148618</v>
      </c>
      <c r="Y1103" s="47">
        <f t="shared" si="1258"/>
        <v>3743.8740258696871</v>
      </c>
      <c r="Z1103" s="47">
        <f t="shared" si="1258"/>
        <v>5960.2987823595622</v>
      </c>
      <c r="AA1103" s="47">
        <f t="shared" si="1258"/>
        <v>0</v>
      </c>
      <c r="AB1103" s="56" t="s">
        <v>73</v>
      </c>
      <c r="AC1103" s="20"/>
      <c r="AD1103" s="20"/>
    </row>
    <row r="1104" spans="1:30" ht="18.95">
      <c r="B1104" s="54" t="s">
        <v>48</v>
      </c>
      <c r="C1104" s="54" t="s">
        <v>193</v>
      </c>
      <c r="D1104" s="2"/>
      <c r="K1104" s="31" t="s">
        <v>198</v>
      </c>
      <c r="L1104" s="49">
        <f t="shared" si="1255"/>
        <v>2018</v>
      </c>
      <c r="P1104" s="48">
        <f t="shared" si="1256"/>
        <v>13</v>
      </c>
      <c r="Q1104" s="47">
        <f t="shared" si="1257"/>
        <v>6616</v>
      </c>
      <c r="R1104" s="47">
        <f t="shared" si="1257"/>
        <v>6021</v>
      </c>
      <c r="S1104" s="47">
        <f t="shared" si="1257"/>
        <v>5349</v>
      </c>
      <c r="T1104" s="47">
        <f t="shared" si="1257"/>
        <v>0</v>
      </c>
      <c r="U1104" s="47">
        <f t="shared" si="1257"/>
        <v>0</v>
      </c>
      <c r="V1104" s="47">
        <f t="shared" si="1257"/>
        <v>0</v>
      </c>
      <c r="W1104" s="47">
        <f t="shared" si="1258"/>
        <v>42740376</v>
      </c>
      <c r="X1104" s="47">
        <f t="shared" si="1258"/>
        <v>6460.1535671100373</v>
      </c>
      <c r="Y1104" s="47">
        <f t="shared" si="1258"/>
        <v>7098.551071250622</v>
      </c>
      <c r="Z1104" s="47">
        <f t="shared" si="1258"/>
        <v>7990.3488502523842</v>
      </c>
      <c r="AA1104" s="47">
        <f t="shared" si="1258"/>
        <v>0</v>
      </c>
      <c r="AB1104" s="56" t="s">
        <v>73</v>
      </c>
      <c r="AC1104" s="20"/>
      <c r="AD1104" s="20"/>
    </row>
    <row r="1105" spans="2:30" ht="18.95">
      <c r="B1105" s="54" t="s">
        <v>48</v>
      </c>
      <c r="C1105" s="54" t="s">
        <v>193</v>
      </c>
      <c r="D1105" s="2"/>
      <c r="K1105" s="44" t="s">
        <v>200</v>
      </c>
      <c r="L1105" s="49">
        <f t="shared" si="1255"/>
        <v>2019</v>
      </c>
      <c r="P1105" s="48">
        <f t="shared" si="1256"/>
        <v>13</v>
      </c>
      <c r="Q1105" s="47">
        <f t="shared" si="1257"/>
        <v>5667</v>
      </c>
      <c r="R1105" s="47">
        <f t="shared" si="1257"/>
        <v>5536</v>
      </c>
      <c r="S1105" s="47">
        <f t="shared" si="1257"/>
        <v>3349</v>
      </c>
      <c r="T1105" s="47">
        <f t="shared" si="1257"/>
        <v>0</v>
      </c>
      <c r="U1105" s="47">
        <f t="shared" si="1257"/>
        <v>0</v>
      </c>
      <c r="V1105" s="47">
        <f t="shared" si="1257"/>
        <v>0</v>
      </c>
      <c r="W1105" s="47">
        <f t="shared" si="1258"/>
        <v>23177622</v>
      </c>
      <c r="X1105" s="47">
        <f t="shared" si="1258"/>
        <v>4089.9280042350451</v>
      </c>
      <c r="Y1105" s="47">
        <f t="shared" si="1258"/>
        <v>4186.7091763005783</v>
      </c>
      <c r="Z1105" s="47">
        <f t="shared" si="1258"/>
        <v>6920.7590325470292</v>
      </c>
      <c r="AA1105" s="47">
        <f t="shared" si="1258"/>
        <v>0</v>
      </c>
      <c r="AB1105" s="56" t="s">
        <v>73</v>
      </c>
      <c r="AC1105" s="20"/>
      <c r="AD1105" s="20"/>
    </row>
    <row r="1106" spans="2:30" ht="18.95">
      <c r="B1106" s="54" t="s">
        <v>48</v>
      </c>
      <c r="C1106" s="54" t="s">
        <v>193</v>
      </c>
      <c r="D1106" s="2"/>
      <c r="K1106" s="31" t="s">
        <v>206</v>
      </c>
      <c r="L1106" s="49">
        <f t="shared" si="1255"/>
        <v>2023</v>
      </c>
      <c r="P1106" s="48">
        <f t="shared" si="1256"/>
        <v>13</v>
      </c>
      <c r="Q1106" s="47">
        <f t="shared" si="1257"/>
        <v>45115</v>
      </c>
      <c r="R1106" s="47">
        <f t="shared" si="1257"/>
        <v>38065</v>
      </c>
      <c r="S1106" s="47">
        <f t="shared" si="1257"/>
        <v>25909</v>
      </c>
      <c r="T1106" s="47">
        <f t="shared" si="1257"/>
        <v>0</v>
      </c>
      <c r="U1106" s="47">
        <f t="shared" si="1257"/>
        <v>0</v>
      </c>
      <c r="V1106" s="47">
        <f t="shared" si="1257"/>
        <v>0</v>
      </c>
      <c r="W1106" s="47">
        <f t="shared" si="1258"/>
        <v>247599243</v>
      </c>
      <c r="X1106" s="47">
        <f t="shared" si="1258"/>
        <v>5488.1800509808272</v>
      </c>
      <c r="Y1106" s="47">
        <f t="shared" si="1258"/>
        <v>6504.6431892814926</v>
      </c>
      <c r="Z1106" s="47">
        <f t="shared" si="1258"/>
        <v>9556.4955420896222</v>
      </c>
      <c r="AA1106" s="47">
        <f t="shared" si="1258"/>
        <v>0</v>
      </c>
      <c r="AB1106" s="56" t="s">
        <v>73</v>
      </c>
      <c r="AC1106" s="20"/>
      <c r="AD1106" s="20"/>
    </row>
    <row r="1107" spans="2:30" ht="18.95">
      <c r="B1107" s="54" t="s">
        <v>48</v>
      </c>
      <c r="C1107" s="54" t="s">
        <v>210</v>
      </c>
      <c r="D1107" s="2"/>
      <c r="K1107" s="44" t="s">
        <v>213</v>
      </c>
      <c r="L1107" s="49">
        <f t="shared" si="1255"/>
        <v>2018</v>
      </c>
      <c r="P1107" s="48">
        <f t="shared" si="1256"/>
        <v>13</v>
      </c>
      <c r="Q1107" s="47">
        <f t="shared" si="1257"/>
        <v>21704</v>
      </c>
      <c r="R1107" s="47">
        <f t="shared" si="1257"/>
        <v>20670</v>
      </c>
      <c r="S1107" s="47">
        <f t="shared" si="1257"/>
        <v>14196</v>
      </c>
      <c r="T1107" s="47">
        <f t="shared" si="1257"/>
        <v>0</v>
      </c>
      <c r="U1107" s="47">
        <f t="shared" si="1257"/>
        <v>0</v>
      </c>
      <c r="V1107" s="47">
        <f t="shared" si="1257"/>
        <v>0</v>
      </c>
      <c r="W1107" s="47">
        <f t="shared" si="1258"/>
        <v>720842985</v>
      </c>
      <c r="X1107" s="47">
        <f t="shared" si="1258"/>
        <v>33212.448626981197</v>
      </c>
      <c r="Y1107" s="47">
        <f t="shared" si="1258"/>
        <v>34873.874455732948</v>
      </c>
      <c r="Z1107" s="47">
        <f t="shared" si="1258"/>
        <v>50777.89412510566</v>
      </c>
      <c r="AA1107" s="47">
        <f t="shared" si="1258"/>
        <v>0</v>
      </c>
      <c r="AB1107" s="56" t="s">
        <v>73</v>
      </c>
      <c r="AC1107" s="20"/>
      <c r="AD1107" s="20"/>
    </row>
    <row r="1108" spans="2:30" ht="18.95">
      <c r="B1108" s="54" t="s">
        <v>48</v>
      </c>
      <c r="C1108" s="54" t="s">
        <v>210</v>
      </c>
      <c r="D1108" s="2"/>
      <c r="K1108" s="31" t="s">
        <v>215</v>
      </c>
      <c r="L1108" s="49">
        <f t="shared" si="1255"/>
        <v>2018</v>
      </c>
      <c r="P1108" s="48">
        <f t="shared" si="1256"/>
        <v>13</v>
      </c>
      <c r="Q1108" s="47">
        <f t="shared" ref="Q1108:V1117" si="1259">SUMIF($K$2:$K$1056,$K1108,Q$2:Q$1056)/13</f>
        <v>24740</v>
      </c>
      <c r="R1108" s="47">
        <f t="shared" si="1259"/>
        <v>23562</v>
      </c>
      <c r="S1108" s="47">
        <f t="shared" si="1259"/>
        <v>16183</v>
      </c>
      <c r="T1108" s="47">
        <f t="shared" si="1259"/>
        <v>0</v>
      </c>
      <c r="U1108" s="47">
        <f t="shared" si="1259"/>
        <v>0</v>
      </c>
      <c r="V1108" s="47">
        <f t="shared" si="1259"/>
        <v>0</v>
      </c>
      <c r="W1108" s="47">
        <f t="shared" ref="W1108:AA1117" si="1260">SUMIF($K$2:$K$1056,$K1108,W$2:W$1056)</f>
        <v>875744491</v>
      </c>
      <c r="X1108" s="47">
        <f t="shared" si="1260"/>
        <v>35397.917987065477</v>
      </c>
      <c r="Y1108" s="47">
        <f t="shared" si="1260"/>
        <v>37167.663653340132</v>
      </c>
      <c r="Z1108" s="47">
        <f t="shared" si="1260"/>
        <v>54115.089353024778</v>
      </c>
      <c r="AA1108" s="47">
        <f t="shared" si="1260"/>
        <v>0</v>
      </c>
      <c r="AB1108" s="56" t="s">
        <v>73</v>
      </c>
      <c r="AC1108" s="20"/>
      <c r="AD1108" s="20"/>
    </row>
    <row r="1109" spans="2:30" ht="18.95">
      <c r="B1109" s="54" t="s">
        <v>48</v>
      </c>
      <c r="C1109" s="54" t="s">
        <v>210</v>
      </c>
      <c r="D1109" s="2"/>
      <c r="K1109" s="44" t="s">
        <v>217</v>
      </c>
      <c r="L1109" s="49">
        <f t="shared" si="1255"/>
        <v>2018</v>
      </c>
      <c r="P1109" s="48">
        <f t="shared" si="1256"/>
        <v>13</v>
      </c>
      <c r="Q1109" s="47">
        <f t="shared" si="1259"/>
        <v>616</v>
      </c>
      <c r="R1109" s="47">
        <f t="shared" si="1259"/>
        <v>598</v>
      </c>
      <c r="S1109" s="47">
        <f t="shared" si="1259"/>
        <v>591</v>
      </c>
      <c r="T1109" s="47">
        <f t="shared" si="1259"/>
        <v>0</v>
      </c>
      <c r="U1109" s="47">
        <f t="shared" si="1259"/>
        <v>0</v>
      </c>
      <c r="V1109" s="47">
        <f t="shared" si="1259"/>
        <v>0</v>
      </c>
      <c r="W1109" s="47">
        <f t="shared" si="1260"/>
        <v>52000000</v>
      </c>
      <c r="X1109" s="47">
        <f t="shared" si="1260"/>
        <v>84415.584415584424</v>
      </c>
      <c r="Y1109" s="47">
        <f t="shared" si="1260"/>
        <v>86956.521739130432</v>
      </c>
      <c r="Z1109" s="47">
        <f t="shared" si="1260"/>
        <v>87986.463620981405</v>
      </c>
      <c r="AA1109" s="47">
        <f t="shared" si="1260"/>
        <v>0</v>
      </c>
      <c r="AB1109" s="56" t="s">
        <v>73</v>
      </c>
      <c r="AC1109" s="20"/>
      <c r="AD1109" s="20"/>
    </row>
    <row r="1110" spans="2:30" ht="18.95">
      <c r="B1110" s="54" t="s">
        <v>48</v>
      </c>
      <c r="C1110" s="54" t="s">
        <v>210</v>
      </c>
      <c r="D1110" s="2"/>
      <c r="K1110" s="31" t="s">
        <v>220</v>
      </c>
      <c r="L1110" s="49">
        <f t="shared" si="1255"/>
        <v>2019</v>
      </c>
      <c r="P1110" s="48">
        <f t="shared" si="1256"/>
        <v>13</v>
      </c>
      <c r="Q1110" s="47">
        <f t="shared" si="1259"/>
        <v>3187</v>
      </c>
      <c r="R1110" s="47">
        <f t="shared" si="1259"/>
        <v>2872</v>
      </c>
      <c r="S1110" s="47">
        <f t="shared" si="1259"/>
        <v>2629</v>
      </c>
      <c r="T1110" s="47">
        <f t="shared" si="1259"/>
        <v>0</v>
      </c>
      <c r="U1110" s="47">
        <f t="shared" si="1259"/>
        <v>0</v>
      </c>
      <c r="V1110" s="47">
        <f t="shared" si="1259"/>
        <v>0</v>
      </c>
      <c r="W1110" s="47">
        <f t="shared" si="1260"/>
        <v>48400000</v>
      </c>
      <c r="X1110" s="47">
        <f t="shared" si="1260"/>
        <v>15186.695952306245</v>
      </c>
      <c r="Y1110" s="47">
        <f t="shared" si="1260"/>
        <v>16852.367688022285</v>
      </c>
      <c r="Z1110" s="47">
        <f t="shared" si="1260"/>
        <v>18410.041841004182</v>
      </c>
      <c r="AA1110" s="47">
        <f t="shared" si="1260"/>
        <v>0</v>
      </c>
      <c r="AB1110" s="56" t="s">
        <v>73</v>
      </c>
      <c r="AC1110" s="20"/>
      <c r="AD1110" s="20"/>
    </row>
    <row r="1111" spans="2:30" ht="18.95">
      <c r="B1111" s="54" t="s">
        <v>48</v>
      </c>
      <c r="C1111" s="54" t="s">
        <v>210</v>
      </c>
      <c r="D1111" s="2"/>
      <c r="K1111" s="44" t="s">
        <v>223</v>
      </c>
      <c r="L1111" s="49">
        <f t="shared" si="1255"/>
        <v>2020</v>
      </c>
      <c r="P1111" s="48">
        <f t="shared" si="1256"/>
        <v>13</v>
      </c>
      <c r="Q1111" s="47">
        <f t="shared" si="1259"/>
        <v>20256</v>
      </c>
      <c r="R1111" s="47">
        <f t="shared" si="1259"/>
        <v>15696</v>
      </c>
      <c r="S1111" s="47">
        <f t="shared" si="1259"/>
        <v>8293</v>
      </c>
      <c r="T1111" s="47">
        <f t="shared" si="1259"/>
        <v>0</v>
      </c>
      <c r="U1111" s="47">
        <f t="shared" si="1259"/>
        <v>0</v>
      </c>
      <c r="V1111" s="47">
        <f t="shared" si="1259"/>
        <v>0</v>
      </c>
      <c r="W1111" s="47">
        <f t="shared" si="1260"/>
        <v>361575823.84000003</v>
      </c>
      <c r="X1111" s="47">
        <f t="shared" si="1260"/>
        <v>17850.307259083729</v>
      </c>
      <c r="Y1111" s="47">
        <f t="shared" si="1260"/>
        <v>23036.176340468912</v>
      </c>
      <c r="Z1111" s="47">
        <f t="shared" si="1260"/>
        <v>43600.123458338363</v>
      </c>
      <c r="AA1111" s="47">
        <f t="shared" si="1260"/>
        <v>0</v>
      </c>
      <c r="AB1111" s="56" t="s">
        <v>73</v>
      </c>
      <c r="AC1111" s="20"/>
      <c r="AD1111" s="20"/>
    </row>
    <row r="1112" spans="2:30" ht="18.95">
      <c r="B1112" s="54" t="s">
        <v>224</v>
      </c>
      <c r="C1112" s="54" t="s">
        <v>225</v>
      </c>
      <c r="D1112" s="2"/>
      <c r="E1112"/>
      <c r="F1112"/>
      <c r="G1112"/>
      <c r="H1112"/>
      <c r="I1112"/>
      <c r="J1112" s="31" t="s">
        <v>229</v>
      </c>
      <c r="K1112" s="31" t="s">
        <v>230</v>
      </c>
      <c r="L1112" s="49">
        <f t="shared" si="1255"/>
        <v>2017</v>
      </c>
      <c r="M1112"/>
      <c r="N1112"/>
      <c r="O1112"/>
      <c r="P1112" s="48">
        <f t="shared" si="1256"/>
        <v>13</v>
      </c>
      <c r="Q1112" s="47">
        <f t="shared" si="1259"/>
        <v>0</v>
      </c>
      <c r="R1112" s="47">
        <f t="shared" si="1259"/>
        <v>53363</v>
      </c>
      <c r="S1112" s="47">
        <f t="shared" si="1259"/>
        <v>0</v>
      </c>
      <c r="T1112" s="47">
        <f t="shared" si="1259"/>
        <v>0</v>
      </c>
      <c r="U1112" s="47">
        <f t="shared" si="1259"/>
        <v>0</v>
      </c>
      <c r="V1112" s="47">
        <f t="shared" si="1259"/>
        <v>0</v>
      </c>
      <c r="W1112" s="47">
        <f t="shared" si="1260"/>
        <v>406510649.1515916</v>
      </c>
      <c r="X1112" s="47">
        <f t="shared" si="1260"/>
        <v>0</v>
      </c>
      <c r="Y1112" s="47">
        <f t="shared" si="1260"/>
        <v>7617.837249622241</v>
      </c>
      <c r="Z1112" s="47">
        <f t="shared" si="1260"/>
        <v>0</v>
      </c>
      <c r="AA1112" s="47">
        <f t="shared" si="1260"/>
        <v>0</v>
      </c>
      <c r="AB1112" s="56" t="s">
        <v>73</v>
      </c>
      <c r="AC1112" s="20"/>
      <c r="AD1112" s="20"/>
    </row>
    <row r="1113" spans="2:30" ht="18.95">
      <c r="B1113" s="54" t="s">
        <v>224</v>
      </c>
      <c r="C1113" s="54" t="s">
        <v>193</v>
      </c>
      <c r="D1113" s="2"/>
      <c r="E1113"/>
      <c r="F1113"/>
      <c r="G1113"/>
      <c r="H1113"/>
      <c r="I1113"/>
      <c r="J1113" s="44" t="s">
        <v>229</v>
      </c>
      <c r="K1113" s="44" t="s">
        <v>232</v>
      </c>
      <c r="L1113" s="49">
        <f t="shared" si="1255"/>
        <v>2017</v>
      </c>
      <c r="M1113"/>
      <c r="N1113"/>
      <c r="O1113"/>
      <c r="P1113" s="48">
        <f t="shared" si="1256"/>
        <v>13</v>
      </c>
      <c r="Q1113" s="47">
        <f t="shared" si="1259"/>
        <v>0</v>
      </c>
      <c r="R1113" s="47">
        <f t="shared" si="1259"/>
        <v>92618</v>
      </c>
      <c r="S1113" s="47">
        <f t="shared" si="1259"/>
        <v>0</v>
      </c>
      <c r="T1113" s="47">
        <f t="shared" si="1259"/>
        <v>0</v>
      </c>
      <c r="U1113" s="47">
        <f t="shared" si="1259"/>
        <v>0</v>
      </c>
      <c r="V1113" s="47">
        <f t="shared" si="1259"/>
        <v>0</v>
      </c>
      <c r="W1113" s="47">
        <f t="shared" si="1260"/>
        <v>620171165.7545042</v>
      </c>
      <c r="X1113" s="47">
        <f t="shared" si="1260"/>
        <v>0</v>
      </c>
      <c r="Y1113" s="47">
        <f t="shared" si="1260"/>
        <v>6696.0112046740842</v>
      </c>
      <c r="Z1113" s="47">
        <f t="shared" si="1260"/>
        <v>0</v>
      </c>
      <c r="AA1113" s="47">
        <f t="shared" si="1260"/>
        <v>0</v>
      </c>
      <c r="AB1113" s="56" t="s">
        <v>73</v>
      </c>
      <c r="AC1113" s="20"/>
      <c r="AD1113" s="20"/>
    </row>
    <row r="1114" spans="2:30" ht="18.95">
      <c r="B1114" s="54" t="s">
        <v>224</v>
      </c>
      <c r="C1114" s="54" t="s">
        <v>180</v>
      </c>
      <c r="D1114" s="2"/>
      <c r="E1114"/>
      <c r="F1114"/>
      <c r="G1114"/>
      <c r="H1114"/>
      <c r="I1114"/>
      <c r="J1114" s="31" t="s">
        <v>229</v>
      </c>
      <c r="K1114" s="31" t="s">
        <v>234</v>
      </c>
      <c r="L1114" s="49">
        <f t="shared" si="1255"/>
        <v>2017</v>
      </c>
      <c r="M1114"/>
      <c r="N1114"/>
      <c r="O1114"/>
      <c r="P1114" s="48">
        <f t="shared" si="1256"/>
        <v>13</v>
      </c>
      <c r="Q1114" s="47">
        <f t="shared" si="1259"/>
        <v>0</v>
      </c>
      <c r="R1114" s="47">
        <f t="shared" si="1259"/>
        <v>47401</v>
      </c>
      <c r="S1114" s="47">
        <f t="shared" si="1259"/>
        <v>0</v>
      </c>
      <c r="T1114" s="47">
        <f t="shared" si="1259"/>
        <v>140</v>
      </c>
      <c r="U1114" s="47">
        <f t="shared" si="1259"/>
        <v>0</v>
      </c>
      <c r="V1114" s="47">
        <f t="shared" si="1259"/>
        <v>0</v>
      </c>
      <c r="W1114" s="47">
        <f t="shared" si="1260"/>
        <v>602515054.91103315</v>
      </c>
      <c r="X1114" s="47">
        <f t="shared" si="1260"/>
        <v>0</v>
      </c>
      <c r="Y1114" s="47">
        <f t="shared" si="1260"/>
        <v>12711.019913314763</v>
      </c>
      <c r="Z1114" s="47">
        <f t="shared" si="1260"/>
        <v>0</v>
      </c>
      <c r="AA1114" s="47">
        <f t="shared" si="1260"/>
        <v>4303678.9636502368</v>
      </c>
      <c r="AB1114" s="56" t="s">
        <v>73</v>
      </c>
      <c r="AC1114" s="20"/>
      <c r="AD1114" s="20"/>
    </row>
    <row r="1115" spans="2:30" ht="18.95">
      <c r="B1115" s="54" t="s">
        <v>224</v>
      </c>
      <c r="C1115" s="54" t="s">
        <v>180</v>
      </c>
      <c r="D1115" s="2"/>
      <c r="E1115"/>
      <c r="F1115"/>
      <c r="G1115"/>
      <c r="H1115"/>
      <c r="I1115"/>
      <c r="J1115" s="44" t="s">
        <v>229</v>
      </c>
      <c r="K1115" s="44" t="s">
        <v>236</v>
      </c>
      <c r="L1115" s="49">
        <f t="shared" si="1255"/>
        <v>2017</v>
      </c>
      <c r="M1115"/>
      <c r="N1115"/>
      <c r="O1115"/>
      <c r="P1115" s="48">
        <f t="shared" si="1256"/>
        <v>13</v>
      </c>
      <c r="Q1115" s="47">
        <f t="shared" si="1259"/>
        <v>0</v>
      </c>
      <c r="R1115" s="47">
        <f t="shared" si="1259"/>
        <v>42966</v>
      </c>
      <c r="S1115" s="47">
        <f t="shared" si="1259"/>
        <v>0</v>
      </c>
      <c r="T1115" s="47">
        <f t="shared" si="1259"/>
        <v>132</v>
      </c>
      <c r="U1115" s="47">
        <f t="shared" si="1259"/>
        <v>0</v>
      </c>
      <c r="V1115" s="47">
        <f t="shared" si="1259"/>
        <v>0</v>
      </c>
      <c r="W1115" s="47">
        <f t="shared" si="1260"/>
        <v>579596477.50598371</v>
      </c>
      <c r="X1115" s="47">
        <f t="shared" si="1260"/>
        <v>0</v>
      </c>
      <c r="Y1115" s="47">
        <f t="shared" si="1260"/>
        <v>13489.65408709174</v>
      </c>
      <c r="Z1115" s="47">
        <f t="shared" si="1260"/>
        <v>0</v>
      </c>
      <c r="AA1115" s="47">
        <f t="shared" si="1260"/>
        <v>4390882.4053483624</v>
      </c>
      <c r="AB1115" s="56" t="s">
        <v>73</v>
      </c>
      <c r="AC1115" s="20"/>
      <c r="AD1115" s="20"/>
    </row>
    <row r="1116" spans="2:30" ht="18.95">
      <c r="B1116" s="54" t="s">
        <v>224</v>
      </c>
      <c r="C1116" s="54" t="s">
        <v>180</v>
      </c>
      <c r="D1116" s="2"/>
      <c r="E1116"/>
      <c r="F1116"/>
      <c r="G1116"/>
      <c r="H1116"/>
      <c r="I1116"/>
      <c r="J1116" s="31" t="s">
        <v>229</v>
      </c>
      <c r="K1116" s="31" t="s">
        <v>238</v>
      </c>
      <c r="L1116" s="49">
        <f t="shared" si="1255"/>
        <v>2017</v>
      </c>
      <c r="M1116"/>
      <c r="N1116"/>
      <c r="O1116"/>
      <c r="P1116" s="48">
        <f t="shared" si="1256"/>
        <v>13</v>
      </c>
      <c r="Q1116" s="47">
        <f t="shared" si="1259"/>
        <v>0</v>
      </c>
      <c r="R1116" s="47">
        <f t="shared" si="1259"/>
        <v>45052</v>
      </c>
      <c r="S1116" s="47">
        <f t="shared" si="1259"/>
        <v>0</v>
      </c>
      <c r="T1116" s="47">
        <f t="shared" si="1259"/>
        <v>89</v>
      </c>
      <c r="U1116" s="47">
        <f t="shared" si="1259"/>
        <v>0</v>
      </c>
      <c r="V1116" s="47">
        <f t="shared" si="1259"/>
        <v>0</v>
      </c>
      <c r="W1116" s="47">
        <f t="shared" si="1260"/>
        <v>584898345.21728051</v>
      </c>
      <c r="X1116" s="47">
        <f t="shared" si="1260"/>
        <v>0</v>
      </c>
      <c r="Y1116" s="47">
        <f t="shared" si="1260"/>
        <v>12982.738728963877</v>
      </c>
      <c r="Z1116" s="47">
        <f t="shared" si="1260"/>
        <v>0</v>
      </c>
      <c r="AA1116" s="47">
        <f t="shared" si="1260"/>
        <v>6571891.5192952892</v>
      </c>
      <c r="AB1116" s="56" t="s">
        <v>73</v>
      </c>
      <c r="AC1116" s="20"/>
      <c r="AD1116" s="20"/>
    </row>
    <row r="1117" spans="2:30" ht="18.95">
      <c r="B1117" s="54" t="s">
        <v>224</v>
      </c>
      <c r="C1117" s="54" t="s">
        <v>118</v>
      </c>
      <c r="D1117" s="2"/>
      <c r="E1117"/>
      <c r="F1117"/>
      <c r="G1117"/>
      <c r="H1117"/>
      <c r="I1117"/>
      <c r="J1117" s="44" t="s">
        <v>229</v>
      </c>
      <c r="K1117" s="44" t="s">
        <v>240</v>
      </c>
      <c r="L1117" s="49">
        <f t="shared" si="1255"/>
        <v>2017</v>
      </c>
      <c r="M1117"/>
      <c r="N1117"/>
      <c r="O1117"/>
      <c r="P1117" s="48">
        <f t="shared" si="1256"/>
        <v>13</v>
      </c>
      <c r="Q1117" s="47">
        <f t="shared" si="1259"/>
        <v>0</v>
      </c>
      <c r="R1117" s="47">
        <f t="shared" si="1259"/>
        <v>23597</v>
      </c>
      <c r="S1117" s="47">
        <f t="shared" si="1259"/>
        <v>0</v>
      </c>
      <c r="T1117" s="47">
        <f t="shared" si="1259"/>
        <v>94</v>
      </c>
      <c r="U1117" s="47">
        <f t="shared" si="1259"/>
        <v>0</v>
      </c>
      <c r="V1117" s="47">
        <f t="shared" si="1259"/>
        <v>0</v>
      </c>
      <c r="W1117" s="47">
        <f t="shared" si="1260"/>
        <v>288778514.29425061</v>
      </c>
      <c r="X1117" s="47">
        <f t="shared" si="1260"/>
        <v>0</v>
      </c>
      <c r="Y1117" s="47">
        <f t="shared" si="1260"/>
        <v>12237.933393831867</v>
      </c>
      <c r="Z1117" s="47">
        <f t="shared" si="1260"/>
        <v>0</v>
      </c>
      <c r="AA1117" s="47">
        <f t="shared" si="1260"/>
        <v>3072111.8541941554</v>
      </c>
      <c r="AB1117" s="56" t="s">
        <v>73</v>
      </c>
      <c r="AC1117" s="20"/>
      <c r="AD1117" s="20"/>
    </row>
    <row r="1118" spans="2:30" ht="18.95">
      <c r="B1118" s="54" t="s">
        <v>224</v>
      </c>
      <c r="C1118" s="54" t="s">
        <v>114</v>
      </c>
      <c r="D1118" s="2"/>
      <c r="E1118"/>
      <c r="F1118"/>
      <c r="G1118"/>
      <c r="H1118"/>
      <c r="I1118"/>
      <c r="J1118" s="31" t="s">
        <v>229</v>
      </c>
      <c r="K1118" s="31" t="s">
        <v>242</v>
      </c>
      <c r="L1118" s="49">
        <f t="shared" si="1255"/>
        <v>2017</v>
      </c>
      <c r="M1118"/>
      <c r="N1118"/>
      <c r="O1118"/>
      <c r="P1118" s="48">
        <f t="shared" si="1256"/>
        <v>13</v>
      </c>
      <c r="Q1118" s="47">
        <f t="shared" ref="Q1118:V1127" si="1261">SUMIF($K$2:$K$1056,$K1118,Q$2:Q$1056)/13</f>
        <v>0</v>
      </c>
      <c r="R1118" s="47">
        <f t="shared" si="1261"/>
        <v>26000</v>
      </c>
      <c r="S1118" s="47">
        <f t="shared" si="1261"/>
        <v>0</v>
      </c>
      <c r="T1118" s="47">
        <f t="shared" si="1261"/>
        <v>12</v>
      </c>
      <c r="U1118" s="47">
        <f t="shared" si="1261"/>
        <v>0</v>
      </c>
      <c r="V1118" s="47">
        <f t="shared" si="1261"/>
        <v>0</v>
      </c>
      <c r="W1118" s="47">
        <f t="shared" ref="W1118:AA1127" si="1262">SUMIF($K$2:$K$1056,$K1118,W$2:W$1056)</f>
        <v>197137816.7810615</v>
      </c>
      <c r="X1118" s="47">
        <f t="shared" si="1262"/>
        <v>0</v>
      </c>
      <c r="Y1118" s="47">
        <f t="shared" si="1262"/>
        <v>7582.2237223485199</v>
      </c>
      <c r="Z1118" s="47">
        <f t="shared" si="1262"/>
        <v>0</v>
      </c>
      <c r="AA1118" s="47">
        <f t="shared" si="1262"/>
        <v>16428151.398421792</v>
      </c>
      <c r="AB1118" s="56" t="s">
        <v>73</v>
      </c>
      <c r="AC1118" s="20"/>
      <c r="AD1118" s="20"/>
    </row>
    <row r="1119" spans="2:30" ht="18.95">
      <c r="B1119" s="54" t="s">
        <v>224</v>
      </c>
      <c r="C1119" s="54" t="s">
        <v>193</v>
      </c>
      <c r="D1119" s="2"/>
      <c r="E1119"/>
      <c r="F1119"/>
      <c r="G1119"/>
      <c r="H1119"/>
      <c r="I1119"/>
      <c r="J1119" s="44" t="s">
        <v>229</v>
      </c>
      <c r="K1119" s="44" t="s">
        <v>244</v>
      </c>
      <c r="L1119" s="49">
        <f t="shared" si="1255"/>
        <v>2017</v>
      </c>
      <c r="M1119"/>
      <c r="N1119"/>
      <c r="O1119"/>
      <c r="P1119" s="48">
        <f t="shared" si="1256"/>
        <v>13</v>
      </c>
      <c r="Q1119" s="47">
        <f t="shared" si="1261"/>
        <v>0</v>
      </c>
      <c r="R1119" s="47">
        <f t="shared" si="1261"/>
        <v>16009</v>
      </c>
      <c r="S1119" s="47">
        <f t="shared" si="1261"/>
        <v>0</v>
      </c>
      <c r="T1119" s="47">
        <f t="shared" si="1261"/>
        <v>0</v>
      </c>
      <c r="U1119" s="47">
        <f t="shared" si="1261"/>
        <v>0</v>
      </c>
      <c r="V1119" s="47">
        <f t="shared" si="1261"/>
        <v>0</v>
      </c>
      <c r="W1119" s="47">
        <f t="shared" si="1262"/>
        <v>247214089.11262095</v>
      </c>
      <c r="X1119" s="47">
        <f t="shared" si="1262"/>
        <v>0</v>
      </c>
      <c r="Y1119" s="47">
        <f t="shared" si="1262"/>
        <v>15442.194335225242</v>
      </c>
      <c r="Z1119" s="47">
        <f t="shared" si="1262"/>
        <v>0</v>
      </c>
      <c r="AA1119" s="47">
        <f t="shared" si="1262"/>
        <v>0</v>
      </c>
      <c r="AB1119" s="56" t="s">
        <v>73</v>
      </c>
      <c r="AC1119" s="20"/>
      <c r="AD1119" s="20"/>
    </row>
    <row r="1120" spans="2:30" ht="18.95">
      <c r="B1120" s="54" t="s">
        <v>224</v>
      </c>
      <c r="C1120" s="54" t="s">
        <v>114</v>
      </c>
      <c r="D1120" s="2"/>
      <c r="E1120"/>
      <c r="F1120"/>
      <c r="G1120"/>
      <c r="H1120"/>
      <c r="I1120"/>
      <c r="J1120" s="31" t="s">
        <v>229</v>
      </c>
      <c r="K1120" s="31" t="s">
        <v>246</v>
      </c>
      <c r="L1120" s="49">
        <f t="shared" si="1255"/>
        <v>2017</v>
      </c>
      <c r="M1120"/>
      <c r="N1120"/>
      <c r="O1120"/>
      <c r="P1120" s="48">
        <f t="shared" si="1256"/>
        <v>13</v>
      </c>
      <c r="Q1120" s="47">
        <f t="shared" si="1261"/>
        <v>0</v>
      </c>
      <c r="R1120" s="47">
        <f t="shared" si="1261"/>
        <v>104005</v>
      </c>
      <c r="S1120" s="47">
        <f t="shared" si="1261"/>
        <v>0</v>
      </c>
      <c r="T1120" s="47">
        <f t="shared" si="1261"/>
        <v>263</v>
      </c>
      <c r="U1120" s="47">
        <f t="shared" si="1261"/>
        <v>0</v>
      </c>
      <c r="V1120" s="47">
        <f t="shared" si="1261"/>
        <v>0</v>
      </c>
      <c r="W1120" s="47">
        <f t="shared" si="1262"/>
        <v>941576750.8025099</v>
      </c>
      <c r="X1120" s="47">
        <f t="shared" si="1262"/>
        <v>0</v>
      </c>
      <c r="Y1120" s="47">
        <f t="shared" si="1262"/>
        <v>9053.1873544782466</v>
      </c>
      <c r="Z1120" s="47">
        <f t="shared" si="1262"/>
        <v>0</v>
      </c>
      <c r="AA1120" s="47">
        <f t="shared" si="1262"/>
        <v>3580139.7368916729</v>
      </c>
      <c r="AB1120" s="56" t="s">
        <v>73</v>
      </c>
      <c r="AC1120" s="20"/>
      <c r="AD1120" s="20"/>
    </row>
    <row r="1121" spans="2:30" ht="18.95">
      <c r="B1121" s="54" t="s">
        <v>224</v>
      </c>
      <c r="C1121" s="54"/>
      <c r="D1121" s="2"/>
      <c r="E1121"/>
      <c r="F1121"/>
      <c r="G1121"/>
      <c r="H1121"/>
      <c r="I1121"/>
      <c r="J1121" s="44" t="s">
        <v>229</v>
      </c>
      <c r="K1121" s="44" t="s">
        <v>248</v>
      </c>
      <c r="L1121" s="49">
        <f t="shared" si="1255"/>
        <v>2017</v>
      </c>
      <c r="M1121"/>
      <c r="N1121"/>
      <c r="O1121"/>
      <c r="P1121" s="48">
        <f t="shared" si="1256"/>
        <v>13</v>
      </c>
      <c r="Q1121" s="47">
        <f t="shared" si="1261"/>
        <v>0</v>
      </c>
      <c r="R1121" s="47">
        <f t="shared" si="1261"/>
        <v>18073</v>
      </c>
      <c r="S1121" s="47">
        <f t="shared" si="1261"/>
        <v>0</v>
      </c>
      <c r="T1121" s="47">
        <f t="shared" si="1261"/>
        <v>0</v>
      </c>
      <c r="U1121" s="47">
        <f t="shared" si="1261"/>
        <v>0</v>
      </c>
      <c r="V1121" s="47">
        <f t="shared" si="1261"/>
        <v>0</v>
      </c>
      <c r="W1121" s="47">
        <f t="shared" si="1262"/>
        <v>682454351.77066362</v>
      </c>
      <c r="X1121" s="47">
        <f t="shared" si="1262"/>
        <v>0</v>
      </c>
      <c r="Y1121" s="47">
        <f t="shared" si="1262"/>
        <v>37760.988865748011</v>
      </c>
      <c r="Z1121" s="47">
        <f t="shared" si="1262"/>
        <v>0</v>
      </c>
      <c r="AA1121" s="47">
        <f t="shared" si="1262"/>
        <v>0</v>
      </c>
      <c r="AB1121" s="56" t="s">
        <v>73</v>
      </c>
      <c r="AC1121" s="20"/>
      <c r="AD1121" s="20"/>
    </row>
    <row r="1122" spans="2:30" ht="18.95">
      <c r="B1122" s="58" t="s">
        <v>48</v>
      </c>
      <c r="C1122" s="58" t="s">
        <v>49</v>
      </c>
      <c r="D1122" s="2"/>
      <c r="E1122"/>
      <c r="F1122"/>
      <c r="G1122"/>
      <c r="H1122"/>
      <c r="I1122"/>
      <c r="J1122" s="58"/>
      <c r="K1122" s="58" t="s">
        <v>251</v>
      </c>
      <c r="L1122" s="49">
        <f t="shared" ref="L1122:L1138" si="1263">SUMIF($K$2:$K$1056,$K1122,L$2:L$1056)/13</f>
        <v>2024</v>
      </c>
      <c r="M1122"/>
      <c r="N1122"/>
      <c r="O1122"/>
      <c r="P1122" s="48">
        <f t="shared" ref="P1122:P1138" si="1264">COUNTIF($K$2:$K$1056,$K1122)</f>
        <v>13</v>
      </c>
      <c r="Q1122" s="47">
        <f t="shared" si="1261"/>
        <v>198108</v>
      </c>
      <c r="R1122" s="47">
        <f t="shared" si="1261"/>
        <v>173555</v>
      </c>
      <c r="S1122" s="47">
        <f t="shared" si="1261"/>
        <v>75345</v>
      </c>
      <c r="T1122" s="47">
        <f t="shared" si="1261"/>
        <v>109</v>
      </c>
      <c r="U1122" s="47">
        <f t="shared" si="1261"/>
        <v>0</v>
      </c>
      <c r="V1122" s="47">
        <f t="shared" si="1261"/>
        <v>0</v>
      </c>
      <c r="W1122" s="47">
        <f t="shared" si="1262"/>
        <v>1567453672</v>
      </c>
      <c r="X1122" s="47">
        <f t="shared" si="1262"/>
        <v>7912.1169866941264</v>
      </c>
      <c r="Y1122" s="47">
        <f t="shared" si="1262"/>
        <v>9031.4521160439035</v>
      </c>
      <c r="Z1122" s="47">
        <f t="shared" si="1262"/>
        <v>20803.685340765813</v>
      </c>
      <c r="AA1122" s="47">
        <f t="shared" si="1262"/>
        <v>14380308.917431192</v>
      </c>
      <c r="AB1122" s="56" t="s">
        <v>73</v>
      </c>
      <c r="AC1122" s="20"/>
      <c r="AD1122" s="20"/>
    </row>
    <row r="1123" spans="2:30" ht="18.95">
      <c r="B1123" s="58" t="s">
        <v>48</v>
      </c>
      <c r="C1123" s="58" t="s">
        <v>49</v>
      </c>
      <c r="D1123" s="2"/>
      <c r="E1123"/>
      <c r="F1123"/>
      <c r="G1123"/>
      <c r="H1123"/>
      <c r="I1123"/>
      <c r="J1123" s="66"/>
      <c r="K1123" s="66" t="s">
        <v>254</v>
      </c>
      <c r="L1123" s="49">
        <f t="shared" si="1263"/>
        <v>2025</v>
      </c>
      <c r="M1123"/>
      <c r="N1123"/>
      <c r="O1123"/>
      <c r="P1123" s="48">
        <f t="shared" si="1264"/>
        <v>13</v>
      </c>
      <c r="Q1123" s="47">
        <f t="shared" si="1261"/>
        <v>81681</v>
      </c>
      <c r="R1123" s="47">
        <f t="shared" si="1261"/>
        <v>74666</v>
      </c>
      <c r="S1123" s="47">
        <f t="shared" si="1261"/>
        <v>46604</v>
      </c>
      <c r="T1123" s="47">
        <f t="shared" si="1261"/>
        <v>27</v>
      </c>
      <c r="U1123" s="47">
        <f t="shared" si="1261"/>
        <v>0</v>
      </c>
      <c r="V1123" s="47">
        <f t="shared" si="1261"/>
        <v>0</v>
      </c>
      <c r="W1123" s="47">
        <f t="shared" si="1262"/>
        <v>825169004</v>
      </c>
      <c r="X1123" s="47">
        <f t="shared" si="1262"/>
        <v>10102.337189799342</v>
      </c>
      <c r="Y1123" s="47">
        <f t="shared" si="1262"/>
        <v>11051.469263118421</v>
      </c>
      <c r="Z1123" s="47">
        <f t="shared" si="1262"/>
        <v>17705.969530512401</v>
      </c>
      <c r="AA1123" s="47">
        <f t="shared" si="1262"/>
        <v>30561814.962962963</v>
      </c>
      <c r="AB1123" s="56" t="s">
        <v>73</v>
      </c>
      <c r="AC1123" s="20"/>
      <c r="AD1123" s="20"/>
    </row>
    <row r="1124" spans="2:30" ht="18.95">
      <c r="B1124" s="58" t="s">
        <v>48</v>
      </c>
      <c r="C1124" s="58" t="s">
        <v>49</v>
      </c>
      <c r="D1124" s="2"/>
      <c r="E1124"/>
      <c r="F1124"/>
      <c r="G1124"/>
      <c r="H1124"/>
      <c r="I1124"/>
      <c r="J1124" s="58"/>
      <c r="K1124" s="58" t="s">
        <v>257</v>
      </c>
      <c r="L1124" s="49">
        <f t="shared" si="1263"/>
        <v>2024</v>
      </c>
      <c r="M1124"/>
      <c r="N1124"/>
      <c r="O1124"/>
      <c r="P1124" s="48">
        <f t="shared" si="1264"/>
        <v>13</v>
      </c>
      <c r="Q1124" s="47">
        <f t="shared" si="1261"/>
        <v>171008</v>
      </c>
      <c r="R1124" s="47">
        <f t="shared" si="1261"/>
        <v>163864</v>
      </c>
      <c r="S1124" s="47">
        <f t="shared" si="1261"/>
        <v>135287</v>
      </c>
      <c r="T1124" s="47">
        <f t="shared" si="1261"/>
        <v>197</v>
      </c>
      <c r="U1124" s="47">
        <f t="shared" si="1261"/>
        <v>0</v>
      </c>
      <c r="V1124" s="47">
        <f t="shared" si="1261"/>
        <v>0</v>
      </c>
      <c r="W1124" s="47">
        <f t="shared" si="1262"/>
        <v>1250553116.0956125</v>
      </c>
      <c r="X1124" s="47">
        <f t="shared" si="1262"/>
        <v>7312.8339966294698</v>
      </c>
      <c r="Y1124" s="47">
        <f t="shared" si="1262"/>
        <v>7631.6525661256446</v>
      </c>
      <c r="Z1124" s="47">
        <f t="shared" si="1262"/>
        <v>9243.7049834471345</v>
      </c>
      <c r="AA1124" s="47">
        <f t="shared" si="1262"/>
        <v>6347985.3608914344</v>
      </c>
      <c r="AB1124" s="56" t="s">
        <v>73</v>
      </c>
      <c r="AC1124" s="20"/>
      <c r="AD1124" s="20"/>
    </row>
    <row r="1125" spans="2:30" ht="18.95">
      <c r="B1125" s="58" t="s">
        <v>48</v>
      </c>
      <c r="C1125" s="58" t="s">
        <v>49</v>
      </c>
      <c r="D1125" s="2"/>
      <c r="E1125"/>
      <c r="F1125"/>
      <c r="G1125"/>
      <c r="H1125"/>
      <c r="I1125"/>
      <c r="J1125" s="66"/>
      <c r="K1125" s="66" t="s">
        <v>260</v>
      </c>
      <c r="L1125" s="49">
        <f t="shared" si="1263"/>
        <v>2024</v>
      </c>
      <c r="M1125"/>
      <c r="N1125"/>
      <c r="O1125"/>
      <c r="P1125" s="48">
        <f t="shared" si="1264"/>
        <v>13</v>
      </c>
      <c r="Q1125" s="47">
        <f t="shared" si="1261"/>
        <v>229388</v>
      </c>
      <c r="R1125" s="47">
        <f t="shared" si="1261"/>
        <v>219354</v>
      </c>
      <c r="S1125" s="47">
        <f t="shared" si="1261"/>
        <v>181651</v>
      </c>
      <c r="T1125" s="47">
        <f t="shared" si="1261"/>
        <v>275</v>
      </c>
      <c r="U1125" s="47">
        <f t="shared" si="1261"/>
        <v>0</v>
      </c>
      <c r="V1125" s="47">
        <f t="shared" si="1261"/>
        <v>0</v>
      </c>
      <c r="W1125" s="47">
        <f t="shared" si="1262"/>
        <v>1653187746.5613675</v>
      </c>
      <c r="X1125" s="47">
        <f t="shared" si="1262"/>
        <v>7206.9495638889903</v>
      </c>
      <c r="Y1125" s="47">
        <f t="shared" si="1262"/>
        <v>7536.6200140474648</v>
      </c>
      <c r="Z1125" s="47">
        <f t="shared" si="1262"/>
        <v>9100.9008844507734</v>
      </c>
      <c r="AA1125" s="47">
        <f t="shared" si="1262"/>
        <v>6011591.8056776999</v>
      </c>
      <c r="AB1125" s="56" t="s">
        <v>73</v>
      </c>
      <c r="AC1125" s="20"/>
      <c r="AD1125" s="20"/>
    </row>
    <row r="1126" spans="2:30" ht="18.95">
      <c r="B1126" s="58" t="s">
        <v>48</v>
      </c>
      <c r="C1126" s="58" t="s">
        <v>49</v>
      </c>
      <c r="D1126" s="2"/>
      <c r="E1126"/>
      <c r="F1126"/>
      <c r="G1126"/>
      <c r="H1126"/>
      <c r="I1126"/>
      <c r="J1126" s="58"/>
      <c r="K1126" s="58" t="s">
        <v>262</v>
      </c>
      <c r="L1126" s="49">
        <f t="shared" si="1263"/>
        <v>2024</v>
      </c>
      <c r="M1126"/>
      <c r="N1126"/>
      <c r="O1126"/>
      <c r="P1126" s="48">
        <f t="shared" si="1264"/>
        <v>13</v>
      </c>
      <c r="Q1126" s="47">
        <f t="shared" si="1261"/>
        <v>213255</v>
      </c>
      <c r="R1126" s="47">
        <f t="shared" si="1261"/>
        <v>204354</v>
      </c>
      <c r="S1126" s="47">
        <f t="shared" si="1261"/>
        <v>168569</v>
      </c>
      <c r="T1126" s="47">
        <f t="shared" si="1261"/>
        <v>251</v>
      </c>
      <c r="U1126" s="47">
        <f t="shared" si="1261"/>
        <v>0</v>
      </c>
      <c r="V1126" s="47">
        <f t="shared" si="1261"/>
        <v>0</v>
      </c>
      <c r="W1126" s="47">
        <f t="shared" si="1262"/>
        <v>1545313296.8517439</v>
      </c>
      <c r="X1126" s="47">
        <f t="shared" si="1262"/>
        <v>7246.3168359557512</v>
      </c>
      <c r="Y1126" s="47">
        <f t="shared" si="1262"/>
        <v>7561.9429854651444</v>
      </c>
      <c r="Z1126" s="47">
        <f t="shared" si="1262"/>
        <v>9167.2448484107044</v>
      </c>
      <c r="AA1126" s="47">
        <f t="shared" si="1262"/>
        <v>6156626.6806842387</v>
      </c>
      <c r="AB1126" s="56" t="s">
        <v>73</v>
      </c>
      <c r="AC1126" s="20"/>
      <c r="AD1126" s="20"/>
    </row>
    <row r="1127" spans="2:30" ht="18.95">
      <c r="B1127" s="58" t="s">
        <v>48</v>
      </c>
      <c r="C1127" s="58" t="s">
        <v>49</v>
      </c>
      <c r="D1127" s="2"/>
      <c r="E1127"/>
      <c r="F1127"/>
      <c r="G1127"/>
      <c r="H1127"/>
      <c r="I1127"/>
      <c r="J1127" s="66"/>
      <c r="K1127" s="66" t="s">
        <v>265</v>
      </c>
      <c r="L1127" s="49">
        <f t="shared" si="1263"/>
        <v>2024</v>
      </c>
      <c r="M1127"/>
      <c r="N1127"/>
      <c r="O1127"/>
      <c r="P1127" s="48">
        <f t="shared" si="1264"/>
        <v>13</v>
      </c>
      <c r="Q1127" s="47">
        <f t="shared" si="1261"/>
        <v>207579</v>
      </c>
      <c r="R1127" s="47">
        <f t="shared" si="1261"/>
        <v>199777</v>
      </c>
      <c r="S1127" s="47">
        <f t="shared" si="1261"/>
        <v>168569</v>
      </c>
      <c r="T1127" s="47">
        <f t="shared" si="1261"/>
        <v>204</v>
      </c>
      <c r="U1127" s="47">
        <f t="shared" si="1261"/>
        <v>0</v>
      </c>
      <c r="V1127" s="47">
        <f t="shared" si="1261"/>
        <v>0</v>
      </c>
      <c r="W1127" s="47">
        <f t="shared" si="1262"/>
        <v>1398000000.0000002</v>
      </c>
      <c r="X1127" s="47">
        <f t="shared" si="1262"/>
        <v>6734.7853106528119</v>
      </c>
      <c r="Y1127" s="47">
        <f t="shared" si="1262"/>
        <v>6997.8025498430761</v>
      </c>
      <c r="Z1127" s="47">
        <f t="shared" si="1262"/>
        <v>8293.3398193024805</v>
      </c>
      <c r="AA1127" s="47">
        <f t="shared" si="1262"/>
        <v>6852941.176470588</v>
      </c>
      <c r="AB1127" s="56" t="s">
        <v>73</v>
      </c>
      <c r="AC1127" s="20"/>
      <c r="AD1127" s="20"/>
    </row>
    <row r="1128" spans="2:30" ht="18.95">
      <c r="B1128" s="58" t="s">
        <v>48</v>
      </c>
      <c r="C1128" s="58" t="s">
        <v>49</v>
      </c>
      <c r="D1128" s="2"/>
      <c r="E1128"/>
      <c r="F1128"/>
      <c r="G1128"/>
      <c r="H1128"/>
      <c r="I1128"/>
      <c r="J1128" s="58"/>
      <c r="K1128" s="58" t="s">
        <v>268</v>
      </c>
      <c r="L1128" s="49">
        <f t="shared" si="1263"/>
        <v>2025</v>
      </c>
      <c r="M1128"/>
      <c r="N1128"/>
      <c r="O1128"/>
      <c r="P1128" s="48">
        <f t="shared" si="1264"/>
        <v>13</v>
      </c>
      <c r="Q1128" s="47">
        <f t="shared" ref="Q1128:V1138" si="1265">SUMIF($K$2:$K$1056,$K1128,Q$2:Q$1056)/13</f>
        <v>334129</v>
      </c>
      <c r="R1128" s="47">
        <f t="shared" si="1265"/>
        <v>314578</v>
      </c>
      <c r="S1128" s="47">
        <f t="shared" si="1265"/>
        <v>236375</v>
      </c>
      <c r="T1128" s="47">
        <f t="shared" si="1265"/>
        <v>470</v>
      </c>
      <c r="U1128" s="47">
        <f t="shared" si="1265"/>
        <v>0</v>
      </c>
      <c r="V1128" s="47">
        <f t="shared" si="1265"/>
        <v>0</v>
      </c>
      <c r="W1128" s="47">
        <f t="shared" ref="W1128:AA1138" si="1266">SUMIF($K$2:$K$1056,$K1128,W$2:W$1056)</f>
        <v>2717066387.8623152</v>
      </c>
      <c r="X1128" s="47">
        <f t="shared" si="1266"/>
        <v>8131.788584236373</v>
      </c>
      <c r="Y1128" s="47">
        <f t="shared" si="1266"/>
        <v>8637.1786579554682</v>
      </c>
      <c r="Z1128" s="47">
        <f t="shared" si="1266"/>
        <v>11494.728240559769</v>
      </c>
      <c r="AA1128" s="47">
        <f t="shared" si="1266"/>
        <v>5780992.3146006688</v>
      </c>
      <c r="AB1128" s="56" t="s">
        <v>73</v>
      </c>
      <c r="AC1128" s="20"/>
      <c r="AD1128" s="20"/>
    </row>
    <row r="1129" spans="2:30" ht="18.95">
      <c r="B1129" s="58" t="s">
        <v>48</v>
      </c>
      <c r="C1129" s="58" t="s">
        <v>225</v>
      </c>
      <c r="D1129" s="2"/>
      <c r="E1129"/>
      <c r="F1129"/>
      <c r="G1129"/>
      <c r="H1129"/>
      <c r="I1129"/>
      <c r="J1129" s="58"/>
      <c r="K1129" s="58" t="s">
        <v>272</v>
      </c>
      <c r="L1129" s="49">
        <f t="shared" si="1263"/>
        <v>2014</v>
      </c>
      <c r="M1129"/>
      <c r="N1129"/>
      <c r="O1129"/>
      <c r="P1129" s="48">
        <f t="shared" si="1264"/>
        <v>13</v>
      </c>
      <c r="Q1129" s="47">
        <f t="shared" si="1265"/>
        <v>202831</v>
      </c>
      <c r="R1129" s="47">
        <f t="shared" si="1265"/>
        <v>182731</v>
      </c>
      <c r="S1129" s="47">
        <f t="shared" si="1265"/>
        <v>105415</v>
      </c>
      <c r="T1129" s="47">
        <f t="shared" si="1265"/>
        <v>0</v>
      </c>
      <c r="U1129" s="47">
        <f t="shared" si="1265"/>
        <v>0</v>
      </c>
      <c r="V1129" s="47">
        <f t="shared" si="1265"/>
        <v>0</v>
      </c>
      <c r="W1129" s="47">
        <f t="shared" si="1266"/>
        <v>1265784421.6600001</v>
      </c>
      <c r="X1129" s="47">
        <f t="shared" si="1266"/>
        <v>6240.5866049075339</v>
      </c>
      <c r="Y1129" s="47">
        <f t="shared" si="1266"/>
        <v>6927.0371292227373</v>
      </c>
      <c r="Z1129" s="47">
        <f t="shared" si="1266"/>
        <v>12007.630998055305</v>
      </c>
      <c r="AA1129" s="47">
        <f t="shared" si="1266"/>
        <v>0</v>
      </c>
      <c r="AB1129" s="56" t="s">
        <v>73</v>
      </c>
      <c r="AC1129" s="20"/>
      <c r="AD1129" s="20"/>
    </row>
    <row r="1130" spans="2:30" ht="18.95">
      <c r="B1130" s="58" t="s">
        <v>48</v>
      </c>
      <c r="C1130" s="58" t="s">
        <v>225</v>
      </c>
      <c r="D1130" s="2"/>
      <c r="E1130"/>
      <c r="F1130"/>
      <c r="G1130"/>
      <c r="H1130"/>
      <c r="I1130"/>
      <c r="J1130" s="58"/>
      <c r="K1130" s="58" t="s">
        <v>275</v>
      </c>
      <c r="L1130" s="49">
        <f t="shared" si="1263"/>
        <v>2018</v>
      </c>
      <c r="M1130"/>
      <c r="N1130"/>
      <c r="O1130"/>
      <c r="P1130" s="48">
        <f t="shared" si="1264"/>
        <v>13</v>
      </c>
      <c r="Q1130" s="47">
        <f t="shared" si="1265"/>
        <v>710185</v>
      </c>
      <c r="R1130" s="47">
        <f t="shared" si="1265"/>
        <v>603657</v>
      </c>
      <c r="S1130" s="47">
        <f t="shared" si="1265"/>
        <v>281965</v>
      </c>
      <c r="T1130" s="47">
        <f t="shared" si="1265"/>
        <v>0</v>
      </c>
      <c r="U1130" s="47">
        <f t="shared" si="1265"/>
        <v>0</v>
      </c>
      <c r="V1130" s="47">
        <f t="shared" si="1265"/>
        <v>0</v>
      </c>
      <c r="W1130" s="47">
        <f t="shared" si="1266"/>
        <v>3125524185</v>
      </c>
      <c r="X1130" s="47">
        <f t="shared" si="1266"/>
        <v>4401</v>
      </c>
      <c r="Y1130" s="47">
        <f t="shared" si="1266"/>
        <v>5177.6492031070629</v>
      </c>
      <c r="Z1130" s="47">
        <f t="shared" si="1266"/>
        <v>11084.794868157398</v>
      </c>
      <c r="AA1130" s="47">
        <f t="shared" si="1266"/>
        <v>0</v>
      </c>
      <c r="AB1130" s="56" t="s">
        <v>73</v>
      </c>
      <c r="AC1130" s="20"/>
      <c r="AD1130" s="20"/>
    </row>
    <row r="1131" spans="2:30" ht="18.95">
      <c r="B1131" s="58" t="s">
        <v>48</v>
      </c>
      <c r="C1131" s="58" t="s">
        <v>225</v>
      </c>
      <c r="D1131" s="2"/>
      <c r="E1131"/>
      <c r="F1131"/>
      <c r="G1131"/>
      <c r="H1131"/>
      <c r="I1131"/>
      <c r="J1131" s="58"/>
      <c r="K1131" s="66" t="s">
        <v>277</v>
      </c>
      <c r="L1131" s="49">
        <f t="shared" si="1263"/>
        <v>2018</v>
      </c>
      <c r="M1131"/>
      <c r="N1131"/>
      <c r="O1131"/>
      <c r="P1131" s="48">
        <f t="shared" si="1264"/>
        <v>13</v>
      </c>
      <c r="Q1131" s="47">
        <f t="shared" si="1265"/>
        <v>63518</v>
      </c>
      <c r="R1131" s="47">
        <f t="shared" si="1265"/>
        <v>57223</v>
      </c>
      <c r="S1131" s="47">
        <f t="shared" si="1265"/>
        <v>39498</v>
      </c>
      <c r="T1131" s="47">
        <f t="shared" si="1265"/>
        <v>0</v>
      </c>
      <c r="U1131" s="47">
        <f t="shared" si="1265"/>
        <v>0</v>
      </c>
      <c r="V1131" s="47">
        <f t="shared" si="1265"/>
        <v>0</v>
      </c>
      <c r="W1131" s="47">
        <f t="shared" si="1266"/>
        <v>532439373</v>
      </c>
      <c r="X1131" s="47">
        <f t="shared" si="1266"/>
        <v>8382.4958751849863</v>
      </c>
      <c r="Y1131" s="47">
        <f t="shared" si="1266"/>
        <v>9304.6392709225311</v>
      </c>
      <c r="Z1131" s="47">
        <f t="shared" si="1266"/>
        <v>13480.160337232264</v>
      </c>
      <c r="AA1131" s="47">
        <f t="shared" si="1266"/>
        <v>0</v>
      </c>
      <c r="AB1131" s="56" t="s">
        <v>73</v>
      </c>
      <c r="AC1131" s="20"/>
      <c r="AD1131" s="20"/>
    </row>
    <row r="1132" spans="2:30" ht="18.95">
      <c r="B1132" s="58" t="s">
        <v>48</v>
      </c>
      <c r="C1132" s="58" t="s">
        <v>225</v>
      </c>
      <c r="D1132" s="2"/>
      <c r="E1132"/>
      <c r="F1132"/>
      <c r="G1132"/>
      <c r="H1132"/>
      <c r="I1132"/>
      <c r="J1132" s="58"/>
      <c r="K1132" s="58" t="s">
        <v>280</v>
      </c>
      <c r="L1132" s="49">
        <f t="shared" si="1263"/>
        <v>2021</v>
      </c>
      <c r="M1132"/>
      <c r="N1132"/>
      <c r="O1132"/>
      <c r="P1132" s="48">
        <f t="shared" si="1264"/>
        <v>13</v>
      </c>
      <c r="Q1132" s="47">
        <f t="shared" si="1265"/>
        <v>13539</v>
      </c>
      <c r="R1132" s="47">
        <f t="shared" si="1265"/>
        <v>13225</v>
      </c>
      <c r="S1132" s="47">
        <f t="shared" si="1265"/>
        <v>11508</v>
      </c>
      <c r="T1132" s="47">
        <f t="shared" si="1265"/>
        <v>0</v>
      </c>
      <c r="U1132" s="47">
        <f t="shared" si="1265"/>
        <v>0</v>
      </c>
      <c r="V1132" s="47">
        <f t="shared" si="1265"/>
        <v>0</v>
      </c>
      <c r="W1132" s="47">
        <f t="shared" si="1266"/>
        <v>74837156</v>
      </c>
      <c r="X1132" s="47">
        <f t="shared" si="1266"/>
        <v>5527.5246325430235</v>
      </c>
      <c r="Y1132" s="47">
        <f t="shared" si="1266"/>
        <v>5658.7641587901699</v>
      </c>
      <c r="Z1132" s="47">
        <f t="shared" si="1266"/>
        <v>6503.0549183176927</v>
      </c>
      <c r="AA1132" s="47">
        <f t="shared" si="1266"/>
        <v>0</v>
      </c>
      <c r="AB1132" s="56" t="s">
        <v>73</v>
      </c>
      <c r="AC1132" s="20"/>
      <c r="AD1132" s="20"/>
    </row>
    <row r="1133" spans="2:30" ht="18.95">
      <c r="B1133" s="58" t="s">
        <v>48</v>
      </c>
      <c r="C1133" s="58" t="s">
        <v>225</v>
      </c>
      <c r="D1133" s="2"/>
      <c r="E1133"/>
      <c r="F1133"/>
      <c r="G1133"/>
      <c r="H1133"/>
      <c r="I1133"/>
      <c r="J1133" s="58"/>
      <c r="K1133" s="66" t="s">
        <v>283</v>
      </c>
      <c r="L1133" s="49">
        <f t="shared" si="1263"/>
        <v>2023</v>
      </c>
      <c r="M1133"/>
      <c r="N1133"/>
      <c r="O1133"/>
      <c r="P1133" s="48">
        <f t="shared" si="1264"/>
        <v>13</v>
      </c>
      <c r="Q1133" s="47">
        <f t="shared" si="1265"/>
        <v>4266</v>
      </c>
      <c r="R1133" s="47">
        <f t="shared" si="1265"/>
        <v>4170</v>
      </c>
      <c r="S1133" s="47">
        <f t="shared" si="1265"/>
        <v>2635</v>
      </c>
      <c r="T1133" s="47">
        <f t="shared" si="1265"/>
        <v>0</v>
      </c>
      <c r="U1133" s="47">
        <f t="shared" si="1265"/>
        <v>0</v>
      </c>
      <c r="V1133" s="47">
        <f t="shared" si="1265"/>
        <v>0</v>
      </c>
      <c r="W1133" s="47">
        <f t="shared" si="1266"/>
        <v>22450000</v>
      </c>
      <c r="X1133" s="47">
        <f t="shared" si="1266"/>
        <v>5262.541022034693</v>
      </c>
      <c r="Y1133" s="47">
        <f t="shared" si="1266"/>
        <v>5383.6930455635493</v>
      </c>
      <c r="Z1133" s="47">
        <f t="shared" si="1266"/>
        <v>8519.9240986717268</v>
      </c>
      <c r="AA1133" s="47">
        <f t="shared" si="1266"/>
        <v>0</v>
      </c>
      <c r="AB1133" s="56" t="s">
        <v>73</v>
      </c>
      <c r="AC1133" s="20"/>
      <c r="AD1133" s="20"/>
    </row>
    <row r="1134" spans="2:30" ht="18.95">
      <c r="B1134" s="58" t="s">
        <v>48</v>
      </c>
      <c r="C1134" s="58" t="s">
        <v>225</v>
      </c>
      <c r="D1134" s="2"/>
      <c r="E1134"/>
      <c r="F1134"/>
      <c r="G1134"/>
      <c r="H1134"/>
      <c r="I1134"/>
      <c r="J1134" s="58"/>
      <c r="K1134" s="58" t="s">
        <v>285</v>
      </c>
      <c r="L1134" s="49">
        <f t="shared" si="1263"/>
        <v>2025</v>
      </c>
      <c r="M1134"/>
      <c r="N1134"/>
      <c r="O1134"/>
      <c r="P1134" s="48">
        <f t="shared" si="1264"/>
        <v>13</v>
      </c>
      <c r="Q1134" s="47">
        <f t="shared" si="1265"/>
        <v>5106</v>
      </c>
      <c r="R1134" s="47">
        <f t="shared" si="1265"/>
        <v>4595</v>
      </c>
      <c r="S1134" s="47">
        <f t="shared" si="1265"/>
        <v>4120</v>
      </c>
      <c r="T1134" s="47">
        <f t="shared" si="1265"/>
        <v>0</v>
      </c>
      <c r="U1134" s="47">
        <f t="shared" si="1265"/>
        <v>0</v>
      </c>
      <c r="V1134" s="47">
        <f t="shared" si="1265"/>
        <v>0</v>
      </c>
      <c r="W1134" s="47">
        <f t="shared" si="1266"/>
        <v>41000000</v>
      </c>
      <c r="X1134" s="47">
        <f t="shared" si="1266"/>
        <v>8029.7688993341162</v>
      </c>
      <c r="Y1134" s="47">
        <f t="shared" si="1266"/>
        <v>8922.7421109902079</v>
      </c>
      <c r="Z1134" s="47">
        <f t="shared" si="1266"/>
        <v>9951.4563106796122</v>
      </c>
      <c r="AA1134" s="47">
        <f t="shared" si="1266"/>
        <v>0</v>
      </c>
      <c r="AB1134" s="56" t="s">
        <v>73</v>
      </c>
      <c r="AC1134" s="20"/>
      <c r="AD1134" s="20"/>
    </row>
    <row r="1135" spans="2:30" ht="18.95">
      <c r="B1135" s="58" t="s">
        <v>48</v>
      </c>
      <c r="C1135" s="54" t="s">
        <v>114</v>
      </c>
      <c r="D1135" s="2"/>
      <c r="E1135"/>
      <c r="F1135"/>
      <c r="G1135"/>
      <c r="H1135"/>
      <c r="I1135"/>
      <c r="J1135" s="58"/>
      <c r="K1135" s="66" t="s">
        <v>287</v>
      </c>
      <c r="L1135" s="49">
        <f t="shared" si="1263"/>
        <v>2025</v>
      </c>
      <c r="M1135"/>
      <c r="N1135"/>
      <c r="O1135"/>
      <c r="P1135" s="48">
        <f t="shared" si="1264"/>
        <v>13</v>
      </c>
      <c r="Q1135" s="47">
        <f t="shared" si="1265"/>
        <v>164530</v>
      </c>
      <c r="R1135" s="47">
        <f t="shared" si="1265"/>
        <v>152584</v>
      </c>
      <c r="S1135" s="47">
        <f t="shared" si="1265"/>
        <v>104799</v>
      </c>
      <c r="T1135" s="47">
        <f t="shared" si="1265"/>
        <v>1086</v>
      </c>
      <c r="U1135" s="47">
        <f t="shared" si="1265"/>
        <v>0</v>
      </c>
      <c r="V1135" s="47">
        <f t="shared" si="1265"/>
        <v>0</v>
      </c>
      <c r="W1135" s="47">
        <f t="shared" si="1266"/>
        <v>955038000.39999998</v>
      </c>
      <c r="X1135" s="47">
        <f t="shared" si="1266"/>
        <v>5804.643532486476</v>
      </c>
      <c r="Y1135" s="47">
        <f t="shared" si="1266"/>
        <v>6259.0966313637073</v>
      </c>
      <c r="Z1135" s="47">
        <f t="shared" si="1266"/>
        <v>9113.044975619996</v>
      </c>
      <c r="AA1135" s="47">
        <f t="shared" si="1266"/>
        <v>879408.84014732949</v>
      </c>
      <c r="AB1135" s="56" t="s">
        <v>73</v>
      </c>
      <c r="AC1135" s="20"/>
      <c r="AD1135" s="20"/>
    </row>
    <row r="1136" spans="2:30" ht="18.95">
      <c r="B1136" s="58" t="s">
        <v>48</v>
      </c>
      <c r="C1136" s="54" t="s">
        <v>114</v>
      </c>
      <c r="D1136" s="2"/>
      <c r="E1136"/>
      <c r="F1136"/>
      <c r="G1136"/>
      <c r="H1136"/>
      <c r="I1136"/>
      <c r="J1136" s="58"/>
      <c r="K1136" s="58" t="s">
        <v>289</v>
      </c>
      <c r="L1136" s="49">
        <f t="shared" si="1263"/>
        <v>2025</v>
      </c>
      <c r="M1136"/>
      <c r="N1136"/>
      <c r="O1136"/>
      <c r="P1136" s="48">
        <f t="shared" si="1264"/>
        <v>13</v>
      </c>
      <c r="Q1136" s="47">
        <f t="shared" si="1265"/>
        <v>114619</v>
      </c>
      <c r="R1136" s="47">
        <f t="shared" si="1265"/>
        <v>105936</v>
      </c>
      <c r="S1136" s="47">
        <f t="shared" si="1265"/>
        <v>68881</v>
      </c>
      <c r="T1136" s="47">
        <f t="shared" si="1265"/>
        <v>546</v>
      </c>
      <c r="U1136" s="47">
        <f t="shared" si="1265"/>
        <v>0</v>
      </c>
      <c r="V1136" s="47">
        <f t="shared" si="1265"/>
        <v>0</v>
      </c>
      <c r="W1136" s="47">
        <f t="shared" si="1266"/>
        <v>684845751.99999988</v>
      </c>
      <c r="X1136" s="47">
        <f t="shared" si="1266"/>
        <v>5974.9758068034089</v>
      </c>
      <c r="Y1136" s="47">
        <f t="shared" si="1266"/>
        <v>6464.7122035946231</v>
      </c>
      <c r="Z1136" s="47">
        <f t="shared" si="1266"/>
        <v>9942.447873869427</v>
      </c>
      <c r="AA1136" s="47">
        <f t="shared" si="1266"/>
        <v>1254296.2490842489</v>
      </c>
      <c r="AB1136" s="56" t="s">
        <v>73</v>
      </c>
      <c r="AC1136" s="20"/>
      <c r="AD1136" s="20"/>
    </row>
    <row r="1137" spans="2:30" ht="18.95">
      <c r="B1137" s="58" t="s">
        <v>48</v>
      </c>
      <c r="C1137" s="54" t="s">
        <v>114</v>
      </c>
      <c r="D1137" s="2"/>
      <c r="E1137"/>
      <c r="F1137"/>
      <c r="G1137"/>
      <c r="H1137"/>
      <c r="I1137"/>
      <c r="J1137" s="58"/>
      <c r="K1137" s="66" t="s">
        <v>292</v>
      </c>
      <c r="L1137" s="49">
        <f t="shared" si="1263"/>
        <v>2025</v>
      </c>
      <c r="M1137"/>
      <c r="N1137"/>
      <c r="O1137"/>
      <c r="P1137" s="48">
        <f t="shared" si="1264"/>
        <v>13</v>
      </c>
      <c r="Q1137" s="47">
        <f t="shared" si="1265"/>
        <v>118167</v>
      </c>
      <c r="R1137" s="47">
        <f t="shared" si="1265"/>
        <v>105347</v>
      </c>
      <c r="S1137" s="47">
        <f t="shared" si="1265"/>
        <v>69024</v>
      </c>
      <c r="T1137" s="47">
        <f t="shared" si="1265"/>
        <v>535</v>
      </c>
      <c r="U1137" s="47">
        <f t="shared" si="1265"/>
        <v>0</v>
      </c>
      <c r="V1137" s="47">
        <f t="shared" si="1265"/>
        <v>0</v>
      </c>
      <c r="W1137" s="47">
        <f t="shared" si="1266"/>
        <v>675737018.99999988</v>
      </c>
      <c r="X1137" s="47">
        <f t="shared" si="1266"/>
        <v>5718.4917870471436</v>
      </c>
      <c r="Y1137" s="47">
        <f t="shared" si="1266"/>
        <v>6414.392616780734</v>
      </c>
      <c r="Z1137" s="47">
        <f t="shared" si="1266"/>
        <v>9789.8849530598054</v>
      </c>
      <c r="AA1137" s="47">
        <f t="shared" si="1266"/>
        <v>1263059.8485981305</v>
      </c>
      <c r="AB1137" s="56" t="s">
        <v>73</v>
      </c>
      <c r="AC1137" s="20"/>
      <c r="AD1137" s="20"/>
    </row>
    <row r="1138" spans="2:30" ht="18.95">
      <c r="B1138" s="58" t="s">
        <v>48</v>
      </c>
      <c r="C1138" s="54" t="s">
        <v>49</v>
      </c>
      <c r="D1138" s="2"/>
      <c r="E1138"/>
      <c r="F1138"/>
      <c r="G1138"/>
      <c r="H1138"/>
      <c r="I1138"/>
      <c r="J1138" s="58"/>
      <c r="K1138" s="58" t="s">
        <v>294</v>
      </c>
      <c r="L1138" s="49">
        <f t="shared" si="1263"/>
        <v>2025</v>
      </c>
      <c r="M1138"/>
      <c r="N1138"/>
      <c r="O1138"/>
      <c r="P1138" s="48">
        <f t="shared" si="1264"/>
        <v>13</v>
      </c>
      <c r="Q1138" s="47">
        <f t="shared" si="1265"/>
        <v>37917</v>
      </c>
      <c r="R1138" s="47">
        <f t="shared" si="1265"/>
        <v>34151</v>
      </c>
      <c r="S1138" s="47">
        <f t="shared" si="1265"/>
        <v>22689</v>
      </c>
      <c r="T1138" s="47">
        <f t="shared" si="1265"/>
        <v>38</v>
      </c>
      <c r="U1138" s="47">
        <f t="shared" si="1265"/>
        <v>0</v>
      </c>
      <c r="V1138" s="47">
        <f t="shared" si="1265"/>
        <v>0</v>
      </c>
      <c r="W1138" s="47">
        <f t="shared" si="1266"/>
        <v>389299999.74239999</v>
      </c>
      <c r="X1138" s="47">
        <f t="shared" si="1266"/>
        <v>10267.162479689849</v>
      </c>
      <c r="Y1138" s="47">
        <f t="shared" si="1266"/>
        <v>11399.373363661387</v>
      </c>
      <c r="Z1138" s="47">
        <f t="shared" si="1266"/>
        <v>17158.094219330953</v>
      </c>
      <c r="AA1138" s="47">
        <f t="shared" si="1266"/>
        <v>10244736.835326314</v>
      </c>
      <c r="AB1138" s="56" t="s">
        <v>73</v>
      </c>
      <c r="AC1138" s="20"/>
      <c r="AD1138" s="20"/>
    </row>
    <row r="1139" spans="2:30" ht="18.95">
      <c r="B1139" s="2"/>
      <c r="C1139" s="58"/>
      <c r="D1139" s="2"/>
      <c r="E1139"/>
      <c r="F1139"/>
      <c r="G1139"/>
      <c r="H1139"/>
      <c r="I1139"/>
      <c r="J1139" s="2"/>
      <c r="K1139" s="2"/>
      <c r="L1139" s="103"/>
      <c r="M1139"/>
      <c r="N1139"/>
      <c r="O1139"/>
      <c r="P1139" s="104"/>
      <c r="Q1139" s="105"/>
      <c r="R1139" s="105"/>
      <c r="S1139" s="105"/>
      <c r="T1139" s="105"/>
      <c r="U1139" s="105"/>
      <c r="V1139" s="105"/>
      <c r="W1139" s="105"/>
      <c r="X1139" s="105"/>
      <c r="Y1139" s="105"/>
      <c r="Z1139" s="105"/>
      <c r="AA1139" s="105"/>
      <c r="AB1139" s="106"/>
      <c r="AC1139" s="20"/>
      <c r="AD1139" s="20"/>
    </row>
    <row r="1140" spans="2:30">
      <c r="C1140" s="58"/>
      <c r="D1140" s="2"/>
      <c r="Q1140" s="50">
        <f>SUM(Q3:Q1056)/13-SUM(Q1058:Q1139)</f>
        <v>0</v>
      </c>
      <c r="R1140" s="50">
        <f t="shared" ref="R1140:T1140" si="1267">SUM(R3:R1056)/13-SUM(R1058:R1139)</f>
        <v>0</v>
      </c>
      <c r="S1140" s="50">
        <f t="shared" si="1267"/>
        <v>0</v>
      </c>
      <c r="T1140" s="50">
        <f t="shared" si="1267"/>
        <v>0</v>
      </c>
      <c r="U1140" s="35">
        <f>SUM(U3:U1056)-SUM(U1058:U1139)</f>
        <v>0</v>
      </c>
      <c r="V1140" s="35">
        <f t="shared" ref="V1140:W1140" si="1268">SUM(V3:V1056)-SUM(V1058:V1139)</f>
        <v>0</v>
      </c>
      <c r="W1140" s="35">
        <f t="shared" si="1268"/>
        <v>0</v>
      </c>
      <c r="X1140" s="35">
        <f t="shared" ref="X1140" si="1269">SUM(X3:X1056)-SUM(X1058:X1139)</f>
        <v>0</v>
      </c>
      <c r="Y1140" s="35">
        <f t="shared" ref="Y1140" si="1270">SUM(Y3:Y1056)-SUM(Y1058:Y1139)</f>
        <v>0</v>
      </c>
      <c r="Z1140" s="35">
        <f t="shared" ref="Z1140" si="1271">SUM(Z3:Z1056)-SUM(Z1058:Z1139)</f>
        <v>0</v>
      </c>
      <c r="AA1140" s="35">
        <f t="shared" ref="AA1140" si="1272">SUM(AA3:AA1056)-SUM(AA1058:AA1139)</f>
        <v>0</v>
      </c>
    </row>
  </sheetData>
  <autoFilter ref="A1:AB1140" xr:uid="{653E6547-0AEE-2C48-9055-67B151732810}"/>
  <phoneticPr fontId="9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19B6-4CD0-204C-A4C2-3998E62A2E4D}">
  <dimension ref="A1:K41"/>
  <sheetViews>
    <sheetView workbookViewId="0">
      <selection activeCell="E19" sqref="E19"/>
    </sheetView>
  </sheetViews>
  <sheetFormatPr defaultColWidth="11.42578125" defaultRowHeight="15"/>
  <cols>
    <col min="1" max="1" width="26.7109375" customWidth="1"/>
    <col min="2" max="9" width="21.42578125" customWidth="1"/>
    <col min="10" max="10" width="2.140625" customWidth="1"/>
    <col min="11" max="11" width="21.42578125" customWidth="1"/>
  </cols>
  <sheetData>
    <row r="1" spans="1:11" ht="20.100000000000001" customHeight="1"/>
    <row r="2" spans="1:11" ht="18.95">
      <c r="B2" s="99">
        <f>COUNTIF(Data!$C$2:$C$1056,Sheet1!B3)/13</f>
        <v>18</v>
      </c>
      <c r="C2" s="99">
        <f>COUNTIF(Data!$C$2:$C$1056,Sheet1!C3)/13</f>
        <v>10</v>
      </c>
      <c r="D2" s="99">
        <f>COUNTIF(Data!$C$2:$C$1056,Sheet1!D3)/13</f>
        <v>26</v>
      </c>
      <c r="E2" s="99">
        <f>COUNTIF(Data!$C$2:$C$1056,Sheet1!E3)/13</f>
        <v>2</v>
      </c>
      <c r="F2" s="99">
        <f>COUNTIF(Data!$C$2:$C$1056,Sheet1!F3)/13</f>
        <v>7</v>
      </c>
      <c r="G2" s="99">
        <f>COUNTIF(Data!$C$2:$C$1056,Sheet1!G3)/13</f>
        <v>6</v>
      </c>
      <c r="H2" s="99">
        <f>COUNTIF(Data!$C$2:$C$1056,Sheet1!H3)/13</f>
        <v>6</v>
      </c>
      <c r="I2" s="99">
        <f>COUNTIF(Data!$C$2:$C$1056,Sheet1!I3)/13</f>
        <v>5</v>
      </c>
      <c r="J2" s="100"/>
      <c r="K2" s="100"/>
    </row>
    <row r="3" spans="1:11" s="94" customFormat="1" ht="20.100000000000001">
      <c r="B3" s="101" t="s">
        <v>49</v>
      </c>
      <c r="C3" s="101" t="s">
        <v>19</v>
      </c>
      <c r="D3" s="101" t="s">
        <v>114</v>
      </c>
      <c r="E3" s="101" t="s">
        <v>118</v>
      </c>
      <c r="F3" s="101" t="s">
        <v>225</v>
      </c>
      <c r="G3" s="101" t="s">
        <v>193</v>
      </c>
      <c r="H3" s="101" t="s">
        <v>180</v>
      </c>
      <c r="I3" s="101" t="s">
        <v>210</v>
      </c>
      <c r="J3" s="102"/>
      <c r="K3" s="101" t="s">
        <v>296</v>
      </c>
    </row>
    <row r="5" spans="1:11">
      <c r="A5" s="62" t="s">
        <v>55</v>
      </c>
      <c r="B5" s="95">
        <f>SUMIFS(Data!$W$2:$W$1056,Data!$U$2:$U$1056,Sheet1!$A5,Data!$C$2:$C$1056,Sheet1!B$3)</f>
        <v>833642482.98325908</v>
      </c>
      <c r="C5" s="95">
        <f>SUMIFS(Data!$W$2:$W$1056,Data!$U$2:$U$1056,Sheet1!$A5,Data!$C$2:$C$1056,Sheet1!C$3)</f>
        <v>165729953</v>
      </c>
      <c r="D5" s="95">
        <f>SUMIFS(Data!$W$2:$W$1056,Data!$U$2:$U$1056,Sheet1!$A5,Data!$C$2:$C$1056,Sheet1!D$3)</f>
        <v>975172203.1135211</v>
      </c>
      <c r="E5" s="95">
        <f>SUMIFS(Data!$W$2:$W$1056,Data!$U$2:$U$1056,Sheet1!$A5,Data!$C$2:$C$1056,Sheet1!E$3)</f>
        <v>64146912.624437012</v>
      </c>
      <c r="F5" s="95">
        <f>SUMIFS(Data!$W$2:$W$1056,Data!$U$2:$U$1056,Sheet1!$A5,Data!$C$2:$C$1056,Sheet1!F$3)</f>
        <v>428561098.40599018</v>
      </c>
      <c r="G5" s="95">
        <f>SUMIFS(Data!$W$2:$W$1056,Data!$U$2:$U$1056,Sheet1!$A5,Data!$C$2:$C$1056,Sheet1!G$3)</f>
        <v>255898420.93212682</v>
      </c>
      <c r="H5" s="95">
        <f>SUMIFS(Data!$W$2:$W$1056,Data!$U$2:$U$1056,Sheet1!$A5,Data!$C$2:$C$1056,Sheet1!H$3)</f>
        <v>341002306.55922043</v>
      </c>
      <c r="I5" s="95">
        <f>SUMIFS(Data!$W$2:$W$1056,Data!$U$2:$U$1056,Sheet1!$A5,Data!$C$2:$C$1056,Sheet1!I$3)</f>
        <v>89262397.444404438</v>
      </c>
      <c r="K5" s="95">
        <f>SUM(B5:J5)</f>
        <v>3153415775.0629597</v>
      </c>
    </row>
    <row r="6" spans="1:11">
      <c r="A6" s="62" t="s">
        <v>58</v>
      </c>
      <c r="B6" s="95">
        <f>SUMIFS(Data!$W$2:$W$1056,Data!$U$2:$U$1056,Sheet1!$A6,Data!$C$2:$C$1056,Sheet1!B$3)</f>
        <v>1863061780.644908</v>
      </c>
      <c r="C6" s="95">
        <f>SUMIFS(Data!$W$2:$W$1056,Data!$U$2:$U$1056,Sheet1!$A6,Data!$C$2:$C$1056,Sheet1!C$3)</f>
        <v>389116402</v>
      </c>
      <c r="D6" s="95">
        <f>SUMIFS(Data!$W$2:$W$1056,Data!$U$2:$U$1056,Sheet1!$A6,Data!$C$2:$C$1056,Sheet1!D$3)</f>
        <v>1879256838.1884737</v>
      </c>
      <c r="E6" s="95">
        <f>SUMIFS(Data!$W$2:$W$1056,Data!$U$2:$U$1056,Sheet1!$A6,Data!$C$2:$C$1056,Sheet1!E$3)</f>
        <v>116194088.48525922</v>
      </c>
      <c r="F6" s="95">
        <f>SUMIFS(Data!$W$2:$W$1056,Data!$U$2:$U$1056,Sheet1!$A6,Data!$C$2:$C$1056,Sheet1!F$3)</f>
        <v>1271237483.6160033</v>
      </c>
      <c r="G6" s="95">
        <f>SUMIFS(Data!$W$2:$W$1056,Data!$U$2:$U$1056,Sheet1!$A6,Data!$C$2:$C$1056,Sheet1!G$3)</f>
        <v>264423806.75320494</v>
      </c>
      <c r="H6" s="95">
        <f>SUMIFS(Data!$W$2:$W$1056,Data!$U$2:$U$1056,Sheet1!$A6,Data!$C$2:$C$1056,Sheet1!H$3)</f>
        <v>587771596.81686735</v>
      </c>
      <c r="I6" s="95">
        <f>SUMIFS(Data!$W$2:$W$1056,Data!$U$2:$U$1056,Sheet1!$A6,Data!$C$2:$C$1056,Sheet1!I$3)</f>
        <v>293292843.11852711</v>
      </c>
      <c r="K6" s="95">
        <f t="shared" ref="K6:K17" si="0">SUM(B6:J6)</f>
        <v>6664354839.6232443</v>
      </c>
    </row>
    <row r="7" spans="1:11">
      <c r="A7" s="62" t="s">
        <v>59</v>
      </c>
      <c r="B7" s="95">
        <f>SUMIFS(Data!$W$2:$W$1056,Data!$U$2:$U$1056,Sheet1!$A7,Data!$C$2:$C$1056,Sheet1!B$3)</f>
        <v>2876364745.3019423</v>
      </c>
      <c r="C7" s="95">
        <f>SUMIFS(Data!$W$2:$W$1056,Data!$U$2:$U$1056,Sheet1!$A7,Data!$C$2:$C$1056,Sheet1!C$3)</f>
        <v>240965617</v>
      </c>
      <c r="D7" s="95">
        <f>SUMIFS(Data!$W$2:$W$1056,Data!$U$2:$U$1056,Sheet1!$A7,Data!$C$2:$C$1056,Sheet1!D$3)</f>
        <v>1563142002.6129656</v>
      </c>
      <c r="E7" s="95">
        <f>SUMIFS(Data!$W$2:$W$1056,Data!$U$2:$U$1056,Sheet1!$A7,Data!$C$2:$C$1056,Sheet1!E$3)</f>
        <v>109461413.23265493</v>
      </c>
      <c r="F7" s="95">
        <f>SUMIFS(Data!$W$2:$W$1056,Data!$U$2:$U$1056,Sheet1!$A7,Data!$C$2:$C$1056,Sheet1!F$3)</f>
        <v>201660018.55429977</v>
      </c>
      <c r="G7" s="95">
        <f>SUMIFS(Data!$W$2:$W$1056,Data!$U$2:$U$1056,Sheet1!$A7,Data!$C$2:$C$1056,Sheet1!G$3)</f>
        <v>150547267.23363569</v>
      </c>
      <c r="H7" s="95">
        <f>SUMIFS(Data!$W$2:$W$1056,Data!$U$2:$U$1056,Sheet1!$A7,Data!$C$2:$C$1056,Sheet1!H$3)</f>
        <v>429018558.10483313</v>
      </c>
      <c r="I7" s="95">
        <f>SUMIFS(Data!$W$2:$W$1056,Data!$U$2:$U$1056,Sheet1!$A7,Data!$C$2:$C$1056,Sheet1!I$3)</f>
        <v>412980940.33907205</v>
      </c>
      <c r="K7" s="95">
        <f t="shared" si="0"/>
        <v>5984140562.3794031</v>
      </c>
    </row>
    <row r="8" spans="1:11">
      <c r="A8" s="62" t="s">
        <v>60</v>
      </c>
      <c r="B8" s="95">
        <f>SUMIFS(Data!$W$2:$W$1056,Data!$U$2:$U$1056,Sheet1!$A8,Data!$C$2:$C$1056,Sheet1!B$3)</f>
        <v>687333442.81750762</v>
      </c>
      <c r="C8" s="95">
        <f>SUMIFS(Data!$W$2:$W$1056,Data!$U$2:$U$1056,Sheet1!$A8,Data!$C$2:$C$1056,Sheet1!C$3)</f>
        <v>123740571</v>
      </c>
      <c r="D8" s="95">
        <f>SUMIFS(Data!$W$2:$W$1056,Data!$U$2:$U$1056,Sheet1!$A8,Data!$C$2:$C$1056,Sheet1!D$3)</f>
        <v>610903861.06910789</v>
      </c>
      <c r="E8" s="95">
        <f>SUMIFS(Data!$W$2:$W$1056,Data!$U$2:$U$1056,Sheet1!$A8,Data!$C$2:$C$1056,Sheet1!E$3)</f>
        <v>43492866.604667485</v>
      </c>
      <c r="F8" s="95">
        <f>SUMIFS(Data!$W$2:$W$1056,Data!$U$2:$U$1056,Sheet1!$A8,Data!$C$2:$C$1056,Sheet1!F$3)</f>
        <v>182543366.28800079</v>
      </c>
      <c r="G8" s="95">
        <f>SUMIFS(Data!$W$2:$W$1056,Data!$U$2:$U$1056,Sheet1!$A8,Data!$C$2:$C$1056,Sheet1!G$3)</f>
        <v>47569665.167700306</v>
      </c>
      <c r="H8" s="95">
        <f>SUMIFS(Data!$W$2:$W$1056,Data!$U$2:$U$1056,Sheet1!$A8,Data!$C$2:$C$1056,Sheet1!H$3)</f>
        <v>130112765.5193481</v>
      </c>
      <c r="I8" s="95">
        <f>SUMIFS(Data!$W$2:$W$1056,Data!$U$2:$U$1056,Sheet1!$A8,Data!$C$2:$C$1056,Sheet1!I$3)</f>
        <v>36536479.430631042</v>
      </c>
      <c r="K8" s="95">
        <f t="shared" si="0"/>
        <v>1862233017.8969631</v>
      </c>
    </row>
    <row r="9" spans="1:11">
      <c r="A9" s="62" t="s">
        <v>61</v>
      </c>
      <c r="B9" s="95">
        <f>SUMIFS(Data!$W$2:$W$1056,Data!$U$2:$U$1056,Sheet1!$A9,Data!$C$2:$C$1056,Sheet1!B$3)</f>
        <v>2010852868.622304</v>
      </c>
      <c r="C9" s="95">
        <f>SUMIFS(Data!$W$2:$W$1056,Data!$U$2:$U$1056,Sheet1!$A9,Data!$C$2:$C$1056,Sheet1!C$3)</f>
        <v>206822062</v>
      </c>
      <c r="D9" s="95">
        <f>SUMIFS(Data!$W$2:$W$1056,Data!$U$2:$U$1056,Sheet1!$A9,Data!$C$2:$C$1056,Sheet1!D$3)</f>
        <v>1367678548.258574</v>
      </c>
      <c r="E9" s="95">
        <f>SUMIFS(Data!$W$2:$W$1056,Data!$U$2:$U$1056,Sheet1!$A9,Data!$C$2:$C$1056,Sheet1!E$3)</f>
        <v>132519780.33724047</v>
      </c>
      <c r="F9" s="95">
        <f>SUMIFS(Data!$W$2:$W$1056,Data!$U$2:$U$1056,Sheet1!$A9,Data!$C$2:$C$1056,Sheet1!F$3)</f>
        <v>462151310.01699042</v>
      </c>
      <c r="G9" s="95">
        <f>SUMIFS(Data!$W$2:$W$1056,Data!$U$2:$U$1056,Sheet1!$A9,Data!$C$2:$C$1056,Sheet1!G$3)</f>
        <v>101360116.30218622</v>
      </c>
      <c r="H9" s="95">
        <f>SUMIFS(Data!$W$2:$W$1056,Data!$U$2:$U$1056,Sheet1!$A9,Data!$C$2:$C$1056,Sheet1!H$3)</f>
        <v>603642597.14643872</v>
      </c>
      <c r="I9" s="95">
        <f>SUMIFS(Data!$W$2:$W$1056,Data!$U$2:$U$1056,Sheet1!$A9,Data!$C$2:$C$1056,Sheet1!I$3)</f>
        <v>132342349.72172716</v>
      </c>
      <c r="K9" s="95">
        <f t="shared" si="0"/>
        <v>5017369632.4054613</v>
      </c>
    </row>
    <row r="10" spans="1:11">
      <c r="A10" s="62" t="s">
        <v>62</v>
      </c>
      <c r="B10" s="95">
        <f>SUMIFS(Data!$W$2:$W$1056,Data!$U$2:$U$1056,Sheet1!$A10,Data!$C$2:$C$1056,Sheet1!B$3)</f>
        <v>944033326.58611977</v>
      </c>
      <c r="C10" s="95">
        <f>SUMIFS(Data!$W$2:$W$1056,Data!$U$2:$U$1056,Sheet1!$A10,Data!$C$2:$C$1056,Sheet1!C$3)</f>
        <v>153651984</v>
      </c>
      <c r="D10" s="95">
        <f>SUMIFS(Data!$W$2:$W$1056,Data!$U$2:$U$1056,Sheet1!$A10,Data!$C$2:$C$1056,Sheet1!D$3)</f>
        <v>703530768.62110281</v>
      </c>
      <c r="E10" s="95">
        <f>SUMIFS(Data!$W$2:$W$1056,Data!$U$2:$U$1056,Sheet1!$A10,Data!$C$2:$C$1056,Sheet1!E$3)</f>
        <v>105754997.40386876</v>
      </c>
      <c r="F10" s="95">
        <f>SUMIFS(Data!$W$2:$W$1056,Data!$U$2:$U$1056,Sheet1!$A10,Data!$C$2:$C$1056,Sheet1!F$3)</f>
        <v>93507001.004307747</v>
      </c>
      <c r="G10" s="95">
        <f>SUMIFS(Data!$W$2:$W$1056,Data!$U$2:$U$1056,Sheet1!$A10,Data!$C$2:$C$1056,Sheet1!G$3)</f>
        <v>48409854.946273014</v>
      </c>
      <c r="H10" s="95">
        <f>SUMIFS(Data!$W$2:$W$1056,Data!$U$2:$U$1056,Sheet1!$A10,Data!$C$2:$C$1056,Sheet1!H$3)</f>
        <v>481214010.36112463</v>
      </c>
      <c r="I10" s="95">
        <f>SUMIFS(Data!$W$2:$W$1056,Data!$U$2:$U$1056,Sheet1!$A10,Data!$C$2:$C$1056,Sheet1!I$3)</f>
        <v>344797882.3457725</v>
      </c>
      <c r="K10" s="95">
        <f t="shared" si="0"/>
        <v>2874899825.268569</v>
      </c>
    </row>
    <row r="11" spans="1:11">
      <c r="A11" s="62" t="s">
        <v>63</v>
      </c>
      <c r="B11" s="95">
        <f>SUMIFS(Data!$W$2:$W$1056,Data!$U$2:$U$1056,Sheet1!$A11,Data!$C$2:$C$1056,Sheet1!B$3)</f>
        <v>252953601.72764573</v>
      </c>
      <c r="C11" s="95">
        <f>SUMIFS(Data!$W$2:$W$1056,Data!$U$2:$U$1056,Sheet1!$A11,Data!$C$2:$C$1056,Sheet1!C$3)</f>
        <v>56749711</v>
      </c>
      <c r="D11" s="95">
        <f>SUMIFS(Data!$W$2:$W$1056,Data!$U$2:$U$1056,Sheet1!$A11,Data!$C$2:$C$1056,Sheet1!D$3)</f>
        <v>196589044.53219318</v>
      </c>
      <c r="E11" s="95">
        <f>SUMIFS(Data!$W$2:$W$1056,Data!$U$2:$U$1056,Sheet1!$A11,Data!$C$2:$C$1056,Sheet1!E$3)</f>
        <v>15944557.564626733</v>
      </c>
      <c r="F11" s="95">
        <f>SUMIFS(Data!$W$2:$W$1056,Data!$U$2:$U$1056,Sheet1!$A11,Data!$C$2:$C$1056,Sheet1!F$3)</f>
        <v>76925071.826972485</v>
      </c>
      <c r="G11" s="95">
        <f>SUMIFS(Data!$W$2:$W$1056,Data!$U$2:$U$1056,Sheet1!$A11,Data!$C$2:$C$1056,Sheet1!G$3)</f>
        <v>17839538.198028773</v>
      </c>
      <c r="H11" s="95">
        <f>SUMIFS(Data!$W$2:$W$1056,Data!$U$2:$U$1056,Sheet1!$A11,Data!$C$2:$C$1056,Sheet1!H$3)</f>
        <v>38769091.993968114</v>
      </c>
      <c r="I11" s="95">
        <f>SUMIFS(Data!$W$2:$W$1056,Data!$U$2:$U$1056,Sheet1!$A11,Data!$C$2:$C$1056,Sheet1!I$3)</f>
        <v>2019183.0109120933</v>
      </c>
      <c r="K11" s="95">
        <f t="shared" si="0"/>
        <v>657789799.85434723</v>
      </c>
    </row>
    <row r="12" spans="1:11">
      <c r="A12" s="62" t="s">
        <v>64</v>
      </c>
      <c r="B12" s="95">
        <f>SUMIFS(Data!$W$2:$W$1056,Data!$U$2:$U$1056,Sheet1!$A12,Data!$C$2:$C$1056,Sheet1!B$3)</f>
        <v>12418434.460000001</v>
      </c>
      <c r="C12" s="95">
        <f>SUMIFS(Data!$W$2:$W$1056,Data!$U$2:$U$1056,Sheet1!$A12,Data!$C$2:$C$1056,Sheet1!C$3)</f>
        <v>0</v>
      </c>
      <c r="D12" s="95">
        <f>SUMIFS(Data!$W$2:$W$1056,Data!$U$2:$U$1056,Sheet1!$A12,Data!$C$2:$C$1056,Sheet1!D$3)</f>
        <v>21599745.834052317</v>
      </c>
      <c r="E12" s="95">
        <f>SUMIFS(Data!$W$2:$W$1056,Data!$U$2:$U$1056,Sheet1!$A12,Data!$C$2:$C$1056,Sheet1!E$3)</f>
        <v>9403395</v>
      </c>
      <c r="F12" s="95">
        <f>SUMIFS(Data!$W$2:$W$1056,Data!$U$2:$U$1056,Sheet1!$A12,Data!$C$2:$C$1056,Sheet1!F$3)</f>
        <v>0</v>
      </c>
      <c r="G12" s="95">
        <f>SUMIFS(Data!$W$2:$W$1056,Data!$U$2:$U$1056,Sheet1!$A12,Data!$C$2:$C$1056,Sheet1!G$3)</f>
        <v>3006379</v>
      </c>
      <c r="H12" s="95">
        <f>SUMIFS(Data!$W$2:$W$1056,Data!$U$2:$U$1056,Sheet1!$A12,Data!$C$2:$C$1056,Sheet1!H$3)</f>
        <v>141400097.73000002</v>
      </c>
      <c r="I12" s="95">
        <f>SUMIFS(Data!$W$2:$W$1056,Data!$U$2:$U$1056,Sheet1!$A12,Data!$C$2:$C$1056,Sheet1!I$3)</f>
        <v>0</v>
      </c>
      <c r="K12" s="95">
        <f t="shared" si="0"/>
        <v>187828052.02405232</v>
      </c>
    </row>
    <row r="13" spans="1:11">
      <c r="A13" s="62" t="s">
        <v>65</v>
      </c>
      <c r="B13" s="95">
        <f>SUMIFS(Data!$W$2:$W$1056,Data!$U$2:$U$1056,Sheet1!$A13,Data!$C$2:$C$1056,Sheet1!B$3)</f>
        <v>1599426875.177954</v>
      </c>
      <c r="C13" s="95">
        <f>SUMIFS(Data!$W$2:$W$1056,Data!$U$2:$U$1056,Sheet1!$A13,Data!$C$2:$C$1056,Sheet1!C$3)</f>
        <v>324516477</v>
      </c>
      <c r="D13" s="95">
        <f>SUMIFS(Data!$W$2:$W$1056,Data!$U$2:$U$1056,Sheet1!$A13,Data!$C$2:$C$1056,Sheet1!D$3)</f>
        <v>1546531349.343256</v>
      </c>
      <c r="E13" s="95">
        <f>SUMIFS(Data!$W$2:$W$1056,Data!$U$2:$U$1056,Sheet1!$A13,Data!$C$2:$C$1056,Sheet1!E$3)</f>
        <v>193165291.64519209</v>
      </c>
      <c r="F13" s="95">
        <f>SUMIFS(Data!$W$2:$W$1056,Data!$U$2:$U$1056,Sheet1!$A13,Data!$C$2:$C$1056,Sheet1!F$3)</f>
        <v>743697982.10778058</v>
      </c>
      <c r="G13" s="95">
        <f>SUMIFS(Data!$W$2:$W$1056,Data!$U$2:$U$1056,Sheet1!$A13,Data!$C$2:$C$1056,Sheet1!G$3)</f>
        <v>193539790.42829975</v>
      </c>
      <c r="H13" s="95">
        <f>SUMIFS(Data!$W$2:$W$1056,Data!$U$2:$U$1056,Sheet1!$A13,Data!$C$2:$C$1056,Sheet1!H$3)</f>
        <v>357243704.09087735</v>
      </c>
      <c r="I13" s="95">
        <f>SUMIFS(Data!$W$2:$W$1056,Data!$U$2:$U$1056,Sheet1!$A13,Data!$C$2:$C$1056,Sheet1!I$3)</f>
        <v>132016862.92080054</v>
      </c>
      <c r="K13" s="95">
        <f t="shared" si="0"/>
        <v>5090138332.71416</v>
      </c>
    </row>
    <row r="14" spans="1:11">
      <c r="A14" s="62" t="s">
        <v>66</v>
      </c>
      <c r="B14" s="95">
        <f>SUMIFS(Data!$W$2:$W$1056,Data!$U$2:$U$1056,Sheet1!$A14,Data!$C$2:$C$1056,Sheet1!B$3)</f>
        <v>974245553.61429298</v>
      </c>
      <c r="C14" s="95">
        <f>SUMIFS(Data!$W$2:$W$1056,Data!$U$2:$U$1056,Sheet1!$A14,Data!$C$2:$C$1056,Sheet1!C$3)</f>
        <v>145626967</v>
      </c>
      <c r="D14" s="95">
        <f>SUMIFS(Data!$W$2:$W$1056,Data!$U$2:$U$1056,Sheet1!$A14,Data!$C$2:$C$1056,Sheet1!D$3)</f>
        <v>1324405516.7468989</v>
      </c>
      <c r="E14" s="95">
        <f>SUMIFS(Data!$W$2:$W$1056,Data!$U$2:$U$1056,Sheet1!$A14,Data!$C$2:$C$1056,Sheet1!E$3)</f>
        <v>35337879.100499019</v>
      </c>
      <c r="F14" s="95">
        <f>SUMIFS(Data!$W$2:$W$1056,Data!$U$2:$U$1056,Sheet1!$A14,Data!$C$2:$C$1056,Sheet1!F$3)</f>
        <v>930120909.80580962</v>
      </c>
      <c r="G14" s="95">
        <f>SUMIFS(Data!$W$2:$W$1056,Data!$U$2:$U$1056,Sheet1!$A14,Data!$C$2:$C$1056,Sheet1!G$3)</f>
        <v>281900401.56598943</v>
      </c>
      <c r="H14" s="95">
        <f>SUMIFS(Data!$W$2:$W$1056,Data!$U$2:$U$1056,Sheet1!$A14,Data!$C$2:$C$1056,Sheet1!H$3)</f>
        <v>475154530.31553692</v>
      </c>
      <c r="I14" s="95">
        <f>SUMIFS(Data!$W$2:$W$1056,Data!$U$2:$U$1056,Sheet1!$A14,Data!$C$2:$C$1056,Sheet1!I$3)</f>
        <v>195836764.79306704</v>
      </c>
      <c r="K14" s="95">
        <f t="shared" si="0"/>
        <v>4362628522.9420938</v>
      </c>
    </row>
    <row r="15" spans="1:11">
      <c r="A15" s="62" t="s">
        <v>67</v>
      </c>
      <c r="B15" s="95">
        <f>SUMIFS(Data!$W$2:$W$1056,Data!$U$2:$U$1056,Sheet1!$A15,Data!$C$2:$C$1056,Sheet1!B$3)</f>
        <v>214652328.92266878</v>
      </c>
      <c r="C15" s="95">
        <f>SUMIFS(Data!$W$2:$W$1056,Data!$U$2:$U$1056,Sheet1!$A15,Data!$C$2:$C$1056,Sheet1!C$3)</f>
        <v>0</v>
      </c>
      <c r="D15" s="95">
        <f>SUMIFS(Data!$W$2:$W$1056,Data!$U$2:$U$1056,Sheet1!$A15,Data!$C$2:$C$1056,Sheet1!D$3)</f>
        <v>213395174.05614966</v>
      </c>
      <c r="E15" s="95">
        <f>SUMIFS(Data!$W$2:$W$1056,Data!$U$2:$U$1056,Sheet1!$A15,Data!$C$2:$C$1056,Sheet1!E$3)</f>
        <v>30037608.509914555</v>
      </c>
      <c r="F15" s="95">
        <f>SUMIFS(Data!$W$2:$W$1056,Data!$U$2:$U$1056,Sheet1!$A15,Data!$C$2:$C$1056,Sheet1!F$3)</f>
        <v>110990315.28626189</v>
      </c>
      <c r="G15" s="95">
        <f>SUMIFS(Data!$W$2:$W$1056,Data!$U$2:$U$1056,Sheet1!$A15,Data!$C$2:$C$1056,Sheet1!G$3)</f>
        <v>38609786.465468705</v>
      </c>
      <c r="H15" s="95">
        <f>SUMIFS(Data!$W$2:$W$1056,Data!$U$2:$U$1056,Sheet1!$A15,Data!$C$2:$C$1056,Sheet1!H$3)</f>
        <v>91534943.177067414</v>
      </c>
      <c r="I15" s="95">
        <f>SUMIFS(Data!$W$2:$W$1056,Data!$U$2:$U$1056,Sheet1!$A15,Data!$C$2:$C$1056,Sheet1!I$3)</f>
        <v>13449155.938713068</v>
      </c>
      <c r="K15" s="95">
        <f t="shared" si="0"/>
        <v>712669312.35624397</v>
      </c>
    </row>
    <row r="16" spans="1:11">
      <c r="A16" s="62" t="s">
        <v>68</v>
      </c>
      <c r="B16" s="95">
        <f>SUMIFS(Data!$W$2:$W$1056,Data!$U$2:$U$1056,Sheet1!$A16,Data!$C$2:$C$1056,Sheet1!B$3)</f>
        <v>1205540323.2114711</v>
      </c>
      <c r="C16" s="95">
        <f>SUMIFS(Data!$W$2:$W$1056,Data!$U$2:$U$1056,Sheet1!$A16,Data!$C$2:$C$1056,Sheet1!C$3)</f>
        <v>164797790</v>
      </c>
      <c r="D16" s="95">
        <f>SUMIFS(Data!$W$2:$W$1056,Data!$U$2:$U$1056,Sheet1!$A16,Data!$C$2:$C$1056,Sheet1!D$3)</f>
        <v>512440670.85963064</v>
      </c>
      <c r="E16" s="95">
        <f>SUMIFS(Data!$W$2:$W$1056,Data!$U$2:$U$1056,Sheet1!$A16,Data!$C$2:$C$1056,Sheet1!E$3)</f>
        <v>14700961.347667823</v>
      </c>
      <c r="F16" s="95">
        <f>SUMIFS(Data!$W$2:$W$1056,Data!$U$2:$U$1056,Sheet1!$A16,Data!$C$2:$C$1056,Sheet1!F$3)</f>
        <v>214635519.34188044</v>
      </c>
      <c r="G16" s="95">
        <f>SUMIFS(Data!$W$2:$W$1056,Data!$U$2:$U$1056,Sheet1!$A16,Data!$C$2:$C$1056,Sheet1!G$3)</f>
        <v>30743025.3844347</v>
      </c>
      <c r="H16" s="95">
        <f>SUMIFS(Data!$W$2:$W$1056,Data!$U$2:$U$1056,Sheet1!$A16,Data!$C$2:$C$1056,Sheet1!H$3)</f>
        <v>155786150.10265318</v>
      </c>
      <c r="I16" s="95">
        <f>SUMIFS(Data!$W$2:$W$1056,Data!$U$2:$U$1056,Sheet1!$A16,Data!$C$2:$C$1056,Sheet1!I$3)</f>
        <v>173747950.77637291</v>
      </c>
      <c r="K16" s="95">
        <f t="shared" si="0"/>
        <v>2472392391.0241108</v>
      </c>
    </row>
    <row r="17" spans="1:11">
      <c r="A17" s="62" t="s">
        <v>69</v>
      </c>
      <c r="B17" s="95">
        <f>SUMIFS(Data!$W$2:$W$1056,Data!$U$2:$U$1056,Sheet1!$A17,Data!$C$2:$C$1056,Sheet1!B$3)</f>
        <v>1553386455.0433652</v>
      </c>
      <c r="C17" s="95">
        <f>SUMIFS(Data!$W$2:$W$1056,Data!$U$2:$U$1056,Sheet1!$A17,Data!$C$2:$C$1056,Sheet1!C$3)</f>
        <v>163391460</v>
      </c>
      <c r="D17" s="95">
        <f>SUMIFS(Data!$W$2:$W$1056,Data!$U$2:$U$1056,Sheet1!$A17,Data!$C$2:$C$1056,Sheet1!D$3)</f>
        <v>1456521996.2176456</v>
      </c>
      <c r="E17" s="95">
        <f>SUMIFS(Data!$W$2:$W$1056,Data!$U$2:$U$1056,Sheet1!$A17,Data!$C$2:$C$1056,Sheet1!E$3)</f>
        <v>92637598.438222468</v>
      </c>
      <c r="F17" s="95">
        <f>SUMIFS(Data!$W$2:$W$1056,Data!$U$2:$U$1056,Sheet1!$A17,Data!$C$2:$C$1056,Sheet1!F$3)</f>
        <v>752515708.55729461</v>
      </c>
      <c r="G17" s="95">
        <f>SUMIFS(Data!$W$2:$W$1056,Data!$U$2:$U$1056,Sheet1!$A17,Data!$C$2:$C$1056,Sheet1!G$3)</f>
        <v>213054443.48977691</v>
      </c>
      <c r="H17" s="95">
        <f>SUMIFS(Data!$W$2:$W$1056,Data!$U$2:$U$1056,Sheet1!$A17,Data!$C$2:$C$1056,Sheet1!H$3)</f>
        <v>406554806.71636212</v>
      </c>
      <c r="I17" s="95">
        <f>SUMIFS(Data!$W$2:$W$1056,Data!$U$2:$U$1056,Sheet1!$A17,Data!$C$2:$C$1056,Sheet1!I$3)</f>
        <v>232280490</v>
      </c>
      <c r="K17" s="95">
        <f t="shared" si="0"/>
        <v>4870342958.4626675</v>
      </c>
    </row>
    <row r="19" spans="1:11">
      <c r="B19" s="96">
        <f>SUM(B5:B18)</f>
        <v>15027912219.113438</v>
      </c>
      <c r="C19" s="96">
        <f t="shared" ref="C19:K19" si="1">SUM(C5:C18)</f>
        <v>2135108994</v>
      </c>
      <c r="D19" s="96">
        <f t="shared" si="1"/>
        <v>12371167719.453573</v>
      </c>
      <c r="E19" s="96">
        <f t="shared" si="1"/>
        <v>962797350.29425049</v>
      </c>
      <c r="F19" s="96">
        <f t="shared" si="1"/>
        <v>5468545784.8115921</v>
      </c>
      <c r="G19" s="96">
        <f t="shared" si="1"/>
        <v>1646902495.8671253</v>
      </c>
      <c r="H19" s="96">
        <f t="shared" si="1"/>
        <v>4239205158.6342969</v>
      </c>
      <c r="I19" s="96">
        <f t="shared" si="1"/>
        <v>2058563299.8399997</v>
      </c>
      <c r="K19" s="96">
        <f t="shared" si="1"/>
        <v>43910203022.014282</v>
      </c>
    </row>
    <row r="21" spans="1:11">
      <c r="A21" s="62" t="s">
        <v>55</v>
      </c>
      <c r="B21" s="97">
        <f>B5/B$19</f>
        <v>5.5472940673886854E-2</v>
      </c>
      <c r="C21" s="97">
        <f t="shared" ref="C21:I21" si="2">C5/C$19</f>
        <v>7.7621308076415693E-2</v>
      </c>
      <c r="D21" s="97">
        <f t="shared" si="2"/>
        <v>7.8826205029947957E-2</v>
      </c>
      <c r="E21" s="97">
        <f t="shared" si="2"/>
        <v>6.6625559994356459E-2</v>
      </c>
      <c r="F21" s="97">
        <f t="shared" si="2"/>
        <v>7.8368384442584565E-2</v>
      </c>
      <c r="G21" s="97">
        <f t="shared" si="2"/>
        <v>0.15538164619599504</v>
      </c>
      <c r="H21" s="97">
        <f t="shared" si="2"/>
        <v>8.044015182060163E-2</v>
      </c>
      <c r="I21" s="97">
        <f t="shared" si="2"/>
        <v>4.336150238923539E-2</v>
      </c>
      <c r="K21" s="97">
        <f t="shared" ref="K21" si="3">K5/K$19</f>
        <v>7.1815103507537906E-2</v>
      </c>
    </row>
    <row r="22" spans="1:11">
      <c r="A22" s="62" t="s">
        <v>58</v>
      </c>
      <c r="B22" s="97">
        <f t="shared" ref="B22:I33" si="4">B6/B$19</f>
        <v>0.12397342714547864</v>
      </c>
      <c r="C22" s="97">
        <f t="shared" si="4"/>
        <v>0.18224662211319409</v>
      </c>
      <c r="D22" s="97">
        <f t="shared" si="4"/>
        <v>0.151906180629445</v>
      </c>
      <c r="E22" s="97">
        <f t="shared" si="4"/>
        <v>0.12068384738465258</v>
      </c>
      <c r="F22" s="97">
        <f t="shared" si="4"/>
        <v>0.23246353484810428</v>
      </c>
      <c r="G22" s="97">
        <f t="shared" si="4"/>
        <v>0.16055826463119227</v>
      </c>
      <c r="H22" s="97">
        <f t="shared" si="4"/>
        <v>0.13865136855188767</v>
      </c>
      <c r="I22" s="97">
        <f t="shared" si="4"/>
        <v>0.1424745321852979</v>
      </c>
      <c r="K22" s="97">
        <f t="shared" ref="K22" si="5">K6/K$19</f>
        <v>0.15177235314266446</v>
      </c>
    </row>
    <row r="23" spans="1:11">
      <c r="A23" s="62" t="s">
        <v>59</v>
      </c>
      <c r="B23" s="97">
        <f t="shared" si="4"/>
        <v>0.19140148700387016</v>
      </c>
      <c r="C23" s="97">
        <f t="shared" si="4"/>
        <v>0.11285869605586983</v>
      </c>
      <c r="D23" s="97">
        <f t="shared" si="4"/>
        <v>0.12635363435861724</v>
      </c>
      <c r="E23" s="97">
        <f t="shared" si="4"/>
        <v>0.11369102044080334</v>
      </c>
      <c r="F23" s="97">
        <f t="shared" si="4"/>
        <v>3.6876351865681153E-2</v>
      </c>
      <c r="G23" s="97">
        <f t="shared" si="4"/>
        <v>9.1412374206385372E-2</v>
      </c>
      <c r="H23" s="97">
        <f t="shared" si="4"/>
        <v>0.10120259389452287</v>
      </c>
      <c r="I23" s="97">
        <f t="shared" si="4"/>
        <v>0.200616099767819</v>
      </c>
      <c r="K23" s="97">
        <f t="shared" ref="K23" si="6">K7/K$19</f>
        <v>0.13628132303053273</v>
      </c>
    </row>
    <row r="24" spans="1:11">
      <c r="A24" s="62" t="s">
        <v>60</v>
      </c>
      <c r="B24" s="97">
        <f t="shared" si="4"/>
        <v>4.5737121217897053E-2</v>
      </c>
      <c r="C24" s="97">
        <f t="shared" si="4"/>
        <v>5.7955154208862839E-2</v>
      </c>
      <c r="D24" s="97">
        <f t="shared" si="4"/>
        <v>4.9381260922399903E-2</v>
      </c>
      <c r="E24" s="97">
        <f t="shared" si="4"/>
        <v>4.5173438202104711E-2</v>
      </c>
      <c r="F24" s="97">
        <f t="shared" si="4"/>
        <v>3.3380604912369764E-2</v>
      </c>
      <c r="G24" s="97">
        <f t="shared" si="4"/>
        <v>2.8884323927540093E-2</v>
      </c>
      <c r="H24" s="97">
        <f t="shared" si="4"/>
        <v>3.0692726737779601E-2</v>
      </c>
      <c r="I24" s="97">
        <f t="shared" si="4"/>
        <v>1.7748533374451401E-2</v>
      </c>
      <c r="K24" s="97">
        <f t="shared" ref="K24" si="7">K8/K$19</f>
        <v>4.2410029781992507E-2</v>
      </c>
    </row>
    <row r="25" spans="1:11">
      <c r="A25" s="62" t="s">
        <v>61</v>
      </c>
      <c r="B25" s="97">
        <f t="shared" si="4"/>
        <v>0.13380786627598049</v>
      </c>
      <c r="C25" s="97">
        <f t="shared" si="4"/>
        <v>9.6867215013942284E-2</v>
      </c>
      <c r="D25" s="97">
        <f t="shared" si="4"/>
        <v>0.1105537148371135</v>
      </c>
      <c r="E25" s="97">
        <f t="shared" si="4"/>
        <v>0.13764036668436999</v>
      </c>
      <c r="F25" s="97">
        <f t="shared" si="4"/>
        <v>8.4510823937979138E-2</v>
      </c>
      <c r="G25" s="97">
        <f t="shared" si="4"/>
        <v>6.1545912132957334E-2</v>
      </c>
      <c r="H25" s="97">
        <f t="shared" si="4"/>
        <v>0.14239523084108255</v>
      </c>
      <c r="I25" s="97">
        <f t="shared" si="4"/>
        <v>6.4288695777299329E-2</v>
      </c>
      <c r="K25" s="97">
        <f t="shared" ref="K25" si="8">K9/K$19</f>
        <v>0.11426432325739906</v>
      </c>
    </row>
    <row r="26" spans="1:11">
      <c r="A26" s="62" t="s">
        <v>62</v>
      </c>
      <c r="B26" s="97">
        <f t="shared" si="4"/>
        <v>6.2818661223309466E-2</v>
      </c>
      <c r="C26" s="97">
        <f t="shared" si="4"/>
        <v>7.1964468526799719E-2</v>
      </c>
      <c r="D26" s="97">
        <f t="shared" si="4"/>
        <v>5.6868582220804077E-2</v>
      </c>
      <c r="E26" s="97">
        <f t="shared" si="4"/>
        <v>0.10984138808810377</v>
      </c>
      <c r="F26" s="97">
        <f t="shared" si="4"/>
        <v>1.709906155746474E-2</v>
      </c>
      <c r="G26" s="97">
        <f t="shared" si="4"/>
        <v>2.9394487571520932E-2</v>
      </c>
      <c r="H26" s="97">
        <f t="shared" si="4"/>
        <v>0.11351515021182712</v>
      </c>
      <c r="I26" s="97">
        <f t="shared" si="4"/>
        <v>0.16749442796953179</v>
      </c>
      <c r="K26" s="97">
        <f t="shared" ref="K26" si="9">K10/K$19</f>
        <v>6.5472250807568452E-2</v>
      </c>
    </row>
    <row r="27" spans="1:11">
      <c r="A27" s="62" t="s">
        <v>63</v>
      </c>
      <c r="B27" s="97">
        <f t="shared" si="4"/>
        <v>1.6832251748577793E-2</v>
      </c>
      <c r="C27" s="97">
        <f t="shared" si="4"/>
        <v>2.6579303988450157E-2</v>
      </c>
      <c r="D27" s="97">
        <f t="shared" si="4"/>
        <v>1.5890904479700676E-2</v>
      </c>
      <c r="E27" s="97">
        <f t="shared" si="4"/>
        <v>1.6560657920125923E-2</v>
      </c>
      <c r="F27" s="97">
        <f t="shared" si="4"/>
        <v>1.4066824134603599E-2</v>
      </c>
      <c r="G27" s="97">
        <f t="shared" si="4"/>
        <v>1.0832176308431616E-2</v>
      </c>
      <c r="H27" s="97">
        <f t="shared" si="4"/>
        <v>9.1453681865347539E-3</v>
      </c>
      <c r="I27" s="97">
        <f t="shared" si="4"/>
        <v>9.8087001311498783E-4</v>
      </c>
      <c r="K27" s="97">
        <f t="shared" ref="K27" si="10">K11/K$19</f>
        <v>1.498034066307017E-2</v>
      </c>
    </row>
    <row r="28" spans="1:11">
      <c r="A28" s="62" t="s">
        <v>64</v>
      </c>
      <c r="B28" s="97">
        <f t="shared" si="4"/>
        <v>8.263579317561797E-4</v>
      </c>
      <c r="C28" s="97">
        <f t="shared" si="4"/>
        <v>0</v>
      </c>
      <c r="D28" s="97">
        <f t="shared" si="4"/>
        <v>1.7459746989030688E-3</v>
      </c>
      <c r="E28" s="97">
        <f t="shared" si="4"/>
        <v>9.7667437463617151E-3</v>
      </c>
      <c r="F28" s="97">
        <f t="shared" si="4"/>
        <v>0</v>
      </c>
      <c r="G28" s="97">
        <f t="shared" si="4"/>
        <v>1.8254747974117828E-3</v>
      </c>
      <c r="H28" s="97">
        <f t="shared" si="4"/>
        <v>3.3355332530203258E-2</v>
      </c>
      <c r="I28" s="97">
        <f t="shared" si="4"/>
        <v>0</v>
      </c>
      <c r="K28" s="97">
        <f t="shared" ref="K28" si="11">K12/K$19</f>
        <v>4.2775491593579091E-3</v>
      </c>
    </row>
    <row r="29" spans="1:11">
      <c r="A29" s="62" t="s">
        <v>65</v>
      </c>
      <c r="B29" s="97">
        <f t="shared" si="4"/>
        <v>0.10643041108156746</v>
      </c>
      <c r="C29" s="97">
        <f t="shared" si="4"/>
        <v>0.15199059060307626</v>
      </c>
      <c r="D29" s="97">
        <f t="shared" si="4"/>
        <v>0.12501094354345763</v>
      </c>
      <c r="E29" s="97">
        <f t="shared" si="4"/>
        <v>0.20062923063317201</v>
      </c>
      <c r="F29" s="97">
        <f t="shared" si="4"/>
        <v>0.13599556653129552</v>
      </c>
      <c r="G29" s="97">
        <f t="shared" si="4"/>
        <v>0.11751745529197064</v>
      </c>
      <c r="H29" s="97">
        <f t="shared" si="4"/>
        <v>8.4271388319872451E-2</v>
      </c>
      <c r="I29" s="97">
        <f t="shared" si="4"/>
        <v>6.4130582203161521E-2</v>
      </c>
      <c r="K29" s="97">
        <f t="shared" ref="K29" si="12">K13/K$19</f>
        <v>0.11592153946913501</v>
      </c>
    </row>
    <row r="30" spans="1:11">
      <c r="A30" s="62" t="s">
        <v>66</v>
      </c>
      <c r="B30" s="97">
        <f t="shared" si="4"/>
        <v>6.4829068696261524E-2</v>
      </c>
      <c r="C30" s="97">
        <f t="shared" si="4"/>
        <v>6.8205870243268713E-2</v>
      </c>
      <c r="D30" s="97">
        <f t="shared" si="4"/>
        <v>0.10705582098481137</v>
      </c>
      <c r="E30" s="97">
        <f t="shared" si="4"/>
        <v>3.6703340624794037E-2</v>
      </c>
      <c r="F30" s="97">
        <f t="shared" si="4"/>
        <v>0.17008560345039794</v>
      </c>
      <c r="G30" s="97">
        <f t="shared" si="4"/>
        <v>0.17117006153880623</v>
      </c>
      <c r="H30" s="97">
        <f t="shared" si="4"/>
        <v>0.11208575960230545</v>
      </c>
      <c r="I30" s="97">
        <f t="shared" si="4"/>
        <v>9.5132738841836109E-2</v>
      </c>
      <c r="K30" s="97">
        <f t="shared" ref="K30" si="13">K14/K$19</f>
        <v>9.9353412708087452E-2</v>
      </c>
    </row>
    <row r="31" spans="1:11">
      <c r="A31" s="62" t="s">
        <v>67</v>
      </c>
      <c r="B31" s="98">
        <f t="shared" si="4"/>
        <v>1.4283576174317849E-2</v>
      </c>
      <c r="C31" s="98">
        <f t="shared" si="4"/>
        <v>0</v>
      </c>
      <c r="D31" s="97">
        <f t="shared" si="4"/>
        <v>1.7249396249036965E-2</v>
      </c>
      <c r="E31" s="97">
        <f t="shared" si="4"/>
        <v>3.1198266697280014E-2</v>
      </c>
      <c r="F31" s="97">
        <f t="shared" si="4"/>
        <v>2.0296129840318387E-2</v>
      </c>
      <c r="G31" s="97">
        <f t="shared" si="4"/>
        <v>2.3443881202657307E-2</v>
      </c>
      <c r="H31" s="97">
        <f t="shared" si="4"/>
        <v>2.1592477776318883E-2</v>
      </c>
      <c r="I31" s="97">
        <f t="shared" si="4"/>
        <v>6.5332729577751601E-3</v>
      </c>
      <c r="K31" s="97">
        <f t="shared" ref="K31" si="14">K15/K$19</f>
        <v>1.623015297831688E-2</v>
      </c>
    </row>
    <row r="32" spans="1:11">
      <c r="A32" s="62" t="s">
        <v>68</v>
      </c>
      <c r="B32" s="97">
        <f t="shared" si="4"/>
        <v>8.0220080183738995E-2</v>
      </c>
      <c r="C32" s="97">
        <f t="shared" si="4"/>
        <v>7.7184720060244377E-2</v>
      </c>
      <c r="D32" s="97">
        <f t="shared" si="4"/>
        <v>4.1422174727598376E-2</v>
      </c>
      <c r="E32" s="97">
        <f t="shared" si="4"/>
        <v>1.5269008938563146E-2</v>
      </c>
      <c r="F32" s="97">
        <f t="shared" si="4"/>
        <v>3.9249103470617698E-2</v>
      </c>
      <c r="G32" s="97">
        <f t="shared" si="4"/>
        <v>1.8667180031352079E-2</v>
      </c>
      <c r="H32" s="97">
        <f t="shared" si="4"/>
        <v>3.6748905578526253E-2</v>
      </c>
      <c r="I32" s="97">
        <f t="shared" si="4"/>
        <v>8.4402530050874489E-2</v>
      </c>
      <c r="K32" s="97">
        <f t="shared" ref="K32" si="15">K16/K$19</f>
        <v>5.6305646999276739E-2</v>
      </c>
    </row>
    <row r="33" spans="1:11">
      <c r="A33" s="62" t="s">
        <v>69</v>
      </c>
      <c r="B33" s="97">
        <f t="shared" si="4"/>
        <v>0.10336675064335758</v>
      </c>
      <c r="C33" s="97">
        <f t="shared" si="4"/>
        <v>7.6526051109876037E-2</v>
      </c>
      <c r="D33" s="97">
        <f t="shared" si="4"/>
        <v>0.11773520731816409</v>
      </c>
      <c r="E33" s="97">
        <f t="shared" si="4"/>
        <v>9.6217130645312357E-2</v>
      </c>
      <c r="F33" s="97">
        <f t="shared" si="4"/>
        <v>0.13760801100858316</v>
      </c>
      <c r="G33" s="97">
        <f t="shared" si="4"/>
        <v>0.12936676216377929</v>
      </c>
      <c r="H33" s="97">
        <f t="shared" si="4"/>
        <v>9.5903545948537644E-2</v>
      </c>
      <c r="I33" s="97">
        <f t="shared" si="4"/>
        <v>0.11283621446960307</v>
      </c>
      <c r="K33" s="97">
        <f t="shared" ref="K33" si="16">K17/K$19</f>
        <v>0.11091597449506056</v>
      </c>
    </row>
    <row r="36" spans="1:11">
      <c r="A36" t="s">
        <v>297</v>
      </c>
      <c r="B36" s="108">
        <f>SUM(B21:B23)</f>
        <v>0.37084785482323568</v>
      </c>
      <c r="C36" s="108">
        <f t="shared" ref="C36:K36" si="17">SUM(C21:C23)</f>
        <v>0.37272662624547964</v>
      </c>
      <c r="D36" s="108">
        <f t="shared" si="17"/>
        <v>0.35708602001801021</v>
      </c>
      <c r="E36" s="108">
        <f t="shared" si="17"/>
        <v>0.3010004278198124</v>
      </c>
      <c r="F36" s="108">
        <f t="shared" si="17"/>
        <v>0.34770827115637004</v>
      </c>
      <c r="G36" s="108">
        <f t="shared" si="17"/>
        <v>0.40735228503357268</v>
      </c>
      <c r="H36" s="108">
        <f t="shared" si="17"/>
        <v>0.32029411426701215</v>
      </c>
      <c r="I36" s="108">
        <f t="shared" si="17"/>
        <v>0.38645213434235226</v>
      </c>
      <c r="K36" s="108">
        <f t="shared" si="17"/>
        <v>0.35986877968073505</v>
      </c>
    </row>
    <row r="37" spans="1:11">
      <c r="A37" t="s">
        <v>298</v>
      </c>
      <c r="B37" s="108">
        <f>SUM(B24:B27)</f>
        <v>0.25919590046576479</v>
      </c>
      <c r="C37" s="108">
        <f t="shared" ref="C37:K37" si="18">SUM(C24:C27)</f>
        <v>0.253366141738055</v>
      </c>
      <c r="D37" s="108">
        <f t="shared" si="18"/>
        <v>0.23269446246001815</v>
      </c>
      <c r="E37" s="108">
        <f t="shared" si="18"/>
        <v>0.30921585089470438</v>
      </c>
      <c r="F37" s="108">
        <f t="shared" si="18"/>
        <v>0.14905731454241725</v>
      </c>
      <c r="G37" s="108">
        <f t="shared" si="18"/>
        <v>0.13065689994044996</v>
      </c>
      <c r="H37" s="108">
        <f t="shared" si="18"/>
        <v>0.29574847597722403</v>
      </c>
      <c r="I37" s="108">
        <f t="shared" si="18"/>
        <v>0.25051252713439748</v>
      </c>
      <c r="K37" s="108">
        <f t="shared" si="18"/>
        <v>0.23712694451003016</v>
      </c>
    </row>
    <row r="38" spans="1:11">
      <c r="A38" t="s">
        <v>299</v>
      </c>
      <c r="B38" s="108">
        <f>SUM(B28:B31)</f>
        <v>0.18636941388390305</v>
      </c>
      <c r="C38" s="108">
        <f t="shared" ref="C38:K38" si="19">SUM(C28:C31)</f>
        <v>0.22019646084634498</v>
      </c>
      <c r="D38" s="108">
        <f t="shared" si="19"/>
        <v>0.25106213547620904</v>
      </c>
      <c r="E38" s="108">
        <f t="shared" si="19"/>
        <v>0.27829758170160779</v>
      </c>
      <c r="F38" s="108">
        <f t="shared" si="19"/>
        <v>0.3263772998220118</v>
      </c>
      <c r="G38" s="108">
        <f t="shared" si="19"/>
        <v>0.31395687283084595</v>
      </c>
      <c r="H38" s="108">
        <f t="shared" si="19"/>
        <v>0.25130495822870003</v>
      </c>
      <c r="I38" s="108">
        <f t="shared" si="19"/>
        <v>0.1657965940027728</v>
      </c>
      <c r="K38" s="108">
        <f t="shared" si="19"/>
        <v>0.23578265431489726</v>
      </c>
    </row>
    <row r="39" spans="1:11">
      <c r="A39" t="s">
        <v>300</v>
      </c>
      <c r="B39" s="108">
        <f>B32</f>
        <v>8.0220080183738995E-2</v>
      </c>
      <c r="C39" s="108">
        <f t="shared" ref="C39:K39" si="20">C32</f>
        <v>7.7184720060244377E-2</v>
      </c>
      <c r="D39" s="108">
        <f t="shared" si="20"/>
        <v>4.1422174727598376E-2</v>
      </c>
      <c r="E39" s="108">
        <f t="shared" si="20"/>
        <v>1.5269008938563146E-2</v>
      </c>
      <c r="F39" s="108">
        <f t="shared" si="20"/>
        <v>3.9249103470617698E-2</v>
      </c>
      <c r="G39" s="108">
        <f t="shared" si="20"/>
        <v>1.8667180031352079E-2</v>
      </c>
      <c r="H39" s="108">
        <f t="shared" si="20"/>
        <v>3.6748905578526253E-2</v>
      </c>
      <c r="I39" s="108">
        <f t="shared" si="20"/>
        <v>8.4402530050874489E-2</v>
      </c>
      <c r="K39" s="108">
        <f t="shared" si="20"/>
        <v>5.6305646999276739E-2</v>
      </c>
    </row>
    <row r="40" spans="1:11">
      <c r="A40" t="s">
        <v>301</v>
      </c>
      <c r="B40" s="108">
        <f>B33</f>
        <v>0.10336675064335758</v>
      </c>
      <c r="C40" s="108">
        <f t="shared" ref="C40:K40" si="21">C33</f>
        <v>7.6526051109876037E-2</v>
      </c>
      <c r="D40" s="108">
        <f t="shared" si="21"/>
        <v>0.11773520731816409</v>
      </c>
      <c r="E40" s="108">
        <f t="shared" si="21"/>
        <v>9.6217130645312357E-2</v>
      </c>
      <c r="F40" s="108">
        <f t="shared" si="21"/>
        <v>0.13760801100858316</v>
      </c>
      <c r="G40" s="108">
        <f t="shared" si="21"/>
        <v>0.12936676216377929</v>
      </c>
      <c r="H40" s="108">
        <f t="shared" si="21"/>
        <v>9.5903545948537644E-2</v>
      </c>
      <c r="I40" s="108">
        <f t="shared" si="21"/>
        <v>0.11283621446960307</v>
      </c>
      <c r="K40" s="108">
        <f t="shared" si="21"/>
        <v>0.11091597449506056</v>
      </c>
    </row>
    <row r="41" spans="1:11">
      <c r="B41" s="108">
        <f>SUM(B36:B40)</f>
        <v>1</v>
      </c>
      <c r="C41" s="108">
        <f t="shared" ref="C41:K41" si="22">SUM(C36:C40)</f>
        <v>1</v>
      </c>
      <c r="D41" s="108">
        <f t="shared" si="22"/>
        <v>0.99999999999999989</v>
      </c>
      <c r="E41" s="108">
        <f t="shared" si="22"/>
        <v>1.0000000000000002</v>
      </c>
      <c r="F41" s="108">
        <f t="shared" si="22"/>
        <v>1</v>
      </c>
      <c r="G41" s="108">
        <f t="shared" si="22"/>
        <v>0.99999999999999989</v>
      </c>
      <c r="H41" s="108">
        <f t="shared" si="22"/>
        <v>1</v>
      </c>
      <c r="I41" s="108">
        <f t="shared" si="22"/>
        <v>1</v>
      </c>
      <c r="K41" s="108">
        <f t="shared" si="22"/>
        <v>0.99999999999999967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9F3AC9-CB8B-4B51-AA3E-0D421CB9E504}"/>
</file>

<file path=customXml/itemProps2.xml><?xml version="1.0" encoding="utf-8"?>
<ds:datastoreItem xmlns:ds="http://schemas.openxmlformats.org/officeDocument/2006/customXml" ds:itemID="{ECDCA501-BF51-4DF7-BDB0-5C816D7B054A}"/>
</file>

<file path=customXml/itemProps3.xml><?xml version="1.0" encoding="utf-8"?>
<ds:datastoreItem xmlns:ds="http://schemas.openxmlformats.org/officeDocument/2006/customXml" ds:itemID="{78AC92DD-E6CF-4F8A-872F-0B50178C5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Bradley Fisher</dc:creator>
  <cp:keywords/>
  <dc:description/>
  <cp:lastModifiedBy>Mark Collin - Innovaite</cp:lastModifiedBy>
  <cp:revision/>
  <dcterms:created xsi:type="dcterms:W3CDTF">2023-02-14T05:49:59Z</dcterms:created>
  <dcterms:modified xsi:type="dcterms:W3CDTF">2025-09-24T12:05:34Z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  <property fmtid="{D5CDD505-2E9C-101B-9397-08002B2CF9AE}" pid="3" name="MediaServiceImageTags">
    <vt:lpwstr/>
  </property>
</Properties>
</file>