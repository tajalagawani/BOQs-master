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Buildings/"/>
    </mc:Choice>
  </mc:AlternateContent>
  <xr:revisionPtr revIDLastSave="0" documentId="8_{99D6A763-9D3B-1F42-B9D6-9202DCB6B828}" xr6:coauthVersionLast="47" xr6:coauthVersionMax="47" xr10:uidLastSave="{00000000-0000-0000-0000-000000000000}"/>
  <bookViews>
    <workbookView xWindow="30500" yWindow="500" windowWidth="59720" windowHeight="27600" activeTab="2" xr2:uid="{B0CDAA0C-25A7-4BD8-BF18-53242608CA5C}"/>
  </bookViews>
  <sheets>
    <sheet name="NRM" sheetId="3" r:id="rId1"/>
    <sheet name="City Walk - Comparison" sheetId="1" r:id="rId2"/>
    <sheet name="Sheet1" sheetId="2" r:id="rId3"/>
  </sheets>
  <externalReferences>
    <externalReference r:id="rId4"/>
  </externalReferences>
  <definedNames>
    <definedName name="_" localSheetId="1">#REF!</definedName>
    <definedName name="_">#REF!</definedName>
    <definedName name="___________________________________________________ccr1" localSheetId="1" hidden="1">{#N/A,#N/A,TRUE,"Cover";#N/A,#N/A,TRUE,"Conts";#N/A,#N/A,TRUE,"VOS";#N/A,#N/A,TRUE,"Warrington";#N/A,#N/A,TRUE,"Widnes"}</definedName>
    <definedName name="___________________________________________________ccr1" hidden="1">{#N/A,#N/A,TRUE,"Cover";#N/A,#N/A,TRUE,"Conts";#N/A,#N/A,TRUE,"VOS";#N/A,#N/A,TRUE,"Warrington";#N/A,#N/A,TRUE,"Widnes"}</definedName>
    <definedName name="___________________________________________________ccr1_1" localSheetId="1" hidden="1">{#N/A,#N/A,TRUE,"Cover";#N/A,#N/A,TRUE,"Conts";#N/A,#N/A,TRUE,"VOS";#N/A,#N/A,TRUE,"Warrington";#N/A,#N/A,TRUE,"Widnes"}</definedName>
    <definedName name="___________________________________________________ccr1_1" hidden="1">{#N/A,#N/A,TRUE,"Cover";#N/A,#N/A,TRUE,"Conts";#N/A,#N/A,TRUE,"VOS";#N/A,#N/A,TRUE,"Warrington";#N/A,#N/A,TRUE,"Widnes"}</definedName>
    <definedName name="______________________________________________SCR3">#REF!</definedName>
    <definedName name="_____________________________________________SCR3" localSheetId="1">#REF!</definedName>
    <definedName name="_____________________________________________SCR3">#REF!</definedName>
    <definedName name="____________________________________________SCR1" localSheetId="1">#REF!</definedName>
    <definedName name="____________________________________________SCR1">#REF!</definedName>
    <definedName name="____________________________________________SCR3">#REF!</definedName>
    <definedName name="___________________________________________SCR1">#REF!</definedName>
    <definedName name="___________________________________________SCR2">#REF!</definedName>
    <definedName name="___________________________________________SCR3">#REF!</definedName>
    <definedName name="__________________________________________SCR1">#REF!</definedName>
    <definedName name="__________________________________________SCR2">#REF!</definedName>
    <definedName name="__________________________________________SCR3">#REF!</definedName>
    <definedName name="_________________________________________SCR1">#REF!</definedName>
    <definedName name="_________________________________________SCR2">#REF!</definedName>
    <definedName name="_________________________________________SCR3">#REF!</definedName>
    <definedName name="________________________________________SCR1">#REF!</definedName>
    <definedName name="________________________________________SCR2">#REF!</definedName>
    <definedName name="________________________________________SCR3">#REF!</definedName>
    <definedName name="_______________________________________ccr1" localSheetId="1" hidden="1">{#N/A,#N/A,TRUE,"Cover";#N/A,#N/A,TRUE,"Conts";#N/A,#N/A,TRUE,"VOS";#N/A,#N/A,TRUE,"Warrington";#N/A,#N/A,TRUE,"Widnes"}</definedName>
    <definedName name="_______________________________________ccr1" hidden="1">{#N/A,#N/A,TRUE,"Cover";#N/A,#N/A,TRUE,"Conts";#N/A,#N/A,TRUE,"VOS";#N/A,#N/A,TRUE,"Warrington";#N/A,#N/A,TRUE,"Widnes"}</definedName>
    <definedName name="_______________________________________SCR1">#REF!</definedName>
    <definedName name="_______________________________________SCR2" localSheetId="1">#REF!</definedName>
    <definedName name="_______________________________________SCR2">#REF!</definedName>
    <definedName name="_______________________________________SCR3" localSheetId="1">#REF!</definedName>
    <definedName name="_______________________________________SCR3">#REF!</definedName>
    <definedName name="______________________________________ccr1" localSheetId="1" hidden="1">{#N/A,#N/A,TRUE,"Cover";#N/A,#N/A,TRUE,"Conts";#N/A,#N/A,TRUE,"VOS";#N/A,#N/A,TRUE,"Warrington";#N/A,#N/A,TRUE,"Widnes"}</definedName>
    <definedName name="______________________________________ccr1" hidden="1">{#N/A,#N/A,TRUE,"Cover";#N/A,#N/A,TRUE,"Conts";#N/A,#N/A,TRUE,"VOS";#N/A,#N/A,TRUE,"Warrington";#N/A,#N/A,TRUE,"Widnes"}</definedName>
    <definedName name="______________________________________SCR1">#REF!</definedName>
    <definedName name="______________________________________SCR2" localSheetId="1">#REF!</definedName>
    <definedName name="______________________________________SCR2">#REF!</definedName>
    <definedName name="______________________________________SCR3" localSheetId="1">#REF!</definedName>
    <definedName name="______________________________________SCR3">#REF!</definedName>
    <definedName name="_____________________________________SCR1">#REF!</definedName>
    <definedName name="_____________________________________SCR2">#REF!</definedName>
    <definedName name="_____________________________________SCR3">#REF!</definedName>
    <definedName name="____________________________________ccr1" localSheetId="1" hidden="1">{#N/A,#N/A,TRUE,"Cover";#N/A,#N/A,TRUE,"Conts";#N/A,#N/A,TRUE,"VOS";#N/A,#N/A,TRUE,"Warrington";#N/A,#N/A,TRUE,"Widnes"}</definedName>
    <definedName name="____________________________________ccr1" hidden="1">{#N/A,#N/A,TRUE,"Cover";#N/A,#N/A,TRUE,"Conts";#N/A,#N/A,TRUE,"VOS";#N/A,#N/A,TRUE,"Warrington";#N/A,#N/A,TRUE,"Widnes"}</definedName>
    <definedName name="____________________________________SCR1">#REF!</definedName>
    <definedName name="____________________________________SCR2" localSheetId="1">#REF!</definedName>
    <definedName name="____________________________________SCR2">#REF!</definedName>
    <definedName name="____________________________________SCR3" localSheetId="1">#REF!</definedName>
    <definedName name="____________________________________SCR3">#REF!</definedName>
    <definedName name="___________________________________ccr1" localSheetId="1" hidden="1">{#N/A,#N/A,TRUE,"Cover";#N/A,#N/A,TRUE,"Conts";#N/A,#N/A,TRUE,"VOS";#N/A,#N/A,TRUE,"Warrington";#N/A,#N/A,TRUE,"Widnes"}</definedName>
    <definedName name="___________________________________ccr1" hidden="1">{#N/A,#N/A,TRUE,"Cover";#N/A,#N/A,TRUE,"Conts";#N/A,#N/A,TRUE,"VOS";#N/A,#N/A,TRUE,"Warrington";#N/A,#N/A,TRUE,"Widnes"}</definedName>
    <definedName name="___________________________________SCR1">#REF!</definedName>
    <definedName name="___________________________________SCR2" localSheetId="1">#REF!</definedName>
    <definedName name="___________________________________SCR2">#REF!</definedName>
    <definedName name="___________________________________SCR3" localSheetId="1">#REF!</definedName>
    <definedName name="___________________________________SCR3">#REF!</definedName>
    <definedName name="__________________________________ccr1" localSheetId="1" hidden="1">{#N/A,#N/A,TRUE,"Cover";#N/A,#N/A,TRUE,"Conts";#N/A,#N/A,TRUE,"VOS";#N/A,#N/A,TRUE,"Warrington";#N/A,#N/A,TRUE,"Widnes"}</definedName>
    <definedName name="__________________________________ccr1" hidden="1">{#N/A,#N/A,TRUE,"Cover";#N/A,#N/A,TRUE,"Conts";#N/A,#N/A,TRUE,"VOS";#N/A,#N/A,TRUE,"Warrington";#N/A,#N/A,TRUE,"Widnes"}</definedName>
    <definedName name="__________________________________SCR1">#REF!</definedName>
    <definedName name="__________________________________SCR2" localSheetId="1">#REF!</definedName>
    <definedName name="__________________________________SCR2">#REF!</definedName>
    <definedName name="__________________________________SCR3" localSheetId="1">#REF!</definedName>
    <definedName name="__________________________________SCR3">#REF!</definedName>
    <definedName name="_________________________________ccr1" localSheetId="1" hidden="1">{#N/A,#N/A,TRUE,"Cover";#N/A,#N/A,TRUE,"Conts";#N/A,#N/A,TRUE,"VOS";#N/A,#N/A,TRUE,"Warrington";#N/A,#N/A,TRUE,"Widnes"}</definedName>
    <definedName name="_________________________________ccr1" hidden="1">{#N/A,#N/A,TRUE,"Cover";#N/A,#N/A,TRUE,"Conts";#N/A,#N/A,TRUE,"VOS";#N/A,#N/A,TRUE,"Warrington";#N/A,#N/A,TRUE,"Widnes"}</definedName>
    <definedName name="_________________________________SCR1">#REF!</definedName>
    <definedName name="_________________________________SCR2" localSheetId="1">#REF!</definedName>
    <definedName name="_________________________________SCR2">#REF!</definedName>
    <definedName name="_________________________________SCR3" localSheetId="1">#REF!</definedName>
    <definedName name="_________________________________SCR3">#REF!</definedName>
    <definedName name="________________________________SCR1">#REF!</definedName>
    <definedName name="________________________________SCR2">#REF!</definedName>
    <definedName name="________________________________SCR3">#REF!</definedName>
    <definedName name="_______________________________ccr1" localSheetId="1" hidden="1">{#N/A,#N/A,TRUE,"Cover";#N/A,#N/A,TRUE,"Conts";#N/A,#N/A,TRUE,"VOS";#N/A,#N/A,TRUE,"Warrington";#N/A,#N/A,TRUE,"Widnes"}</definedName>
    <definedName name="_______________________________ccr1" hidden="1">{#N/A,#N/A,TRUE,"Cover";#N/A,#N/A,TRUE,"Conts";#N/A,#N/A,TRUE,"VOS";#N/A,#N/A,TRUE,"Warrington";#N/A,#N/A,TRUE,"Widnes"}</definedName>
    <definedName name="_______________________________SCR1">#REF!</definedName>
    <definedName name="_______________________________SCR2" localSheetId="1">#REF!</definedName>
    <definedName name="_______________________________SCR2">#REF!</definedName>
    <definedName name="_______________________________SCR3" localSheetId="1">#REF!</definedName>
    <definedName name="_______________________________SCR3">#REF!</definedName>
    <definedName name="______________________________ccr1" localSheetId="1" hidden="1">{#N/A,#N/A,TRUE,"Cover";#N/A,#N/A,TRUE,"Conts";#N/A,#N/A,TRUE,"VOS";#N/A,#N/A,TRUE,"Warrington";#N/A,#N/A,TRUE,"Widnes"}</definedName>
    <definedName name="______________________________ccr1" hidden="1">{#N/A,#N/A,TRUE,"Cover";#N/A,#N/A,TRUE,"Conts";#N/A,#N/A,TRUE,"VOS";#N/A,#N/A,TRUE,"Warrington";#N/A,#N/A,TRUE,"Widnes"}</definedName>
    <definedName name="______________________________dep2">#REF!</definedName>
    <definedName name="______________________________dep3" localSheetId="1">#REF!</definedName>
    <definedName name="______________________________dep3">#REF!</definedName>
    <definedName name="______________________________ext2" localSheetId="1">#REF!</definedName>
    <definedName name="______________________________ext2">#REF!</definedName>
    <definedName name="______________________________ext3">#REF!</definedName>
    <definedName name="______________________________len2">#REF!</definedName>
    <definedName name="______________________________len3">#REF!</definedName>
    <definedName name="______________________________pc1">#REF!</definedName>
    <definedName name="______________________________pc2">#REF!</definedName>
    <definedName name="______________________________pc3">#REF!</definedName>
    <definedName name="______________________________SCR1">#REF!</definedName>
    <definedName name="______________________________SCR2">#REF!</definedName>
    <definedName name="______________________________SCR3">#REF!</definedName>
    <definedName name="______________________________tbc2">#REF!</definedName>
    <definedName name="______________________________tbc3">#REF!</definedName>
    <definedName name="______________________________wid2">#REF!</definedName>
    <definedName name="______________________________wid3">#REF!</definedName>
    <definedName name="_____________________________ccr1" localSheetId="1" hidden="1">{#N/A,#N/A,TRUE,"Cover";#N/A,#N/A,TRUE,"Conts";#N/A,#N/A,TRUE,"VOS";#N/A,#N/A,TRUE,"Warrington";#N/A,#N/A,TRUE,"Widnes"}</definedName>
    <definedName name="_____________________________ccr1" hidden="1">{#N/A,#N/A,TRUE,"Cover";#N/A,#N/A,TRUE,"Conts";#N/A,#N/A,TRUE,"VOS";#N/A,#N/A,TRUE,"Warrington";#N/A,#N/A,TRUE,"Widnes"}</definedName>
    <definedName name="_____________________________dep2">#REF!</definedName>
    <definedName name="_____________________________dep3" localSheetId="1">#REF!</definedName>
    <definedName name="_____________________________dep3">#REF!</definedName>
    <definedName name="_____________________________ext2" localSheetId="1">#REF!</definedName>
    <definedName name="_____________________________ext2">#REF!</definedName>
    <definedName name="_____________________________ext3">#REF!</definedName>
    <definedName name="_____________________________len2">#REF!</definedName>
    <definedName name="_____________________________len3">#REF!</definedName>
    <definedName name="_____________________________pc1">#REF!</definedName>
    <definedName name="_____________________________pc2">#REF!</definedName>
    <definedName name="_____________________________pc3">#REF!</definedName>
    <definedName name="_____________________________SCR1">#REF!</definedName>
    <definedName name="_____________________________SCR2">#REF!</definedName>
    <definedName name="_____________________________SCR3">#REF!</definedName>
    <definedName name="_____________________________tbc2">#REF!</definedName>
    <definedName name="_____________________________tbc3">#REF!</definedName>
    <definedName name="_____________________________wid2">#REF!</definedName>
    <definedName name="_____________________________wid3">#REF!</definedName>
    <definedName name="____________________________dep2">#REF!</definedName>
    <definedName name="____________________________dep3">#REF!</definedName>
    <definedName name="____________________________ext2">#REF!</definedName>
    <definedName name="____________________________ext3">#REF!</definedName>
    <definedName name="____________________________len2">#REF!</definedName>
    <definedName name="____________________________len3">#REF!</definedName>
    <definedName name="____________________________pc1">#REF!</definedName>
    <definedName name="____________________________pc2">#REF!</definedName>
    <definedName name="____________________________pc3">#REF!</definedName>
    <definedName name="____________________________SCR1">#REF!</definedName>
    <definedName name="____________________________SCR2">#REF!</definedName>
    <definedName name="____________________________SCR3">#REF!</definedName>
    <definedName name="____________________________tbc2">#REF!</definedName>
    <definedName name="____________________________tbc3">#REF!</definedName>
    <definedName name="____________________________wid2">#REF!</definedName>
    <definedName name="____________________________wid3">#REF!</definedName>
    <definedName name="___________________________ccr1" localSheetId="1" hidden="1">{#N/A,#N/A,TRUE,"Cover";#N/A,#N/A,TRUE,"Conts";#N/A,#N/A,TRUE,"VOS";#N/A,#N/A,TRUE,"Warrington";#N/A,#N/A,TRUE,"Widnes"}</definedName>
    <definedName name="___________________________ccr1" hidden="1">{#N/A,#N/A,TRUE,"Cover";#N/A,#N/A,TRUE,"Conts";#N/A,#N/A,TRUE,"VOS";#N/A,#N/A,TRUE,"Warrington";#N/A,#N/A,TRUE,"Widnes"}</definedName>
    <definedName name="___________________________dep2">#REF!</definedName>
    <definedName name="___________________________dep3" localSheetId="1">#REF!</definedName>
    <definedName name="___________________________dep3">#REF!</definedName>
    <definedName name="___________________________ext2" localSheetId="1">#REF!</definedName>
    <definedName name="___________________________ext2">#REF!</definedName>
    <definedName name="___________________________ext3">#REF!</definedName>
    <definedName name="___________________________len2">#REF!</definedName>
    <definedName name="___________________________len3">#REF!</definedName>
    <definedName name="___________________________pc1">#REF!</definedName>
    <definedName name="___________________________pc2">#REF!</definedName>
    <definedName name="___________________________pc3">#REF!</definedName>
    <definedName name="___________________________SCR1">#REF!</definedName>
    <definedName name="___________________________SCR2">#REF!</definedName>
    <definedName name="___________________________SCR3">#REF!</definedName>
    <definedName name="___________________________tbc2">#REF!</definedName>
    <definedName name="___________________________tbc3">#REF!</definedName>
    <definedName name="___________________________wid2">#REF!</definedName>
    <definedName name="___________________________wid3">#REF!</definedName>
    <definedName name="__________________________ccr1" localSheetId="1" hidden="1">{#N/A,#N/A,TRUE,"Cover";#N/A,#N/A,TRUE,"Conts";#N/A,#N/A,TRUE,"VOS";#N/A,#N/A,TRUE,"Warrington";#N/A,#N/A,TRUE,"Widnes"}</definedName>
    <definedName name="__________________________ccr1" hidden="1">{#N/A,#N/A,TRUE,"Cover";#N/A,#N/A,TRUE,"Conts";#N/A,#N/A,TRUE,"VOS";#N/A,#N/A,TRUE,"Warrington";#N/A,#N/A,TRUE,"Widnes"}</definedName>
    <definedName name="__________________________dep2">#REF!</definedName>
    <definedName name="__________________________dep3" localSheetId="1">#REF!</definedName>
    <definedName name="__________________________dep3">#REF!</definedName>
    <definedName name="__________________________ext2" localSheetId="1">#REF!</definedName>
    <definedName name="__________________________ext2">#REF!</definedName>
    <definedName name="__________________________ext3">#REF!</definedName>
    <definedName name="__________________________len2">#REF!</definedName>
    <definedName name="__________________________len3">#REF!</definedName>
    <definedName name="__________________________pc1">#REF!</definedName>
    <definedName name="__________________________pc2">#REF!</definedName>
    <definedName name="__________________________pc3">#REF!</definedName>
    <definedName name="__________________________SCR1">#REF!</definedName>
    <definedName name="__________________________SCR2">#REF!</definedName>
    <definedName name="__________________________SCR3">#REF!</definedName>
    <definedName name="__________________________tbc2">#REF!</definedName>
    <definedName name="__________________________tbc3">#REF!</definedName>
    <definedName name="__________________________wid2">#REF!</definedName>
    <definedName name="__________________________wid3">#REF!</definedName>
    <definedName name="_________________________ccr1" localSheetId="1" hidden="1">{#N/A,#N/A,TRUE,"Cover";#N/A,#N/A,TRUE,"Conts";#N/A,#N/A,TRUE,"VOS";#N/A,#N/A,TRUE,"Warrington";#N/A,#N/A,TRUE,"Widnes"}</definedName>
    <definedName name="_________________________ccr1" hidden="1">{#N/A,#N/A,TRUE,"Cover";#N/A,#N/A,TRUE,"Conts";#N/A,#N/A,TRUE,"VOS";#N/A,#N/A,TRUE,"Warrington";#N/A,#N/A,TRUE,"Widnes"}</definedName>
    <definedName name="_________________________dep2">#REF!</definedName>
    <definedName name="_________________________dep3" localSheetId="1">#REF!</definedName>
    <definedName name="_________________________dep3">#REF!</definedName>
    <definedName name="_________________________ext2" localSheetId="1">#REF!</definedName>
    <definedName name="_________________________ext2">#REF!</definedName>
    <definedName name="_________________________ext3">#REF!</definedName>
    <definedName name="_________________________len2">#REF!</definedName>
    <definedName name="_________________________len3">#REF!</definedName>
    <definedName name="_________________________pc1">#REF!</definedName>
    <definedName name="_________________________pc2">#REF!</definedName>
    <definedName name="_________________________pc3">#REF!</definedName>
    <definedName name="_________________________SCR1">#REF!</definedName>
    <definedName name="_________________________SCR2">#REF!</definedName>
    <definedName name="_________________________SCR3">#REF!</definedName>
    <definedName name="_________________________tbc2">#REF!</definedName>
    <definedName name="_________________________tbc3">#REF!</definedName>
    <definedName name="_________________________wid2">#REF!</definedName>
    <definedName name="_________________________wid3">#REF!</definedName>
    <definedName name="________________________ccr1" localSheetId="1" hidden="1">{#N/A,#N/A,TRUE,"Cover";#N/A,#N/A,TRUE,"Conts";#N/A,#N/A,TRUE,"VOS";#N/A,#N/A,TRUE,"Warrington";#N/A,#N/A,TRUE,"Widnes"}</definedName>
    <definedName name="________________________ccr1" hidden="1">{#N/A,#N/A,TRUE,"Cover";#N/A,#N/A,TRUE,"Conts";#N/A,#N/A,TRUE,"VOS";#N/A,#N/A,TRUE,"Warrington";#N/A,#N/A,TRUE,"Widnes"}</definedName>
    <definedName name="________________________dep2">#REF!</definedName>
    <definedName name="________________________dep3" localSheetId="1">#REF!</definedName>
    <definedName name="________________________dep3">#REF!</definedName>
    <definedName name="________________________ext2" localSheetId="1">#REF!</definedName>
    <definedName name="________________________ext2">#REF!</definedName>
    <definedName name="________________________ext3">#REF!</definedName>
    <definedName name="________________________len2">#REF!</definedName>
    <definedName name="________________________len3">#REF!</definedName>
    <definedName name="________________________pc1">#REF!</definedName>
    <definedName name="________________________pc2">#REF!</definedName>
    <definedName name="________________________pc3">#REF!</definedName>
    <definedName name="________________________SCR1">#REF!</definedName>
    <definedName name="________________________SCR2">#REF!</definedName>
    <definedName name="________________________SCR3">#REF!</definedName>
    <definedName name="________________________tbc2">#REF!</definedName>
    <definedName name="________________________tbc3">#REF!</definedName>
    <definedName name="________________________wid2">#REF!</definedName>
    <definedName name="________________________wid3">#REF!</definedName>
    <definedName name="_______________________ccr1" localSheetId="1" hidden="1">{#N/A,#N/A,TRUE,"Cover";#N/A,#N/A,TRUE,"Conts";#N/A,#N/A,TRUE,"VOS";#N/A,#N/A,TRUE,"Warrington";#N/A,#N/A,TRUE,"Widnes"}</definedName>
    <definedName name="_______________________ccr1" hidden="1">{#N/A,#N/A,TRUE,"Cover";#N/A,#N/A,TRUE,"Conts";#N/A,#N/A,TRUE,"VOS";#N/A,#N/A,TRUE,"Warrington";#N/A,#N/A,TRUE,"Widnes"}</definedName>
    <definedName name="_______________________dep2">#REF!</definedName>
    <definedName name="_______________________dep3" localSheetId="1">#REF!</definedName>
    <definedName name="_______________________dep3">#REF!</definedName>
    <definedName name="_______________________ext2" localSheetId="1">#REF!</definedName>
    <definedName name="_______________________ext2">#REF!</definedName>
    <definedName name="_______________________ext3">#REF!</definedName>
    <definedName name="_______________________len2">#REF!</definedName>
    <definedName name="_______________________len3">#REF!</definedName>
    <definedName name="_______________________pc1">#REF!</definedName>
    <definedName name="_______________________pc2">#REF!</definedName>
    <definedName name="_______________________pc3">#REF!</definedName>
    <definedName name="_______________________SCR1">#REF!</definedName>
    <definedName name="_______________________SCR2">#REF!</definedName>
    <definedName name="_______________________SCR3">#REF!</definedName>
    <definedName name="_______________________tbc2">#REF!</definedName>
    <definedName name="_______________________tbc3">#REF!</definedName>
    <definedName name="_______________________wid2">#REF!</definedName>
    <definedName name="_______________________wid3">#REF!</definedName>
    <definedName name="_____________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__ccr1" localSheetId="1" hidden="1">{#N/A,#N/A,TRUE,"Cover";#N/A,#N/A,TRUE,"Conts";#N/A,#N/A,TRUE,"VOS";#N/A,#N/A,TRUE,"Warrington";#N/A,#N/A,TRUE,"Widnes"}</definedName>
    <definedName name="______________________ccr1" hidden="1">{#N/A,#N/A,TRUE,"Cover";#N/A,#N/A,TRUE,"Conts";#N/A,#N/A,TRUE,"VOS";#N/A,#N/A,TRUE,"Warrington";#N/A,#N/A,TRUE,"Widnes"}</definedName>
    <definedName name="______________________dep2">#REF!</definedName>
    <definedName name="______________________dep3" localSheetId="1">#REF!</definedName>
    <definedName name="______________________dep3">#REF!</definedName>
    <definedName name="______________________ext2" localSheetId="1">#REF!</definedName>
    <definedName name="______________________ext2">#REF!</definedName>
    <definedName name="______________________ext3">#REF!</definedName>
    <definedName name="______________________len2">#REF!</definedName>
    <definedName name="______________________len3">#REF!</definedName>
    <definedName name="______________________pc1">#REF!</definedName>
    <definedName name="______________________pc2">#REF!</definedName>
    <definedName name="______________________pc3">#REF!</definedName>
    <definedName name="______________________SCR1">#REF!</definedName>
    <definedName name="______________________SCR2">#REF!</definedName>
    <definedName name="______________________SCR3">#REF!</definedName>
    <definedName name="______________________tbc2">#REF!</definedName>
    <definedName name="______________________tbc3">#REF!</definedName>
    <definedName name="______________________wid2">#REF!</definedName>
    <definedName name="______________________wid3">#REF!</definedName>
    <definedName name="_____________________ccr1" localSheetId="1" hidden="1">{#N/A,#N/A,TRUE,"Cover";#N/A,#N/A,TRUE,"Conts";#N/A,#N/A,TRUE,"VOS";#N/A,#N/A,TRUE,"Warrington";#N/A,#N/A,TRUE,"Widnes"}</definedName>
    <definedName name="_____________________ccr1" hidden="1">{#N/A,#N/A,TRUE,"Cover";#N/A,#N/A,TRUE,"Conts";#N/A,#N/A,TRUE,"VOS";#N/A,#N/A,TRUE,"Warrington";#N/A,#N/A,TRUE,"Widnes"}</definedName>
    <definedName name="_____________________dep2">#REF!</definedName>
    <definedName name="_____________________dep3" localSheetId="1">#REF!</definedName>
    <definedName name="_____________________dep3">#REF!</definedName>
    <definedName name="_____________________ext2" localSheetId="1">#REF!</definedName>
    <definedName name="_____________________ext2">#REF!</definedName>
    <definedName name="_____________________ext3">#REF!</definedName>
    <definedName name="_____________________len2">#REF!</definedName>
    <definedName name="_____________________len3">#REF!</definedName>
    <definedName name="_____________________pc1">#REF!</definedName>
    <definedName name="_____________________pc2">#REF!</definedName>
    <definedName name="_____________________pc3">#REF!</definedName>
    <definedName name="_____________________SCR1">#REF!</definedName>
    <definedName name="_____________________SCR2">#REF!</definedName>
    <definedName name="_____________________SCR3">#REF!</definedName>
    <definedName name="_____________________tbc2">#REF!</definedName>
    <definedName name="_____________________tbc3">#REF!</definedName>
    <definedName name="_____________________wid2">#REF!</definedName>
    <definedName name="_____________________wid3">#REF!</definedName>
    <definedName name="___________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__ccr1" localSheetId="1" hidden="1">{#N/A,#N/A,TRUE,"Cover";#N/A,#N/A,TRUE,"Conts";#N/A,#N/A,TRUE,"VOS";#N/A,#N/A,TRUE,"Warrington";#N/A,#N/A,TRUE,"Widnes"}</definedName>
    <definedName name="____________________ccr1" hidden="1">{#N/A,#N/A,TRUE,"Cover";#N/A,#N/A,TRUE,"Conts";#N/A,#N/A,TRUE,"VOS";#N/A,#N/A,TRUE,"Warrington";#N/A,#N/A,TRUE,"Widnes"}</definedName>
    <definedName name="____________________dep2">#REF!</definedName>
    <definedName name="____________________dep3" localSheetId="1">#REF!</definedName>
    <definedName name="____________________dep3">#REF!</definedName>
    <definedName name="____________________ext2" localSheetId="1">#REF!</definedName>
    <definedName name="____________________ext2">#REF!</definedName>
    <definedName name="____________________ext3">#REF!</definedName>
    <definedName name="____________________len2">#REF!</definedName>
    <definedName name="____________________len3">#REF!</definedName>
    <definedName name="____________________new8" hidden="1">#REF!</definedName>
    <definedName name="___________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____old3" hidden="1">{#N/A,#N/A,FALSE,"Summary";#N/A,#N/A,FALSE,"3TJ";#N/A,#N/A,FALSE,"3TN";#N/A,#N/A,FALSE,"3TP";#N/A,#N/A,FALSE,"3SJ";#N/A,#N/A,FALSE,"3CJ";#N/A,#N/A,FALSE,"3CN";#N/A,#N/A,FALSE,"3CP";#N/A,#N/A,FALSE,"3A"}</definedName>
    <definedName name="___________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____old5" hidden="1">{#N/A,#N/A,FALSE,"Summary";#N/A,#N/A,FALSE,"3TJ";#N/A,#N/A,FALSE,"3TN";#N/A,#N/A,FALSE,"3TP";#N/A,#N/A,FALSE,"3SJ";#N/A,#N/A,FALSE,"3CJ";#N/A,#N/A,FALSE,"3CN";#N/A,#N/A,FALSE,"3CP";#N/A,#N/A,FALSE,"3A"}</definedName>
    <definedName name="___________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____old7" hidden="1">{#N/A,#N/A,FALSE,"Summary";#N/A,#N/A,FALSE,"3TJ";#N/A,#N/A,FALSE,"3TN";#N/A,#N/A,FALSE,"3TP";#N/A,#N/A,FALSE,"3SJ";#N/A,#N/A,FALSE,"3CJ";#N/A,#N/A,FALSE,"3CN";#N/A,#N/A,FALSE,"3CP";#N/A,#N/A,FALSE,"3A"}</definedName>
    <definedName name="____________________pc1">#REF!</definedName>
    <definedName name="____________________pc2" localSheetId="1">#REF!</definedName>
    <definedName name="____________________pc2">#REF!</definedName>
    <definedName name="____________________pc3" localSheetId="1">#REF!</definedName>
    <definedName name="____________________pc3">#REF!</definedName>
    <definedName name="____________________SCR1">#REF!</definedName>
    <definedName name="____________________SCR2">#REF!</definedName>
    <definedName name="____________________SCR3">#REF!</definedName>
    <definedName name="____________________tbc2">#REF!</definedName>
    <definedName name="____________________tbc3">#REF!</definedName>
    <definedName name="____________________wid2">#REF!</definedName>
    <definedName name="____________________wid3">#REF!</definedName>
    <definedName name="___________________ccr1" localSheetId="1" hidden="1">{#N/A,#N/A,TRUE,"Cover";#N/A,#N/A,TRUE,"Conts";#N/A,#N/A,TRUE,"VOS";#N/A,#N/A,TRUE,"Warrington";#N/A,#N/A,TRUE,"Widnes"}</definedName>
    <definedName name="___________________ccr1" hidden="1">{#N/A,#N/A,TRUE,"Cover";#N/A,#N/A,TRUE,"Conts";#N/A,#N/A,TRUE,"VOS";#N/A,#N/A,TRUE,"Warrington";#N/A,#N/A,TRUE,"Widnes"}</definedName>
    <definedName name="___________________dep2">#REF!</definedName>
    <definedName name="___________________dep3" localSheetId="1">#REF!</definedName>
    <definedName name="___________________dep3">#REF!</definedName>
    <definedName name="___________________ext2" localSheetId="1">#REF!</definedName>
    <definedName name="___________________ext2">#REF!</definedName>
    <definedName name="___________________ext3">#REF!</definedName>
    <definedName name="___________________len2">#REF!</definedName>
    <definedName name="___________________len3">#REF!</definedName>
    <definedName name="___________________pc1">#REF!</definedName>
    <definedName name="___________________pc2">#REF!</definedName>
    <definedName name="___________________pc3">#REF!</definedName>
    <definedName name="___________________SCR1">#REF!</definedName>
    <definedName name="___________________SCR2">#REF!</definedName>
    <definedName name="___________________SCR3">#REF!</definedName>
    <definedName name="___________________tbc2">#REF!</definedName>
    <definedName name="___________________tbc3">#REF!</definedName>
    <definedName name="___________________wid2">#REF!</definedName>
    <definedName name="___________________wid3">#REF!</definedName>
    <definedName name="__________________A65539">#REF!</definedName>
    <definedName name="_________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__ccr1" localSheetId="1" hidden="1">{#N/A,#N/A,TRUE,"Cover";#N/A,#N/A,TRUE,"Conts";#N/A,#N/A,TRUE,"VOS";#N/A,#N/A,TRUE,"Warrington";#N/A,#N/A,TRUE,"Widnes"}</definedName>
    <definedName name="__________________ccr1" hidden="1">{#N/A,#N/A,TRUE,"Cover";#N/A,#N/A,TRUE,"Conts";#N/A,#N/A,TRUE,"VOS";#N/A,#N/A,TRUE,"Warrington";#N/A,#N/A,TRUE,"Widnes"}</definedName>
    <definedName name="__________________dep2">#REF!</definedName>
    <definedName name="__________________dep3" localSheetId="1">#REF!</definedName>
    <definedName name="__________________dep3">#REF!</definedName>
    <definedName name="__________________ext2" localSheetId="1">#REF!</definedName>
    <definedName name="__________________ext2">#REF!</definedName>
    <definedName name="__________________ext3">#REF!</definedName>
    <definedName name="__________________len2">#REF!</definedName>
    <definedName name="__________________len3">#REF!</definedName>
    <definedName name="__________________new10">#REF!</definedName>
    <definedName name="__________________new11">#REF!</definedName>
    <definedName name="__________________new12">#REF!</definedName>
    <definedName name="__________________new13">#REF!</definedName>
    <definedName name="__________________new14">#REF!</definedName>
    <definedName name="__________________new15">#REF!</definedName>
    <definedName name="__________________new16">#REF!</definedName>
    <definedName name="__________________new17">#REF!</definedName>
    <definedName name="__________________new2">#REF!</definedName>
    <definedName name="__________________new3">#REF!</definedName>
    <definedName name="__________________new4">#REF!</definedName>
    <definedName name="__________________new5">#REF!</definedName>
    <definedName name="__________________new6">#REF!</definedName>
    <definedName name="__________________new7">#REF!</definedName>
    <definedName name="__________________new9">#REF!</definedName>
    <definedName name="_________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__old3" hidden="1">{#N/A,#N/A,FALSE,"Summary";#N/A,#N/A,FALSE,"3TJ";#N/A,#N/A,FALSE,"3TN";#N/A,#N/A,FALSE,"3TP";#N/A,#N/A,FALSE,"3SJ";#N/A,#N/A,FALSE,"3CJ";#N/A,#N/A,FALSE,"3CN";#N/A,#N/A,FALSE,"3CP";#N/A,#N/A,FALSE,"3A"}</definedName>
    <definedName name="_________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__old5" hidden="1">{#N/A,#N/A,FALSE,"Summary";#N/A,#N/A,FALSE,"3TJ";#N/A,#N/A,FALSE,"3TN";#N/A,#N/A,FALSE,"3TP";#N/A,#N/A,FALSE,"3SJ";#N/A,#N/A,FALSE,"3CJ";#N/A,#N/A,FALSE,"3CN";#N/A,#N/A,FALSE,"3CP";#N/A,#N/A,FALSE,"3A"}</definedName>
    <definedName name="_________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__old7" hidden="1">{#N/A,#N/A,FALSE,"Summary";#N/A,#N/A,FALSE,"3TJ";#N/A,#N/A,FALSE,"3TN";#N/A,#N/A,FALSE,"3TP";#N/A,#N/A,FALSE,"3SJ";#N/A,#N/A,FALSE,"3CJ";#N/A,#N/A,FALSE,"3CN";#N/A,#N/A,FALSE,"3CP";#N/A,#N/A,FALSE,"3A"}</definedName>
    <definedName name="__________________pc1">#REF!</definedName>
    <definedName name="__________________pc2" localSheetId="1">#REF!</definedName>
    <definedName name="__________________pc2">#REF!</definedName>
    <definedName name="__________________pc3" localSheetId="1">#REF!</definedName>
    <definedName name="__________________pc3">#REF!</definedName>
    <definedName name="__________________SCR1">#REF!</definedName>
    <definedName name="__________________SCR2">#REF!</definedName>
    <definedName name="__________________SCR3">#REF!</definedName>
    <definedName name="__________________tbc2">#REF!</definedName>
    <definedName name="__________________tbc3">#REF!</definedName>
    <definedName name="__________________wid2">#REF!</definedName>
    <definedName name="__________________wid3">#REF!</definedName>
    <definedName name="_________________ccr1" localSheetId="1" hidden="1">{#N/A,#N/A,TRUE,"Cover";#N/A,#N/A,TRUE,"Conts";#N/A,#N/A,TRUE,"VOS";#N/A,#N/A,TRUE,"Warrington";#N/A,#N/A,TRUE,"Widnes"}</definedName>
    <definedName name="_________________ccr1" hidden="1">{#N/A,#N/A,TRUE,"Cover";#N/A,#N/A,TRUE,"Conts";#N/A,#N/A,TRUE,"VOS";#N/A,#N/A,TRUE,"Warrington";#N/A,#N/A,TRUE,"Widnes"}</definedName>
    <definedName name="_________________dep2">#REF!</definedName>
    <definedName name="_________________dep3" localSheetId="1">#REF!</definedName>
    <definedName name="_________________dep3">#REF!</definedName>
    <definedName name="_________________ext2" localSheetId="1">#REF!</definedName>
    <definedName name="_________________ext2">#REF!</definedName>
    <definedName name="_________________ext3">#REF!</definedName>
    <definedName name="_________________len2">#REF!</definedName>
    <definedName name="_________________len3">#REF!</definedName>
    <definedName name="_________________NS1">#REF!</definedName>
    <definedName name="_________________pc1">#REF!</definedName>
    <definedName name="_________________pc2">#REF!</definedName>
    <definedName name="_________________pc3">#REF!</definedName>
    <definedName name="_________________SCR1">#REF!</definedName>
    <definedName name="_________________SCR2">#REF!</definedName>
    <definedName name="_________________SCR3">#REF!</definedName>
    <definedName name="_________________tbc2">#REF!</definedName>
    <definedName name="_________________tbc3">#REF!</definedName>
    <definedName name="_________________wid2">#REF!</definedName>
    <definedName name="_________________wid3">#REF!</definedName>
    <definedName name="_________________xlfn.SUMIFS" hidden="1">#NAME?</definedName>
    <definedName name="________________A65539" localSheetId="1">#REF!</definedName>
    <definedName name="________________A65539">#REF!</definedName>
    <definedName name="_______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ccr1" localSheetId="1" hidden="1">{#N/A,#N/A,TRUE,"Cover";#N/A,#N/A,TRUE,"Conts";#N/A,#N/A,TRUE,"VOS";#N/A,#N/A,TRUE,"Warrington";#N/A,#N/A,TRUE,"Widnes"}</definedName>
    <definedName name="________________ccr1" hidden="1">{#N/A,#N/A,TRUE,"Cover";#N/A,#N/A,TRUE,"Conts";#N/A,#N/A,TRUE,"VOS";#N/A,#N/A,TRUE,"Warrington";#N/A,#N/A,TRUE,"Widnes"}</definedName>
    <definedName name="________________dep2">#REF!</definedName>
    <definedName name="________________dep3" localSheetId="1">#REF!</definedName>
    <definedName name="________________dep3">#REF!</definedName>
    <definedName name="________________ext2" localSheetId="1">#REF!</definedName>
    <definedName name="________________ext2">#REF!</definedName>
    <definedName name="________________ext3">#REF!</definedName>
    <definedName name="________________len2">#REF!</definedName>
    <definedName name="________________len3">#REF!</definedName>
    <definedName name="________________NS1">#REF!</definedName>
    <definedName name="_______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old3" hidden="1">{#N/A,#N/A,FALSE,"Summary";#N/A,#N/A,FALSE,"3TJ";#N/A,#N/A,FALSE,"3TN";#N/A,#N/A,FALSE,"3TP";#N/A,#N/A,FALSE,"3SJ";#N/A,#N/A,FALSE,"3CJ";#N/A,#N/A,FALSE,"3CN";#N/A,#N/A,FALSE,"3CP";#N/A,#N/A,FALSE,"3A"}</definedName>
    <definedName name="_______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old5" hidden="1">{#N/A,#N/A,FALSE,"Summary";#N/A,#N/A,FALSE,"3TJ";#N/A,#N/A,FALSE,"3TN";#N/A,#N/A,FALSE,"3TP";#N/A,#N/A,FALSE,"3SJ";#N/A,#N/A,FALSE,"3CJ";#N/A,#N/A,FALSE,"3CN";#N/A,#N/A,FALSE,"3CP";#N/A,#N/A,FALSE,"3A"}</definedName>
    <definedName name="_______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__old7" hidden="1">{#N/A,#N/A,FALSE,"Summary";#N/A,#N/A,FALSE,"3TJ";#N/A,#N/A,FALSE,"3TN";#N/A,#N/A,FALSE,"3TP";#N/A,#N/A,FALSE,"3SJ";#N/A,#N/A,FALSE,"3CJ";#N/A,#N/A,FALSE,"3CN";#N/A,#N/A,FALSE,"3CP";#N/A,#N/A,FALSE,"3A"}</definedName>
    <definedName name="________________pc1">#REF!</definedName>
    <definedName name="________________pc2" localSheetId="1">#REF!</definedName>
    <definedName name="________________pc2">#REF!</definedName>
    <definedName name="________________pc3" localSheetId="1">#REF!</definedName>
    <definedName name="________________pc3">#REF!</definedName>
    <definedName name="________________SCR1">#REF!</definedName>
    <definedName name="________________SCR2">#REF!</definedName>
    <definedName name="________________SCR3">#REF!</definedName>
    <definedName name="________________tbc2">#REF!</definedName>
    <definedName name="________________tbc3">#REF!</definedName>
    <definedName name="________________wid2">#REF!</definedName>
    <definedName name="________________wid3">#REF!</definedName>
    <definedName name="________________xlfn.SUMIFS" hidden="1">#NAME?</definedName>
    <definedName name="_______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cat123">#N/A</definedName>
    <definedName name="_______________ccr1" localSheetId="1" hidden="1">{#N/A,#N/A,TRUE,"Cover";#N/A,#N/A,TRUE,"Conts";#N/A,#N/A,TRUE,"VOS";#N/A,#N/A,TRUE,"Warrington";#N/A,#N/A,TRUE,"Widnes"}</definedName>
    <definedName name="_______________ccr1" hidden="1">{#N/A,#N/A,TRUE,"Cover";#N/A,#N/A,TRUE,"Conts";#N/A,#N/A,TRUE,"VOS";#N/A,#N/A,TRUE,"Warrington";#N/A,#N/A,TRUE,"Widnes"}</definedName>
    <definedName name="_______________ccr1_1" localSheetId="1" hidden="1">{#N/A,#N/A,TRUE,"Cover";#N/A,#N/A,TRUE,"Conts";#N/A,#N/A,TRUE,"VOS";#N/A,#N/A,TRUE,"Warrington";#N/A,#N/A,TRUE,"Widnes"}</definedName>
    <definedName name="_______________ccr1_1" hidden="1">{#N/A,#N/A,TRUE,"Cover";#N/A,#N/A,TRUE,"Conts";#N/A,#N/A,TRUE,"VOS";#N/A,#N/A,TRUE,"Warrington";#N/A,#N/A,TRUE,"Widnes"}</definedName>
    <definedName name="_______________dep2">#REF!</definedName>
    <definedName name="_______________dep3" localSheetId="1">#REF!</definedName>
    <definedName name="_______________dep3">#REF!</definedName>
    <definedName name="_______________ext2" localSheetId="1">#REF!</definedName>
    <definedName name="_______________ext2">#REF!</definedName>
    <definedName name="_______________ext3">#REF!</definedName>
    <definedName name="_______________IDC2">#N/A</definedName>
    <definedName name="_______________len2" localSheetId="1">#REF!</definedName>
    <definedName name="_______________len2">#REF!</definedName>
    <definedName name="_______________len3" localSheetId="1">#REF!</definedName>
    <definedName name="_______________len3">#REF!</definedName>
    <definedName name="_______________loc1">#N/A</definedName>
    <definedName name="_______________NS1" localSheetId="1">#REF!</definedName>
    <definedName name="_______________NS1">#REF!</definedName>
    <definedName name="_______________pc1" localSheetId="1">#REF!</definedName>
    <definedName name="_______________pc1">#REF!</definedName>
    <definedName name="_______________pc2" localSheetId="1">#REF!</definedName>
    <definedName name="_______________pc2">#REF!</definedName>
    <definedName name="_______________pc3">#REF!</definedName>
    <definedName name="_______________SCR1">#REF!</definedName>
    <definedName name="_______________SCR2">#REF!</definedName>
    <definedName name="_______________SCR3">#REF!</definedName>
    <definedName name="_______________SEC15030">#REF!</definedName>
    <definedName name="_______________SEC15060">#REF!</definedName>
    <definedName name="_______________SEC15100">#REF!</definedName>
    <definedName name="_______________SEC15110">#REF!</definedName>
    <definedName name="_______________SEC15125">#REF!</definedName>
    <definedName name="_______________SEC15160">#REF!</definedName>
    <definedName name="_______________SEC15175">#REF!</definedName>
    <definedName name="_______________SEC15290">#REF!</definedName>
    <definedName name="_______________SEC15310">#REF!</definedName>
    <definedName name="_______________SEC15420">#REF!</definedName>
    <definedName name="_______________SEC15440">#REF!</definedName>
    <definedName name="_______________SEC15470">#REF!</definedName>
    <definedName name="_______________SEC15486">#REF!</definedName>
    <definedName name="_______________SEC15540">#REF!</definedName>
    <definedName name="_______________SEC15610">#REF!</definedName>
    <definedName name="_______________SEC15625">#REF!</definedName>
    <definedName name="_______________SEC15680">#REF!</definedName>
    <definedName name="_______________SEC15850">#REF!</definedName>
    <definedName name="_______________SEC15865">#REF!</definedName>
    <definedName name="_______________SEC15875">#REF!</definedName>
    <definedName name="_______________SEC15890">#REF!</definedName>
    <definedName name="_______________SEC15910">#REF!</definedName>
    <definedName name="_______________SEC15940">#REF!</definedName>
    <definedName name="_______________SEC15975">#REF!</definedName>
    <definedName name="_______________tbc2">#REF!</definedName>
    <definedName name="_______________tbc3">#REF!</definedName>
    <definedName name="_______________wid2">#REF!</definedName>
    <definedName name="_______________wid3">#REF!</definedName>
    <definedName name="_______________xlfn.SUMIFS" hidden="1">#NAME?</definedName>
    <definedName name="______________A65539" localSheetId="1">#REF!</definedName>
    <definedName name="______________A65539">#REF!</definedName>
    <definedName name="_____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BLK2">#REF!</definedName>
    <definedName name="______________BLK3">#REF!</definedName>
    <definedName name="______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cat123" localSheetId="1">#N/A</definedName>
    <definedName name="______________cat123">[1]!City&amp;" "&amp;STATE</definedName>
    <definedName name="______________ccr1" localSheetId="1" hidden="1">{#N/A,#N/A,TRUE,"Cover";#N/A,#N/A,TRUE,"Conts";#N/A,#N/A,TRUE,"VOS";#N/A,#N/A,TRUE,"Warrington";#N/A,#N/A,TRUE,"Widnes"}</definedName>
    <definedName name="______________ccr1" hidden="1">{#N/A,#N/A,TRUE,"Cover";#N/A,#N/A,TRUE,"Conts";#N/A,#N/A,TRUE,"VOS";#N/A,#N/A,TRUE,"Warrington";#N/A,#N/A,TRUE,"Widnes"}</definedName>
    <definedName name="______________dep2">#REF!</definedName>
    <definedName name="______________dep3" localSheetId="1">#REF!</definedName>
    <definedName name="______________dep3">#REF!</definedName>
    <definedName name="______________ext2" localSheetId="1">#REF!</definedName>
    <definedName name="______________ext2">#REF!</definedName>
    <definedName name="______________ext3">#REF!</definedName>
    <definedName name="______________IDC2" localSheetId="1">#N/A</definedName>
    <definedName name="______________IDC2">[1]!City&amp;" "&amp;STATE</definedName>
    <definedName name="______________len2" localSheetId="1">#REF!</definedName>
    <definedName name="______________len2">#REF!</definedName>
    <definedName name="______________len3" localSheetId="1">#REF!</definedName>
    <definedName name="______________len3">#REF!</definedName>
    <definedName name="______________loc1" localSheetId="1">#N/A</definedName>
    <definedName name="______________loc1">[1]!City&amp;" "&amp;STATE</definedName>
    <definedName name="______________new8" localSheetId="1" hidden="1">#REF!</definedName>
    <definedName name="______________new8" hidden="1">#REF!</definedName>
    <definedName name="______________NS1" localSheetId="1">#REF!</definedName>
    <definedName name="______________NS1">#REF!</definedName>
    <definedName name="_____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old3" hidden="1">{#N/A,#N/A,FALSE,"Summary";#N/A,#N/A,FALSE,"3TJ";#N/A,#N/A,FALSE,"3TN";#N/A,#N/A,FALSE,"3TP";#N/A,#N/A,FALSE,"3SJ";#N/A,#N/A,FALSE,"3CJ";#N/A,#N/A,FALSE,"3CN";#N/A,#N/A,FALSE,"3CP";#N/A,#N/A,FALSE,"3A"}</definedName>
    <definedName name="_____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old5" hidden="1">{#N/A,#N/A,FALSE,"Summary";#N/A,#N/A,FALSE,"3TJ";#N/A,#N/A,FALSE,"3TN";#N/A,#N/A,FALSE,"3TP";#N/A,#N/A,FALSE,"3SJ";#N/A,#N/A,FALSE,"3CJ";#N/A,#N/A,FALSE,"3CN";#N/A,#N/A,FALSE,"3CP";#N/A,#N/A,FALSE,"3A"}</definedName>
    <definedName name="_____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__old7" hidden="1">{#N/A,#N/A,FALSE,"Summary";#N/A,#N/A,FALSE,"3TJ";#N/A,#N/A,FALSE,"3TN";#N/A,#N/A,FALSE,"3TP";#N/A,#N/A,FALSE,"3SJ";#N/A,#N/A,FALSE,"3CJ";#N/A,#N/A,FALSE,"3CN";#N/A,#N/A,FALSE,"3CP";#N/A,#N/A,FALSE,"3A"}</definedName>
    <definedName name="______________pc1">#REF!</definedName>
    <definedName name="______________pc2" localSheetId="1">#REF!</definedName>
    <definedName name="______________pc2">#REF!</definedName>
    <definedName name="______________pc3" localSheetId="1">#REF!</definedName>
    <definedName name="______________pc3">#REF!</definedName>
    <definedName name="______________SCR1">#REF!</definedName>
    <definedName name="______________SCR2">#REF!</definedName>
    <definedName name="______________SCR3">#REF!</definedName>
    <definedName name="______________SEC15030">#REF!</definedName>
    <definedName name="______________SEC15060">#REF!</definedName>
    <definedName name="______________SEC15100">#REF!</definedName>
    <definedName name="______________SEC15110">#REF!</definedName>
    <definedName name="______________SEC15125">#REF!</definedName>
    <definedName name="______________SEC15160">#REF!</definedName>
    <definedName name="______________SEC15175">#REF!</definedName>
    <definedName name="______________SEC15290">#REF!</definedName>
    <definedName name="______________SEC15310">#REF!</definedName>
    <definedName name="______________SEC15420">#REF!</definedName>
    <definedName name="______________SEC15440">#REF!</definedName>
    <definedName name="______________SEC15470">#REF!</definedName>
    <definedName name="______________SEC15486">#REF!</definedName>
    <definedName name="______________SEC15540">#REF!</definedName>
    <definedName name="______________SEC15610">#REF!</definedName>
    <definedName name="______________SEC15625">#REF!</definedName>
    <definedName name="______________SEC15680">#REF!</definedName>
    <definedName name="______________SEC15850">#REF!</definedName>
    <definedName name="______________SEC15865">#REF!</definedName>
    <definedName name="______________SEC15875">#REF!</definedName>
    <definedName name="______________SEC15890">#REF!</definedName>
    <definedName name="______________SEC15910">#REF!</definedName>
    <definedName name="______________SEC15940">#REF!</definedName>
    <definedName name="______________SEC15975">#REF!</definedName>
    <definedName name="______________TB2">#REF!</definedName>
    <definedName name="______________tbc2" localSheetId="1">#REF!</definedName>
    <definedName name="______________tbc2">#REF!</definedName>
    <definedName name="______________tbc3" localSheetId="1">#REF!</definedName>
    <definedName name="______________tbc3">#REF!</definedName>
    <definedName name="______________wid2" localSheetId="1">#REF!</definedName>
    <definedName name="______________wid2">#REF!</definedName>
    <definedName name="______________wid3">#REF!</definedName>
    <definedName name="______________xlfn.SUMIFS" hidden="1">#NAME?</definedName>
    <definedName name="_____________??" localSheetId="1">#REF!</definedName>
    <definedName name="_____________??">#REF!</definedName>
    <definedName name="_____________BLK2">#REF!</definedName>
    <definedName name="_____________BLK3">#REF!</definedName>
    <definedName name="_____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at123" localSheetId="1">#N/A</definedName>
    <definedName name="_____________cat123">[1]!City&amp;" "&amp;STATE</definedName>
    <definedName name="_____________ccr1" localSheetId="1" hidden="1">{#N/A,#N/A,TRUE,"Cover";#N/A,#N/A,TRUE,"Conts";#N/A,#N/A,TRUE,"VOS";#N/A,#N/A,TRUE,"Warrington";#N/A,#N/A,TRUE,"Widnes"}</definedName>
    <definedName name="_____________ccr1" hidden="1">{#N/A,#N/A,TRUE,"Cover";#N/A,#N/A,TRUE,"Conts";#N/A,#N/A,TRUE,"VOS";#N/A,#N/A,TRUE,"Warrington";#N/A,#N/A,TRUE,"Widnes"}</definedName>
    <definedName name="_____________ccr1_1" localSheetId="1" hidden="1">{#N/A,#N/A,TRUE,"Cover";#N/A,#N/A,TRUE,"Conts";#N/A,#N/A,TRUE,"VOS";#N/A,#N/A,TRUE,"Warrington";#N/A,#N/A,TRUE,"Widnes"}</definedName>
    <definedName name="_____________ccr1_1" hidden="1">{#N/A,#N/A,TRUE,"Cover";#N/A,#N/A,TRUE,"Conts";#N/A,#N/A,TRUE,"VOS";#N/A,#N/A,TRUE,"Warrington";#N/A,#N/A,TRUE,"Widnes"}</definedName>
    <definedName name="_____________dep2">#REF!</definedName>
    <definedName name="_____________dep3" localSheetId="1">#REF!</definedName>
    <definedName name="_____________dep3">#REF!</definedName>
    <definedName name="_____________ext2" localSheetId="1">#REF!</definedName>
    <definedName name="_____________ext2">#REF!</definedName>
    <definedName name="_____________ext3">#REF!</definedName>
    <definedName name="_____________IDC2" localSheetId="1">#N/A</definedName>
    <definedName name="_____________IDC2">[1]!City&amp;" "&amp;STATE</definedName>
    <definedName name="_____________len2" localSheetId="1">#REF!</definedName>
    <definedName name="_____________len2">#REF!</definedName>
    <definedName name="_____________len3" localSheetId="1">#REF!</definedName>
    <definedName name="_____________len3">#REF!</definedName>
    <definedName name="_____________loc1" localSheetId="1">#N/A</definedName>
    <definedName name="_____________loc1">[1]!City&amp;" "&amp;STATE</definedName>
    <definedName name="_____________NS1" localSheetId="1">#REF!</definedName>
    <definedName name="_____________NS1">#REF!</definedName>
    <definedName name="_____________pc1" localSheetId="1">#REF!</definedName>
    <definedName name="_____________pc1">#REF!</definedName>
    <definedName name="_____________pc2" localSheetId="1">#REF!</definedName>
    <definedName name="_____________pc2">#REF!</definedName>
    <definedName name="_____________pc3">#REF!</definedName>
    <definedName name="_____________SCR1">#REF!</definedName>
    <definedName name="_____________SCR2">#REF!</definedName>
    <definedName name="_____________SCR3">#REF!</definedName>
    <definedName name="_____________SEC15030">#REF!</definedName>
    <definedName name="_____________SEC15060">#REF!</definedName>
    <definedName name="_____________SEC15100">#REF!</definedName>
    <definedName name="_____________SEC15110">#REF!</definedName>
    <definedName name="_____________SEC15125">#REF!</definedName>
    <definedName name="_____________SEC15160">#REF!</definedName>
    <definedName name="_____________SEC15175">#REF!</definedName>
    <definedName name="_____________SEC15290">#REF!</definedName>
    <definedName name="_____________SEC15310">#REF!</definedName>
    <definedName name="_____________SEC15420">#REF!</definedName>
    <definedName name="_____________SEC15440">#REF!</definedName>
    <definedName name="_____________SEC15470">#REF!</definedName>
    <definedName name="_____________SEC15486">#REF!</definedName>
    <definedName name="_____________SEC15540">#REF!</definedName>
    <definedName name="_____________SEC15610">#REF!</definedName>
    <definedName name="_____________SEC15625">#REF!</definedName>
    <definedName name="_____________SEC15680">#REF!</definedName>
    <definedName name="_____________SEC15850">#REF!</definedName>
    <definedName name="_____________SEC15865">#REF!</definedName>
    <definedName name="_____________SEC15875">#REF!</definedName>
    <definedName name="_____________SEC15890">#REF!</definedName>
    <definedName name="_____________SEC15910">#REF!</definedName>
    <definedName name="_____________SEC15940">#REF!</definedName>
    <definedName name="_____________SEC15975">#REF!</definedName>
    <definedName name="_____________TB2">#REF!</definedName>
    <definedName name="_____________tbc2" localSheetId="1">#REF!</definedName>
    <definedName name="_____________tbc2">#REF!</definedName>
    <definedName name="_____________tbc3" localSheetId="1">#REF!</definedName>
    <definedName name="_____________tbc3">#REF!</definedName>
    <definedName name="_____________wid2" localSheetId="1">#REF!</definedName>
    <definedName name="_____________wid2">#REF!</definedName>
    <definedName name="_____________wid3">#REF!</definedName>
    <definedName name="_____________xlfn.SUMIFS" hidden="1">#NAME?</definedName>
    <definedName name="____________A65539" localSheetId="1">#REF!</definedName>
    <definedName name="____________A65539">#REF!</definedName>
    <definedName name="___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B19000">#REF!</definedName>
    <definedName name="____________B19999" localSheetId="1">#REF!</definedName>
    <definedName name="____________B19999">#REF!</definedName>
    <definedName name="____________B20000" localSheetId="1">#REF!</definedName>
    <definedName name="____________B20000">#REF!</definedName>
    <definedName name="____________BLK2">#REF!</definedName>
    <definedName name="____________BLK3">#REF!</definedName>
    <definedName name="____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at123" localSheetId="1">#N/A</definedName>
    <definedName name="____________cat123">[1]!City&amp;" "&amp;STATE</definedName>
    <definedName name="____________ccr1" localSheetId="1" hidden="1">{#N/A,#N/A,TRUE,"Cover";#N/A,#N/A,TRUE,"Conts";#N/A,#N/A,TRUE,"VOS";#N/A,#N/A,TRUE,"Warrington";#N/A,#N/A,TRUE,"Widnes"}</definedName>
    <definedName name="____________ccr1" hidden="1">{#N/A,#N/A,TRUE,"Cover";#N/A,#N/A,TRUE,"Conts";#N/A,#N/A,TRUE,"VOS";#N/A,#N/A,TRUE,"Warrington";#N/A,#N/A,TRUE,"Widnes"}</definedName>
    <definedName name="____________dep2">#REF!</definedName>
    <definedName name="____________dep3" localSheetId="1">#REF!</definedName>
    <definedName name="____________dep3">#REF!</definedName>
    <definedName name="____________e20000" localSheetId="1">#REF!</definedName>
    <definedName name="____________e20000">#REF!</definedName>
    <definedName name="____________e99991">#REF!</definedName>
    <definedName name="____________ext2">#REF!</definedName>
    <definedName name="____________ext3">#REF!</definedName>
    <definedName name="____________IDC2" localSheetId="1">#N/A</definedName>
    <definedName name="____________IDC2">[1]!City&amp;" "&amp;STATE</definedName>
    <definedName name="____________len2" localSheetId="1">#REF!</definedName>
    <definedName name="____________len2">#REF!</definedName>
    <definedName name="____________len3" localSheetId="1">#REF!</definedName>
    <definedName name="____________len3">#REF!</definedName>
    <definedName name="____________loc1" localSheetId="1">#N/A</definedName>
    <definedName name="____________loc1">[1]!City&amp;" "&amp;STATE</definedName>
    <definedName name="____________new8" localSheetId="1" hidden="1">#REF!</definedName>
    <definedName name="____________new8" hidden="1">#REF!</definedName>
    <definedName name="____________NS1" localSheetId="1">#REF!</definedName>
    <definedName name="____________NS1">#REF!</definedName>
    <definedName name="___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old3" hidden="1">{#N/A,#N/A,FALSE,"Summary";#N/A,#N/A,FALSE,"3TJ";#N/A,#N/A,FALSE,"3TN";#N/A,#N/A,FALSE,"3TP";#N/A,#N/A,FALSE,"3SJ";#N/A,#N/A,FALSE,"3CJ";#N/A,#N/A,FALSE,"3CN";#N/A,#N/A,FALSE,"3CP";#N/A,#N/A,FALSE,"3A"}</definedName>
    <definedName name="___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old5" hidden="1">{#N/A,#N/A,FALSE,"Summary";#N/A,#N/A,FALSE,"3TJ";#N/A,#N/A,FALSE,"3TN";#N/A,#N/A,FALSE,"3TP";#N/A,#N/A,FALSE,"3SJ";#N/A,#N/A,FALSE,"3CJ";#N/A,#N/A,FALSE,"3CN";#N/A,#N/A,FALSE,"3CP";#N/A,#N/A,FALSE,"3A"}</definedName>
    <definedName name="___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__old7" hidden="1">{#N/A,#N/A,FALSE,"Summary";#N/A,#N/A,FALSE,"3TJ";#N/A,#N/A,FALSE,"3TN";#N/A,#N/A,FALSE,"3TP";#N/A,#N/A,FALSE,"3SJ";#N/A,#N/A,FALSE,"3CJ";#N/A,#N/A,FALSE,"3CN";#N/A,#N/A,FALSE,"3CP";#N/A,#N/A,FALSE,"3A"}</definedName>
    <definedName name="____________pc1">#REF!</definedName>
    <definedName name="____________pc2" localSheetId="1">#REF!</definedName>
    <definedName name="____________pc2">#REF!</definedName>
    <definedName name="____________pc3" localSheetId="1">#REF!</definedName>
    <definedName name="____________pc3">#REF!</definedName>
    <definedName name="____________SCR1">#REF!</definedName>
    <definedName name="____________SCR2">#REF!</definedName>
    <definedName name="____________SCR3">#REF!</definedName>
    <definedName name="____________SEC15030">#REF!</definedName>
    <definedName name="____________SEC15060">#REF!</definedName>
    <definedName name="____________SEC15100">#REF!</definedName>
    <definedName name="____________SEC15110">#REF!</definedName>
    <definedName name="____________SEC15125">#REF!</definedName>
    <definedName name="____________SEC15160">#REF!</definedName>
    <definedName name="____________SEC15175">#REF!</definedName>
    <definedName name="____________SEC15290">#REF!</definedName>
    <definedName name="____________SEC15310">#REF!</definedName>
    <definedName name="____________SEC15420">#REF!</definedName>
    <definedName name="____________SEC15440">#REF!</definedName>
    <definedName name="____________SEC15470">#REF!</definedName>
    <definedName name="____________SEC15486">#REF!</definedName>
    <definedName name="____________SEC15540">#REF!</definedName>
    <definedName name="____________SEC15610">#REF!</definedName>
    <definedName name="____________SEC15625">#REF!</definedName>
    <definedName name="____________SEC15680">#REF!</definedName>
    <definedName name="____________SEC15850">#REF!</definedName>
    <definedName name="____________SEC15865">#REF!</definedName>
    <definedName name="____________SEC15875">#REF!</definedName>
    <definedName name="____________SEC15890">#REF!</definedName>
    <definedName name="____________SEC15910">#REF!</definedName>
    <definedName name="____________SEC15940">#REF!</definedName>
    <definedName name="____________SEC15975">#REF!</definedName>
    <definedName name="____________TB2">#REF!</definedName>
    <definedName name="____________tbc2" localSheetId="1">#REF!</definedName>
    <definedName name="____________tbc2">#REF!</definedName>
    <definedName name="____________tbc3" localSheetId="1">#REF!</definedName>
    <definedName name="____________tbc3">#REF!</definedName>
    <definedName name="____________wid2" localSheetId="1">#REF!</definedName>
    <definedName name="____________wid2">#REF!</definedName>
    <definedName name="____________wid3">#REF!</definedName>
    <definedName name="____________xlfn.SUMIFS" hidden="1">#NAME?</definedName>
    <definedName name="___________A65539" localSheetId="1">#REF!</definedName>
    <definedName name="___________A65539">#REF!</definedName>
    <definedName name="___________BLK2">#REF!</definedName>
    <definedName name="___________BLK3">#REF!</definedName>
    <definedName name="___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at123" localSheetId="1">#N/A</definedName>
    <definedName name="___________cat123">[1]!City&amp;" "&amp;STATE</definedName>
    <definedName name="___________ccr1" localSheetId="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_ccr1_1" localSheetId="1" hidden="1">{#N/A,#N/A,TRUE,"Cover";#N/A,#N/A,TRUE,"Conts";#N/A,#N/A,TRUE,"VOS";#N/A,#N/A,TRUE,"Warrington";#N/A,#N/A,TRUE,"Widnes"}</definedName>
    <definedName name="___________ccr1_1" hidden="1">{#N/A,#N/A,TRUE,"Cover";#N/A,#N/A,TRUE,"Conts";#N/A,#N/A,TRUE,"VOS";#N/A,#N/A,TRUE,"Warrington";#N/A,#N/A,TRUE,"Widnes"}</definedName>
    <definedName name="___________ccr2" localSheetId="1" hidden="1">{#N/A,#N/A,TRUE,"Cover";#N/A,#N/A,TRUE,"Conts";#N/A,#N/A,TRUE,"VOS";#N/A,#N/A,TRUE,"Warrington";#N/A,#N/A,TRUE,"Widnes"}</definedName>
    <definedName name="___________ccr2" hidden="1">{#N/A,#N/A,TRUE,"Cover";#N/A,#N/A,TRUE,"Conts";#N/A,#N/A,TRUE,"VOS";#N/A,#N/A,TRUE,"Warrington";#N/A,#N/A,TRUE,"Widnes"}</definedName>
    <definedName name="___________dep2">#REF!</definedName>
    <definedName name="___________dep3" localSheetId="1">#REF!</definedName>
    <definedName name="___________dep3">#REF!</definedName>
    <definedName name="___________ext2" localSheetId="1">#REF!</definedName>
    <definedName name="___________ext2">#REF!</definedName>
    <definedName name="___________ext3">#REF!</definedName>
    <definedName name="___________IDC2" localSheetId="1">#N/A</definedName>
    <definedName name="___________IDC2">[1]!City&amp;" "&amp;STATE</definedName>
    <definedName name="___________len2" localSheetId="1">#REF!</definedName>
    <definedName name="___________len2">#REF!</definedName>
    <definedName name="___________len3" localSheetId="1">#REF!</definedName>
    <definedName name="___________len3">#REF!</definedName>
    <definedName name="___________loc1" localSheetId="1">#N/A</definedName>
    <definedName name="___________loc1">[1]!City&amp;" "&amp;STATE</definedName>
    <definedName name="___________new8" localSheetId="1" hidden="1">#REF!</definedName>
    <definedName name="___________new8" hidden="1">#REF!</definedName>
    <definedName name="___________NS1" localSheetId="1">#REF!</definedName>
    <definedName name="___________NS1">#REF!</definedName>
    <definedName name="___________pc1" localSheetId="1">#REF!</definedName>
    <definedName name="___________pc1">#REF!</definedName>
    <definedName name="___________pc2" localSheetId="1">#REF!</definedName>
    <definedName name="___________pc2">#REF!</definedName>
    <definedName name="___________pc3">#REF!</definedName>
    <definedName name="___________SCR1">#REF!</definedName>
    <definedName name="___________SCR2">#REF!</definedName>
    <definedName name="___________SCR3">#REF!</definedName>
    <definedName name="___________sdb2">#REF!</definedName>
    <definedName name="___________SEC15030">#REF!</definedName>
    <definedName name="___________SEC15060">#REF!</definedName>
    <definedName name="___________SEC15100">#REF!</definedName>
    <definedName name="___________SEC15110">#REF!</definedName>
    <definedName name="___________SEC15125">#REF!</definedName>
    <definedName name="___________SEC15160">#REF!</definedName>
    <definedName name="___________SEC15175">#REF!</definedName>
    <definedName name="___________SEC15290">#REF!</definedName>
    <definedName name="___________SEC15310">#REF!</definedName>
    <definedName name="___________SEC15420">#REF!</definedName>
    <definedName name="___________SEC15440">#REF!</definedName>
    <definedName name="___________SEC15470">#REF!</definedName>
    <definedName name="___________SEC15486">#REF!</definedName>
    <definedName name="___________SEC15540">#REF!</definedName>
    <definedName name="___________SEC15610">#REF!</definedName>
    <definedName name="___________SEC15625">#REF!</definedName>
    <definedName name="___________SEC15680">#REF!</definedName>
    <definedName name="___________SEC15850">#REF!</definedName>
    <definedName name="___________SEC15865">#REF!</definedName>
    <definedName name="___________SEC15875">#REF!</definedName>
    <definedName name="___________SEC15890">#REF!</definedName>
    <definedName name="___________SEC15910">#REF!</definedName>
    <definedName name="___________SEC15940">#REF!</definedName>
    <definedName name="___________SEC15975">#REF!</definedName>
    <definedName name="___________TB2">#REF!</definedName>
    <definedName name="___________tbc2" localSheetId="1">#REF!</definedName>
    <definedName name="___________tbc2">#REF!</definedName>
    <definedName name="___________tbc3" localSheetId="1">#REF!</definedName>
    <definedName name="___________tbc3">#REF!</definedName>
    <definedName name="___________wid2" localSheetId="1">#REF!</definedName>
    <definedName name="___________wid2">#REF!</definedName>
    <definedName name="___________wid3">#REF!</definedName>
    <definedName name="___________xlfn.SUMIFS" hidden="1">#NAME?</definedName>
    <definedName name="__________a1" localSheetId="1">#REF!</definedName>
    <definedName name="__________a1">#REF!</definedName>
    <definedName name="__________A2" localSheetId="1" hidden="1">{#N/A,#N/A,FALSE,"MARCH"}</definedName>
    <definedName name="__________A2" hidden="1">{#N/A,#N/A,FALSE,"MARCH"}</definedName>
    <definedName name="_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B19000">#REF!</definedName>
    <definedName name="__________B19999" localSheetId="1">#REF!</definedName>
    <definedName name="__________B19999">#REF!</definedName>
    <definedName name="__________B2" localSheetId="1" hidden="1">{#N/A,#N/A,FALSE,"MARCH"}</definedName>
    <definedName name="__________B2" hidden="1">{#N/A,#N/A,FALSE,"MARCH"}</definedName>
    <definedName name="__________B20000">#REF!</definedName>
    <definedName name="__________BLK2">#REF!</definedName>
    <definedName name="__________BLK3">#REF!</definedName>
    <definedName name="__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at123" localSheetId="1">#N/A</definedName>
    <definedName name="__________cat123">[1]!City&amp;" "&amp;STATE</definedName>
    <definedName name="__________ccr1" localSheetId="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_cf564" localSheetId="1" hidden="1">{"'Break down'!$A$4"}</definedName>
    <definedName name="__________cf564" hidden="1">{"'Break down'!$A$4"}</definedName>
    <definedName name="__________cfd56" localSheetId="1" hidden="1">{"'Break down'!$A$4"}</definedName>
    <definedName name="__________cfd56" hidden="1">{"'Break down'!$A$4"}</definedName>
    <definedName name="__________csc1">#REF!</definedName>
    <definedName name="__________dep123">#REF!</definedName>
    <definedName name="__________dep2">#REF!</definedName>
    <definedName name="__________dep3">#REF!</definedName>
    <definedName name="__________e20000">#REF!</definedName>
    <definedName name="__________e99991">#REF!</definedName>
    <definedName name="__________ext2">#REF!</definedName>
    <definedName name="__________ext3">#REF!</definedName>
    <definedName name="__________ghy678" localSheetId="1" hidden="1">{"'Break down'!$A$4"}</definedName>
    <definedName name="__________ghy678" hidden="1">{"'Break down'!$A$4"}</definedName>
    <definedName name="__________IDC2" localSheetId="1">#N/A</definedName>
    <definedName name="__________IDC2">[1]!City&amp;" "&amp;STATE</definedName>
    <definedName name="__________len2" localSheetId="1">#REF!</definedName>
    <definedName name="__________len2">#REF!</definedName>
    <definedName name="__________len3" localSheetId="1">#REF!</definedName>
    <definedName name="__________len3">#REF!</definedName>
    <definedName name="__________loc1" localSheetId="1">#N/A</definedName>
    <definedName name="__________loc1">[1]!City&amp;" "&amp;STATE</definedName>
    <definedName name="__________loi432" localSheetId="1" hidden="1">{"'Break down'!$A$4"}</definedName>
    <definedName name="__________loi432" hidden="1">{"'Break down'!$A$4"}</definedName>
    <definedName name="__________new8" hidden="1">#REF!</definedName>
    <definedName name="__________NS1" localSheetId="1">#REF!</definedName>
    <definedName name="__________NS1">#REF!</definedName>
    <definedName name="_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old3" hidden="1">{#N/A,#N/A,FALSE,"Summary";#N/A,#N/A,FALSE,"3TJ";#N/A,#N/A,FALSE,"3TN";#N/A,#N/A,FALSE,"3TP";#N/A,#N/A,FALSE,"3SJ";#N/A,#N/A,FALSE,"3CJ";#N/A,#N/A,FALSE,"3CN";#N/A,#N/A,FALSE,"3CP";#N/A,#N/A,FALSE,"3A"}</definedName>
    <definedName name="_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old5" hidden="1">{#N/A,#N/A,FALSE,"Summary";#N/A,#N/A,FALSE,"3TJ";#N/A,#N/A,FALSE,"3TN";#N/A,#N/A,FALSE,"3TP";#N/A,#N/A,FALSE,"3SJ";#N/A,#N/A,FALSE,"3CJ";#N/A,#N/A,FALSE,"3CN";#N/A,#N/A,FALSE,"3CP";#N/A,#N/A,FALSE,"3A"}</definedName>
    <definedName name="_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_old7" hidden="1">{#N/A,#N/A,FALSE,"Summary";#N/A,#N/A,FALSE,"3TJ";#N/A,#N/A,FALSE,"3TN";#N/A,#N/A,FALSE,"3TP";#N/A,#N/A,FALSE,"3SJ";#N/A,#N/A,FALSE,"3CJ";#N/A,#N/A,FALSE,"3CN";#N/A,#N/A,FALSE,"3CP";#N/A,#N/A,FALSE,"3A"}</definedName>
    <definedName name="__________opi567" localSheetId="1" hidden="1">{"'Break down'!$A$4"}</definedName>
    <definedName name="__________opi567" hidden="1">{"'Break down'!$A$4"}</definedName>
    <definedName name="__________pc1">#REF!</definedName>
    <definedName name="__________pc2">#REF!</definedName>
    <definedName name="__________pc3">#REF!</definedName>
    <definedName name="__________poi564" localSheetId="1" hidden="1">{"'Break down'!$A$4"}</definedName>
    <definedName name="__________poi564" hidden="1">{"'Break down'!$A$4"}</definedName>
    <definedName name="__________REM1">#REF!</definedName>
    <definedName name="__________REM2">#REF!</definedName>
    <definedName name="__________SCR1">#REF!</definedName>
    <definedName name="__________SCR2">#REF!</definedName>
    <definedName name="__________SCR3">#REF!</definedName>
    <definedName name="__________sdb2">#REF!</definedName>
    <definedName name="__________SEC15030">#REF!</definedName>
    <definedName name="__________SEC15060">#REF!</definedName>
    <definedName name="__________SEC15100">#REF!</definedName>
    <definedName name="__________SEC15110">#REF!</definedName>
    <definedName name="__________SEC15125">#REF!</definedName>
    <definedName name="__________SEC15160">#REF!</definedName>
    <definedName name="__________SEC15175">#REF!</definedName>
    <definedName name="__________SEC15290">#REF!</definedName>
    <definedName name="__________SEC15310">#REF!</definedName>
    <definedName name="__________SEC15420">#REF!</definedName>
    <definedName name="__________SEC15440">#REF!</definedName>
    <definedName name="__________SEC15470">#REF!</definedName>
    <definedName name="__________SEC15486">#REF!</definedName>
    <definedName name="__________SEC15540">#REF!</definedName>
    <definedName name="__________SEC15610">#REF!</definedName>
    <definedName name="__________SEC15625">#REF!</definedName>
    <definedName name="__________SEC15680">#REF!</definedName>
    <definedName name="__________SEC15850">#REF!</definedName>
    <definedName name="__________SEC15865">#REF!</definedName>
    <definedName name="__________SEC15875">#REF!</definedName>
    <definedName name="__________SEC15890">#REF!</definedName>
    <definedName name="__________SEC15910">#REF!</definedName>
    <definedName name="__________SEC15940">#REF!</definedName>
    <definedName name="__________SEC15975">#REF!</definedName>
    <definedName name="__________TB2">#REF!</definedName>
    <definedName name="__________tbc2" localSheetId="1">#REF!</definedName>
    <definedName name="__________tbc2">#REF!</definedName>
    <definedName name="__________tbc3" localSheetId="1">#REF!</definedName>
    <definedName name="__________tbc3">#REF!</definedName>
    <definedName name="__________vf453" localSheetId="1" hidden="1">{"'Break down'!$A$4"}</definedName>
    <definedName name="__________vf453" hidden="1">{"'Break down'!$A$4"}</definedName>
    <definedName name="__________wid2">#REF!</definedName>
    <definedName name="__________wid3">#REF!</definedName>
    <definedName name="__________xlfn.SUMIFS" hidden="1">#NAME?</definedName>
    <definedName name="__________yt564" localSheetId="1" hidden="1">{"'Break down'!$A$4"}</definedName>
    <definedName name="__________yt564" hidden="1">{"'Break down'!$A$4"}</definedName>
    <definedName name="_________a1">#REF!</definedName>
    <definedName name="_________a100">#REF!</definedName>
    <definedName name="_________A65539">#REF!</definedName>
    <definedName name="_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B19000">#REF!</definedName>
    <definedName name="_________B19999" localSheetId="1">#REF!</definedName>
    <definedName name="_________B19999">#REF!</definedName>
    <definedName name="_________B20000" localSheetId="1">#REF!</definedName>
    <definedName name="_________B20000">#REF!</definedName>
    <definedName name="_________BLK2">#REF!</definedName>
    <definedName name="_________BLK3">#REF!</definedName>
    <definedName name="_________blk4_1">0</definedName>
    <definedName name="_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at123" localSheetId="1">#N/A</definedName>
    <definedName name="_________cat123">[1]!City&amp;" "&amp;STATE</definedName>
    <definedName name="_________ccr1" localSheetId="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_ccr1_1" localSheetId="1" hidden="1">{#N/A,#N/A,TRUE,"Cover";#N/A,#N/A,TRUE,"Conts";#N/A,#N/A,TRUE,"VOS";#N/A,#N/A,TRUE,"Warrington";#N/A,#N/A,TRUE,"Widnes"}</definedName>
    <definedName name="_________ccr1_1" hidden="1">{#N/A,#N/A,TRUE,"Cover";#N/A,#N/A,TRUE,"Conts";#N/A,#N/A,TRUE,"VOS";#N/A,#N/A,TRUE,"Warrington";#N/A,#N/A,TRUE,"Widnes"}</definedName>
    <definedName name="_________com2" localSheetId="1" hidden="1">{"'Break down'!$A$4"}</definedName>
    <definedName name="_________com2" hidden="1">{"'Break down'!$A$4"}</definedName>
    <definedName name="_________csc1">#REF!</definedName>
    <definedName name="_________dep123">#REF!</definedName>
    <definedName name="_________dep2">#REF!</definedName>
    <definedName name="_________dep3">#REF!</definedName>
    <definedName name="_________e20000">#REF!</definedName>
    <definedName name="_________e99991">#REF!</definedName>
    <definedName name="_________ewk4_1">0</definedName>
    <definedName name="_________ext2">#REF!</definedName>
    <definedName name="_________ext3">#REF!</definedName>
    <definedName name="_________ice4_1">0</definedName>
    <definedName name="_________IDC2" localSheetId="1">#N/A</definedName>
    <definedName name="_________IDC2">[1]!City&amp;" "&amp;STATE</definedName>
    <definedName name="_________len2" localSheetId="1">#REF!</definedName>
    <definedName name="_________len2">#REF!</definedName>
    <definedName name="_________len3" localSheetId="1">#REF!</definedName>
    <definedName name="_________len3">#REF!</definedName>
    <definedName name="_________loc1" localSheetId="1">#N/A</definedName>
    <definedName name="_________loc1">[1]!City&amp;" "&amp;STATE</definedName>
    <definedName name="_________new8" localSheetId="1" hidden="1">#REF!</definedName>
    <definedName name="_________new8" hidden="1">#REF!</definedName>
    <definedName name="_________No1" localSheetId="1">#REF!</definedName>
    <definedName name="_________No1">#REF!</definedName>
    <definedName name="_________No2" localSheetId="1">#REF!</definedName>
    <definedName name="_________No2">#REF!</definedName>
    <definedName name="_________No3" localSheetId="1">#REF!</definedName>
    <definedName name="_________No3">#REF!</definedName>
    <definedName name="_________NS1">#REF!</definedName>
    <definedName name="_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_old3" hidden="1">{#N/A,#N/A,FALSE,"Summary";#N/A,#N/A,FALSE,"3TJ";#N/A,#N/A,FALSE,"3TN";#N/A,#N/A,FALSE,"3TP";#N/A,#N/A,FALSE,"3SJ";#N/A,#N/A,FALSE,"3CJ";#N/A,#N/A,FALSE,"3CN";#N/A,#N/A,FALSE,"3CP";#N/A,#N/A,FALSE,"3A"}</definedName>
    <definedName name="_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_old5" hidden="1">{#N/A,#N/A,FALSE,"Summary";#N/A,#N/A,FALSE,"3TJ";#N/A,#N/A,FALSE,"3TN";#N/A,#N/A,FALSE,"3TP";#N/A,#N/A,FALSE,"3SJ";#N/A,#N/A,FALSE,"3CJ";#N/A,#N/A,FALSE,"3CN";#N/A,#N/A,FALSE,"3CP";#N/A,#N/A,FALSE,"3A"}</definedName>
    <definedName name="_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_old7" hidden="1">{#N/A,#N/A,FALSE,"Summary";#N/A,#N/A,FALSE,"3TJ";#N/A,#N/A,FALSE,"3TN";#N/A,#N/A,FALSE,"3TP";#N/A,#N/A,FALSE,"3SJ";#N/A,#N/A,FALSE,"3CJ";#N/A,#N/A,FALSE,"3CN";#N/A,#N/A,FALSE,"3CP";#N/A,#N/A,FALSE,"3A"}</definedName>
    <definedName name="_________pc1">#REF!</definedName>
    <definedName name="_________pc2" localSheetId="1">#REF!</definedName>
    <definedName name="_________pc2">#REF!</definedName>
    <definedName name="_________pc3" localSheetId="1">#REF!</definedName>
    <definedName name="_________pc3">#REF!</definedName>
    <definedName name="_________pl4_1">0</definedName>
    <definedName name="_________pls4_1">0</definedName>
    <definedName name="_________ps4_1">0</definedName>
    <definedName name="_________SCR1">#REF!</definedName>
    <definedName name="_________SCR2">#REF!</definedName>
    <definedName name="_________SCR3">#REF!</definedName>
    <definedName name="_________sdb2">#REF!</definedName>
    <definedName name="_________SEC15030">#REF!</definedName>
    <definedName name="_________SEC15060">#REF!</definedName>
    <definedName name="_________SEC15100">#REF!</definedName>
    <definedName name="_________SEC15110">#REF!</definedName>
    <definedName name="_________SEC15125">#REF!</definedName>
    <definedName name="_________SEC15160">#REF!</definedName>
    <definedName name="_________SEC15175">#REF!</definedName>
    <definedName name="_________SEC15290">#REF!</definedName>
    <definedName name="_________SEC15310">#REF!</definedName>
    <definedName name="_________SEC15420">#REF!</definedName>
    <definedName name="_________SEC15440">#REF!</definedName>
    <definedName name="_________SEC15470">#REF!</definedName>
    <definedName name="_________SEC15486">#REF!</definedName>
    <definedName name="_________SEC15540">#REF!</definedName>
    <definedName name="_________SEC15610">#REF!</definedName>
    <definedName name="_________SEC15625">#REF!</definedName>
    <definedName name="_________SEC15680">#REF!</definedName>
    <definedName name="_________SEC15850">#REF!</definedName>
    <definedName name="_________SEC15865">#REF!</definedName>
    <definedName name="_________SEC15875">#REF!</definedName>
    <definedName name="_________SEC15890">#REF!</definedName>
    <definedName name="_________SEC15910">#REF!</definedName>
    <definedName name="_________SEC15940">#REF!</definedName>
    <definedName name="_________SEC15975">#REF!</definedName>
    <definedName name="_________sw4_1">0</definedName>
    <definedName name="_________TB2">#REF!</definedName>
    <definedName name="_________tbc2" localSheetId="1">#REF!</definedName>
    <definedName name="_________tbc2">#REF!</definedName>
    <definedName name="_________tbc3" localSheetId="1">#REF!</definedName>
    <definedName name="_________tbc3">#REF!</definedName>
    <definedName name="_________U60" localSheetId="1">#REF!</definedName>
    <definedName name="_________U60">#REF!</definedName>
    <definedName name="_________wid2">#REF!</definedName>
    <definedName name="_________wid3">#REF!</definedName>
    <definedName name="_________xlfn.SUMIFS" hidden="1">#NAME?</definedName>
    <definedName name="________a1" localSheetId="1">#REF!</definedName>
    <definedName name="________a1">#REF!</definedName>
    <definedName name="________a100" localSheetId="1">#REF!</definedName>
    <definedName name="________a100">#REF!</definedName>
    <definedName name="________A31" localSheetId="1">#REF!</definedName>
    <definedName name="________A31">#REF!</definedName>
    <definedName name="_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LT3">#REF!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B19000">#REF!</definedName>
    <definedName name="________B19999" localSheetId="1">#REF!</definedName>
    <definedName name="________B19999">#REF!</definedName>
    <definedName name="________B20000" localSheetId="1">#REF!</definedName>
    <definedName name="________B20000">#REF!</definedName>
    <definedName name="________BIL1">#REF!</definedName>
    <definedName name="________BIL2">#REF!</definedName>
    <definedName name="________BIL3">#REF!</definedName>
    <definedName name="________BLK2">#REF!</definedName>
    <definedName name="________BLK3">#REF!</definedName>
    <definedName name="________blk4_1">0</definedName>
    <definedName name="_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at123" localSheetId="1">#N/A</definedName>
    <definedName name="________cat123">[1]!City&amp;" "&amp;STATE</definedName>
    <definedName name="________ccr1" localSheetId="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_ccr1_1" localSheetId="1" hidden="1">{#N/A,#N/A,TRUE,"Cover";#N/A,#N/A,TRUE,"Conts";#N/A,#N/A,TRUE,"VOS";#N/A,#N/A,TRUE,"Warrington";#N/A,#N/A,TRUE,"Widnes"}</definedName>
    <definedName name="________ccr1_1" hidden="1">{#N/A,#N/A,TRUE,"Cover";#N/A,#N/A,TRUE,"Conts";#N/A,#N/A,TRUE,"VOS";#N/A,#N/A,TRUE,"Warrington";#N/A,#N/A,TRUE,"Widnes"}</definedName>
    <definedName name="________ccr2" localSheetId="1" hidden="1">{#N/A,#N/A,TRUE,"Cover";#N/A,#N/A,TRUE,"Conts";#N/A,#N/A,TRUE,"VOS";#N/A,#N/A,TRUE,"Warrington";#N/A,#N/A,TRUE,"Widnes"}</definedName>
    <definedName name="________ccr2" hidden="1">{#N/A,#N/A,TRUE,"Cover";#N/A,#N/A,TRUE,"Conts";#N/A,#N/A,TRUE,"VOS";#N/A,#N/A,TRUE,"Warrington";#N/A,#N/A,TRUE,"Widnes"}</definedName>
    <definedName name="________csc1">#REF!</definedName>
    <definedName name="________CSM1">#REF!</definedName>
    <definedName name="________CSM2">#REF!</definedName>
    <definedName name="________CSM3">#REF!</definedName>
    <definedName name="________dep123" localSheetId="1">#REF!</definedName>
    <definedName name="________dep123">#REF!</definedName>
    <definedName name="________dep2" localSheetId="1">#REF!</definedName>
    <definedName name="________dep2">#REF!</definedName>
    <definedName name="________dep3" localSheetId="1">#REF!</definedName>
    <definedName name="________dep3">#REF!</definedName>
    <definedName name="________e20000">#REF!</definedName>
    <definedName name="________e99991">#REF!</definedName>
    <definedName name="________ewk4_1">0</definedName>
    <definedName name="________ext2">#REF!</definedName>
    <definedName name="________ext3">#REF!</definedName>
    <definedName name="________ice4_1">0</definedName>
    <definedName name="________IDC2" localSheetId="1">#N/A</definedName>
    <definedName name="________IDC2">[1]!City&amp;" "&amp;STATE</definedName>
    <definedName name="________len2" localSheetId="1">#REF!</definedName>
    <definedName name="________len2">#REF!</definedName>
    <definedName name="________len3" localSheetId="1">#REF!</definedName>
    <definedName name="________len3">#REF!</definedName>
    <definedName name="________loc1" localSheetId="1">#N/A</definedName>
    <definedName name="________loc1">[1]!City&amp;" "&amp;STATE</definedName>
    <definedName name="________may1" localSheetId="1" hidden="1">{#N/A,#N/A,FALSE,"MARCH"}</definedName>
    <definedName name="________may1" hidden="1">{#N/A,#N/A,FALSE,"MARCH"}</definedName>
    <definedName name="________MN1">#REF!</definedName>
    <definedName name="________NA1" localSheetId="1">#REF!</definedName>
    <definedName name="________NA1">#REF!</definedName>
    <definedName name="________new10" localSheetId="1">#REF!</definedName>
    <definedName name="________new10">#REF!</definedName>
    <definedName name="________new11">#REF!</definedName>
    <definedName name="________new12">#REF!</definedName>
    <definedName name="________new13">#REF!</definedName>
    <definedName name="________new14">#REF!</definedName>
    <definedName name="________new15">#REF!</definedName>
    <definedName name="________new16">#REF!</definedName>
    <definedName name="________new17">#REF!</definedName>
    <definedName name="________new2">#REF!</definedName>
    <definedName name="________new3">#REF!</definedName>
    <definedName name="________new4">#REF!</definedName>
    <definedName name="________new5">#REF!</definedName>
    <definedName name="________new6">#REF!</definedName>
    <definedName name="________new7">#REF!</definedName>
    <definedName name="________new8" hidden="1">#REF!</definedName>
    <definedName name="________new9" localSheetId="1">#REF!</definedName>
    <definedName name="________new9">#REF!</definedName>
    <definedName name="________No1" localSheetId="1">#REF!</definedName>
    <definedName name="________No1">#REF!</definedName>
    <definedName name="________No2" localSheetId="1">#REF!</definedName>
    <definedName name="________No2">#REF!</definedName>
    <definedName name="________No3">#REF!</definedName>
    <definedName name="________NS1">#REF!</definedName>
    <definedName name="_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_old3" hidden="1">{#N/A,#N/A,FALSE,"Summary";#N/A,#N/A,FALSE,"3TJ";#N/A,#N/A,FALSE,"3TN";#N/A,#N/A,FALSE,"3TP";#N/A,#N/A,FALSE,"3SJ";#N/A,#N/A,FALSE,"3CJ";#N/A,#N/A,FALSE,"3CN";#N/A,#N/A,FALSE,"3CP";#N/A,#N/A,FALSE,"3A"}</definedName>
    <definedName name="_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_old5" hidden="1">{#N/A,#N/A,FALSE,"Summary";#N/A,#N/A,FALSE,"3TJ";#N/A,#N/A,FALSE,"3TN";#N/A,#N/A,FALSE,"3TP";#N/A,#N/A,FALSE,"3SJ";#N/A,#N/A,FALSE,"3CJ";#N/A,#N/A,FALSE,"3CN";#N/A,#N/A,FALSE,"3CP";#N/A,#N/A,FALSE,"3A"}</definedName>
    <definedName name="_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_old7" hidden="1">{#N/A,#N/A,FALSE,"Summary";#N/A,#N/A,FALSE,"3TJ";#N/A,#N/A,FALSE,"3TN";#N/A,#N/A,FALSE,"3TP";#N/A,#N/A,FALSE,"3SJ";#N/A,#N/A,FALSE,"3CJ";#N/A,#N/A,FALSE,"3CN";#N/A,#N/A,FALSE,"3CP";#N/A,#N/A,FALSE,"3A"}</definedName>
    <definedName name="________pc1">#REF!</definedName>
    <definedName name="________pc2" localSheetId="1">#REF!</definedName>
    <definedName name="________pc2">#REF!</definedName>
    <definedName name="________pc3" localSheetId="1">#REF!</definedName>
    <definedName name="________pc3">#REF!</definedName>
    <definedName name="________pl4_1">0</definedName>
    <definedName name="________pls4_1">0</definedName>
    <definedName name="________ps4_1">0</definedName>
    <definedName name="________REM1">#REF!</definedName>
    <definedName name="________REM2">#REF!</definedName>
    <definedName name="________RFP1">#REF!</definedName>
    <definedName name="________RFP2">#REF!</definedName>
    <definedName name="________RFP3">#REF!</definedName>
    <definedName name="________SCR1">#REF!</definedName>
    <definedName name="________SCR2">#REF!</definedName>
    <definedName name="________SCR3">#REF!</definedName>
    <definedName name="________sdb2">#REF!</definedName>
    <definedName name="________SEC15030">#REF!</definedName>
    <definedName name="________SEC15060">#REF!</definedName>
    <definedName name="________SEC15100">#REF!</definedName>
    <definedName name="________SEC15110">#REF!</definedName>
    <definedName name="________SEC15125">#REF!</definedName>
    <definedName name="________SEC15160">#REF!</definedName>
    <definedName name="________SEC15175">#REF!</definedName>
    <definedName name="________SEC15290">#REF!</definedName>
    <definedName name="________SEC15310">#REF!</definedName>
    <definedName name="________SEC15420">#REF!</definedName>
    <definedName name="________SEC15440">#REF!</definedName>
    <definedName name="________SEC15470">#REF!</definedName>
    <definedName name="________SEC15486">#REF!</definedName>
    <definedName name="________SEC15540">#REF!</definedName>
    <definedName name="________SEC15610">#REF!</definedName>
    <definedName name="________SEC15625">#REF!</definedName>
    <definedName name="________SEC15680">#REF!</definedName>
    <definedName name="________SEC15850">#REF!</definedName>
    <definedName name="________SEC15865">#REF!</definedName>
    <definedName name="________SEC15875">#REF!</definedName>
    <definedName name="________SEC15890">#REF!</definedName>
    <definedName name="________SEC15910">#REF!</definedName>
    <definedName name="________SEC15940">#REF!</definedName>
    <definedName name="________SEC15975">#REF!</definedName>
    <definedName name="________sw4_1">0</definedName>
    <definedName name="________TB2">#REF!</definedName>
    <definedName name="________tbc2" localSheetId="1">#REF!</definedName>
    <definedName name="________tbc2">#REF!</definedName>
    <definedName name="________tbc3" localSheetId="1">#REF!</definedName>
    <definedName name="________tbc3">#REF!</definedName>
    <definedName name="________U14" localSheetId="1">#REF!</definedName>
    <definedName name="________U14">#REF!</definedName>
    <definedName name="________Val101">#REF!</definedName>
    <definedName name="________Val102">#REF!</definedName>
    <definedName name="________Val201">#REF!</definedName>
    <definedName name="________Val202">#REF!</definedName>
    <definedName name="________Val301">#REF!</definedName>
    <definedName name="________Val302">#REF!</definedName>
    <definedName name="________wid2">#REF!</definedName>
    <definedName name="________wid3">#REF!</definedName>
    <definedName name="________xlfn.SUMIFS" hidden="1">#NAME?</definedName>
    <definedName name="_______a1" localSheetId="1">#REF!</definedName>
    <definedName name="_______a1">#REF!</definedName>
    <definedName name="_______a100" localSheetId="1">#REF!</definedName>
    <definedName name="_______a100">#REF!</definedName>
    <definedName name="_______A31" localSheetId="1">#REF!</definedName>
    <definedName name="_______A31">#REF!</definedName>
    <definedName name="_______A65539">#REF!</definedName>
    <definedName name="_______A65800">#REF!</definedName>
    <definedName name="_______A66000">#REF!</definedName>
    <definedName name="_______A99999">#REF!</definedName>
    <definedName name="_______ALT3">#REF!</definedName>
    <definedName name="_______B19000">#REF!</definedName>
    <definedName name="_______B19999">#REF!</definedName>
    <definedName name="_______B20000">#REF!</definedName>
    <definedName name="_______BIL1">#REF!</definedName>
    <definedName name="_______BIL2">#REF!</definedName>
    <definedName name="_______BIL3">#REF!</definedName>
    <definedName name="_______BLK100">#REF!</definedName>
    <definedName name="_______BLK2">#REF!</definedName>
    <definedName name="_______BLK3">#REF!</definedName>
    <definedName name="_______blk4_1">0</definedName>
    <definedName name="_______bol1">#REF!</definedName>
    <definedName name="_______can430">40.73</definedName>
    <definedName name="_______can435">43.3</definedName>
    <definedName name="_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cat123" localSheetId="1">#N/A</definedName>
    <definedName name="_______cat123">[1]!City&amp;" "&amp;STATE</definedName>
    <definedName name="_______ccr1" localSheetId="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_ccr1_1" localSheetId="1" hidden="1">{#N/A,#N/A,TRUE,"Cover";#N/A,#N/A,TRUE,"Conts";#N/A,#N/A,TRUE,"VOS";#N/A,#N/A,TRUE,"Warrington";#N/A,#N/A,TRUE,"Widnes"}</definedName>
    <definedName name="_______ccr1_1" hidden="1">{#N/A,#N/A,TRUE,"Cover";#N/A,#N/A,TRUE,"Conts";#N/A,#N/A,TRUE,"VOS";#N/A,#N/A,TRUE,"Warrington";#N/A,#N/A,TRUE,"Widnes"}</definedName>
    <definedName name="_______ccr2" localSheetId="1" hidden="1">{#N/A,#N/A,TRUE,"Cover";#N/A,#N/A,TRUE,"Conts";#N/A,#N/A,TRUE,"VOS";#N/A,#N/A,TRUE,"Warrington";#N/A,#N/A,TRUE,"Widnes"}</definedName>
    <definedName name="_______ccr2" hidden="1">{#N/A,#N/A,TRUE,"Cover";#N/A,#N/A,TRUE,"Conts";#N/A,#N/A,TRUE,"VOS";#N/A,#N/A,TRUE,"Warrington";#N/A,#N/A,TRUE,"Widnes"}</definedName>
    <definedName name="_______cf564" localSheetId="1" hidden="1">{"'Break down'!$A$4"}</definedName>
    <definedName name="_______cf564" hidden="1">{"'Break down'!$A$4"}</definedName>
    <definedName name="_______cfd56" localSheetId="1" hidden="1">{"'Break down'!$A$4"}</definedName>
    <definedName name="_______cfd56" hidden="1">{"'Break down'!$A$4"}</definedName>
    <definedName name="_______com2" localSheetId="1" hidden="1">{"'Break down'!$A$4"}</definedName>
    <definedName name="_______com2" hidden="1">{"'Break down'!$A$4"}</definedName>
    <definedName name="_______csc1">#REF!</definedName>
    <definedName name="_______CSM1">#REF!</definedName>
    <definedName name="_______CSM2">#REF!</definedName>
    <definedName name="_______CSM3">#REF!</definedName>
    <definedName name="_______dec05" localSheetId="1" hidden="1">{"'Sheet1'!$A$4386:$N$4591"}</definedName>
    <definedName name="_______dec05" hidden="1">{"'Sheet1'!$A$4386:$N$4591"}</definedName>
    <definedName name="_______dep123">#REF!</definedName>
    <definedName name="_______dep2">#REF!</definedName>
    <definedName name="_______dep3">#REF!</definedName>
    <definedName name="_______DPM375">#REF!</definedName>
    <definedName name="_______e20000" localSheetId="1">#REF!</definedName>
    <definedName name="_______e20000">#REF!</definedName>
    <definedName name="_______e99991" localSheetId="1">#REF!</definedName>
    <definedName name="_______e99991">#REF!</definedName>
    <definedName name="_______esc1">#REF!</definedName>
    <definedName name="_______ewk4_1">0</definedName>
    <definedName name="_______ewr2">#N/A</definedName>
    <definedName name="_______ewr3">#N/A</definedName>
    <definedName name="_______ext2" localSheetId="1">#REF!</definedName>
    <definedName name="_______ext2">#REF!</definedName>
    <definedName name="_______ext3" localSheetId="1">#REF!</definedName>
    <definedName name="_______ext3">#REF!</definedName>
    <definedName name="_______ghy678" localSheetId="1" hidden="1">{"'Break down'!$A$4"}</definedName>
    <definedName name="_______ghy678" hidden="1">{"'Break down'!$A$4"}</definedName>
    <definedName name="_______hp1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ice4_1">0</definedName>
    <definedName name="_______IDC2" localSheetId="1">#N/A</definedName>
    <definedName name="_______IDC2">[1]!City&amp;" "&amp;STATE</definedName>
    <definedName name="_______len2" localSheetId="1">#REF!</definedName>
    <definedName name="_______len2">#REF!</definedName>
    <definedName name="_______len3" localSheetId="1">#REF!</definedName>
    <definedName name="_______len3">#REF!</definedName>
    <definedName name="_______loc1" localSheetId="1">#N/A</definedName>
    <definedName name="_______loc1">[1]!City&amp;" "&amp;STATE</definedName>
    <definedName name="_______loi432" localSheetId="1" hidden="1">{"'Break down'!$A$4"}</definedName>
    <definedName name="_______loi432" hidden="1">{"'Break down'!$A$4"}</definedName>
    <definedName name="_______may1" localSheetId="1" hidden="1">{#N/A,#N/A,FALSE,"MARCH"}</definedName>
    <definedName name="_______may1" hidden="1">{#N/A,#N/A,FALSE,"MARCH"}</definedName>
    <definedName name="_______MN1">#REF!</definedName>
    <definedName name="_______NA1" localSheetId="1">#REF!</definedName>
    <definedName name="_______NA1">#REF!</definedName>
    <definedName name="_______new10" localSheetId="1">#REF!</definedName>
    <definedName name="_______new10">#REF!</definedName>
    <definedName name="_______new11">#REF!</definedName>
    <definedName name="_______new12">#REF!</definedName>
    <definedName name="_______new13">#REF!</definedName>
    <definedName name="_______new14">#REF!</definedName>
    <definedName name="_______new15">#REF!</definedName>
    <definedName name="_______new16">#REF!</definedName>
    <definedName name="_______new17">#REF!</definedName>
    <definedName name="_______new2">#REF!</definedName>
    <definedName name="_______new3">#REF!</definedName>
    <definedName name="_______new4">#REF!</definedName>
    <definedName name="_______new5">#REF!</definedName>
    <definedName name="_______new6">#REF!</definedName>
    <definedName name="_______new7">#REF!</definedName>
    <definedName name="_______new8" hidden="1">#REF!</definedName>
    <definedName name="_______new9" localSheetId="1">#REF!</definedName>
    <definedName name="_______new9">#REF!</definedName>
    <definedName name="_______No1" localSheetId="1">#REF!</definedName>
    <definedName name="_______No1">#REF!</definedName>
    <definedName name="_______No2" localSheetId="1">#REF!</definedName>
    <definedName name="_______No2">#REF!</definedName>
    <definedName name="_______No3">#REF!</definedName>
    <definedName name="_______NS1">#REF!</definedName>
    <definedName name="_______opi567" localSheetId="1" hidden="1">{"'Break down'!$A$4"}</definedName>
    <definedName name="_______opi567" hidden="1">{"'Break down'!$A$4"}</definedName>
    <definedName name="_______pc1">#REF!</definedName>
    <definedName name="_______pc2">#REF!</definedName>
    <definedName name="_______pc3">#REF!</definedName>
    <definedName name="_______PE2000">#REF!</definedName>
    <definedName name="_______pl4_1">0</definedName>
    <definedName name="_______pls4_1">0</definedName>
    <definedName name="_______poi564" localSheetId="1" hidden="1">{"'Break down'!$A$4"}</definedName>
    <definedName name="_______poi564" hidden="1">{"'Break down'!$A$4"}</definedName>
    <definedName name="_______ps4_1">0</definedName>
    <definedName name="_______RAB0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REM1">#REF!</definedName>
    <definedName name="_______REM2" localSheetId="1">#REF!</definedName>
    <definedName name="_______REM2">#REF!</definedName>
    <definedName name="_______RFP1" localSheetId="1">#REF!</definedName>
    <definedName name="_______RFP1">#REF!</definedName>
    <definedName name="_______RFP2">#REF!</definedName>
    <definedName name="_______RFP3">#REF!</definedName>
    <definedName name="_______SCR1">#REF!</definedName>
    <definedName name="_______SCR2">#REF!</definedName>
    <definedName name="_______SCR3">#REF!</definedName>
    <definedName name="_______sdb2">#REF!</definedName>
    <definedName name="_______SEC15030">#REF!</definedName>
    <definedName name="_______SEC15060">#REF!</definedName>
    <definedName name="_______SEC15100">#REF!</definedName>
    <definedName name="_______SEC15110">#REF!</definedName>
    <definedName name="_______SEC15125">#REF!</definedName>
    <definedName name="_______SEC15160">#REF!</definedName>
    <definedName name="_______SEC15175">#REF!</definedName>
    <definedName name="_______SEC15290">#REF!</definedName>
    <definedName name="_______SEC15310">#REF!</definedName>
    <definedName name="_______SEC15420">#REF!</definedName>
    <definedName name="_______SEC15440">#REF!</definedName>
    <definedName name="_______SEC15470">#REF!</definedName>
    <definedName name="_______SEC15486">#REF!</definedName>
    <definedName name="_______SEC15540">#REF!</definedName>
    <definedName name="_______SEC15610">#REF!</definedName>
    <definedName name="_______SEC15625">#REF!</definedName>
    <definedName name="_______SEC15680">#REF!</definedName>
    <definedName name="_______SEC15850">#REF!</definedName>
    <definedName name="_______SEC15865">#REF!</definedName>
    <definedName name="_______SEC15875">#REF!</definedName>
    <definedName name="_______SEC15890">#REF!</definedName>
    <definedName name="_______SEC15910">#REF!</definedName>
    <definedName name="_______SEC15940">#REF!</definedName>
    <definedName name="_______SEC15975">#REF!</definedName>
    <definedName name="_______sw4_1">0</definedName>
    <definedName name="_______TB2">#REF!</definedName>
    <definedName name="_______tbc2" localSheetId="1">#REF!</definedName>
    <definedName name="_______tbc2">#REF!</definedName>
    <definedName name="_______tbc3" localSheetId="1">#REF!</definedName>
    <definedName name="_______tbc3">#REF!</definedName>
    <definedName name="_______tem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U14">#REF!</definedName>
    <definedName name="_______U60" localSheetId="1">#REF!</definedName>
    <definedName name="_______U60">#REF!</definedName>
    <definedName name="_______Val101" localSheetId="1">#REF!</definedName>
    <definedName name="_______Val101">#REF!</definedName>
    <definedName name="_______Val102">#REF!</definedName>
    <definedName name="_______Val201">#REF!</definedName>
    <definedName name="_______Val202">#REF!</definedName>
    <definedName name="_______Val301">#REF!</definedName>
    <definedName name="_______Val302">#REF!</definedName>
    <definedName name="_______vf453" localSheetId="1" hidden="1">{"'Break down'!$A$4"}</definedName>
    <definedName name="_______vf453" hidden="1">{"'Break down'!$A$4"}</definedName>
    <definedName name="_______wid2">#REF!</definedName>
    <definedName name="_______wid3">#REF!</definedName>
    <definedName name="_______xlfn.SUMIFS" hidden="1">#NAME?</definedName>
    <definedName name="_______xlnm.Criteria">NA()</definedName>
    <definedName name="_______xlnm.Database">NA()</definedName>
    <definedName name="_______xlnm.Extract">NA()</definedName>
    <definedName name="_______xlnm.Print_Area" localSheetId="1">#REF!</definedName>
    <definedName name="_______xlnm.Print_Area">#REF!</definedName>
    <definedName name="_______xlnm.Print_Area_1" localSheetId="1">#REF!</definedName>
    <definedName name="_______xlnm.Print_Area_1">#REF!</definedName>
    <definedName name="_______xlnm.Print_Area_4">"#REF!"</definedName>
    <definedName name="_______xlnm.Print_Titles">#REF!</definedName>
    <definedName name="_______xlnm.Print_Titles_1" localSheetId="1">#REF!</definedName>
    <definedName name="_______xlnm.Print_Titles_1">#REF!</definedName>
    <definedName name="_______yt564" localSheetId="1" hidden="1">{"'Break down'!$A$4"}</definedName>
    <definedName name="_______yt564" hidden="1">{"'Break down'!$A$4"}</definedName>
    <definedName name="______a1">#REF!</definedName>
    <definedName name="______a100">#REF!</definedName>
    <definedName name="______A100000">#REF!</definedName>
    <definedName name="______A31">#REF!</definedName>
    <definedName name="______A65800">#REF!</definedName>
    <definedName name="______A66000">#REF!</definedName>
    <definedName name="______A70000">#REF!</definedName>
    <definedName name="______A80000">#REF!</definedName>
    <definedName name="______A99999">#REF!</definedName>
    <definedName name="______A999999">#REF!</definedName>
    <definedName name="______AA1">#REF!</definedName>
    <definedName name="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HU5">#REF!</definedName>
    <definedName name="______alt1" localSheetId="1">#REF!</definedName>
    <definedName name="______alt1">#REF!</definedName>
    <definedName name="______ALT2" localSheetId="1">#REF!</definedName>
    <definedName name="______ALT2">#REF!</definedName>
    <definedName name="______ALT3">#REF!</definedName>
    <definedName name="______ALT4">#REF!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B19000">#REF!</definedName>
    <definedName name="______B19999" localSheetId="1">#REF!</definedName>
    <definedName name="______B19999">#REF!</definedName>
    <definedName name="______B20000" localSheetId="1">#REF!</definedName>
    <definedName name="______B20000">#REF!</definedName>
    <definedName name="______b201185">#REF!</definedName>
    <definedName name="______BIL1">#REF!</definedName>
    <definedName name="______BIL2">#REF!</definedName>
    <definedName name="______BIL3">#REF!</definedName>
    <definedName name="______BLK100">#REF!</definedName>
    <definedName name="______BLK2">#REF!</definedName>
    <definedName name="______BLK3">#REF!</definedName>
    <definedName name="______blk4" localSheetId="1">#REF!</definedName>
    <definedName name="______blk4">#REF!</definedName>
    <definedName name="______blk4_1">0</definedName>
    <definedName name="______bol1">#REF!</definedName>
    <definedName name="______can430">40.73</definedName>
    <definedName name="______can435">43.3</definedName>
    <definedName name="_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at123" localSheetId="1">#N/A</definedName>
    <definedName name="______cat123">[1]!City&amp;" "&amp;STATE</definedName>
    <definedName name="______ccr1" localSheetId="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_cf564" localSheetId="1" hidden="1">{"'Break down'!$A$4"}</definedName>
    <definedName name="______cf564" hidden="1">{"'Break down'!$A$4"}</definedName>
    <definedName name="______cfd56" localSheetId="1" hidden="1">{"'Break down'!$A$4"}</definedName>
    <definedName name="______cfd56" hidden="1">{"'Break down'!$A$4"}</definedName>
    <definedName name="______com2" localSheetId="1" hidden="1">{"'Break down'!$A$4"}</definedName>
    <definedName name="______com2" hidden="1">{"'Break down'!$A$4"}</definedName>
    <definedName name="______csc1">#REF!</definedName>
    <definedName name="______CSM1">#REF!</definedName>
    <definedName name="______CSM2">#REF!</definedName>
    <definedName name="______CSM3">#REF!</definedName>
    <definedName name="______dec05" localSheetId="1" hidden="1">{"'Sheet1'!$A$4386:$N$4591"}</definedName>
    <definedName name="______dec05" hidden="1">{"'Sheet1'!$A$4386:$N$4591"}</definedName>
    <definedName name="______dep123">#REF!</definedName>
    <definedName name="______dep2">#REF!</definedName>
    <definedName name="______dep3">#REF!</definedName>
    <definedName name="______dim4">#REF!</definedName>
    <definedName name="______DPM375">#REF!</definedName>
    <definedName name="______e20000" localSheetId="1">#REF!</definedName>
    <definedName name="______e20000">#REF!</definedName>
    <definedName name="______e99991" localSheetId="1">#REF!</definedName>
    <definedName name="______e99991">#REF!</definedName>
    <definedName name="______Eg616103" localSheetId="1">#REF!</definedName>
    <definedName name="______Eg616103">#REF!</definedName>
    <definedName name="______ert3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ert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esc1">#REF!</definedName>
    <definedName name="______ewk4" localSheetId="1">#REF!</definedName>
    <definedName name="______ewk4">#REF!</definedName>
    <definedName name="______ewk4_1">0</definedName>
    <definedName name="______ewr2">#N/A</definedName>
    <definedName name="______ewr3">#N/A</definedName>
    <definedName name="______ext2" localSheetId="1">#REF!</definedName>
    <definedName name="______ext2">#REF!</definedName>
    <definedName name="______ext3" localSheetId="1">#REF!</definedName>
    <definedName name="______ext3">#REF!</definedName>
    <definedName name="______ghy678" localSheetId="1" hidden="1">{"'Break down'!$A$4"}</definedName>
    <definedName name="______ghy678" hidden="1">{"'Break down'!$A$4"}</definedName>
    <definedName name="______hp1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ice4" localSheetId="1">#REF!</definedName>
    <definedName name="______ice4">#REF!</definedName>
    <definedName name="______ice4_1">0</definedName>
    <definedName name="______IDC2" localSheetId="1">#N/A</definedName>
    <definedName name="______IDC2">[1]!City&amp;" "&amp;STATE</definedName>
    <definedName name="______iv66666" localSheetId="1">#REF!</definedName>
    <definedName name="______iv66666">#REF!</definedName>
    <definedName name="______jj300" localSheetId="1">#REF!</definedName>
    <definedName name="______jj300">#REF!</definedName>
    <definedName name="______len2" localSheetId="1">#REF!</definedName>
    <definedName name="______len2">#REF!</definedName>
    <definedName name="______len3">#REF!</definedName>
    <definedName name="______loc1" localSheetId="1">#N/A</definedName>
    <definedName name="______loc1">[1]!City&amp;" "&amp;STATE</definedName>
    <definedName name="______loi432" localSheetId="1" hidden="1">{"'Break down'!$A$4"}</definedName>
    <definedName name="______loi432" hidden="1">{"'Break down'!$A$4"}</definedName>
    <definedName name="______may1" localSheetId="1" hidden="1">{#N/A,#N/A,FALSE,"MARCH"}</definedName>
    <definedName name="______may1" hidden="1">{#N/A,#N/A,FALSE,"MARCH"}</definedName>
    <definedName name="______MN1">#REF!</definedName>
    <definedName name="______NA1" localSheetId="1">#REF!</definedName>
    <definedName name="______NA1">#REF!</definedName>
    <definedName name="______new10" localSheetId="1">#REF!</definedName>
    <definedName name="______new10">#REF!</definedName>
    <definedName name="______new11">#REF!</definedName>
    <definedName name="______new12">#REF!</definedName>
    <definedName name="______new13">#REF!</definedName>
    <definedName name="______new14">#REF!</definedName>
    <definedName name="______new15">#REF!</definedName>
    <definedName name="______new16">#REF!</definedName>
    <definedName name="______new17">#REF!</definedName>
    <definedName name="______new2">#REF!</definedName>
    <definedName name="______new3">#REF!</definedName>
    <definedName name="______new4">#REF!</definedName>
    <definedName name="______new5">#REF!</definedName>
    <definedName name="______new6">#REF!</definedName>
    <definedName name="______new7">#REF!</definedName>
    <definedName name="______new8" hidden="1">#REF!</definedName>
    <definedName name="______new9" localSheetId="1">#REF!</definedName>
    <definedName name="______new9">#REF!</definedName>
    <definedName name="______No1" localSheetId="1">#REF!</definedName>
    <definedName name="______No1">#REF!</definedName>
    <definedName name="______No2" localSheetId="1">#REF!</definedName>
    <definedName name="______No2">#REF!</definedName>
    <definedName name="______No3">#REF!</definedName>
    <definedName name="______NS1">#REF!</definedName>
    <definedName name="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old3" hidden="1">{#N/A,#N/A,FALSE,"Summary";#N/A,#N/A,FALSE,"3TJ";#N/A,#N/A,FALSE,"3TN";#N/A,#N/A,FALSE,"3TP";#N/A,#N/A,FALSE,"3SJ";#N/A,#N/A,FALSE,"3CJ";#N/A,#N/A,FALSE,"3CN";#N/A,#N/A,FALSE,"3CP";#N/A,#N/A,FALSE,"3A"}</definedName>
    <definedName name="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old5" hidden="1">{#N/A,#N/A,FALSE,"Summary";#N/A,#N/A,FALSE,"3TJ";#N/A,#N/A,FALSE,"3TN";#N/A,#N/A,FALSE,"3TP";#N/A,#N/A,FALSE,"3SJ";#N/A,#N/A,FALSE,"3CJ";#N/A,#N/A,FALSE,"3CN";#N/A,#N/A,FALSE,"3CP";#N/A,#N/A,FALSE,"3A"}</definedName>
    <definedName name="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old7" hidden="1">{#N/A,#N/A,FALSE,"Summary";#N/A,#N/A,FALSE,"3TJ";#N/A,#N/A,FALSE,"3TN";#N/A,#N/A,FALSE,"3TP";#N/A,#N/A,FALSE,"3SJ";#N/A,#N/A,FALSE,"3CJ";#N/A,#N/A,FALSE,"3CN";#N/A,#N/A,FALSE,"3CP";#N/A,#N/A,FALSE,"3A"}</definedName>
    <definedName name="______opi567" localSheetId="1" hidden="1">{"'Break down'!$A$4"}</definedName>
    <definedName name="______opi567" hidden="1">{"'Break down'!$A$4"}</definedName>
    <definedName name="______pc1">#REF!</definedName>
    <definedName name="______pc2">#REF!</definedName>
    <definedName name="______pc3">#REF!</definedName>
    <definedName name="______PE2000">#REF!</definedName>
    <definedName name="______pl4" localSheetId="1">#REF!</definedName>
    <definedName name="______pl4">#REF!</definedName>
    <definedName name="______pl4_1">0</definedName>
    <definedName name="______pls4">#REF!</definedName>
    <definedName name="______pls4_1">0</definedName>
    <definedName name="______poi564" localSheetId="1" hidden="1">{"'Break down'!$A$4"}</definedName>
    <definedName name="______poi564" hidden="1">{"'Break down'!$A$4"}</definedName>
    <definedName name="______ps4">#REF!</definedName>
    <definedName name="______ps4_1">0</definedName>
    <definedName name="______RAB0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RFP1">#REF!</definedName>
    <definedName name="______RFP2" localSheetId="1">#REF!</definedName>
    <definedName name="______RFP2">#REF!</definedName>
    <definedName name="______RFP3" localSheetId="1">#REF!</definedName>
    <definedName name="______RFP3">#REF!</definedName>
    <definedName name="______rim4">#REF!</definedName>
    <definedName name="______rm4">#REF!</definedName>
    <definedName name="______SCR1">#REF!</definedName>
    <definedName name="______SCR2">#REF!</definedName>
    <definedName name="______SCR3">#REF!</definedName>
    <definedName name="______sdb2">#REF!</definedName>
    <definedName name="______SEC15030">#REF!</definedName>
    <definedName name="______SEC15060">#REF!</definedName>
    <definedName name="______SEC15100">#REF!</definedName>
    <definedName name="______SEC15110">#REF!</definedName>
    <definedName name="______SEC15125">#REF!</definedName>
    <definedName name="______SEC15160">#REF!</definedName>
    <definedName name="______SEC15175">#REF!</definedName>
    <definedName name="______SEC15290">#REF!</definedName>
    <definedName name="______SEC15310">#REF!</definedName>
    <definedName name="______SEC15420">#REF!</definedName>
    <definedName name="______SEC15440">#REF!</definedName>
    <definedName name="______SEC15470">#REF!</definedName>
    <definedName name="______SEC15486">#REF!</definedName>
    <definedName name="______SEC15540">#REF!</definedName>
    <definedName name="______SEC15610">#REF!</definedName>
    <definedName name="______SEC15625">#REF!</definedName>
    <definedName name="______SEC15680">#REF!</definedName>
    <definedName name="______SEC15850">#REF!</definedName>
    <definedName name="______SEC15865">#REF!</definedName>
    <definedName name="______SEC15875">#REF!</definedName>
    <definedName name="______SEC15890">#REF!</definedName>
    <definedName name="______SEC15910">#REF!</definedName>
    <definedName name="______SEC15940">#REF!</definedName>
    <definedName name="______SEC15975">#REF!</definedName>
    <definedName name="______sw4">#REF!</definedName>
    <definedName name="______sw4_1">0</definedName>
    <definedName name="______tar1">#N/A</definedName>
    <definedName name="______TB2">#REF!</definedName>
    <definedName name="______tbc2" localSheetId="1">#REF!</definedName>
    <definedName name="______tbc2">#REF!</definedName>
    <definedName name="______tbc3" localSheetId="1">#REF!</definedName>
    <definedName name="______tbc3">#REF!</definedName>
    <definedName name="______TC1" localSheetId="1" hidden="1">{#N/A,#N/A,FALSE,"물량산출"}</definedName>
    <definedName name="______TC1" hidden="1">{#N/A,#N/A,FALSE,"물량산출"}</definedName>
    <definedName name="______tem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m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U14">#REF!</definedName>
    <definedName name="______U60" localSheetId="1">#REF!</definedName>
    <definedName name="______U60">#REF!</definedName>
    <definedName name="______Val101" localSheetId="1">#REF!</definedName>
    <definedName name="______Val101">#REF!</definedName>
    <definedName name="______Val102">#REF!</definedName>
    <definedName name="______Val201">#REF!</definedName>
    <definedName name="______Val202">#REF!</definedName>
    <definedName name="______Val301">#REF!</definedName>
    <definedName name="______Val302">#REF!</definedName>
    <definedName name="______vf453" localSheetId="1" hidden="1">{"'Break down'!$A$4"}</definedName>
    <definedName name="______vf453" hidden="1">{"'Break down'!$A$4"}</definedName>
    <definedName name="______wet4" localSheetId="1" hidden="1">{#N/A,#N/A,FALSE,"포장1";#N/A,#N/A,FALSE,"포장1"}</definedName>
    <definedName name="______wet4" hidden="1">{#N/A,#N/A,FALSE,"포장1";#N/A,#N/A,FALSE,"포장1"}</definedName>
    <definedName name="______wid2">#REF!</definedName>
    <definedName name="______wid3" localSheetId="1">#REF!</definedName>
    <definedName name="______wid3">#REF!</definedName>
    <definedName name="______xlfn.SUMIFS" hidden="1">#NAME?</definedName>
    <definedName name="______xlnm.Print_Area" localSheetId="1">#REF!</definedName>
    <definedName name="______xlnm.Print_Area">#REF!</definedName>
    <definedName name="______xlnm.Print_Area_1" localSheetId="1">#REF!</definedName>
    <definedName name="______xlnm.Print_Area_1">#REF!</definedName>
    <definedName name="______xlnm.Print_Area_2" localSheetId="1">#REF!</definedName>
    <definedName name="______xlnm.Print_Area_2">#REF!</definedName>
    <definedName name="______xlnm.Print_Area_4">"#REF!"</definedName>
    <definedName name="______xlnm.Print_Titles">#REF!</definedName>
    <definedName name="______xlnm.Print_Titles_1" localSheetId="1">#REF!</definedName>
    <definedName name="______xlnm.Print_Titles_1">#REF!</definedName>
    <definedName name="______xlnm.Print_Titles_2" localSheetId="1">#REF!</definedName>
    <definedName name="______xlnm.Print_Titles_2">#REF!</definedName>
    <definedName name="______yt564" localSheetId="1" hidden="1">{"'Break down'!$A$4"}</definedName>
    <definedName name="______yt564" hidden="1">{"'Break down'!$A$4"}</definedName>
    <definedName name="______yy5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yy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a1">#REF!</definedName>
    <definedName name="_____a100" localSheetId="1">#REF!</definedName>
    <definedName name="_____a100">#REF!</definedName>
    <definedName name="_____A100000" localSheetId="1">#REF!</definedName>
    <definedName name="_____A100000">#REF!</definedName>
    <definedName name="_____A31">#REF!</definedName>
    <definedName name="_____A65539">#REF!</definedName>
    <definedName name="_____A65800">#REF!</definedName>
    <definedName name="_____A66000">#REF!</definedName>
    <definedName name="_____A70000">#REF!</definedName>
    <definedName name="_____A80000">#REF!</definedName>
    <definedName name="_____A99999">#REF!</definedName>
    <definedName name="_____A999999">#REF!</definedName>
    <definedName name="_____AA1">#REF!</definedName>
    <definedName name="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HU5">#REF!</definedName>
    <definedName name="_____aj1" localSheetId="1">#REF!</definedName>
    <definedName name="_____aj1">#REF!</definedName>
    <definedName name="_____alt1" localSheetId="1">#REF!</definedName>
    <definedName name="_____alt1">#REF!</definedName>
    <definedName name="_____ALT2">#REF!</definedName>
    <definedName name="_____ALT3">#REF!</definedName>
    <definedName name="_____ALT4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B19000">#REF!</definedName>
    <definedName name="_____B19999" localSheetId="1">#REF!</definedName>
    <definedName name="_____B19999">#REF!</definedName>
    <definedName name="_____B20000" localSheetId="1">#REF!</definedName>
    <definedName name="_____B20000">#REF!</definedName>
    <definedName name="_____b201185">#REF!</definedName>
    <definedName name="_____BIL1">#REF!</definedName>
    <definedName name="_____BIL2">#REF!</definedName>
    <definedName name="_____BIL3">#REF!</definedName>
    <definedName name="_____BLK100">#REF!</definedName>
    <definedName name="_____BLK2">#REF!</definedName>
    <definedName name="_____BLK3">#REF!</definedName>
    <definedName name="_____blk4" localSheetId="1">#REF!</definedName>
    <definedName name="_____blk4">#REF!</definedName>
    <definedName name="_____blk4_1">0</definedName>
    <definedName name="_____bol1">#REF!</definedName>
    <definedName name="_____can430">40.73</definedName>
    <definedName name="_____can435">43.3</definedName>
    <definedName name="_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at123" localSheetId="1">#N/A</definedName>
    <definedName name="_____cat123">[1]!City&amp;" "&amp;STATE</definedName>
    <definedName name="_____ccr1" localSheetId="1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ccr1_1" localSheetId="1" hidden="1">{#N/A,#N/A,TRUE,"Cover";#N/A,#N/A,TRUE,"Conts";#N/A,#N/A,TRUE,"VOS";#N/A,#N/A,TRUE,"Warrington";#N/A,#N/A,TRUE,"Widnes"}</definedName>
    <definedName name="_____ccr1_1" hidden="1">{#N/A,#N/A,TRUE,"Cover";#N/A,#N/A,TRUE,"Conts";#N/A,#N/A,TRUE,"VOS";#N/A,#N/A,TRUE,"Warrington";#N/A,#N/A,TRUE,"Widnes"}</definedName>
    <definedName name="_____ccr2" localSheetId="1" hidden="1">{#N/A,#N/A,TRUE,"Cover";#N/A,#N/A,TRUE,"Conts";#N/A,#N/A,TRUE,"VOS";#N/A,#N/A,TRUE,"Warrington";#N/A,#N/A,TRUE,"Widnes"}</definedName>
    <definedName name="_____ccr2" hidden="1">{#N/A,#N/A,TRUE,"Cover";#N/A,#N/A,TRUE,"Conts";#N/A,#N/A,TRUE,"VOS";#N/A,#N/A,TRUE,"Warrington";#N/A,#N/A,TRUE,"Widnes"}</definedName>
    <definedName name="_____cf564" localSheetId="1" hidden="1">{"'Break down'!$A$4"}</definedName>
    <definedName name="_____cf564" hidden="1">{"'Break down'!$A$4"}</definedName>
    <definedName name="_____cfd56" localSheetId="1" hidden="1">{"'Break down'!$A$4"}</definedName>
    <definedName name="_____cfd56" hidden="1">{"'Break down'!$A$4"}</definedName>
    <definedName name="_____com2" localSheetId="1" hidden="1">{"'Break down'!$A$4"}</definedName>
    <definedName name="_____com2" hidden="1">{"'Break down'!$A$4"}</definedName>
    <definedName name="_____csc1">#REF!</definedName>
    <definedName name="_____CSM1">#REF!</definedName>
    <definedName name="_____CSM2">#REF!</definedName>
    <definedName name="_____CSM3">#REF!</definedName>
    <definedName name="_____dec05" localSheetId="1" hidden="1">{"'Sheet1'!$A$4386:$N$4591"}</definedName>
    <definedName name="_____dec05" hidden="1">{"'Sheet1'!$A$4386:$N$4591"}</definedName>
    <definedName name="_____dep123">#REF!</definedName>
    <definedName name="_____dep2">#REF!</definedName>
    <definedName name="_____dep3">#REF!</definedName>
    <definedName name="_____dim4">#REF!</definedName>
    <definedName name="_____DPM375">#REF!</definedName>
    <definedName name="_____e20000" localSheetId="1">#REF!</definedName>
    <definedName name="_____e20000">#REF!</definedName>
    <definedName name="_____e99991" localSheetId="1">#REF!</definedName>
    <definedName name="_____e99991">#REF!</definedName>
    <definedName name="_____Eg616103" localSheetId="1">#REF!</definedName>
    <definedName name="_____Eg616103">#REF!</definedName>
    <definedName name="_____ert3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ert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ewk4" localSheetId="1">#REF!</definedName>
    <definedName name="_____ewk4">#REF!</definedName>
    <definedName name="_____ewk4_1">0</definedName>
    <definedName name="_____ewr2">#N/A</definedName>
    <definedName name="_____ewr3">#N/A</definedName>
    <definedName name="_____ext2" localSheetId="1">#REF!</definedName>
    <definedName name="_____ext2">#REF!</definedName>
    <definedName name="_____ext3" localSheetId="1">#REF!</definedName>
    <definedName name="_____ext3">#REF!</definedName>
    <definedName name="_____ghy678" localSheetId="1" hidden="1">{"'Break down'!$A$4"}</definedName>
    <definedName name="_____ghy678" hidden="1">{"'Break down'!$A$4"}</definedName>
    <definedName name="_____hp1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ice4" localSheetId="1">#REF!</definedName>
    <definedName name="_____ice4">#REF!</definedName>
    <definedName name="_____ice4_1">0</definedName>
    <definedName name="_____IDC2" localSheetId="1">#N/A</definedName>
    <definedName name="_____IDC2">[1]!City&amp;" "&amp;STATE</definedName>
    <definedName name="_____iv66666" localSheetId="1">#REF!</definedName>
    <definedName name="_____iv66666">#REF!</definedName>
    <definedName name="_____jj300" localSheetId="1">#REF!</definedName>
    <definedName name="_____jj300">#REF!</definedName>
    <definedName name="_____L1" localSheetId="1">#REF!</definedName>
    <definedName name="_____L1">#REF!</definedName>
    <definedName name="_____len2">#REF!</definedName>
    <definedName name="_____len3">#REF!</definedName>
    <definedName name="_____loc1" localSheetId="1">#N/A</definedName>
    <definedName name="_____loc1">[1]!City&amp;" "&amp;STATE</definedName>
    <definedName name="_____loi432" localSheetId="1" hidden="1">{"'Break down'!$A$4"}</definedName>
    <definedName name="_____loi432" hidden="1">{"'Break down'!$A$4"}</definedName>
    <definedName name="_____may1" localSheetId="1" hidden="1">{#N/A,#N/A,FALSE,"MARCH"}</definedName>
    <definedName name="_____may1" hidden="1">{#N/A,#N/A,FALSE,"MARCH"}</definedName>
    <definedName name="_____MN1">#REF!</definedName>
    <definedName name="_____NA1" localSheetId="1">#REF!</definedName>
    <definedName name="_____NA1">#REF!</definedName>
    <definedName name="_____new10" localSheetId="1">#REF!</definedName>
    <definedName name="_____new10">#REF!</definedName>
    <definedName name="_____new11">#REF!</definedName>
    <definedName name="_____new12">#REF!</definedName>
    <definedName name="_____new13">#REF!</definedName>
    <definedName name="_____new14">#REF!</definedName>
    <definedName name="_____new15">#REF!</definedName>
    <definedName name="_____new16">#REF!</definedName>
    <definedName name="_____new17">#REF!</definedName>
    <definedName name="_____new2">#REF!</definedName>
    <definedName name="_____new3">#REF!</definedName>
    <definedName name="_____new4">#REF!</definedName>
    <definedName name="_____new5">#REF!</definedName>
    <definedName name="_____new6">#REF!</definedName>
    <definedName name="_____new7">#REF!</definedName>
    <definedName name="_____new8" hidden="1">#REF!</definedName>
    <definedName name="_____new9" localSheetId="1">#REF!</definedName>
    <definedName name="_____new9">#REF!</definedName>
    <definedName name="_____No1" localSheetId="1">#REF!</definedName>
    <definedName name="_____No1">#REF!</definedName>
    <definedName name="_____No2" localSheetId="1">#REF!</definedName>
    <definedName name="_____No2">#REF!</definedName>
    <definedName name="_____No3">#REF!</definedName>
    <definedName name="_____NS1">#REF!</definedName>
    <definedName name="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opi567" localSheetId="1" hidden="1">{"'Break down'!$A$4"}</definedName>
    <definedName name="_____opi567" hidden="1">{"'Break down'!$A$4"}</definedName>
    <definedName name="_____pc1">#REF!</definedName>
    <definedName name="_____pc2">#REF!</definedName>
    <definedName name="_____pc3">#REF!</definedName>
    <definedName name="_____PE2000">#REF!</definedName>
    <definedName name="_____pl4" localSheetId="1">#REF!</definedName>
    <definedName name="_____pl4">#REF!</definedName>
    <definedName name="_____pl4_1">0</definedName>
    <definedName name="_____pls4">#REF!</definedName>
    <definedName name="_____pls4_1">0</definedName>
    <definedName name="_____poi564" localSheetId="1" hidden="1">{"'Break down'!$A$4"}</definedName>
    <definedName name="_____poi564" hidden="1">{"'Break down'!$A$4"}</definedName>
    <definedName name="_____ps4">#REF!</definedName>
    <definedName name="_____ps4_1">0</definedName>
    <definedName name="_____RAB0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REM1">#REF!</definedName>
    <definedName name="_____REM2" localSheetId="1">#REF!</definedName>
    <definedName name="_____REM2">#REF!</definedName>
    <definedName name="_____RFP1" localSheetId="1">#REF!</definedName>
    <definedName name="_____RFP1">#REF!</definedName>
    <definedName name="_____RFP2">#REF!</definedName>
    <definedName name="_____RFP3">#REF!</definedName>
    <definedName name="_____rim4">#REF!</definedName>
    <definedName name="_____rm4">#REF!</definedName>
    <definedName name="_____SCR1">#REF!</definedName>
    <definedName name="_____SCR2">#REF!</definedName>
    <definedName name="_____SCR3">#REF!</definedName>
    <definedName name="_____sdb2">#REF!</definedName>
    <definedName name="_____SEC15030">#REF!</definedName>
    <definedName name="_____SEC15060">#REF!</definedName>
    <definedName name="_____SEC15100">#REF!</definedName>
    <definedName name="_____SEC15110">#REF!</definedName>
    <definedName name="_____SEC15125">#REF!</definedName>
    <definedName name="_____SEC15160">#REF!</definedName>
    <definedName name="_____SEC15175">#REF!</definedName>
    <definedName name="_____SEC15290">#REF!</definedName>
    <definedName name="_____SEC15310">#REF!</definedName>
    <definedName name="_____SEC15420">#REF!</definedName>
    <definedName name="_____SEC15440">#REF!</definedName>
    <definedName name="_____SEC15470">#REF!</definedName>
    <definedName name="_____SEC15486">#REF!</definedName>
    <definedName name="_____SEC15540">#REF!</definedName>
    <definedName name="_____SEC15610">#REF!</definedName>
    <definedName name="_____SEC15625">#REF!</definedName>
    <definedName name="_____SEC15680">#REF!</definedName>
    <definedName name="_____SEC15850">#REF!</definedName>
    <definedName name="_____SEC15865">#REF!</definedName>
    <definedName name="_____SEC15875">#REF!</definedName>
    <definedName name="_____SEC15890">#REF!</definedName>
    <definedName name="_____SEC15910">#REF!</definedName>
    <definedName name="_____SEC15940">#REF!</definedName>
    <definedName name="_____SEC15975">#REF!</definedName>
    <definedName name="_____sw4">#REF!</definedName>
    <definedName name="_____sw4_1">0</definedName>
    <definedName name="_____TB2">#REF!</definedName>
    <definedName name="_____tbc2" localSheetId="1">#REF!</definedName>
    <definedName name="_____tbc2">#REF!</definedName>
    <definedName name="_____tbc3" localSheetId="1">#REF!</definedName>
    <definedName name="_____tbc3">#REF!</definedName>
    <definedName name="_____tem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m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U14">#REF!</definedName>
    <definedName name="_____U60" localSheetId="1">#REF!</definedName>
    <definedName name="_____U60">#REF!</definedName>
    <definedName name="_____Val101" localSheetId="1">#REF!</definedName>
    <definedName name="_____Val101">#REF!</definedName>
    <definedName name="_____Val102">#REF!</definedName>
    <definedName name="_____Val201">#REF!</definedName>
    <definedName name="_____Val202">#REF!</definedName>
    <definedName name="_____Val301">#REF!</definedName>
    <definedName name="_____Val302">#REF!</definedName>
    <definedName name="_____vf453" localSheetId="1" hidden="1">{"'Break down'!$A$4"}</definedName>
    <definedName name="_____vf453" hidden="1">{"'Break down'!$A$4"}</definedName>
    <definedName name="_____wid2">#REF!</definedName>
    <definedName name="_____wid3">#REF!</definedName>
    <definedName name="_____xlfn.BAHTTEXT" hidden="1">#NAME?</definedName>
    <definedName name="_____xlfn.SUMIFS" hidden="1">#NAME?</definedName>
    <definedName name="_____xlnm.Criteria">#N/A</definedName>
    <definedName name="_____xlnm.Database">#N/A</definedName>
    <definedName name="_____xlnm.Extract">#N/A</definedName>
    <definedName name="_____xlnm.Print_Area" localSheetId="1">#REF!</definedName>
    <definedName name="_____xlnm.Print_Area">#REF!</definedName>
    <definedName name="_____xlnm.Print_Area_1" localSheetId="1">#REF!</definedName>
    <definedName name="_____xlnm.Print_Area_1">#REF!</definedName>
    <definedName name="_____xlnm.Print_Area_2" localSheetId="1">#REF!</definedName>
    <definedName name="_____xlnm.Print_Area_2">#REF!</definedName>
    <definedName name="_____xlnm.Print_Area_3">#REF!</definedName>
    <definedName name="_____xlnm.Print_Area_4">"#REF!"</definedName>
    <definedName name="_____xlnm.Print_Titles">#REF!</definedName>
    <definedName name="_____xlnm.Print_Titles_1" localSheetId="1">#REF!</definedName>
    <definedName name="_____xlnm.Print_Titles_1">#REF!</definedName>
    <definedName name="_____xlnm.Print_Titles_2" localSheetId="1">#REF!</definedName>
    <definedName name="_____xlnm.Print_Titles_2">#REF!</definedName>
    <definedName name="_____xlnm.Print_Titles_3">#REF!</definedName>
    <definedName name="_____yt564" localSheetId="1" hidden="1">{"'Break down'!$A$4"}</definedName>
    <definedName name="_____yt564" hidden="1">{"'Break down'!$A$4"}</definedName>
    <definedName name="_____yy5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yy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A1">#REF!</definedName>
    <definedName name="____a100" localSheetId="1">#REF!</definedName>
    <definedName name="____a100">#REF!</definedName>
    <definedName name="____A100000" localSheetId="1">#REF!</definedName>
    <definedName name="____A100000">#REF!</definedName>
    <definedName name="____A2" localSheetId="1" hidden="1">{#N/A,#N/A,FALSE,"MARCH"}</definedName>
    <definedName name="____A2" hidden="1">{#N/A,#N/A,FALSE,"MARCH"}</definedName>
    <definedName name="____A31">#REF!</definedName>
    <definedName name="____A65800" localSheetId="1">#REF!</definedName>
    <definedName name="____A65800">#REF!</definedName>
    <definedName name="____A66000" localSheetId="1">#REF!</definedName>
    <definedName name="____A66000">#REF!</definedName>
    <definedName name="____A70000">#REF!</definedName>
    <definedName name="____A80000">#REF!</definedName>
    <definedName name="____A99999">#REF!</definedName>
    <definedName name="____A999999">#REF!</definedName>
    <definedName name="____AA1">#REF!</definedName>
    <definedName name="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HU5">#REF!</definedName>
    <definedName name="____aj1" localSheetId="1">#REF!</definedName>
    <definedName name="____aj1">#REF!</definedName>
    <definedName name="____ALL2" localSheetId="1">#REF!</definedName>
    <definedName name="____ALL2">#REF!</definedName>
    <definedName name="____alt1" localSheetId="1">#REF!</definedName>
    <definedName name="____alt1">#REF!</definedName>
    <definedName name="____ALT2" localSheetId="1">#REF!</definedName>
    <definedName name="____ALT2">#REF!</definedName>
    <definedName name="____ALT3" localSheetId="1">#REF!</definedName>
    <definedName name="____ALT3">#REF!</definedName>
    <definedName name="____ALT4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B19000">#REF!</definedName>
    <definedName name="____B19999" localSheetId="1">#REF!</definedName>
    <definedName name="____B19999">#REF!</definedName>
    <definedName name="____B2" localSheetId="1" hidden="1">{#N/A,#N/A,FALSE,"MARCH"}</definedName>
    <definedName name="____B2" hidden="1">{#N/A,#N/A,FALSE,"MARCH"}</definedName>
    <definedName name="____B20000">#REF!</definedName>
    <definedName name="____b201185" localSheetId="1">#REF!</definedName>
    <definedName name="____b201185">#REF!</definedName>
    <definedName name="____BIL1">#REF!</definedName>
    <definedName name="____BIL2">#REF!</definedName>
    <definedName name="____BIL3">#REF!</definedName>
    <definedName name="____BLK100">#REF!</definedName>
    <definedName name="____BLK2">#REF!</definedName>
    <definedName name="____BLK3">#REF!</definedName>
    <definedName name="____blk4" localSheetId="1">#REF!</definedName>
    <definedName name="____blk4">#REF!</definedName>
    <definedName name="____blk4_1">0</definedName>
    <definedName name="____bol1">#REF!</definedName>
    <definedName name="____can430">40.73</definedName>
    <definedName name="____can435">43.3</definedName>
    <definedName name="_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at123" localSheetId="1">#N/A</definedName>
    <definedName name="____cat123">[1]!City&amp;" "&amp;STATE</definedName>
    <definedName name="____ccr1" localSheetId="1" hidden="1">{#N/A,#N/A,TRUE,"Cover";#N/A,#N/A,TRUE,"Conts";#N/A,#N/A,TRUE,"VOS";#N/A,#N/A,TRUE,"Warrington";#N/A,#N/A,TRUE,"Widnes"}</definedName>
    <definedName name="____ccr1" hidden="1">{#N/A,#N/A,TRUE,"Cover";#N/A,#N/A,TRUE,"Conts";#N/A,#N/A,TRUE,"VOS";#N/A,#N/A,TRUE,"Warrington";#N/A,#N/A,TRUE,"Widnes"}</definedName>
    <definedName name="____ccr1_1" localSheetId="1" hidden="1">{#N/A,#N/A,TRUE,"Cover";#N/A,#N/A,TRUE,"Conts";#N/A,#N/A,TRUE,"VOS";#N/A,#N/A,TRUE,"Warrington";#N/A,#N/A,TRUE,"Widnes"}</definedName>
    <definedName name="____ccr1_1" hidden="1">{#N/A,#N/A,TRUE,"Cover";#N/A,#N/A,TRUE,"Conts";#N/A,#N/A,TRUE,"VOS";#N/A,#N/A,TRUE,"Warrington";#N/A,#N/A,TRUE,"Widnes"}</definedName>
    <definedName name="____ccr2" localSheetId="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cf564" localSheetId="1" hidden="1">{"'Break down'!$A$4"}</definedName>
    <definedName name="____cf564" hidden="1">{"'Break down'!$A$4"}</definedName>
    <definedName name="____cfd56" localSheetId="1" hidden="1">{"'Break down'!$A$4"}</definedName>
    <definedName name="____cfd56" hidden="1">{"'Break down'!$A$4"}</definedName>
    <definedName name="____com2" localSheetId="1" hidden="1">{"'Break down'!$A$4"}</definedName>
    <definedName name="____com2" hidden="1">{"'Break down'!$A$4"}</definedName>
    <definedName name="____csc1">#REF!</definedName>
    <definedName name="____CSM1">#REF!</definedName>
    <definedName name="____CSM2">#REF!</definedName>
    <definedName name="____CSM3">#REF!</definedName>
    <definedName name="____dec05" localSheetId="1" hidden="1">{"'Sheet1'!$A$4386:$N$4591"}</definedName>
    <definedName name="____dec05" hidden="1">{"'Sheet1'!$A$4386:$N$4591"}</definedName>
    <definedName name="____dep123">#REF!</definedName>
    <definedName name="____dep2">#REF!</definedName>
    <definedName name="____dep3">#REF!</definedName>
    <definedName name="____dim4">#REF!</definedName>
    <definedName name="____DPM375">#REF!</definedName>
    <definedName name="____e20000" localSheetId="1">#REF!</definedName>
    <definedName name="____e20000">#REF!</definedName>
    <definedName name="____e99991" localSheetId="1">#REF!</definedName>
    <definedName name="____e99991">#REF!</definedName>
    <definedName name="____Eg616103" localSheetId="1">#REF!</definedName>
    <definedName name="____Eg616103">#REF!</definedName>
    <definedName name="____ert3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ert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esc1">#REF!</definedName>
    <definedName name="____ewk4" localSheetId="1">#REF!</definedName>
    <definedName name="____ewk4">#REF!</definedName>
    <definedName name="____ewk4_1">0</definedName>
    <definedName name="____ewr2">#N/A</definedName>
    <definedName name="____ewr3">#N/A</definedName>
    <definedName name="____ext2" localSheetId="1">#REF!</definedName>
    <definedName name="____ext2">#REF!</definedName>
    <definedName name="____ext3" localSheetId="1">#REF!</definedName>
    <definedName name="____ext3">#REF!</definedName>
    <definedName name="____fd2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ghy678" localSheetId="1" hidden="1">{"'Break down'!$A$4"}</definedName>
    <definedName name="____ghy678" hidden="1">{"'Break down'!$A$4"}</definedName>
    <definedName name="____hp1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ice4" localSheetId="1">#REF!</definedName>
    <definedName name="____ice4">#REF!</definedName>
    <definedName name="____ice4_1">0</definedName>
    <definedName name="____IDC2" localSheetId="1">#N/A</definedName>
    <definedName name="____IDC2">[1]!City&amp;" "&amp;STATE</definedName>
    <definedName name="____iv66666" localSheetId="1">#REF!</definedName>
    <definedName name="____iv66666">#REF!</definedName>
    <definedName name="____jj300" localSheetId="1">#REF!</definedName>
    <definedName name="____jj300">#REF!</definedName>
    <definedName name="____K85167" localSheetId="1">#REF!</definedName>
    <definedName name="____K85167">#REF!</definedName>
    <definedName name="____L1">#REF!</definedName>
    <definedName name="____len2">#REF!</definedName>
    <definedName name="____len3">#REF!</definedName>
    <definedName name="____LIG1">#REF!,#REF!,#REF!,#REF!,#REF!,#REF!,#REF!,#REF!,#REF!,#REF!,#REF!,#REF!,#REF!,#REF!,#REF!,#REF!,#REF!,#REF!,#REF!,#REF!,#REF!,#REF!,#REF!,#REF!,#REF!,#REF!,#REF!</definedName>
    <definedName name="____LIG2">#REF!,#REF!,#REF!,#REF!,#REF!,#REF!,#REF!,#REF!,#REF!,#REF!,#REF!,#REF!,#REF!</definedName>
    <definedName name="____LIG3">#REF!,#REF!,#REF!,#REF!,#REF!,#REF!,#REF!,#REF!,#REF!,#REF!,#REF!,#REF!,#REF!,#REF!,#REF!</definedName>
    <definedName name="____loc1" localSheetId="1">#N/A</definedName>
    <definedName name="____loc1">[1]!City&amp;" "&amp;STATE</definedName>
    <definedName name="____loi432" localSheetId="1" hidden="1">{"'Break down'!$A$4"}</definedName>
    <definedName name="____loi432" hidden="1">{"'Break down'!$A$4"}</definedName>
    <definedName name="____may1" localSheetId="1" hidden="1">{#N/A,#N/A,FALSE,"MARCH"}</definedName>
    <definedName name="____may1" hidden="1">{#N/A,#N/A,FALSE,"MARCH"}</definedName>
    <definedName name="____MN1">#REF!</definedName>
    <definedName name="____NA1" localSheetId="1">#REF!</definedName>
    <definedName name="____NA1">#REF!</definedName>
    <definedName name="____new10" localSheetId="1">#REF!</definedName>
    <definedName name="____new10">#REF!</definedName>
    <definedName name="____new11">#REF!</definedName>
    <definedName name="____new12">#REF!</definedName>
    <definedName name="____new13">#REF!</definedName>
    <definedName name="____new14">#REF!</definedName>
    <definedName name="____new15">#REF!</definedName>
    <definedName name="____new16">#REF!</definedName>
    <definedName name="____new17">#REF!</definedName>
    <definedName name="____new2">#REF!</definedName>
    <definedName name="____new3">#REF!</definedName>
    <definedName name="____new4">#REF!</definedName>
    <definedName name="____new5">#REF!</definedName>
    <definedName name="____new6">#REF!</definedName>
    <definedName name="____new7">#REF!</definedName>
    <definedName name="____new8" hidden="1">#REF!</definedName>
    <definedName name="____new9" localSheetId="1">#REF!</definedName>
    <definedName name="____new9">#REF!</definedName>
    <definedName name="____NF1">#REF!</definedName>
    <definedName name="____NF2">#REF!</definedName>
    <definedName name="____NF3">#REF!</definedName>
    <definedName name="____NF4">#REF!</definedName>
    <definedName name="____No1">#REF!</definedName>
    <definedName name="____No2">#REF!</definedName>
    <definedName name="____No3">#REF!</definedName>
    <definedName name="____nr83">#REF!</definedName>
    <definedName name="____NS1">#REF!</definedName>
    <definedName name="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opi567" localSheetId="1" hidden="1">{"'Break down'!$A$4"}</definedName>
    <definedName name="____opi567" hidden="1">{"'Break down'!$A$4"}</definedName>
    <definedName name="____pc1">#REF!</definedName>
    <definedName name="____pc2">#REF!</definedName>
    <definedName name="____pc3">#REF!</definedName>
    <definedName name="____pd2">#REF!</definedName>
    <definedName name="____PE2000">#REF!</definedName>
    <definedName name="____pl4" localSheetId="1">#REF!</definedName>
    <definedName name="____pl4">#REF!</definedName>
    <definedName name="____pl4_1">0</definedName>
    <definedName name="____pls4">#REF!</definedName>
    <definedName name="____pls4_1">0</definedName>
    <definedName name="____poi564" localSheetId="1" hidden="1">{"'Break down'!$A$4"}</definedName>
    <definedName name="____poi564" hidden="1">{"'Break down'!$A$4"}</definedName>
    <definedName name="____ps4">#REF!</definedName>
    <definedName name="____ps4_1">0</definedName>
    <definedName name="____RAB0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REM1">#REF!</definedName>
    <definedName name="____REM2" localSheetId="1">#REF!</definedName>
    <definedName name="____REM2">#REF!</definedName>
    <definedName name="____RFP1" localSheetId="1">#REF!</definedName>
    <definedName name="____RFP1">#REF!</definedName>
    <definedName name="____RFP2">#REF!</definedName>
    <definedName name="____RFP3">#REF!</definedName>
    <definedName name="____rim4">#REF!</definedName>
    <definedName name="____rm4">#REF!</definedName>
    <definedName name="____SCR1">#REF!</definedName>
    <definedName name="____SCR2">#REF!</definedName>
    <definedName name="____SCR3">#REF!</definedName>
    <definedName name="____sdb2">#REF!</definedName>
    <definedName name="____SEC15030">#REF!</definedName>
    <definedName name="____SEC15060">#REF!</definedName>
    <definedName name="____SEC15100">#REF!</definedName>
    <definedName name="____SEC15110">#REF!</definedName>
    <definedName name="____SEC15125">#REF!</definedName>
    <definedName name="____SEC15160">#REF!</definedName>
    <definedName name="____SEC15175">#REF!</definedName>
    <definedName name="____SEC15290">#REF!</definedName>
    <definedName name="____SEC15310">#REF!</definedName>
    <definedName name="____SEC15420">#REF!</definedName>
    <definedName name="____SEC15440">#REF!</definedName>
    <definedName name="____SEC15470">#REF!</definedName>
    <definedName name="____SEC15486">#REF!</definedName>
    <definedName name="____SEC15540">#REF!</definedName>
    <definedName name="____SEC15610">#REF!</definedName>
    <definedName name="____SEC15625">#REF!</definedName>
    <definedName name="____SEC15680">#REF!</definedName>
    <definedName name="____SEC15850">#REF!</definedName>
    <definedName name="____SEC15865">#REF!</definedName>
    <definedName name="____SEC15875">#REF!</definedName>
    <definedName name="____SEC15890">#REF!</definedName>
    <definedName name="____SEC15910">#REF!</definedName>
    <definedName name="____SEC15940">#REF!</definedName>
    <definedName name="____SEC15975">#REF!</definedName>
    <definedName name="____sw4">#REF!</definedName>
    <definedName name="____sw4_1">0</definedName>
    <definedName name="____tar1">#N/A</definedName>
    <definedName name="____TB2">#REF!</definedName>
    <definedName name="____tbc2" localSheetId="1">#REF!</definedName>
    <definedName name="____tbc2">#REF!</definedName>
    <definedName name="____tbc3" localSheetId="1">#REF!</definedName>
    <definedName name="____tbc3">#REF!</definedName>
    <definedName name="____TC1" localSheetId="1" hidden="1">{#N/A,#N/A,FALSE,"물량산출"}</definedName>
    <definedName name="____TC1" hidden="1">{#N/A,#N/A,FALSE,"물량산출"}</definedName>
    <definedName name="____tem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m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U14">#REF!</definedName>
    <definedName name="____U60" localSheetId="1">#REF!</definedName>
    <definedName name="____U60">#REF!</definedName>
    <definedName name="____Val101" localSheetId="1">#REF!</definedName>
    <definedName name="____Val101">#REF!</definedName>
    <definedName name="____Val102">#REF!</definedName>
    <definedName name="____Val201">#REF!</definedName>
    <definedName name="____Val202">#REF!</definedName>
    <definedName name="____Val301">#REF!</definedName>
    <definedName name="____Val302">#REF!</definedName>
    <definedName name="____vf453" localSheetId="1" hidden="1">{"'Break down'!$A$4"}</definedName>
    <definedName name="____vf453" hidden="1">{"'Break down'!$A$4"}</definedName>
    <definedName name="____wet4" localSheetId="1" hidden="1">{#N/A,#N/A,FALSE,"포장1";#N/A,#N/A,FALSE,"포장1"}</definedName>
    <definedName name="____wet4" hidden="1">{#N/A,#N/A,FALSE,"포장1";#N/A,#N/A,FALSE,"포장1"}</definedName>
    <definedName name="____wid2">#REF!</definedName>
    <definedName name="____wid3" localSheetId="1">#REF!</definedName>
    <definedName name="____wid3">#REF!</definedName>
    <definedName name="____xlfn.BAHTTEXT" hidden="1">#NAME?</definedName>
    <definedName name="____xlfn.SUMIFS" hidden="1">#NAME?</definedName>
    <definedName name="____xlnm.Print_Area" localSheetId="1">#REF!</definedName>
    <definedName name="____xlnm.Print_Area">#REF!</definedName>
    <definedName name="____xlnm.Print_Area_1" localSheetId="1">#REF!</definedName>
    <definedName name="____xlnm.Print_Area_1">#REF!</definedName>
    <definedName name="____xlnm.Print_Area_2" localSheetId="1">#REF!</definedName>
    <definedName name="____xlnm.Print_Area_2">#REF!</definedName>
    <definedName name="____xlnm.Print_Area_3">#REF!</definedName>
    <definedName name="____xlnm.Print_Area_4">"#REF!"</definedName>
    <definedName name="____xlnm.Print_Titles">#REF!</definedName>
    <definedName name="____xlnm.Print_Titles_1" localSheetId="1">#REF!</definedName>
    <definedName name="____xlnm.Print_Titles_1">#REF!</definedName>
    <definedName name="____xlnm.Print_Titles_2" localSheetId="1">#REF!</definedName>
    <definedName name="____xlnm.Print_Titles_2">#REF!</definedName>
    <definedName name="____xlnm.Print_Titles_3">#REF!</definedName>
    <definedName name="____yt564" localSheetId="1" hidden="1">{"'Break down'!$A$4"}</definedName>
    <definedName name="____yt564" hidden="1">{"'Break down'!$A$4"}</definedName>
    <definedName name="____yy5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yy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???" localSheetId="1">#REF!</definedName>
    <definedName name="___???">#REF!</definedName>
    <definedName name="___1__123Graph_ACHART_12" hidden="1">#REF!</definedName>
    <definedName name="___10__123Graph_BCHART_16" hidden="1">#REF!</definedName>
    <definedName name="___11__123Graph_BCHART_17" hidden="1">#REF!</definedName>
    <definedName name="___12__123Graph_BCHART_22" hidden="1">#REF!</definedName>
    <definedName name="___123Graph_XCHART_3">#REF!</definedName>
    <definedName name="___123Graph_XCHART_4">#REF!</definedName>
    <definedName name="___13__123Graph_CCHART_15" hidden="1">#REF!</definedName>
    <definedName name="___14__123Graph_CCHART_16" hidden="1">#REF!</definedName>
    <definedName name="___15__123Graph_CCHART_17" hidden="1">#REF!</definedName>
    <definedName name="___16__123Graph_CCHART_22" hidden="1">#REF!</definedName>
    <definedName name="___17__123Graph_CSEG_PIE" hidden="1">#REF!</definedName>
    <definedName name="___18__123Graph_DCHART_15" hidden="1">#REF!</definedName>
    <definedName name="___19__123Graph_DCHART_16" hidden="1">#REF!</definedName>
    <definedName name="___2__123Graph_ACHART_15" hidden="1">#REF!</definedName>
    <definedName name="___20__123Graph_DCHART_17" hidden="1">#REF!</definedName>
    <definedName name="___21__123Graph_DCHART_22" hidden="1">#REF!</definedName>
    <definedName name="___22__123Graph_ECHART_15" hidden="1">#REF!</definedName>
    <definedName name="___23__123Graph_ECHART_16" hidden="1">#REF!</definedName>
    <definedName name="___24__123Graph_ECHART_17" hidden="1">#REF!</definedName>
    <definedName name="___25__123Graph_ECHART_22" hidden="1">#REF!</definedName>
    <definedName name="___26__123Graph_FCHART_15" hidden="1">#REF!</definedName>
    <definedName name="___27__123Graph_FCHART_16" hidden="1">#REF!</definedName>
    <definedName name="___28__123Graph_FCHART_17" hidden="1">#REF!</definedName>
    <definedName name="___29__123Graph_FCHART_22" hidden="1">#REF!</definedName>
    <definedName name="___3__123Graph_ACHART_16" hidden="1">#REF!</definedName>
    <definedName name="___30__123Graph_XCHART_15" hidden="1">#REF!</definedName>
    <definedName name="___31__123Graph_XCHART_16" hidden="1">#REF!</definedName>
    <definedName name="___32__123Graph_XCHART_17" hidden="1">#REF!</definedName>
    <definedName name="___33__123Graph_XCHART_18" hidden="1">#REF!</definedName>
    <definedName name="___34__123Graph_XCHART_19" hidden="1">#REF!</definedName>
    <definedName name="___35__123Graph_XCHART_22" hidden="1">#REF!</definedName>
    <definedName name="___36__123Graph_XSEG_PIE" hidden="1">#REF!</definedName>
    <definedName name="___4__123Graph_ACHART_17" hidden="1">#REF!</definedName>
    <definedName name="___5__123Graph_ACHART_18" hidden="1">#REF!</definedName>
    <definedName name="___6__123Graph_ACHART_19" hidden="1">#REF!</definedName>
    <definedName name="___7__123Graph_ACHART_21" hidden="1">#REF!</definedName>
    <definedName name="___8__123Graph_ASEG_PIE" hidden="1">#REF!</definedName>
    <definedName name="___9__123Graph_BCHART_15" hidden="1">#REF!</definedName>
    <definedName name="___9__123Graph_BCHART_3" localSheetId="1" hidden="1">#REF!</definedName>
    <definedName name="___9__123Graph_BCHART_3" hidden="1">#REF!</definedName>
    <definedName name="___A1">#REF!</definedName>
    <definedName name="___a100" localSheetId="1">#REF!</definedName>
    <definedName name="___a100">#REF!</definedName>
    <definedName name="___A100000" localSheetId="1">#REF!</definedName>
    <definedName name="___A100000">#REF!</definedName>
    <definedName name="___A2" localSheetId="1" hidden="1">{#N/A,#N/A,FALSE,"MARCH"}</definedName>
    <definedName name="___A2" hidden="1">{#N/A,#N/A,FALSE,"MARCH"}</definedName>
    <definedName name="___A31">#REF!</definedName>
    <definedName name="___A65539" localSheetId="1">#REF!</definedName>
    <definedName name="___A65539">#REF!</definedName>
    <definedName name="___A65800" localSheetId="1">#REF!</definedName>
    <definedName name="___A65800">#REF!</definedName>
    <definedName name="___A66000">#REF!</definedName>
    <definedName name="___A70000">#REF!</definedName>
    <definedName name="___A80000">#REF!</definedName>
    <definedName name="___A99999">#REF!</definedName>
    <definedName name="___A999999">#REF!</definedName>
    <definedName name="___AA1">#REF!</definedName>
    <definedName name="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DD2" localSheetId="1">#REF!</definedName>
    <definedName name="___ADD2">#REF!</definedName>
    <definedName name="___aj1">#REF!</definedName>
    <definedName name="___alt1">#REF!</definedName>
    <definedName name="___ALT2">#REF!</definedName>
    <definedName name="___ALT3">#REF!</definedName>
    <definedName name="___ALT4">#REF!</definedName>
    <definedName name="___ans987" localSheetId="1" hidden="1">{#N/A,#N/A,FALSE,"VARIATIONS";#N/A,#N/A,FALSE,"BUDGET";#N/A,#N/A,FALSE,"CIVIL QNTY VAR";#N/A,#N/A,FALSE,"SUMMARY";#N/A,#N/A,FALSE,"MATERIAL VAR"}</definedName>
    <definedName name="___ans987" hidden="1">{#N/A,#N/A,FALSE,"VARIATIONS";#N/A,#N/A,FALSE,"BUDGET";#N/A,#N/A,FALSE,"CIVIL QNTY VAR";#N/A,#N/A,FALSE,"SUMMARY";#N/A,#N/A,FALSE,"MATERIAL VAR"}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B19000">#REF!</definedName>
    <definedName name="___B19999" localSheetId="1">#REF!</definedName>
    <definedName name="___B19999">#REF!</definedName>
    <definedName name="___B2" localSheetId="1" hidden="1">{#N/A,#N/A,FALSE,"MARCH"}</definedName>
    <definedName name="___B2" hidden="1">{#N/A,#N/A,FALSE,"MARCH"}</definedName>
    <definedName name="___B20000">#REF!</definedName>
    <definedName name="___b201185" localSheetId="1">#REF!</definedName>
    <definedName name="___b201185">#REF!</definedName>
    <definedName name="___BIL1">#REF!</definedName>
    <definedName name="___BIL2">#REF!</definedName>
    <definedName name="___bil3" localSheetId="1">#REF!</definedName>
    <definedName name="___bil3">#REF!</definedName>
    <definedName name="___BLK100">#REF!</definedName>
    <definedName name="___BLK2">#REF!</definedName>
    <definedName name="___BLK3">#REF!</definedName>
    <definedName name="___blk4" localSheetId="1">#REF!</definedName>
    <definedName name="___blk4">#REF!</definedName>
    <definedName name="___blk4_1">0</definedName>
    <definedName name="___bol1">#REF!</definedName>
    <definedName name="___can430">40.73</definedName>
    <definedName name="___can435">43.3</definedName>
    <definedName name="_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at123" localSheetId="1">#N/A</definedName>
    <definedName name="___cat123">[1]!City&amp;" "&amp;STATE</definedName>
    <definedName name="___ccr1" localSheetId="1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ccr1_1" localSheetId="1" hidden="1">{#N/A,#N/A,TRUE,"Cover";#N/A,#N/A,TRUE,"Conts";#N/A,#N/A,TRUE,"VOS";#N/A,#N/A,TRUE,"Warrington";#N/A,#N/A,TRUE,"Widnes"}</definedName>
    <definedName name="___ccr1_1" hidden="1">{#N/A,#N/A,TRUE,"Cover";#N/A,#N/A,TRUE,"Conts";#N/A,#N/A,TRUE,"VOS";#N/A,#N/A,TRUE,"Warrington";#N/A,#N/A,TRUE,"Widnes"}</definedName>
    <definedName name="___ccr2" localSheetId="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cf564" localSheetId="1" hidden="1">{"'Break down'!$A$4"}</definedName>
    <definedName name="___cf564" hidden="1">{"'Break down'!$A$4"}</definedName>
    <definedName name="___cfd56" localSheetId="1" hidden="1">{"'Break down'!$A$4"}</definedName>
    <definedName name="___cfd56" hidden="1">{"'Break down'!$A$4"}</definedName>
    <definedName name="___com2" localSheetId="1" hidden="1">{"'Break down'!$A$4"}</definedName>
    <definedName name="___com2" hidden="1">{"'Break down'!$A$4"}</definedName>
    <definedName name="___CSM1">#REF!</definedName>
    <definedName name="___CSM2">#REF!</definedName>
    <definedName name="___CSM3">#REF!</definedName>
    <definedName name="___d1" localSheetId="1" hidden="1">{#N/A,#N/A,FALSE,"VARIATIONS";#N/A,#N/A,FALSE,"BUDGET";#N/A,#N/A,FALSE,"CIVIL QNTY VAR";#N/A,#N/A,FALSE,"SUMMARY";#N/A,#N/A,FALSE,"MATERIAL VAR"}</definedName>
    <definedName name="___d1" hidden="1">{#N/A,#N/A,FALSE,"VARIATIONS";#N/A,#N/A,FALSE,"BUDGET";#N/A,#N/A,FALSE,"CIVIL QNTY VAR";#N/A,#N/A,FALSE,"SUMMARY";#N/A,#N/A,FALSE,"MATERIAL VAR"}</definedName>
    <definedName name="___dd5" localSheetId="1" hidden="1">{#N/A,#N/A,FALSE,"VARIATIONS";#N/A,#N/A,FALSE,"BUDGET";#N/A,#N/A,FALSE,"CIVIL QNTY VAR";#N/A,#N/A,FALSE,"SUMMARY";#N/A,#N/A,FALSE,"MATERIAL VAR"}</definedName>
    <definedName name="___dd5" hidden="1">{#N/A,#N/A,FALSE,"VARIATIONS";#N/A,#N/A,FALSE,"BUDGET";#N/A,#N/A,FALSE,"CIVIL QNTY VAR";#N/A,#N/A,FALSE,"SUMMARY";#N/A,#N/A,FALSE,"MATERIAL VAR"}</definedName>
    <definedName name="___dec05" localSheetId="1" hidden="1">{"'Sheet1'!$A$4386:$N$4591"}</definedName>
    <definedName name="___dec05" hidden="1">{"'Sheet1'!$A$4386:$N$4591"}</definedName>
    <definedName name="___dep123">#REF!</definedName>
    <definedName name="___dep2">#REF!</definedName>
    <definedName name="___dep3">#REF!</definedName>
    <definedName name="___dim4">#REF!</definedName>
    <definedName name="___DPM375">#REF!</definedName>
    <definedName name="___e20000" localSheetId="1">#REF!</definedName>
    <definedName name="___e20000">#REF!</definedName>
    <definedName name="___e99991" localSheetId="1">#REF!</definedName>
    <definedName name="___e99991">#REF!</definedName>
    <definedName name="___Eg616103" localSheetId="1">#REF!</definedName>
    <definedName name="___Eg616103">#REF!</definedName>
    <definedName name="___ert3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ert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esc1">#REF!</definedName>
    <definedName name="___ewk4" localSheetId="1">#REF!</definedName>
    <definedName name="___ewk4">#REF!</definedName>
    <definedName name="___ewk4_1">0</definedName>
    <definedName name="___ewr2">#N/A</definedName>
    <definedName name="___ewr3">#N/A</definedName>
    <definedName name="___ext2" localSheetId="1">#REF!</definedName>
    <definedName name="___ext2">#REF!</definedName>
    <definedName name="___ext3" localSheetId="1">#REF!</definedName>
    <definedName name="___ext3">#REF!</definedName>
    <definedName name="___f1" localSheetId="1" hidden="1">{#N/A,#N/A,FALSE,"VARIATIONS";#N/A,#N/A,FALSE,"BUDGET";#N/A,#N/A,FALSE,"CIVIL QNTY VAR";#N/A,#N/A,FALSE,"SUMMARY";#N/A,#N/A,FALSE,"MATERIAL VAR"}</definedName>
    <definedName name="___f1" hidden="1">{#N/A,#N/A,FALSE,"VARIATIONS";#N/A,#N/A,FALSE,"BUDGET";#N/A,#N/A,FALSE,"CIVIL QNTY VAR";#N/A,#N/A,FALSE,"SUMMARY";#N/A,#N/A,FALSE,"MATERIAL VAR"}</definedName>
    <definedName name="___fco2" localSheetId="1" hidden="1">{#N/A,#N/A,FALSE,"gc (2)"}</definedName>
    <definedName name="___fco2" hidden="1">{#N/A,#N/A,FALSE,"gc (2)"}</definedName>
    <definedName name="___Feb06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ghy678" localSheetId="1" hidden="1">{"'Break down'!$A$4"}</definedName>
    <definedName name="___ghy678" hidden="1">{"'Break down'!$A$4"}</definedName>
    <definedName name="___h2">#N/A</definedName>
    <definedName name="___hp1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ice4" localSheetId="1">#REF!</definedName>
    <definedName name="___ice4">#REF!</definedName>
    <definedName name="___ice4_1">0</definedName>
    <definedName name="___IDC2" localSheetId="1">#N/A</definedName>
    <definedName name="___IDC2">[1]!City&amp;" "&amp;STATE</definedName>
    <definedName name="___INDEX_SHEET___ASAP_Utilities" localSheetId="1">#REF!</definedName>
    <definedName name="___INDEX_SHEET___ASAP_Utilities">#REF!</definedName>
    <definedName name="___int12">#REF!</definedName>
    <definedName name="___iv66666" localSheetId="1">#REF!</definedName>
    <definedName name="___iv66666">#REF!</definedName>
    <definedName name="___jj300" localSheetId="1">#REF!</definedName>
    <definedName name="___jj300">#REF!</definedName>
    <definedName name="___K85167" localSheetId="1">#REF!</definedName>
    <definedName name="___K85167">#REF!</definedName>
    <definedName name="___key1" localSheetId="1" hidden="1">#REF!</definedName>
    <definedName name="___key1" hidden="1">#REF!</definedName>
    <definedName name="___key2" localSheetId="1" hidden="1">#REF!</definedName>
    <definedName name="___key2" hidden="1">#REF!</definedName>
    <definedName name="___KI9" localSheetId="1">#REF!</definedName>
    <definedName name="___KI9">#REF!</definedName>
    <definedName name="___L1" localSheetId="1">#REF!</definedName>
    <definedName name="___L1">#REF!</definedName>
    <definedName name="___len2">#REF!</definedName>
    <definedName name="___len3">#REF!</definedName>
    <definedName name="___LIG1">#REF!,#REF!,#REF!,#REF!,#REF!,#REF!,#REF!,#REF!,#REF!,#REF!,#REF!,#REF!,#REF!,#REF!,#REF!,#REF!,#REF!,#REF!,#REF!,#REF!,#REF!,#REF!,#REF!,#REF!,#REF!,#REF!,#REF!</definedName>
    <definedName name="___LIG2">#REF!,#REF!,#REF!,#REF!,#REF!,#REF!,#REF!,#REF!,#REF!,#REF!,#REF!,#REF!,#REF!</definedName>
    <definedName name="___LIG3">#REF!,#REF!,#REF!,#REF!,#REF!,#REF!,#REF!,#REF!,#REF!,#REF!,#REF!,#REF!,#REF!,#REF!,#REF!</definedName>
    <definedName name="___loc1" localSheetId="1">#N/A</definedName>
    <definedName name="___loc1">[1]!City&amp;" "&amp;STATE</definedName>
    <definedName name="___loi432" localSheetId="1" hidden="1">{"'Break down'!$A$4"}</definedName>
    <definedName name="___loi432" hidden="1">{"'Break down'!$A$4"}</definedName>
    <definedName name="___Mat08">#N/A</definedName>
    <definedName name="___may1" localSheetId="1" hidden="1">{#N/A,#N/A,FALSE,"MARCH"}</definedName>
    <definedName name="___may1" hidden="1">{#N/A,#N/A,FALSE,"MARCH"}</definedName>
    <definedName name="___MN1">#REF!</definedName>
    <definedName name="___MUP3">#REF!</definedName>
    <definedName name="___NA1" localSheetId="1">#REF!</definedName>
    <definedName name="___NA1">#REF!</definedName>
    <definedName name="___new3">#N/A</definedName>
    <definedName name="___new8" localSheetId="1" hidden="1">#REF!</definedName>
    <definedName name="___new8" hidden="1">#REF!</definedName>
    <definedName name="___NF1" localSheetId="1">#REF!</definedName>
    <definedName name="___NF1">#REF!</definedName>
    <definedName name="___NF2">#REF!</definedName>
    <definedName name="___NF3">#REF!</definedName>
    <definedName name="___NF4">#REF!</definedName>
    <definedName name="___No1">#REF!</definedName>
    <definedName name="___No2">#REF!</definedName>
    <definedName name="___No3">#REF!</definedName>
    <definedName name="___nr83">#REF!</definedName>
    <definedName name="___ns1" localSheetId="1" hidden="1">{#N/A,#N/A,FALSE,"COVER1.XLS ";#N/A,#N/A,FALSE,"RACT1.XLS";#N/A,#N/A,FALSE,"RACT2.XLS";#N/A,#N/A,FALSE,"ECCMP";#N/A,#N/A,FALSE,"WELDER.XLS"}</definedName>
    <definedName name="___ns1" hidden="1">{#N/A,#N/A,FALSE,"COVER1.XLS ";#N/A,#N/A,FALSE,"RACT1.XLS";#N/A,#N/A,FALSE,"RACT2.XLS";#N/A,#N/A,FALSE,"ECCMP";#N/A,#N/A,FALSE,"WELDER.XLS"}</definedName>
    <definedName name="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pi567" localSheetId="1" hidden="1">{"'Break down'!$A$4"}</definedName>
    <definedName name="___opi567" hidden="1">{"'Break down'!$A$4"}</definedName>
    <definedName name="___P200205">#REF!</definedName>
    <definedName name="___PAG1" localSheetId="1">#REF!</definedName>
    <definedName name="___PAG1">#REF!</definedName>
    <definedName name="___PAG2">#REF!</definedName>
    <definedName name="___PAG3">#REF!</definedName>
    <definedName name="___pc1">#REF!</definedName>
    <definedName name="___pc2">#REF!</definedName>
    <definedName name="___pc3">#REF!</definedName>
    <definedName name="___pd1">#REF!</definedName>
    <definedName name="___pd2">#REF!</definedName>
    <definedName name="___pl4">#REF!</definedName>
    <definedName name="___pl4_1">0</definedName>
    <definedName name="___pls4">#REF!</definedName>
    <definedName name="___pls4_1">0</definedName>
    <definedName name="___PO7">#REF!</definedName>
    <definedName name="___PO8">#REF!</definedName>
    <definedName name="___PO9">#REF!</definedName>
    <definedName name="___poi564" localSheetId="1" hidden="1">{"'Break down'!$A$4"}</definedName>
    <definedName name="___poi564" hidden="1">{"'Break down'!$A$4"}</definedName>
    <definedName name="___POP3">#REF!</definedName>
    <definedName name="___PR1">#N/A</definedName>
    <definedName name="___ps4" localSheetId="1">#REF!</definedName>
    <definedName name="___ps4">#REF!</definedName>
    <definedName name="___ps4_1">0</definedName>
    <definedName name="___RAB0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ram1" localSheetId="1" hidden="1">{#N/A,#N/A,FALSE,"gc (2)"}</definedName>
    <definedName name="___ram1" hidden="1">{#N/A,#N/A,FALSE,"gc (2)"}</definedName>
    <definedName name="___ref2">#REF!</definedName>
    <definedName name="___REM1" localSheetId="1">#REF!</definedName>
    <definedName name="___REM1">#REF!</definedName>
    <definedName name="___REM2" localSheetId="1">#REF!</definedName>
    <definedName name="___REM2">#REF!</definedName>
    <definedName name="___RFP1">#REF!</definedName>
    <definedName name="___RFP2">#REF!</definedName>
    <definedName name="___RFP3">#REF!</definedName>
    <definedName name="___rim4">#REF!</definedName>
    <definedName name="___rm4">#REF!</definedName>
    <definedName name="___ROI1">#REF!</definedName>
    <definedName name="___roi2">#REF!</definedName>
    <definedName name="___sch2">#REF!</definedName>
    <definedName name="___SCR04">#REF!</definedName>
    <definedName name="___SCR1">#REF!</definedName>
    <definedName name="___SCR2">#REF!</definedName>
    <definedName name="___SCR3">#REF!</definedName>
    <definedName name="___sdb2">#REF!</definedName>
    <definedName name="___SEC15030">#REF!</definedName>
    <definedName name="___SEC15060">#REF!</definedName>
    <definedName name="___SEC15100">#REF!</definedName>
    <definedName name="___SEC15110">#REF!</definedName>
    <definedName name="___SEC15125">#REF!</definedName>
    <definedName name="___SEC15160">#REF!</definedName>
    <definedName name="___SEC15175">#REF!</definedName>
    <definedName name="___SEC15290">#REF!</definedName>
    <definedName name="___SEC15310">#REF!</definedName>
    <definedName name="___SEC15420">#REF!</definedName>
    <definedName name="___SEC15440">#REF!</definedName>
    <definedName name="___SEC15470">#REF!</definedName>
    <definedName name="___SEC15486">#REF!</definedName>
    <definedName name="___SEC15540">#REF!</definedName>
    <definedName name="___SEC15610">#REF!</definedName>
    <definedName name="___SEC15625">#REF!</definedName>
    <definedName name="___SEC15680">#REF!</definedName>
    <definedName name="___SEC15850">#REF!</definedName>
    <definedName name="___SEC15865">#REF!</definedName>
    <definedName name="___SEC15875">#REF!</definedName>
    <definedName name="___SEC15890">#REF!</definedName>
    <definedName name="___SEC15910">#REF!</definedName>
    <definedName name="___SEC15940">#REF!</definedName>
    <definedName name="___SEC15975">#REF!</definedName>
    <definedName name="___sti02" localSheetId="1" hidden="1">{#N/A,#N/A,FALSE,"gc (2)"}</definedName>
    <definedName name="___sti02" hidden="1">{#N/A,#N/A,FALSE,"gc (2)"}</definedName>
    <definedName name="___sw4" localSheetId="1">#REF!</definedName>
    <definedName name="___sw4">#REF!</definedName>
    <definedName name="___sw4_1">0</definedName>
    <definedName name="___t1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2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a1" localSheetId="1" hidden="1">{#N/A,#N/A,TRUE,"Financials";#N/A,#N/A,TRUE,"Operating Statistics";#N/A,#N/A,TRUE,"Capex &amp; Depreciation";#N/A,#N/A,TRUE,"Debt"}</definedName>
    <definedName name="___ta1" hidden="1">{#N/A,#N/A,TRUE,"Financials";#N/A,#N/A,TRUE,"Operating Statistics";#N/A,#N/A,TRUE,"Capex &amp; Depreciation";#N/A,#N/A,TRUE,"Debt"}</definedName>
    <definedName name="___tar1">#N/A</definedName>
    <definedName name="___tas2">#REF!</definedName>
    <definedName name="___tas3" localSheetId="1">#REF!</definedName>
    <definedName name="___tas3">#REF!</definedName>
    <definedName name="___tb1" localSheetId="1" hidden="1">{#N/A,#N/A,FALSE,"One Pager";#N/A,#N/A,FALSE,"Technical"}</definedName>
    <definedName name="___tb1" hidden="1">{#N/A,#N/A,FALSE,"One Pager";#N/A,#N/A,FALSE,"Technical"}</definedName>
    <definedName name="___TB2">#REF!</definedName>
    <definedName name="___tbc2" localSheetId="1">#REF!</definedName>
    <definedName name="___tbc2">#REF!</definedName>
    <definedName name="___tbc3" localSheetId="1">#REF!</definedName>
    <definedName name="___tbc3">#REF!</definedName>
    <definedName name="___TC1" localSheetId="1" hidden="1">{#N/A,#N/A,FALSE,"물량산출"}</definedName>
    <definedName name="___TC1" hidden="1">{#N/A,#N/A,FALSE,"물량산출"}</definedName>
    <definedName name="___tem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hinkcell11wvTEL6W0W2zDrq5o.quA" localSheetId="1" hidden="1">#REF!</definedName>
    <definedName name="___thinkcell11wvTEL6W0W2zDrq5o.quA" hidden="1">#REF!</definedName>
    <definedName name="___thinkcellH0MAAAAAAAAEAAAANEsFRqvX30.KqQZwhM8H.A" localSheetId="1" hidden="1">#REF!</definedName>
    <definedName name="___thinkcellH0MAAAAAAAAEAAAANEsFRqvX30.KqQZwhM8H.A" hidden="1">#REF!</definedName>
    <definedName name="___thinkcellNkYAAAAAAAAEAAAAuBjtSIGyFUW7yl64xyLb8w" hidden="1">#REF!</definedName>
    <definedName name="___tm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ry2">#REF!</definedName>
    <definedName name="___U14" localSheetId="1">#REF!</definedName>
    <definedName name="___U14">#REF!</definedName>
    <definedName name="___U60" localSheetId="1">#REF!</definedName>
    <definedName name="___U60">#REF!</definedName>
    <definedName name="___Val101">#REF!</definedName>
    <definedName name="___Val102">#REF!</definedName>
    <definedName name="___Val201">#REF!</definedName>
    <definedName name="___Val202">#REF!</definedName>
    <definedName name="___Val301">#REF!</definedName>
    <definedName name="___Val302">#REF!</definedName>
    <definedName name="___vf453" localSheetId="1" hidden="1">{"'Break down'!$A$4"}</definedName>
    <definedName name="___vf453" hidden="1">{"'Break down'!$A$4"}</definedName>
    <definedName name="___wet4" localSheetId="1" hidden="1">{#N/A,#N/A,FALSE,"포장1";#N/A,#N/A,FALSE,"포장1"}</definedName>
    <definedName name="___wet4" hidden="1">{#N/A,#N/A,FALSE,"포장1";#N/A,#N/A,FALSE,"포장1"}</definedName>
    <definedName name="___wid2">#REF!</definedName>
    <definedName name="___wid3" localSheetId="1">#REF!</definedName>
    <definedName name="___wid3">#REF!</definedName>
    <definedName name="___xlfn.BAHTTEXT" hidden="1">#NAME?</definedName>
    <definedName name="___xlfn.SUMIFS" hidden="1">#NAME?</definedName>
    <definedName name="___xlnm.Criteria">"#REF!"</definedName>
    <definedName name="___xlnm.Criteria_1">0</definedName>
    <definedName name="___xlnm.Database">"#REF!"</definedName>
    <definedName name="___xlnm.Database_1">0</definedName>
    <definedName name="___xlnm.Extract">"#REF!"</definedName>
    <definedName name="___xlnm.Extract_1">0</definedName>
    <definedName name="___xlnm.Print_Area">#REF!</definedName>
    <definedName name="___xlnm.Print_Area_1" localSheetId="1">#REF!</definedName>
    <definedName name="___xlnm.Print_Area_1">#REF!</definedName>
    <definedName name="___xlnm.Print_Area_2">#REF!</definedName>
    <definedName name="___xlnm.Print_Area_3">#REF!</definedName>
    <definedName name="___xlnm.Print_Area_4">"#REF!"</definedName>
    <definedName name="___xlnm.Print_Titles">#REF!</definedName>
    <definedName name="___xlnm.Print_Titles_1" localSheetId="1">#REF!</definedName>
    <definedName name="___xlnm.Print_Titles_1">#REF!</definedName>
    <definedName name="___xlnm.Print_Titles_2" localSheetId="1">#REF!</definedName>
    <definedName name="___xlnm.Print_Titles_2">#REF!</definedName>
    <definedName name="___xlnm.Print_Titles_3">#REF!</definedName>
    <definedName name="___yt564" localSheetId="1" hidden="1">{"'Break down'!$A$4"}</definedName>
    <definedName name="___yt564" hidden="1">{"'Break down'!$A$4"}</definedName>
    <definedName name="___yy5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yy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z1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1___123Graph_ACHART_3" localSheetId="1" hidden="1">#REF!</definedName>
    <definedName name="__1___123Graph_ACHART_3" hidden="1">#REF!</definedName>
    <definedName name="__1__123Graph_ACHART_12" localSheetId="1" hidden="1">#REF!</definedName>
    <definedName name="__1__123Graph_ACHART_12" hidden="1">#REF!</definedName>
    <definedName name="__1__123Graph_ACHART_1A" hidden="1">#REF!</definedName>
    <definedName name="__1__123Graph_ACHART_3" localSheetId="1" hidden="1">#REF!</definedName>
    <definedName name="__1__123Graph_ACHART_3" hidden="1">#REF!</definedName>
    <definedName name="__10__123Graph_BCHART_16" hidden="1">#REF!</definedName>
    <definedName name="__10__123Graph_BCHART_4" localSheetId="1" hidden="1">#REF!</definedName>
    <definedName name="__10__123Graph_BCHART_4" hidden="1">#REF!</definedName>
    <definedName name="__11__123Graph_BCHART_17" hidden="1">#REF!</definedName>
    <definedName name="__11__123Graph_XCHART_3" hidden="1">#REF!</definedName>
    <definedName name="__12__123Graph_BCHART_22" hidden="1">#REF!</definedName>
    <definedName name="__12__123Graph_XCHART_4" hidden="1">#REF!</definedName>
    <definedName name="__123Graph" hidden="1">#REF!</definedName>
    <definedName name="__123Graph_A" hidden="1">#REF!</definedName>
    <definedName name="__123Graph_A_1">0</definedName>
    <definedName name="__123Graph_ACHART1" hidden="1">#REF!</definedName>
    <definedName name="__123Graph_ACHART1_1">0</definedName>
    <definedName name="__123Graph_ACURRENT" hidden="1">#REF!</definedName>
    <definedName name="__123Graph_ACURRENT_1">0</definedName>
    <definedName name="__123Graph_ACURVE" hidden="1">#REF!</definedName>
    <definedName name="__123Graph_AFLOW" hidden="1">#REF!</definedName>
    <definedName name="__123Graph_AIncome" localSheetId="1" hidden="1">#REF!</definedName>
    <definedName name="__123Graph_AIncome" hidden="1">#REF!</definedName>
    <definedName name="__123Graph_AMONTH" hidden="1">#REF!</definedName>
    <definedName name="__123Graph_APAY" hidden="1">#REF!</definedName>
    <definedName name="__123Graph_ASTATPROG" hidden="1">#REF!</definedName>
    <definedName name="__123Graph_ASummary" localSheetId="1" hidden="1">#REF!</definedName>
    <definedName name="__123Graph_ASummary" hidden="1">#REF!</definedName>
    <definedName name="__123Graph_B" localSheetId="1" hidden="1">#REF!</definedName>
    <definedName name="__123Graph_B" hidden="1">#REF!</definedName>
    <definedName name="__123Graph_BCURRENT" hidden="1">#REF!</definedName>
    <definedName name="__123Graph_BIncome" localSheetId="1" hidden="1">#REF!</definedName>
    <definedName name="__123Graph_BIncome" hidden="1">#REF!</definedName>
    <definedName name="__123Graph_BSummary" localSheetId="1" hidden="1">#REF!</definedName>
    <definedName name="__123Graph_BSummary" hidden="1">#REF!</definedName>
    <definedName name="__123Graph_C" localSheetId="1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X" hidden="1">#REF!</definedName>
    <definedName name="__123Graph_X_1">0</definedName>
    <definedName name="__123Graph_XCHART_3">#REF!</definedName>
    <definedName name="__123Graph_XCHART_4">#REF!</definedName>
    <definedName name="__123Graph_XCHART1" hidden="1">#REF!</definedName>
    <definedName name="__123Graph_XCHART1_1">0</definedName>
    <definedName name="__123Graph_XCURRENT" hidden="1">#REF!</definedName>
    <definedName name="__123Graph_XCURRENT_1">0</definedName>
    <definedName name="__123Graph_XCURVE" hidden="1">#REF!</definedName>
    <definedName name="__123Graph_XIncome" localSheetId="1" hidden="1">#REF!</definedName>
    <definedName name="__123Graph_XIncome" hidden="1">#REF!</definedName>
    <definedName name="__123Graph_XPAY" hidden="1">#REF!</definedName>
    <definedName name="__123Graph_XSTATPROG" hidden="1">#REF!</definedName>
    <definedName name="__13__123Graph_CCHART_15" hidden="1">#REF!</definedName>
    <definedName name="__14__123Graph_CCHART_16" hidden="1">#REF!</definedName>
    <definedName name="__15__123Graph_CCHART_17" hidden="1">#REF!</definedName>
    <definedName name="__16___123Graph_BCHART_4" localSheetId="1" hidden="1">#REF!</definedName>
    <definedName name="__16___123Graph_BCHART_4" hidden="1">#REF!</definedName>
    <definedName name="__16__123Graph_CCHART_22" localSheetId="1" hidden="1">#REF!</definedName>
    <definedName name="__16__123Graph_CCHART_22" hidden="1">#REF!</definedName>
    <definedName name="__17___123Graph_XCHART_3" hidden="1">#REF!</definedName>
    <definedName name="__17__123Graph_CSEG_PIE" hidden="1">#REF!</definedName>
    <definedName name="__18___123Graph_XCHART_4" hidden="1">#REF!</definedName>
    <definedName name="__18__123Graph_DCHART_15" hidden="1">#REF!</definedName>
    <definedName name="__19__123Graph_DCHART_16" hidden="1">#REF!</definedName>
    <definedName name="__2___123Graph_ACHART_4" localSheetId="1" hidden="1">#REF!</definedName>
    <definedName name="__2___123Graph_ACHART_4" hidden="1">#REF!</definedName>
    <definedName name="__2__123Graph_ACHART_15" localSheetId="1" hidden="1">#REF!</definedName>
    <definedName name="__2__123Graph_ACHART_15" hidden="1">#REF!</definedName>
    <definedName name="__2__123Graph_ACHART_4" localSheetId="1" hidden="1">#REF!</definedName>
    <definedName name="__2__123Graph_ACHART_4" hidden="1">#REF!</definedName>
    <definedName name="__2__123Graph_XCHART_1A" localSheetId="1" hidden="1">#REF!</definedName>
    <definedName name="__2__123Graph_XCHART_1A" hidden="1">#REF!</definedName>
    <definedName name="__20__123Graph_DCHART_17" localSheetId="1" hidden="1">#REF!</definedName>
    <definedName name="__20__123Graph_DCHART_17" hidden="1">#REF!</definedName>
    <definedName name="__21__123Graph_DCHART_22" localSheetId="1" hidden="1">#REF!</definedName>
    <definedName name="__21__123Graph_DCHART_22" hidden="1">#REF!</definedName>
    <definedName name="__22__123Graph_ECHART_15" hidden="1">#REF!</definedName>
    <definedName name="__23__123Graph_ECHART_16" hidden="1">#REF!</definedName>
    <definedName name="__24__123Graph_ECHART_17" hidden="1">#REF!</definedName>
    <definedName name="__25__123Graph_ECHART_22" hidden="1">#REF!</definedName>
    <definedName name="__26__123Graph_FCHART_15" hidden="1">#REF!</definedName>
    <definedName name="__27__123Graph_FCHART_16" hidden="1">#REF!</definedName>
    <definedName name="__28__123Graph_FCHART_17" hidden="1">#REF!</definedName>
    <definedName name="__29__123Graph_FCHART_22" hidden="1">#REF!</definedName>
    <definedName name="__3___123Graph_BCHART_3" localSheetId="1" hidden="1">#REF!</definedName>
    <definedName name="__3___123Graph_BCHART_3" hidden="1">#REF!</definedName>
    <definedName name="__3__123Graph_ACHART_16" hidden="1">#REF!</definedName>
    <definedName name="__3__123Graph_BCHART_3" localSheetId="1" hidden="1">#REF!</definedName>
    <definedName name="__3__123Graph_BCHART_3" hidden="1">#REF!</definedName>
    <definedName name="__30__123Graph_XCHART_15" hidden="1">#REF!</definedName>
    <definedName name="__31__123Graph_XCHART_16" hidden="1">#REF!</definedName>
    <definedName name="__32__123Graph_XCHART_17" hidden="1">#REF!</definedName>
    <definedName name="__33__123Graph_XCHART_18" hidden="1">#REF!</definedName>
    <definedName name="__34__123Graph_XCHART_19" hidden="1">#REF!</definedName>
    <definedName name="__35__123Graph_XCHART_22" hidden="1">#REF!</definedName>
    <definedName name="__36__123Graph_XSEG_PIE" hidden="1">#REF!</definedName>
    <definedName name="__4___123Graph_BCHART_4" localSheetId="1" hidden="1">#REF!</definedName>
    <definedName name="__4___123Graph_BCHART_4" hidden="1">#REF!</definedName>
    <definedName name="__4__123Graph_ACHART_17" hidden="1">#REF!</definedName>
    <definedName name="__4__123Graph_BCHART_4" localSheetId="1" hidden="1">#REF!</definedName>
    <definedName name="__4__123Graph_BCHART_4" hidden="1">#REF!</definedName>
    <definedName name="__5___123Graph_XCHART_3" hidden="1">#REF!</definedName>
    <definedName name="__5__123Graph_ACHART_18" hidden="1">#REF!</definedName>
    <definedName name="__5__123Graph_XCHART_3" hidden="1">#REF!</definedName>
    <definedName name="__6___123Graph_XCHART_4" hidden="1">#REF!</definedName>
    <definedName name="__6__123Graph_ACHART_19" hidden="1">#REF!</definedName>
    <definedName name="__6__123Graph_XCHART_4" hidden="1">#REF!</definedName>
    <definedName name="__7__123Graph_ACHART_21" hidden="1">#REF!</definedName>
    <definedName name="__7__123Graph_ACHART_3" localSheetId="1" hidden="1">#REF!</definedName>
    <definedName name="__7__123Graph_ACHART_3" hidden="1">#REF!</definedName>
    <definedName name="__70Headings_4_1">#REF!</definedName>
    <definedName name="__8__123Graph_ACHART_4" localSheetId="1" hidden="1">#REF!</definedName>
    <definedName name="__8__123Graph_ACHART_4" hidden="1">#REF!</definedName>
    <definedName name="__8__123Graph_ASEG_PIE" localSheetId="1" hidden="1">#REF!</definedName>
    <definedName name="__8__123Graph_ASEG_PIE" hidden="1">#REF!</definedName>
    <definedName name="__9__123Graph_BCHART_15" localSheetId="1" hidden="1">#REF!</definedName>
    <definedName name="__9__123Graph_BCHART_15" hidden="1">#REF!</definedName>
    <definedName name="__9__123Graph_BCHART_3" localSheetId="1" hidden="1">#REF!</definedName>
    <definedName name="__9__123Graph_BCHART_3" hidden="1">#REF!</definedName>
    <definedName name="__A1" localSheetId="1" hidden="1">{"year1",#N/A,FALSE,"IZT";"year2",#N/A,FALSE,"IZT"}</definedName>
    <definedName name="__A1">#REF!</definedName>
    <definedName name="__a100" localSheetId="1">#REF!</definedName>
    <definedName name="__a100">#REF!</definedName>
    <definedName name="__A100000" localSheetId="1">#REF!</definedName>
    <definedName name="__A100000">#REF!</definedName>
    <definedName name="__A2" localSheetId="1" hidden="1">{#N/A,#N/A,FALSE,"MARCH"}</definedName>
    <definedName name="__A2" hidden="1">{#N/A,#N/A,FALSE,"MARCH"}</definedName>
    <definedName name="__a3" localSheetId="1" hidden="1">{#N/A,#N/A,TRUE,"Financials";#N/A,#N/A,TRUE,"Operating Statistics";#N/A,#N/A,TRUE,"Capex &amp; Depreciation";#N/A,#N/A,TRUE,"Debt"}</definedName>
    <definedName name="__a3" hidden="1">{#N/A,#N/A,TRUE,"Financials";#N/A,#N/A,TRUE,"Operating Statistics";#N/A,#N/A,TRUE,"Capex &amp; Depreciation";#N/A,#N/A,TRUE,"Debt"}</definedName>
    <definedName name="__A31">#REF!</definedName>
    <definedName name="__a65537" localSheetId="1">#REF!</definedName>
    <definedName name="__a65537">#REF!</definedName>
    <definedName name="__A65539" localSheetId="1">#REF!</definedName>
    <definedName name="__A65539">#REF!</definedName>
    <definedName name="__A65555">#REF!</definedName>
    <definedName name="__A655600">#REF!</definedName>
    <definedName name="__A65658">#REF!</definedName>
    <definedName name="__A65800">#REF!</definedName>
    <definedName name="__A66000">#REF!</definedName>
    <definedName name="__A70000">#REF!</definedName>
    <definedName name="__A80000">#REF!</definedName>
    <definedName name="__A99999">#REF!</definedName>
    <definedName name="__A999999">#REF!</definedName>
    <definedName name="__AA1">#REF!</definedName>
    <definedName name="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DD2" localSheetId="1">#REF!</definedName>
    <definedName name="__ADD2">#REF!</definedName>
    <definedName name="__AHU5" localSheetId="1">#REF!</definedName>
    <definedName name="__AHU5">#REF!</definedName>
    <definedName name="__aj1">#REF!</definedName>
    <definedName name="__ALL2">#REF!</definedName>
    <definedName name="__alt1" localSheetId="1">#REF!</definedName>
    <definedName name="__alt1">#REF!</definedName>
    <definedName name="__ALT2" localSheetId="1">#REF!</definedName>
    <definedName name="__ALT2">#REF!</definedName>
    <definedName name="__ALT3" localSheetId="1">#REF!</definedName>
    <definedName name="__ALT3">#REF!</definedName>
    <definedName name="__ALT4">#REF!</definedName>
    <definedName name="__ans987" localSheetId="1" hidden="1">{#N/A,#N/A,FALSE,"VARIATIONS";#N/A,#N/A,FALSE,"BUDGET";#N/A,#N/A,FALSE,"CIVIL QNTY VAR";#N/A,#N/A,FALSE,"SUMMARY";#N/A,#N/A,FALSE,"MATERIAL VAR"}</definedName>
    <definedName name="__ans987" hidden="1">{#N/A,#N/A,FALSE,"VARIATIONS";#N/A,#N/A,FALSE,"BUDGET";#N/A,#N/A,FALSE,"CIVIL QNTY VAR";#N/A,#N/A,FALSE,"SUMMARY";#N/A,#N/A,FALSE,"MATERIAL VAR"}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19000">#REF!</definedName>
    <definedName name="__B19999" localSheetId="1">#REF!</definedName>
    <definedName name="__B19999">#REF!</definedName>
    <definedName name="__B2" localSheetId="1" hidden="1">{#N/A,#N/A,FALSE,"MARCH"}</definedName>
    <definedName name="__B2" hidden="1">{#N/A,#N/A,FALSE,"MARCH"}</definedName>
    <definedName name="__B20000">#REF!</definedName>
    <definedName name="__b201185" localSheetId="1">#REF!</definedName>
    <definedName name="__b201185">#REF!</definedName>
    <definedName name="__BFT1">#N/A</definedName>
    <definedName name="__BIL1">#REF!</definedName>
    <definedName name="__BIL2">#REF!</definedName>
    <definedName name="__bil3" localSheetId="1">#REF!</definedName>
    <definedName name="__bil3">#REF!</definedName>
    <definedName name="__BLK2">#REF!</definedName>
    <definedName name="__BLK3">#REF!</definedName>
    <definedName name="__blk4" localSheetId="1">#REF!</definedName>
    <definedName name="__blk4">#REF!</definedName>
    <definedName name="__blk4_1">0</definedName>
    <definedName name="__bo3">#REF!</definedName>
    <definedName name="__bol1">#REF!</definedName>
    <definedName name="__can430">40.73</definedName>
    <definedName name="__can435">43.3</definedName>
    <definedName name="_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at123" localSheetId="1">#N/A</definedName>
    <definedName name="__cat123">[1]!City&amp;" "&amp;STATE</definedName>
    <definedName name="__ccr1" localSheetId="1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ccr1_1" localSheetId="1" hidden="1">{#N/A,#N/A,TRUE,"Cover";#N/A,#N/A,TRUE,"Conts";#N/A,#N/A,TRUE,"VOS";#N/A,#N/A,TRUE,"Warrington";#N/A,#N/A,TRUE,"Widnes"}</definedName>
    <definedName name="__ccr1_1" hidden="1">{#N/A,#N/A,TRUE,"Cover";#N/A,#N/A,TRUE,"Conts";#N/A,#N/A,TRUE,"VOS";#N/A,#N/A,TRUE,"Warrington";#N/A,#N/A,TRUE,"Widnes"}</definedName>
    <definedName name="__ccr2" localSheetId="1" hidden="1">{#N/A,#N/A,TRUE,"Cover";#N/A,#N/A,TRUE,"Conts";#N/A,#N/A,TRUE,"VOS";#N/A,#N/A,TRUE,"Warrington";#N/A,#N/A,TRUE,"Widnes"}</definedName>
    <definedName name="__ccr2" hidden="1">{#N/A,#N/A,TRUE,"Cover";#N/A,#N/A,TRUE,"Conts";#N/A,#N/A,TRUE,"VOS";#N/A,#N/A,TRUE,"Warrington";#N/A,#N/A,TRUE,"Widnes"}</definedName>
    <definedName name="__cf564" localSheetId="1" hidden="1">{"'Break down'!$A$4"}</definedName>
    <definedName name="__cf564" hidden="1">{"'Break down'!$A$4"}</definedName>
    <definedName name="__cfd56" localSheetId="1" hidden="1">{"'Break down'!$A$4"}</definedName>
    <definedName name="__cfd56" hidden="1">{"'Break down'!$A$4"}</definedName>
    <definedName name="__COL1">#REF!</definedName>
    <definedName name="__com2" localSheetId="1" hidden="1">{"'Break down'!$A$4"}</definedName>
    <definedName name="__com2" hidden="1">{"'Break down'!$A$4"}</definedName>
    <definedName name="__CSM1">#REF!</definedName>
    <definedName name="__CSM2">#REF!</definedName>
    <definedName name="__CSM3">#REF!</definedName>
    <definedName name="__d1" localSheetId="1" hidden="1">{#N/A,#N/A,FALSE,"VARIATIONS";#N/A,#N/A,FALSE,"BUDGET";#N/A,#N/A,FALSE,"CIVIL QNTY VAR";#N/A,#N/A,FALSE,"SUMMARY";#N/A,#N/A,FALSE,"MATERIAL VAR"}</definedName>
    <definedName name="__d1" hidden="1">{#N/A,#N/A,FALSE,"VARIATIONS";#N/A,#N/A,FALSE,"BUDGET";#N/A,#N/A,FALSE,"CIVIL QNTY VAR";#N/A,#N/A,FALSE,"SUMMARY";#N/A,#N/A,FALSE,"MATERIAL VAR"}</definedName>
    <definedName name="__DAT1" localSheetId="1">#REF!</definedName>
    <definedName name="__DAT1">#REF!</definedName>
    <definedName name="__DAT10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5" localSheetId="1" hidden="1">{#N/A,#N/A,FALSE,"VARIATIONS";#N/A,#N/A,FALSE,"BUDGET";#N/A,#N/A,FALSE,"CIVIL QNTY VAR";#N/A,#N/A,FALSE,"SUMMARY";#N/A,#N/A,FALSE,"MATERIAL VAR"}</definedName>
    <definedName name="__dd5" hidden="1">{#N/A,#N/A,FALSE,"VARIATIONS";#N/A,#N/A,FALSE,"BUDGET";#N/A,#N/A,FALSE,"CIVIL QNTY VAR";#N/A,#N/A,FALSE,"SUMMARY";#N/A,#N/A,FALSE,"MATERIAL VAR"}</definedName>
    <definedName name="__dec05" localSheetId="1" hidden="1">{"'Sheet1'!$A$4386:$N$4591"}</definedName>
    <definedName name="__dec05" hidden="1">{"'Sheet1'!$A$4386:$N$4591"}</definedName>
    <definedName name="__dep2">#REF!</definedName>
    <definedName name="__dep3">#REF!</definedName>
    <definedName name="__dim4">#REF!</definedName>
    <definedName name="__e20000">#REF!</definedName>
    <definedName name="__e99991">#REF!</definedName>
    <definedName name="__ee222" localSheetId="1" hidden="1">{#N/A,#N/A,TRUE,"Cover";#N/A,#N/A,TRUE,"Conts";#N/A,#N/A,TRUE,"VOS";#N/A,#N/A,TRUE,"Warrington";#N/A,#N/A,TRUE,"Widnes"}</definedName>
    <definedName name="__ee222" hidden="1">{#N/A,#N/A,TRUE,"Cover";#N/A,#N/A,TRUE,"Conts";#N/A,#N/A,TRUE,"VOS";#N/A,#N/A,TRUE,"Warrington";#N/A,#N/A,TRUE,"Widnes"}</definedName>
    <definedName name="__Eg616103">#REF!</definedName>
    <definedName name="__ert3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ert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esc1">#REF!</definedName>
    <definedName name="__ewk4" localSheetId="1">#REF!</definedName>
    <definedName name="__ewk4">#REF!</definedName>
    <definedName name="__ewk4_1">0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ext2">#REF!</definedName>
    <definedName name="__ext3">#REF!</definedName>
    <definedName name="__f1" localSheetId="1" hidden="1">{#N/A,#N/A,FALSE,"VARIATIONS";#N/A,#N/A,FALSE,"BUDGET";#N/A,#N/A,FALSE,"CIVIL QNTY VAR";#N/A,#N/A,FALSE,"SUMMARY";#N/A,#N/A,FALSE,"MATERIAL VAR"}</definedName>
    <definedName name="__f1" hidden="1">{#N/A,#N/A,FALSE,"VARIATIONS";#N/A,#N/A,FALSE,"BUDGET";#N/A,#N/A,FALSE,"CIVIL QNTY VAR";#N/A,#N/A,FALSE,"SUMMARY";#N/A,#N/A,FALSE,"MATERIAL VAR"}</definedName>
    <definedName name="__f329080">#REF!</definedName>
    <definedName name="__fd2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S_HYPERLINK_TOGGLE_STATE__" hidden="1">"ON"</definedName>
    <definedName name="__Feb06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ff1">#REF!</definedName>
    <definedName name="__fjgjgl">#REF!</definedName>
    <definedName name="__foo1" localSheetId="1">#REF!</definedName>
    <definedName name="__foo1">#REF!</definedName>
    <definedName name="__foo2" localSheetId="1">#REF!</definedName>
    <definedName name="__foo2">#REF!</definedName>
    <definedName name="__foo3" localSheetId="1">#REF!</definedName>
    <definedName name="__foo3">#REF!</definedName>
    <definedName name="__FOO4">#REF!</definedName>
    <definedName name="__ghy678" localSheetId="1" hidden="1">{"'Break down'!$A$4"}</definedName>
    <definedName name="__ghy678" hidden="1">{"'Break down'!$A$4"}</definedName>
    <definedName name="__h2">#N/A</definedName>
    <definedName name="__hp1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ce4" localSheetId="1">#REF!</definedName>
    <definedName name="__ice4">#REF!</definedName>
    <definedName name="__ice4_1">0</definedName>
    <definedName name="__IDC2" localSheetId="1">#N/A</definedName>
    <definedName name="__IDC2">[1]!City&amp;" "&amp;STATE</definedName>
    <definedName name="__int12">#REF!</definedName>
    <definedName name="__IntlFixup">TRUE</definedName>
    <definedName name="__IntlFixupTable" localSheetId="1" hidden="1">#REF!</definedName>
    <definedName name="__IntlFixupTable" hidden="1">#REF!</definedName>
    <definedName name="__iv66666" localSheetId="1">#REF!</definedName>
    <definedName name="__iv66666">#REF!</definedName>
    <definedName name="__jj300" localSheetId="1">#REF!</definedName>
    <definedName name="__jj300">#REF!</definedName>
    <definedName name="__K85167">#REF!</definedName>
    <definedName name="__key1" hidden="1">#REF!</definedName>
    <definedName name="__key2" localSheetId="1" hidden="1">#REF!</definedName>
    <definedName name="__key2" hidden="1">#REF!</definedName>
    <definedName name="__KI9" localSheetId="1">#REF!</definedName>
    <definedName name="__KI9">#REF!</definedName>
    <definedName name="__kvs5" localSheetId="1" hidden="1">{#N/A,#N/A,FALSE,"COVER.XLS";#N/A,#N/A,FALSE,"RACT1.XLS";#N/A,#N/A,FALSE,"RACT2.XLS";#N/A,#N/A,FALSE,"ECCMP";#N/A,#N/A,FALSE,"WELDER.XLS"}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8" localSheetId="1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L1">#REF!</definedName>
    <definedName name="__len2" localSheetId="1">#REF!</definedName>
    <definedName name="__len2">#REF!</definedName>
    <definedName name="__len3" localSheetId="1">#REF!</definedName>
    <definedName name="__len3">#REF!</definedName>
    <definedName name="__LEV1">#REF!</definedName>
    <definedName name="__LEV2">#REF!</definedName>
    <definedName name="__LIG1">#REF!,#REF!,#REF!,#REF!,#REF!,#REF!,#REF!,#REF!,#REF!,#REF!,#REF!,#REF!,#REF!,#REF!,#REF!,#REF!,#REF!,#REF!,#REF!,#REF!,#REF!,#REF!,#REF!,#REF!,#REF!,#REF!,#REF!</definedName>
    <definedName name="__LIG2">#REF!,#REF!,#REF!,#REF!,#REF!,#REF!,#REF!,#REF!,#REF!,#REF!,#REF!,#REF!,#REF!</definedName>
    <definedName name="__LIG3">#REF!,#REF!,#REF!,#REF!,#REF!,#REF!,#REF!,#REF!,#REF!,#REF!,#REF!,#REF!,#REF!,#REF!,#REF!</definedName>
    <definedName name="__lk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oc1" localSheetId="1">#N/A</definedName>
    <definedName name="__loc1">[1]!City&amp;" "&amp;STATE</definedName>
    <definedName name="__loi432" localSheetId="1" hidden="1">{"'Break down'!$A$4"}</definedName>
    <definedName name="__loi432" hidden="1">{"'Break down'!$A$4"}</definedName>
    <definedName name="__Mat08">#N/A</definedName>
    <definedName name="__may1" localSheetId="1" hidden="1">{#N/A,#N/A,FALSE,"MARCH"}</definedName>
    <definedName name="__may1" hidden="1">{#N/A,#N/A,FALSE,"MARCH"}</definedName>
    <definedName name="__MN1">#REF!</definedName>
    <definedName name="__MR10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UP3">#REF!</definedName>
    <definedName name="__NA1" localSheetId="1">#REF!</definedName>
    <definedName name="__NA1">#REF!</definedName>
    <definedName name="__new10" localSheetId="1">#REF!</definedName>
    <definedName name="__new10">#REF!</definedName>
    <definedName name="__new11" localSheetId="1">#REF!</definedName>
    <definedName name="__new11">#REF!</definedName>
    <definedName name="__new12">#REF!</definedName>
    <definedName name="__new13">#REF!</definedName>
    <definedName name="__new14">#REF!</definedName>
    <definedName name="__new15">#REF!</definedName>
    <definedName name="__new16">#REF!</definedName>
    <definedName name="__new17">#REF!</definedName>
    <definedName name="__new2">#REF!</definedName>
    <definedName name="__new3" localSheetId="1">#REF!</definedName>
    <definedName name="__new3">#REF!</definedName>
    <definedName name="__new4">#REF!</definedName>
    <definedName name="__new5">#REF!</definedName>
    <definedName name="__new6">#REF!</definedName>
    <definedName name="__new7">#REF!</definedName>
    <definedName name="__new8" hidden="1">#REF!</definedName>
    <definedName name="__new9" localSheetId="1">#REF!</definedName>
    <definedName name="__new9">#REF!</definedName>
    <definedName name="__NF1">#REF!</definedName>
    <definedName name="__NF2">#REF!</definedName>
    <definedName name="__NF3">#REF!</definedName>
    <definedName name="__NF4">#REF!</definedName>
    <definedName name="__No1">#REF!</definedName>
    <definedName name="__No2">#REF!</definedName>
    <definedName name="__No3">#REF!</definedName>
    <definedName name="__NOA1">#N/A</definedName>
    <definedName name="__NOA2">#N/A</definedName>
    <definedName name="__nr83" localSheetId="1">#REF!</definedName>
    <definedName name="__nr83">#REF!</definedName>
    <definedName name="__NS1">#REF!</definedName>
    <definedName name="__ob1">#REF!</definedName>
    <definedName name="__od84">#N/A</definedName>
    <definedName name="__old3" localSheetId="1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3_1" localSheetId="1" hidden="1">{#N/A,#N/A,FALSE,"Summary";#N/A,#N/A,FALSE,"3TJ";#N/A,#N/A,FALSE,"3TN";#N/A,#N/A,FALSE,"3TP";#N/A,#N/A,FALSE,"3SJ";#N/A,#N/A,FALSE,"3CJ";#N/A,#N/A,FALSE,"3CN";#N/A,#N/A,FALSE,"3CP";#N/A,#N/A,FALSE,"3A"}</definedName>
    <definedName name="__old3_1" hidden="1">{#N/A,#N/A,FALSE,"Summary";#N/A,#N/A,FALSE,"3TJ";#N/A,#N/A,FALSE,"3TN";#N/A,#N/A,FALSE,"3TP";#N/A,#N/A,FALSE,"3SJ";#N/A,#N/A,FALSE,"3CJ";#N/A,#N/A,FALSE,"3CN";#N/A,#N/A,FALSE,"3CP";#N/A,#N/A,FALSE,"3A"}</definedName>
    <definedName name="__old5" localSheetId="1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5_1" localSheetId="1" hidden="1">{#N/A,#N/A,FALSE,"Summary";#N/A,#N/A,FALSE,"3TJ";#N/A,#N/A,FALSE,"3TN";#N/A,#N/A,FALSE,"3TP";#N/A,#N/A,FALSE,"3SJ";#N/A,#N/A,FALSE,"3CJ";#N/A,#N/A,FALSE,"3CN";#N/A,#N/A,FALSE,"3CP";#N/A,#N/A,FALSE,"3A"}</definedName>
    <definedName name="__old5_1" hidden="1">{#N/A,#N/A,FALSE,"Summary";#N/A,#N/A,FALSE,"3TJ";#N/A,#N/A,FALSE,"3TN";#N/A,#N/A,FALSE,"3TP";#N/A,#N/A,FALSE,"3SJ";#N/A,#N/A,FALSE,"3CJ";#N/A,#N/A,FALSE,"3CN";#N/A,#N/A,FALSE,"3CP";#N/A,#N/A,FALSE,"3A"}</definedName>
    <definedName name="__old7" localSheetId="1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ld7_1" localSheetId="1" hidden="1">{#N/A,#N/A,FALSE,"Summary";#N/A,#N/A,FALSE,"3TJ";#N/A,#N/A,FALSE,"3TN";#N/A,#N/A,FALSE,"3TP";#N/A,#N/A,FALSE,"3SJ";#N/A,#N/A,FALSE,"3CJ";#N/A,#N/A,FALSE,"3CN";#N/A,#N/A,FALSE,"3CP";#N/A,#N/A,FALSE,"3A"}</definedName>
    <definedName name="__old7_1" hidden="1">{#N/A,#N/A,FALSE,"Summary";#N/A,#N/A,FALSE,"3TJ";#N/A,#N/A,FALSE,"3TN";#N/A,#N/A,FALSE,"3TP";#N/A,#N/A,FALSE,"3SJ";#N/A,#N/A,FALSE,"3CJ";#N/A,#N/A,FALSE,"3CN";#N/A,#N/A,FALSE,"3CP";#N/A,#N/A,FALSE,"3A"}</definedName>
    <definedName name="__opi567" localSheetId="1" hidden="1">{"'Break down'!$A$4"}</definedName>
    <definedName name="__opi567" hidden="1">{"'Break down'!$A$4"}</definedName>
    <definedName name="__P200205">#REF!</definedName>
    <definedName name="__PAG1" localSheetId="1">#REF!</definedName>
    <definedName name="__PAG1">#REF!</definedName>
    <definedName name="__PAG2">#REF!</definedName>
    <definedName name="__PAG3">#REF!</definedName>
    <definedName name="__pc1">#REF!</definedName>
    <definedName name="__pc2">#REF!</definedName>
    <definedName name="__pc3">#REF!</definedName>
    <definedName name="__pcc1">#REF!</definedName>
    <definedName name="__pcc2">#REF!</definedName>
    <definedName name="__pcc3">#REF!</definedName>
    <definedName name="__PCC4">#REF!</definedName>
    <definedName name="__ph1">#REF!</definedName>
    <definedName name="__pl4" localSheetId="1">#REF!</definedName>
    <definedName name="__pl4">#REF!</definedName>
    <definedName name="__pl4_1">0</definedName>
    <definedName name="__plb1">#REF!</definedName>
    <definedName name="__plb2">#REF!</definedName>
    <definedName name="__plb3">#REF!</definedName>
    <definedName name="__plb4">#REF!</definedName>
    <definedName name="__pls4">#REF!</definedName>
    <definedName name="__pls4_1">0</definedName>
    <definedName name="__PO7">#REF!</definedName>
    <definedName name="__PO8">#REF!</definedName>
    <definedName name="__PO9">#REF!</definedName>
    <definedName name="__poi564" localSheetId="1" hidden="1">{"'Break down'!$A$4"}</definedName>
    <definedName name="__poi564" hidden="1">{"'Break down'!$A$4"}</definedName>
    <definedName name="__POP3">#REF!</definedName>
    <definedName name="__PR1">#N/A</definedName>
    <definedName name="__ps4" localSheetId="1">#REF!</definedName>
    <definedName name="__ps4">#REF!</definedName>
    <definedName name="__ps4_1">0</definedName>
    <definedName name="__qs12">#REF!</definedName>
    <definedName name="__ra3">#REF!</definedName>
    <definedName name="__RAB0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aj1">#REF!</definedName>
    <definedName name="__REM1" localSheetId="1">#REF!</definedName>
    <definedName name="__REM1">#REF!</definedName>
    <definedName name="__REM2" localSheetId="1">#REF!</definedName>
    <definedName name="__REM2">#REF!</definedName>
    <definedName name="__RFP1">#REF!</definedName>
    <definedName name="__RFP2">#REF!</definedName>
    <definedName name="__RFP3">#REF!</definedName>
    <definedName name="__rim4">#REF!</definedName>
    <definedName name="__rm4">#REF!</definedName>
    <definedName name="__RND2">2</definedName>
    <definedName name="__ROI1" localSheetId="1">#REF!</definedName>
    <definedName name="__ROI1">#REF!</definedName>
    <definedName name="__roi2">#REF!</definedName>
    <definedName name="__sch2">#REF!</definedName>
    <definedName name="__SCR04">#REF!</definedName>
    <definedName name="__SCR1">#REF!</definedName>
    <definedName name="__SCR2">#REF!</definedName>
    <definedName name="__SCR3">#REF!</definedName>
    <definedName name="__scr4">#REF!</definedName>
    <definedName name="__sdb2">#REF!</definedName>
    <definedName name="__SEC15030">#REF!</definedName>
    <definedName name="__SEC15060">#REF!</definedName>
    <definedName name="__SEC15100">#REF!</definedName>
    <definedName name="__SEC15110">#REF!</definedName>
    <definedName name="__SEC15125">#REF!</definedName>
    <definedName name="__SEC15160">#REF!</definedName>
    <definedName name="__SEC15175">#REF!</definedName>
    <definedName name="__SEC15290">#REF!</definedName>
    <definedName name="__SEC15310">#REF!</definedName>
    <definedName name="__SEC15420">#REF!</definedName>
    <definedName name="__SEC15440">#REF!</definedName>
    <definedName name="__SEC15470">#REF!</definedName>
    <definedName name="__SEC15486">#REF!</definedName>
    <definedName name="__SEC15540">#REF!</definedName>
    <definedName name="__SEC15610">#REF!</definedName>
    <definedName name="__SEC15625">#REF!</definedName>
    <definedName name="__SEC15680">#REF!</definedName>
    <definedName name="__SEC15850">#REF!</definedName>
    <definedName name="__SEC15865">#REF!</definedName>
    <definedName name="__SEC15875">#REF!</definedName>
    <definedName name="__SEC15890">#REF!</definedName>
    <definedName name="__SEC15910">#REF!</definedName>
    <definedName name="__SEC15940">#REF!</definedName>
    <definedName name="__SEC15975">#REF!</definedName>
    <definedName name="__SET08_1">#N/A</definedName>
    <definedName name="__SET09_1">#N/A</definedName>
    <definedName name="__SH1" localSheetId="1">#REF!</definedName>
    <definedName name="__SH1">#REF!</definedName>
    <definedName name="__SH2" localSheetId="1">#REF!</definedName>
    <definedName name="__SH2">#REF!</definedName>
    <definedName name="__SH3" localSheetId="1">#REF!</definedName>
    <definedName name="__SH3">#REF!</definedName>
    <definedName name="__SH4">#REF!</definedName>
    <definedName name="__SH5">#REF!</definedName>
    <definedName name="__SI16" localSheetId="1" hidden="1">{#N/A,#N/A,FALSE,"MARCH"}</definedName>
    <definedName name="__SI16" hidden="1">{#N/A,#N/A,FALSE,"MARCH"}</definedName>
    <definedName name="__ST1" localSheetId="1">#REF!</definedName>
    <definedName name="__ST1">#REF!</definedName>
    <definedName name="__ST2">#REF!</definedName>
    <definedName name="__sw4">#REF!</definedName>
    <definedName name="__sw4_1">0</definedName>
    <definedName name="__t1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localSheetId="1" hidden="1">{#N/A,#N/A,TRUE,"Financials";#N/A,#N/A,TRUE,"Operating Statistics";#N/A,#N/A,TRUE,"Capex &amp; Depreciation";#N/A,#N/A,TRUE,"Debt"}</definedName>
    <definedName name="__ta1" hidden="1">{#N/A,#N/A,TRUE,"Financials";#N/A,#N/A,TRUE,"Operating Statistics";#N/A,#N/A,TRUE,"Capex &amp; Depreciation";#N/A,#N/A,TRUE,"Debt"}</definedName>
    <definedName name="__tas2">#REF!</definedName>
    <definedName name="__tas3" localSheetId="1">#REF!</definedName>
    <definedName name="__tas3">#REF!</definedName>
    <definedName name="__tb1" localSheetId="1" hidden="1">{#N/A,#N/A,FALSE,"One Pager";#N/A,#N/A,FALSE,"Technical"}</definedName>
    <definedName name="__tb1" hidden="1">{#N/A,#N/A,FALSE,"One Pager";#N/A,#N/A,FALSE,"Technical"}</definedName>
    <definedName name="__TB2">#REF!</definedName>
    <definedName name="__tbc2" localSheetId="1">#REF!</definedName>
    <definedName name="__tbc2">#REF!</definedName>
    <definedName name="__tbc3" localSheetId="1">#REF!</definedName>
    <definedName name="__tbc3">#REF!</definedName>
    <definedName name="__TC1" localSheetId="1" hidden="1">{#N/A,#N/A,FALSE,"물량산출"}</definedName>
    <definedName name="__TC1" hidden="1">{#N/A,#N/A,FALSE,"물량산출"}</definedName>
    <definedName name="__tem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m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y2">#REF!</definedName>
    <definedName name="__TS45">#N/A</definedName>
    <definedName name="__U14" localSheetId="1">#REF!</definedName>
    <definedName name="__U14">#REF!</definedName>
    <definedName name="__U60" localSheetId="1">#REF!</definedName>
    <definedName name="__U60">#REF!</definedName>
    <definedName name="__Val101" localSheetId="1">#REF!</definedName>
    <definedName name="__Val101">#REF!</definedName>
    <definedName name="__Val102">#REF!</definedName>
    <definedName name="__Val201">#REF!</definedName>
    <definedName name="__Val202">#REF!</definedName>
    <definedName name="__Val301">#REF!</definedName>
    <definedName name="__Val302">#REF!</definedName>
    <definedName name="__vf453" localSheetId="1" hidden="1">{"'Break down'!$A$4"}</definedName>
    <definedName name="__vf453" hidden="1">{"'Break down'!$A$4"}</definedName>
    <definedName name="__wet4" localSheetId="1" hidden="1">{#N/A,#N/A,FALSE,"포장1";#N/A,#N/A,FALSE,"포장1"}</definedName>
    <definedName name="__wet4" hidden="1">{#N/A,#N/A,FALSE,"포장1";#N/A,#N/A,FALSE,"포장1"}</definedName>
    <definedName name="__wid2">#REF!</definedName>
    <definedName name="__wid3" localSheetId="1">#REF!</definedName>
    <definedName name="__wid3">#REF!</definedName>
    <definedName name="_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2" localSheetId="1" hidden="1">{#N/A,#N/A,FALSE,"COVER1.XLS ";#N/A,#N/A,FALSE,"RACT1.XLS";#N/A,#N/A,FALSE,"RACT2.XLS";#N/A,#N/A,FALSE,"ECCMP";#N/A,#N/A,FALSE,"WELDER.XLS"}</definedName>
    <definedName name="__WRN2" hidden="1">{#N/A,#N/A,FALSE,"COVER1.XLS ";#N/A,#N/A,FALSE,"RACT1.XLS";#N/A,#N/A,FALSE,"RACT2.XLS";#N/A,#N/A,FALSE,"ECCMP";#N/A,#N/A,FALSE,"WELDER.XLS"}</definedName>
    <definedName name="__WRN3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xlfn.BAHTTEXT" hidden="1">#NAME?</definedName>
    <definedName name="__xlfn.COUNTIFS" hidden="1">#NAME?</definedName>
    <definedName name="__xlfn.SUMIFS" hidden="1">#NAME?</definedName>
    <definedName name="__xlnm._FilterDatabase_1">"#REF!"</definedName>
    <definedName name="__xlnm._FilterDatabase_2">"#REF!"</definedName>
    <definedName name="__xlnm.Criteria">"#N/A"</definedName>
    <definedName name="__xlnm.Criteria_1">0</definedName>
    <definedName name="__xlnm.Database">"#N/A"</definedName>
    <definedName name="__xlnm.Database_1">0</definedName>
    <definedName name="__xlnm.Extract">"#N/A"</definedName>
    <definedName name="__xlnm.Extract_1">0</definedName>
    <definedName name="__xlnm.Print_Area">#REF!</definedName>
    <definedName name="__xlnm.Print_Area_1" localSheetId="1">#REF!</definedName>
    <definedName name="__xlnm.Print_Area_1">#REF!</definedName>
    <definedName name="__xlnm.Print_Area_2">#REF!</definedName>
    <definedName name="__xlnm.Print_Area_4">"#REF!"</definedName>
    <definedName name="__xlnm.Print_Area_5">"#N/A"</definedName>
    <definedName name="__xlnm.Print_Titles">#REF!</definedName>
    <definedName name="__xlnm.Print_Titles_1" localSheetId="1">#REF!</definedName>
    <definedName name="__xlnm.Print_Titles_1">#REF!</definedName>
    <definedName name="__xlnm.Print_Titles_2" localSheetId="1">#REF!</definedName>
    <definedName name="__xlnm.Print_Titles_2">#REF!</definedName>
    <definedName name="__yt564" localSheetId="1" hidden="1">{"'Break down'!$A$4"}</definedName>
    <definedName name="__yt564" hidden="1">{"'Break down'!$A$4"}</definedName>
    <definedName name="__yy5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yy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??">#REF!</definedName>
    <definedName name="_????">#REF!</definedName>
    <definedName name="_?1">#N/A</definedName>
    <definedName name="_?1066" localSheetId="1">#REF!</definedName>
    <definedName name="_?1066">#REF!</definedName>
    <definedName name="_?271">#N/A</definedName>
    <definedName name="_.Next" localSheetId="1">#REF!</definedName>
    <definedName name="_.Next">#REF!</definedName>
    <definedName name="_0">#REF!</definedName>
    <definedName name="_0___0" localSheetId="1">#REF!</definedName>
    <definedName name="_0___0">#REF!</definedName>
    <definedName name="_00" localSheetId="1">#REF!</definedName>
    <definedName name="_00">#REF!</definedName>
    <definedName name="_000年.xls">#REF!</definedName>
    <definedName name="_001年.xls">#REF!</definedName>
    <definedName name="_002年.xls">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6_26_03">#REF!</definedName>
    <definedName name="_07" localSheetId="1">#REF!</definedName>
    <definedName name="_07">#REF!</definedName>
    <definedName name="_08">#REF!</definedName>
    <definedName name="_09">#REF!</definedName>
    <definedName name="_1">#REF!</definedName>
    <definedName name="_1_">#REF!</definedName>
    <definedName name="_1_____________________________________________123Graph_ACHART_3" localSheetId="1" hidden="1">#REF!</definedName>
    <definedName name="_1_____________________________________________123Graph_ACHART_3" hidden="1">#REF!</definedName>
    <definedName name="_1_____123Graph_ACHART_3" localSheetId="1" hidden="1">#REF!</definedName>
    <definedName name="_1_____123Graph_ACHART_3" hidden="1">#REF!</definedName>
    <definedName name="_1____123Graph_ACHART_3" localSheetId="1" hidden="1">#REF!</definedName>
    <definedName name="_1____123Graph_ACHART_3" hidden="1">#REF!</definedName>
    <definedName name="_1___123Graph_ACHART_12" hidden="1">#REF!</definedName>
    <definedName name="_1___123Graph_ACHART_3" localSheetId="1" hidden="1">#REF!</definedName>
    <definedName name="_1___123Graph_ACHART_3" hidden="1">#REF!</definedName>
    <definedName name="_1__123Graph_AAdmin_Expenses" localSheetId="1" hidden="1">#REF!</definedName>
    <definedName name="_1__123Graph_AAdmin_Expenses" hidden="1">#REF!</definedName>
    <definedName name="_1__123Graph_ACHART_1" hidden="1">#REF!</definedName>
    <definedName name="_1__123Graph_ACHART_12" hidden="1">#REF!</definedName>
    <definedName name="_1__123Graph_ACHART_12_1">0</definedName>
    <definedName name="_1__123Graph_ACHART_1A" hidden="1">#REF!</definedName>
    <definedName name="_1__123Graph_ACHART_3" localSheetId="1" hidden="1">#REF!</definedName>
    <definedName name="_1__123Graph_ACHART_3" hidden="1">#REF!</definedName>
    <definedName name="_1_?_â?">#REF!</definedName>
    <definedName name="_10" localSheetId="1">#REF!</definedName>
    <definedName name="_10">#REF!</definedName>
    <definedName name="_10___________________________________________123Graph_ACHART_4" localSheetId="1" hidden="1">#REF!</definedName>
    <definedName name="_10___________________________________________123Graph_ACHART_4" hidden="1">#REF!</definedName>
    <definedName name="_10____123Graph_BCHART_4" localSheetId="1" hidden="1">#REF!</definedName>
    <definedName name="_10____123Graph_BCHART_4" hidden="1">#REF!</definedName>
    <definedName name="_10___123Graph_ACHART_18" hidden="1">#REF!</definedName>
    <definedName name="_10___123Graph_ACHART_3" localSheetId="1" hidden="1">#REF!</definedName>
    <definedName name="_10___123Graph_ACHART_3" hidden="1">#REF!</definedName>
    <definedName name="_10___123Graph_ACHART_4" localSheetId="1" hidden="1">#REF!</definedName>
    <definedName name="_10___123Graph_ACHART_4" hidden="1">#REF!</definedName>
    <definedName name="_10___123Graph_BCHART_16" hidden="1">#REF!</definedName>
    <definedName name="_10___123Graph_XCHART_4" hidden="1">#REF!</definedName>
    <definedName name="_10__123Graph_ACHART_12" hidden="1">#REF!</definedName>
    <definedName name="_10__123Graph_ACHART_18" hidden="1">#REF!</definedName>
    <definedName name="_10__123Graph_ACHART_18_1">0</definedName>
    <definedName name="_10__123Graph_ACHART_3" localSheetId="1" hidden="1">#REF!</definedName>
    <definedName name="_10__123Graph_ACHART_3" hidden="1">#REF!</definedName>
    <definedName name="_10__123Graph_ACHART_4" localSheetId="1" hidden="1">#REF!</definedName>
    <definedName name="_10__123Graph_ACHART_4" hidden="1">#REF!</definedName>
    <definedName name="_10__123Graph_BCHART_16" localSheetId="1" hidden="1">#REF!</definedName>
    <definedName name="_10__123Graph_BCHART_16" hidden="1">#REF!</definedName>
    <definedName name="_10__123Graph_BCHART_16_1">0</definedName>
    <definedName name="_10__123Graph_BCHART_4" localSheetId="1" hidden="1">#REF!</definedName>
    <definedName name="_10__123Graph_BCHART_4" hidden="1">#REF!</definedName>
    <definedName name="_10__123Graph_XCHART_4" hidden="1">#REF!</definedName>
    <definedName name="_10_????">#REF!</definedName>
    <definedName name="_10.1___SITE_FENCING___ACCESS_GATES___GRAVEL_FINISHING">#REF!</definedName>
    <definedName name="_100" localSheetId="1">#REF!</definedName>
    <definedName name="_100">#REF!</definedName>
    <definedName name="_100__123Graph_BCHART_16" localSheetId="1" hidden="1">#REF!</definedName>
    <definedName name="_100__123Graph_BCHART_16" hidden="1">#REF!</definedName>
    <definedName name="_1000A01">#N/A</definedName>
    <definedName name="_100CorpClient_Text_4_1" localSheetId="1">#REF!</definedName>
    <definedName name="_100CorpClient_Text_4_1">#REF!</definedName>
    <definedName name="_100CurrencyRate_4_1" localSheetId="1">#REF!</definedName>
    <definedName name="_100CurrencyRate_4_1">#REF!</definedName>
    <definedName name="_101__123Graph_CCHART_15" localSheetId="1" hidden="1">#REF!</definedName>
    <definedName name="_101__123Graph_CCHART_15" hidden="1">#REF!</definedName>
    <definedName name="_101CURR_4_1" localSheetId="1">#REF!</definedName>
    <definedName name="_101CURR_4_1">#REF!</definedName>
    <definedName name="_101dim4_4_1" localSheetId="1">#REF!</definedName>
    <definedName name="_101dim4_4_1">#REF!</definedName>
    <definedName name="_102EngAddress_4_1" localSheetId="1">#REF!</definedName>
    <definedName name="_102EngAddress_4_1">#REF!</definedName>
    <definedName name="_103__________________________123Graph_XCHART_3" hidden="1">#REF!</definedName>
    <definedName name="_103__123Graph_CCHART_16" hidden="1">#REF!</definedName>
    <definedName name="_103EngCity_4_1" localSheetId="1">#REF!</definedName>
    <definedName name="_103EngCity_4_1">#REF!</definedName>
    <definedName name="_104__________________________123Graph_XCHART_4" hidden="1">#REF!</definedName>
    <definedName name="_1044_____________Headings_4_1">#REF!</definedName>
    <definedName name="_104CurrencyRate_4_1" localSheetId="1">#REF!</definedName>
    <definedName name="_104CurrencyRate_4_1">#REF!</definedName>
    <definedName name="_104EngName_4_1" localSheetId="1">#REF!</definedName>
    <definedName name="_104EngName_4_1">#REF!</definedName>
    <definedName name="_105_________________________123Graph_ACHART_3" localSheetId="1" hidden="1">#REF!</definedName>
    <definedName name="_105_________________________123Graph_ACHART_3" hidden="1">#REF!</definedName>
    <definedName name="_105__123Graph_CCHART_17" localSheetId="1" hidden="1">#REF!</definedName>
    <definedName name="_105__123Graph_CCHART_17" hidden="1">#REF!</definedName>
    <definedName name="_105dim4_4_1" localSheetId="1">#REF!</definedName>
    <definedName name="_105dim4_4_1">#REF!</definedName>
    <definedName name="_105EngPostal_4_1" localSheetId="1">#REF!</definedName>
    <definedName name="_105EngPostal_4_1">#REF!</definedName>
    <definedName name="_106_________________________123Graph_ACHART_4" localSheetId="1" hidden="1">#REF!</definedName>
    <definedName name="_106_________________________123Graph_ACHART_4" hidden="1">#REF!</definedName>
    <definedName name="_106EngAddress_4_1" localSheetId="1">#REF!</definedName>
    <definedName name="_106EngAddress_4_1">#REF!</definedName>
    <definedName name="_106EngPrio_4_1" localSheetId="1">#REF!</definedName>
    <definedName name="_106EngPrio_4_1">#REF!</definedName>
    <definedName name="_107_________________________123Graph_BCHART_3" localSheetId="1" hidden="1">#REF!</definedName>
    <definedName name="_107_________________________123Graph_BCHART_3" hidden="1">#REF!</definedName>
    <definedName name="_107__123Graph_CCHART_2" localSheetId="1" hidden="1">#REF!</definedName>
    <definedName name="_107__123Graph_CCHART_2" hidden="1">#REF!</definedName>
    <definedName name="_107EngCity_4_1" localSheetId="1">#REF!</definedName>
    <definedName name="_107EngCity_4_1">#REF!</definedName>
    <definedName name="_107EngPrio_Text_4_1" localSheetId="1">#REF!</definedName>
    <definedName name="_107EngPrio_Text_4_1">#REF!</definedName>
    <definedName name="_108_________________________123Graph_BCHART_4" localSheetId="1" hidden="1">#REF!</definedName>
    <definedName name="_108_________________________123Graph_BCHART_4" hidden="1">#REF!</definedName>
    <definedName name="_108EngName_4_1" localSheetId="1">#REF!</definedName>
    <definedName name="_108EngName_4_1">#REF!</definedName>
    <definedName name="_108EngState_4_1" localSheetId="1">#REF!</definedName>
    <definedName name="_108EngState_4_1">#REF!</definedName>
    <definedName name="_109_________________________123Graph_XCHART_3" hidden="1">#REF!</definedName>
    <definedName name="_109__123Graph_CCHART_22" hidden="1">#REF!</definedName>
    <definedName name="_109EngPostal_4_1" localSheetId="1">#REF!</definedName>
    <definedName name="_109EngPostal_4_1">#REF!</definedName>
    <definedName name="_109EstCost_4_1" localSheetId="1">#REF!</definedName>
    <definedName name="_109EstCost_4_1">#REF!</definedName>
    <definedName name="_11">#REF!</definedName>
    <definedName name="_11___________________________________________123Graph_BCHART_3" localSheetId="1" hidden="1">#REF!</definedName>
    <definedName name="_11___________________________________________123Graph_BCHART_3" hidden="1">#REF!</definedName>
    <definedName name="_11____123Graph_XCHART_3" hidden="1">#REF!</definedName>
    <definedName name="_11___123Graph_BCHART_17" hidden="1">#REF!</definedName>
    <definedName name="_11__123Graph_ACHART_1" localSheetId="1" hidden="1">#REF!</definedName>
    <definedName name="_11__123Graph_ACHART_1" hidden="1">#REF!</definedName>
    <definedName name="_11__123Graph_BCHART_17" localSheetId="1" hidden="1">#REF!</definedName>
    <definedName name="_11__123Graph_BCHART_17" hidden="1">#REF!</definedName>
    <definedName name="_11__123Graph_BCHART_17_1">0</definedName>
    <definedName name="_11__123Graph_BCHART_4" localSheetId="1" hidden="1">#REF!</definedName>
    <definedName name="_11__123Graph_BCHART_4" hidden="1">#REF!</definedName>
    <definedName name="_11__123Graph_XCHART_3" hidden="1">#REF!</definedName>
    <definedName name="_11_?1066">#REF!</definedName>
    <definedName name="_110_________________________123Graph_XCHART_4" hidden="1">#REF!</definedName>
    <definedName name="_110__123Graph_BCHART_17" hidden="1">#REF!</definedName>
    <definedName name="_110EngPrio_4_1" localSheetId="1">#REF!</definedName>
    <definedName name="_110EngPrio_4_1">#REF!</definedName>
    <definedName name="_110eu_4_1" localSheetId="1">#REF!</definedName>
    <definedName name="_110eu_4_1">#REF!</definedName>
    <definedName name="_111__123Graph_CSEG_PIE" localSheetId="1" hidden="1">#REF!</definedName>
    <definedName name="_111__123Graph_CSEG_PIE" hidden="1">#REF!</definedName>
    <definedName name="_111EngPrio_Text_4_1" localSheetId="1">#REF!</definedName>
    <definedName name="_111EngPrio_Text_4_1">#REF!</definedName>
    <definedName name="_111Excel_BuiltIn_Print_Area_1" localSheetId="1">#REF!</definedName>
    <definedName name="_111Excel_BuiltIn_Print_Area_1">#REF!</definedName>
    <definedName name="_112EngState_4_1" localSheetId="1">#REF!</definedName>
    <definedName name="_112EngState_4_1">#REF!</definedName>
    <definedName name="_112Excel_BuiltIn_Print_Area_1_1_1">#REF!</definedName>
    <definedName name="_113__123Graph_DCHART_15" hidden="1">#REF!</definedName>
    <definedName name="_113EstCost_4_1" localSheetId="1">#REF!</definedName>
    <definedName name="_113EstCost_4_1">#REF!</definedName>
    <definedName name="_1147____________123Graph_XCHART_3" hidden="1">#REF!</definedName>
    <definedName name="_1148____________123Graph_XCHART_4" hidden="1">#REF!</definedName>
    <definedName name="_114eu_4_1" localSheetId="1">#REF!</definedName>
    <definedName name="_114eu_4_1">#REF!</definedName>
    <definedName name="_115________________________123Graph_XCHART_3" hidden="1">#REF!</definedName>
    <definedName name="_115__123Graph_DCHART_16" hidden="1">#REF!</definedName>
    <definedName name="_115Excel_BuiltIn_Print_Area_1" localSheetId="1">#REF!</definedName>
    <definedName name="_115Excel_BuiltIn_Print_Area_1">#REF!</definedName>
    <definedName name="_115Excel_BuiltIn_Print_Titles_3_4_1" localSheetId="1">#REF!</definedName>
    <definedName name="_115Excel_BuiltIn_Print_Titles_3_4_1">#REF!</definedName>
    <definedName name="_116________________________123Graph_XCHART_4" hidden="1">#REF!</definedName>
    <definedName name="_116Excel_BuiltIn_Print_Area_1_1_1" localSheetId="1">#REF!</definedName>
    <definedName name="_116Excel_BuiltIn_Print_Area_1_1_1">#REF!</definedName>
    <definedName name="_117_______________________123Graph_ACHART_3" localSheetId="1" hidden="1">#REF!</definedName>
    <definedName name="_117_______________________123Graph_ACHART_3" hidden="1">#REF!</definedName>
    <definedName name="_117__123Graph_DCHART_17" localSheetId="1" hidden="1">#REF!</definedName>
    <definedName name="_117__123Graph_DCHART_17" hidden="1">#REF!</definedName>
    <definedName name="_118_______________________123Graph_ACHART_4" localSheetId="1" hidden="1">#REF!</definedName>
    <definedName name="_118_______________________123Graph_ACHART_4" hidden="1">#REF!</definedName>
    <definedName name="_118FiscalIDNum_4_1" localSheetId="1">#REF!</definedName>
    <definedName name="_118FiscalIDNum_4_1">#REF!</definedName>
    <definedName name="_119_______________________123Graph_BCHART_3" localSheetId="1" hidden="1">#REF!</definedName>
    <definedName name="_119_______________________123Graph_BCHART_3" hidden="1">#REF!</definedName>
    <definedName name="_119__123Graph_DCHART_2" localSheetId="1" hidden="1">#REF!</definedName>
    <definedName name="_119__123Graph_DCHART_2" hidden="1">#REF!</definedName>
    <definedName name="_119Excel_BuiltIn_Print_Titles_3_4_1" localSheetId="1">#REF!</definedName>
    <definedName name="_119Excel_BuiltIn_Print_Titles_3_4_1">#REF!</definedName>
    <definedName name="_119FormTitle_4_1" localSheetId="1">#REF!</definedName>
    <definedName name="_119FormTitle_4_1">#REF!</definedName>
    <definedName name="_12">#REF!</definedName>
    <definedName name="_12___________________________________________123Graph_BCHART_4" localSheetId="1" hidden="1">#REF!</definedName>
    <definedName name="_12___________________________________________123Graph_BCHART_4" hidden="1">#REF!</definedName>
    <definedName name="_12____123Graph_XCHART_4" hidden="1">#REF!</definedName>
    <definedName name="_12___123Graph_ACHART_19" hidden="1">#REF!</definedName>
    <definedName name="_12___123Graph_ACHART_4" localSheetId="1" hidden="1">#REF!</definedName>
    <definedName name="_12___123Graph_ACHART_4" hidden="1">#REF!</definedName>
    <definedName name="_12___123Graph_BCHART_22" localSheetId="1" hidden="1">#REF!</definedName>
    <definedName name="_12___123Graph_BCHART_22" hidden="1">#REF!</definedName>
    <definedName name="_12__123Graph_ACHART_19" localSheetId="1" hidden="1">#REF!</definedName>
    <definedName name="_12__123Graph_ACHART_19" hidden="1">#REF!</definedName>
    <definedName name="_12__123Graph_ACHART_19_1">0</definedName>
    <definedName name="_12__123Graph_ACHART_1A" localSheetId="1" hidden="1">#REF!</definedName>
    <definedName name="_12__123Graph_ACHART_1A" hidden="1">#REF!</definedName>
    <definedName name="_12__123Graph_ACHART_2" localSheetId="1" hidden="1">#REF!</definedName>
    <definedName name="_12__123Graph_ACHART_2" hidden="1">#REF!</definedName>
    <definedName name="_12__123Graph_ACHART_3" localSheetId="1" hidden="1">#REF!</definedName>
    <definedName name="_12__123Graph_ACHART_3" hidden="1">#REF!</definedName>
    <definedName name="_12__123Graph_BCHART_22" localSheetId="1" hidden="1">#REF!</definedName>
    <definedName name="_12__123Graph_BCHART_22" hidden="1">#REF!</definedName>
    <definedName name="_12__123Graph_BCHART_22_1">0</definedName>
    <definedName name="_12__123Graph_BCHART_4" localSheetId="1" hidden="1">#REF!</definedName>
    <definedName name="_12__123Graph_BCHART_4" hidden="1">#REF!</definedName>
    <definedName name="_12__123Graph_XCHART_4" hidden="1">#REF!</definedName>
    <definedName name="_120_______________________123Graph_BCHART_4" localSheetId="1" hidden="1">#REF!</definedName>
    <definedName name="_120_______________________123Graph_BCHART_4" hidden="1">#REF!</definedName>
    <definedName name="_120__123Graph_BCHART_22" localSheetId="1" hidden="1">#REF!</definedName>
    <definedName name="_120__123Graph_BCHART_22" hidden="1">#REF!</definedName>
    <definedName name="_1202____________Headings_4_1">#REF!</definedName>
    <definedName name="_120GMAmount_4_1" localSheetId="1">#REF!</definedName>
    <definedName name="_120GMAmount_4_1">#REF!</definedName>
    <definedName name="_121_______________________123Graph_XCHART_3" hidden="1">#REF!</definedName>
    <definedName name="_121__123Graph_DCHART_22" hidden="1">#REF!</definedName>
    <definedName name="_121GMPercent_4_1" localSheetId="1">#REF!</definedName>
    <definedName name="_121GMPercent_4_1">#REF!</definedName>
    <definedName name="_122_______________________123Graph_XCHART_4" hidden="1">#REF!</definedName>
    <definedName name="_122FiscalIDNum_4_1" localSheetId="1">#REF!</definedName>
    <definedName name="_122FiscalIDNum_4_1">#REF!</definedName>
    <definedName name="_122Headings_4_1">#REF!</definedName>
    <definedName name="_123" localSheetId="1" hidden="1">{#N/A,#N/A,TRUE,"Cover";#N/A,#N/A,TRUE,"Conts";#N/A,#N/A,TRUE,"VOS";#N/A,#N/A,TRUE,"Warrington";#N/A,#N/A,TRUE,"Widnes"}</definedName>
    <definedName name="_123" hidden="1">{#N/A,#N/A,TRUE,"Cover";#N/A,#N/A,TRUE,"Conts";#N/A,#N/A,TRUE,"VOS";#N/A,#N/A,TRUE,"Warrington";#N/A,#N/A,TRUE,"Widnes"}</definedName>
    <definedName name="_123______________________123Graph_ACHART_3" localSheetId="1" hidden="1">#REF!</definedName>
    <definedName name="_123______________________123Graph_ACHART_3" hidden="1">#REF!</definedName>
    <definedName name="_123__123Graph_ECHART_15" localSheetId="1" hidden="1">#REF!</definedName>
    <definedName name="_123__123Graph_ECHART_15" hidden="1">#REF!</definedName>
    <definedName name="_123aGraph_Achart12" hidden="1">#REF!</definedName>
    <definedName name="_123FormTitle_4_1" localSheetId="1">#REF!</definedName>
    <definedName name="_123FormTitle_4_1">#REF!</definedName>
    <definedName name="_123Graph" localSheetId="1" hidden="1">#REF!</definedName>
    <definedName name="_123Graph" hidden="1">#REF!</definedName>
    <definedName name="_123Graph_ACURRENT" localSheetId="1" hidden="1">#REF!</definedName>
    <definedName name="_123Graph_ACURRENT" hidden="1">#REF!</definedName>
    <definedName name="_123Graph_Bcurrent" localSheetId="1" hidden="1">#REF!</definedName>
    <definedName name="_123Graph_Bcurrent" hidden="1">#REF!</definedName>
    <definedName name="_123indf_4_1" localSheetId="1">#REF!</definedName>
    <definedName name="_123indf_4_1">#REF!</definedName>
    <definedName name="_124______________________123Graph_ACHART_4" localSheetId="1" hidden="1">#REF!</definedName>
    <definedName name="_124______________________123Graph_ACHART_4" hidden="1">#REF!</definedName>
    <definedName name="_124GMAmount_4_1" localSheetId="1">#REF!</definedName>
    <definedName name="_124GMAmount_4_1">#REF!</definedName>
    <definedName name="_124GRA" localSheetId="1" hidden="1">#REF!</definedName>
    <definedName name="_124GRA" hidden="1">#REF!</definedName>
    <definedName name="_125______________________123Graph_BCHART_3" localSheetId="1" hidden="1">#REF!</definedName>
    <definedName name="_125______________________123Graph_BCHART_3" hidden="1">#REF!</definedName>
    <definedName name="_125__123Graph_ECHART_16" localSheetId="1" hidden="1">#REF!</definedName>
    <definedName name="_125__123Graph_ECHART_16" hidden="1">#REF!</definedName>
    <definedName name="_125GMPercent_4_1" localSheetId="1">#REF!</definedName>
    <definedName name="_125GMPercent_4_1">#REF!</definedName>
    <definedName name="_126______________________123Graph_BCHART_4" localSheetId="1" hidden="1">#REF!</definedName>
    <definedName name="_126______________________123Graph_BCHART_4" hidden="1">#REF!</definedName>
    <definedName name="_126Headings_4_1">#REF!</definedName>
    <definedName name="_126InstBillingMethod_4_1" localSheetId="1">#REF!</definedName>
    <definedName name="_126InstBillingMethod_4_1">#REF!</definedName>
    <definedName name="_127______________________123Graph_XCHART_3" hidden="1">#REF!</definedName>
    <definedName name="_127__123Graph_ECHART_17" hidden="1">#REF!</definedName>
    <definedName name="_127indf_4_1" localSheetId="1">#REF!</definedName>
    <definedName name="_127indf_4_1">#REF!</definedName>
    <definedName name="_127instf_4_1" localSheetId="1">#REF!</definedName>
    <definedName name="_127instf_4_1">#REF!</definedName>
    <definedName name="_128______________________123Graph_XCHART_4" hidden="1">#REF!</definedName>
    <definedName name="_128MarketType_4_1" localSheetId="1">#REF!</definedName>
    <definedName name="_128MarketType_4_1">#REF!</definedName>
    <definedName name="_129__123Graph_ECHART_2" localSheetId="1" hidden="1">#REF!</definedName>
    <definedName name="_129__123Graph_ECHART_2" hidden="1">#REF!</definedName>
    <definedName name="_129MarketType_Text_4_1" localSheetId="1">#REF!</definedName>
    <definedName name="_129MarketType_Text_4_1">#REF!</definedName>
    <definedName name="_12Excel_BuiltIn_Print_Area_5_1_1" localSheetId="1">#REF!</definedName>
    <definedName name="_12Excel_BuiltIn_Print_Area_5_1_1">#REF!</definedName>
    <definedName name="_13">#REF!</definedName>
    <definedName name="_13__________________________________________123Graph_ACHART_3" localSheetId="1" hidden="1">#REF!</definedName>
    <definedName name="_13__________________________________________123Graph_ACHART_3" hidden="1">#REF!</definedName>
    <definedName name="_13___123Graph_ACHART_3" localSheetId="1" hidden="1">#REF!</definedName>
    <definedName name="_13___123Graph_ACHART_3" hidden="1">#REF!</definedName>
    <definedName name="_13___123Graph_BCHART_3" localSheetId="1" hidden="1">#REF!</definedName>
    <definedName name="_13___123Graph_BCHART_3" hidden="1">#REF!</definedName>
    <definedName name="_13___123Graph_CCHART_15" hidden="1">#REF!</definedName>
    <definedName name="_13__123Graph_ACHART_3" localSheetId="1" hidden="1">#REF!</definedName>
    <definedName name="_13__123Graph_ACHART_3" hidden="1">#REF!</definedName>
    <definedName name="_13__123Graph_ACHART_4" localSheetId="1" hidden="1">#REF!</definedName>
    <definedName name="_13__123Graph_ACHART_4" hidden="1">#REF!</definedName>
    <definedName name="_13__123Graph_CCHART_15" localSheetId="1" hidden="1">#REF!</definedName>
    <definedName name="_13__123Graph_CCHART_15" hidden="1">#REF!</definedName>
    <definedName name="_13__123Graph_CCHART_15_1">0</definedName>
    <definedName name="_13__123Graph_XCHART_1A" localSheetId="1" hidden="1">#REF!</definedName>
    <definedName name="_13__123Graph_XCHART_1A" hidden="1">#REF!</definedName>
    <definedName name="_13__123Graph_XCHART_3" hidden="1">#REF!</definedName>
    <definedName name="_130__123Graph_CCHART_15" hidden="1">#REF!</definedName>
    <definedName name="_1301___________123Graph_ACHART_3" localSheetId="1" hidden="1">#REF!</definedName>
    <definedName name="_1301___________123Graph_ACHART_3" hidden="1">#REF!</definedName>
    <definedName name="_1302___________123Graph_ACHART_4" localSheetId="1" hidden="1">#REF!</definedName>
    <definedName name="_1302___________123Graph_ACHART_4" hidden="1">#REF!</definedName>
    <definedName name="_1303___________123Graph_BCHART_3" localSheetId="1" hidden="1">#REF!</definedName>
    <definedName name="_1303___________123Graph_BCHART_3" hidden="1">#REF!</definedName>
    <definedName name="_1304___________123Graph_BCHART_4" localSheetId="1" hidden="1">#REF!</definedName>
    <definedName name="_1304___________123Graph_BCHART_4" hidden="1">#REF!</definedName>
    <definedName name="_1305___________123Graph_XCHART_3" hidden="1">#REF!</definedName>
    <definedName name="_1306___________123Graph_XCHART_4" hidden="1">#REF!</definedName>
    <definedName name="_130InstBillingMethod_4_1" localSheetId="1">#REF!</definedName>
    <definedName name="_130InstBillingMethod_4_1">#REF!</definedName>
    <definedName name="_130nonmodular_4_1" localSheetId="1">#REF!</definedName>
    <definedName name="_130nonmodular_4_1">#REF!</definedName>
    <definedName name="_131__123Graph_ECHART_22" localSheetId="1" hidden="1">#REF!</definedName>
    <definedName name="_131__123Graph_ECHART_22" hidden="1">#REF!</definedName>
    <definedName name="_131instf_4_1" localSheetId="1">#REF!</definedName>
    <definedName name="_131instf_4_1">#REF!</definedName>
    <definedName name="_131OwnAcctNum_4_1" localSheetId="1">#REF!</definedName>
    <definedName name="_131OwnAcctNum_4_1">#REF!</definedName>
    <definedName name="_132_____________________123Graph_ACHART_3" localSheetId="1" hidden="1">#REF!</definedName>
    <definedName name="_132_____________________123Graph_ACHART_3" hidden="1">#REF!</definedName>
    <definedName name="_132MarketType_4_1" localSheetId="1">#REF!</definedName>
    <definedName name="_132MarketType_4_1">#REF!</definedName>
    <definedName name="_132po_4_1" localSheetId="1">#REF!</definedName>
    <definedName name="_132po_4_1">#REF!</definedName>
    <definedName name="_133_____________________123Graph_ACHART_4" localSheetId="1" hidden="1">#REF!</definedName>
    <definedName name="_133_____________________123Graph_ACHART_4" hidden="1">#REF!</definedName>
    <definedName name="_133__123Graph_FCHART_15" localSheetId="1" hidden="1">#REF!</definedName>
    <definedName name="_133__123Graph_FCHART_15" hidden="1">#REF!</definedName>
    <definedName name="_133MarketType_Text_4_1" localSheetId="1">#REF!</definedName>
    <definedName name="_133MarketType_Text_4_1">#REF!</definedName>
    <definedName name="_133PrimeAddress_4_1" localSheetId="1">#REF!</definedName>
    <definedName name="_133PrimeAddress_4_1">#REF!</definedName>
    <definedName name="_134_____________________123Graph_BCHART_3" localSheetId="1" hidden="1">#REF!</definedName>
    <definedName name="_134_____________________123Graph_BCHART_3" hidden="1">#REF!</definedName>
    <definedName name="_134nonmodular_4_1" localSheetId="1">#REF!</definedName>
    <definedName name="_134nonmodular_4_1">#REF!</definedName>
    <definedName name="_134PrimeCity_4_1" localSheetId="1">#REF!</definedName>
    <definedName name="_134PrimeCity_4_1">#REF!</definedName>
    <definedName name="_135_____________________123Graph_BCHART_4" localSheetId="1" hidden="1">#REF!</definedName>
    <definedName name="_135_____________________123Graph_BCHART_4" hidden="1">#REF!</definedName>
    <definedName name="_135__123Graph_FCHART_16" localSheetId="1" hidden="1">#REF!</definedName>
    <definedName name="_135__123Graph_FCHART_16" hidden="1">#REF!</definedName>
    <definedName name="_135OwnAcctNum_4_1" localSheetId="1">#REF!</definedName>
    <definedName name="_135OwnAcctNum_4_1">#REF!</definedName>
    <definedName name="_135PrimeName_4_1" localSheetId="1">#REF!</definedName>
    <definedName name="_135PrimeName_4_1">#REF!</definedName>
    <definedName name="_136_____________________123Graph_XCHART_3" hidden="1">#REF!</definedName>
    <definedName name="_1360___________Headings_4_1">#REF!</definedName>
    <definedName name="_136po_4_1" localSheetId="1">#REF!</definedName>
    <definedName name="_136po_4_1">#REF!</definedName>
    <definedName name="_136PrimePostal_4_1" localSheetId="1">#REF!</definedName>
    <definedName name="_136PrimePostal_4_1">#REF!</definedName>
    <definedName name="_137_____________________123Graph_XCHART_4" hidden="1">#REF!</definedName>
    <definedName name="_137__123Graph_FCHART_17" hidden="1">#REF!</definedName>
    <definedName name="_137PrimeAddress_4_1" localSheetId="1">#REF!</definedName>
    <definedName name="_137PrimeAddress_4_1">#REF!</definedName>
    <definedName name="_137PrimePrio_4_1" localSheetId="1">#REF!</definedName>
    <definedName name="_137PrimePrio_4_1">#REF!</definedName>
    <definedName name="_138PrimeCity_4_1" localSheetId="1">#REF!</definedName>
    <definedName name="_138PrimeCity_4_1">#REF!</definedName>
    <definedName name="_138PrimePrio_Text_4_1">#REF!</definedName>
    <definedName name="_139__123Graph_FCHART_2" hidden="1">#REF!</definedName>
    <definedName name="_139PrimeName_4_1" localSheetId="1">#REF!</definedName>
    <definedName name="_139PrimeName_4_1">#REF!</definedName>
    <definedName name="_139PrimeState_4_1" localSheetId="1">#REF!</definedName>
    <definedName name="_139PrimeState_4_1">#REF!</definedName>
    <definedName name="_14">#REF!</definedName>
    <definedName name="_14__________________________________________123Graph_ACHART_4" localSheetId="1" hidden="1">#REF!</definedName>
    <definedName name="_14__________________________________________123Graph_ACHART_4" hidden="1">#REF!</definedName>
    <definedName name="_14___123Graph_ACHART_21" hidden="1">#REF!</definedName>
    <definedName name="_14___123Graph_ACHART_4" localSheetId="1" hidden="1">#REF!</definedName>
    <definedName name="_14___123Graph_ACHART_4" hidden="1">#REF!</definedName>
    <definedName name="_14___123Graph_BCHART_3" localSheetId="1" hidden="1">#REF!</definedName>
    <definedName name="_14___123Graph_BCHART_3" hidden="1">#REF!</definedName>
    <definedName name="_14___123Graph_CCHART_16" hidden="1">#REF!</definedName>
    <definedName name="_14__123Graph_ACHART_21" hidden="1">#REF!</definedName>
    <definedName name="_14__123Graph_ACHART_21_1">0</definedName>
    <definedName name="_14__123Graph_ACHART_4" localSheetId="1" hidden="1">#REF!</definedName>
    <definedName name="_14__123Graph_ACHART_4" hidden="1">#REF!</definedName>
    <definedName name="_14__123Graph_BCHART_1" localSheetId="1" hidden="1">#REF!</definedName>
    <definedName name="_14__123Graph_BCHART_1" hidden="1">#REF!</definedName>
    <definedName name="_14__123Graph_CCHART_16" localSheetId="1" hidden="1">#REF!</definedName>
    <definedName name="_14__123Graph_CCHART_16" hidden="1">#REF!</definedName>
    <definedName name="_14__123Graph_CCHART_16_1">0</definedName>
    <definedName name="_14__123Graph_XCHART_4" hidden="1">#REF!</definedName>
    <definedName name="_140__123Graph_CCHART_16" hidden="1">#REF!</definedName>
    <definedName name="_140PrimePostal_4_1" localSheetId="1">#REF!</definedName>
    <definedName name="_140PrimePostal_4_1">#REF!</definedName>
    <definedName name="_140PRINT_AREA_MI_4_1" localSheetId="1">#REF!</definedName>
    <definedName name="_140PRINT_AREA_MI_4_1">#REF!</definedName>
    <definedName name="_141__123Graph_FCHART_22" localSheetId="1" hidden="1">#REF!</definedName>
    <definedName name="_141__123Graph_FCHART_22" hidden="1">#REF!</definedName>
    <definedName name="_141PrimePrio_4_1" localSheetId="1">#REF!</definedName>
    <definedName name="_141PrimePrio_4_1">#REF!</definedName>
    <definedName name="_141PROD_4_1" localSheetId="1">#REF!</definedName>
    <definedName name="_141PROD_4_1">#REF!</definedName>
    <definedName name="_142PrimePrio_Text_4_1" localSheetId="1">#REF!</definedName>
    <definedName name="_142PrimePrio_Text_4_1">#REF!</definedName>
    <definedName name="_142ProdCode1_4_1">#REF!</definedName>
    <definedName name="_143__123Graph_XCHART_15" hidden="1">#REF!</definedName>
    <definedName name="_143PrimeState_4_1" localSheetId="1">#REF!</definedName>
    <definedName name="_143PrimeState_4_1">#REF!</definedName>
    <definedName name="_143ProdCode1_Text_4_1" localSheetId="1">#REF!</definedName>
    <definedName name="_143ProdCode1_Text_4_1">#REF!</definedName>
    <definedName name="_144PRINT_AREA_MI_4_1" localSheetId="1">#REF!</definedName>
    <definedName name="_144PRINT_AREA_MI_4_1">#REF!</definedName>
    <definedName name="_144ProdCode2_4_1">#REF!</definedName>
    <definedName name="_145__123Graph_XCHART_16" hidden="1">#REF!</definedName>
    <definedName name="_145PROD_4_1" localSheetId="1">#REF!</definedName>
    <definedName name="_145PROD_4_1">#REF!</definedName>
    <definedName name="_145ProdCode2_Text_4_1" localSheetId="1">#REF!</definedName>
    <definedName name="_145ProdCode2_Text_4_1">#REF!</definedName>
    <definedName name="_1463__________123Graph_XCHART_3" hidden="1">#REF!</definedName>
    <definedName name="_1464__________123Graph_XCHART_4" hidden="1">#REF!</definedName>
    <definedName name="_146ProdCode1_4_1" localSheetId="1">#REF!</definedName>
    <definedName name="_146ProdCode1_4_1">#REF!</definedName>
    <definedName name="_147__123Graph_XCHART_17" localSheetId="1" hidden="1">#REF!</definedName>
    <definedName name="_147__123Graph_XCHART_17" hidden="1">#REF!</definedName>
    <definedName name="_147ProdCode1_Text_4_1" localSheetId="1">#REF!</definedName>
    <definedName name="_147ProdCode1_Text_4_1">#REF!</definedName>
    <definedName name="_148ProdCode2_4_1" localSheetId="1">#REF!</definedName>
    <definedName name="_148ProdCode2_4_1">#REF!</definedName>
    <definedName name="_148ProdCode3_4_1" localSheetId="1">#REF!</definedName>
    <definedName name="_148ProdCode3_4_1">#REF!</definedName>
    <definedName name="_149__123Graph_XCHART_18" localSheetId="1" hidden="1">#REF!</definedName>
    <definedName name="_149__123Graph_XCHART_18" hidden="1">#REF!</definedName>
    <definedName name="_149ProdCode2_Text_4_1" localSheetId="1">#REF!</definedName>
    <definedName name="_149ProdCode2_Text_4_1">#REF!</definedName>
    <definedName name="_14M_1" localSheetId="1">#REF!</definedName>
    <definedName name="_14M_1">#REF!</definedName>
    <definedName name="_15">#REF!</definedName>
    <definedName name="_15__________________________________________123Graph_BCHART_3" localSheetId="1" hidden="1">#REF!</definedName>
    <definedName name="_15__________________________________________123Graph_BCHART_3" hidden="1">#REF!</definedName>
    <definedName name="_15___123Graph_BCHART_3" localSheetId="1" hidden="1">#REF!</definedName>
    <definedName name="_15___123Graph_BCHART_3" hidden="1">#REF!</definedName>
    <definedName name="_15___123Graph_CCHART_17" hidden="1">#REF!</definedName>
    <definedName name="_15__123Graph_BCHART_2" localSheetId="1" hidden="1">#REF!</definedName>
    <definedName name="_15__123Graph_BCHART_2" hidden="1">#REF!</definedName>
    <definedName name="_15__123Graph_BCHART_3" localSheetId="1" hidden="1">#REF!</definedName>
    <definedName name="_15__123Graph_BCHART_3" hidden="1">#REF!</definedName>
    <definedName name="_15__123Graph_CCHART_17" localSheetId="1" hidden="1">#REF!</definedName>
    <definedName name="_15__123Graph_CCHART_17" hidden="1">#REF!</definedName>
    <definedName name="_15__123Graph_CCHART_17_1">0</definedName>
    <definedName name="_15__123Graph_XCHART_3" hidden="1">#REF!</definedName>
    <definedName name="_150__123Graph_CCHART_17" hidden="1">#REF!</definedName>
    <definedName name="_151__123Graph_XCHART_19" hidden="1">#REF!</definedName>
    <definedName name="_1518__________Headings_4_1">#REF!</definedName>
    <definedName name="_151ProdCode3_Text_4_1" localSheetId="1">#REF!</definedName>
    <definedName name="_151ProdCode3_Text_4_1">#REF!</definedName>
    <definedName name="_152__123Graph_XCHART_2" hidden="1">#REF!</definedName>
    <definedName name="_152ProdCode3_4_1" localSheetId="1">#REF!</definedName>
    <definedName name="_152ProdCode3_4_1">#REF!</definedName>
    <definedName name="_154__123Graph_XCHART_22" localSheetId="1" hidden="1">#REF!</definedName>
    <definedName name="_154__123Graph_XCHART_22" hidden="1">#REF!</definedName>
    <definedName name="_154ProdCode4_4_1" localSheetId="1">#REF!</definedName>
    <definedName name="_154ProdCode4_4_1">#REF!</definedName>
    <definedName name="_155ProdCode3_Text_4_1" localSheetId="1">#REF!</definedName>
    <definedName name="_155ProdCode3_Text_4_1">#REF!</definedName>
    <definedName name="_156__123Graph_XSEG_PIE" localSheetId="1" hidden="1">#REF!</definedName>
    <definedName name="_156__123Graph_XSEG_PIE" hidden="1">#REF!</definedName>
    <definedName name="_157ProdCode4_Text_4_1" localSheetId="1">#REF!</definedName>
    <definedName name="_157ProdCode4_Text_4_1">#REF!</definedName>
    <definedName name="_158ProdCode4_4_1" localSheetId="1">#REF!</definedName>
    <definedName name="_158ProdCode4_4_1">#REF!</definedName>
    <definedName name="_158ProdCode5_4_1" localSheetId="1">#REF!</definedName>
    <definedName name="_158ProdCode5_4_1">#REF!</definedName>
    <definedName name="_159ProdCode5_Text_4_1">#REF!</definedName>
    <definedName name="_15M_2">#REF!</definedName>
    <definedName name="_16">#REF!</definedName>
    <definedName name="_16__________________________________________123Graph_BCHART_4" localSheetId="1" hidden="1">#REF!</definedName>
    <definedName name="_16__________________________________________123Graph_BCHART_4" hidden="1">#REF!</definedName>
    <definedName name="_16___123Graph_ASEG_PIE" hidden="1">#REF!</definedName>
    <definedName name="_16___123Graph_BCHART_4" localSheetId="1" hidden="1">#REF!</definedName>
    <definedName name="_16___123Graph_BCHART_4" hidden="1">#REF!</definedName>
    <definedName name="_16___123Graph_CCHART_22" hidden="1">#REF!</definedName>
    <definedName name="_16__123Graph_ASEG_PIE" hidden="1">#REF!</definedName>
    <definedName name="_16__123Graph_ASEG_PIE_1">0</definedName>
    <definedName name="_16__123Graph_BCHART_3" hidden="1">#REF!</definedName>
    <definedName name="_16__123Graph_CCHART_22" hidden="1">#REF!</definedName>
    <definedName name="_16__123Graph_CCHART_22_1">0</definedName>
    <definedName name="_16__123Graph_XCHART_4" hidden="1">#REF!</definedName>
    <definedName name="_160__123Graph_CCHART_22" hidden="1">#REF!</definedName>
    <definedName name="_1617_________123Graph_ACHART_3" localSheetId="1" hidden="1">#REF!</definedName>
    <definedName name="_1617_________123Graph_ACHART_3" hidden="1">#REF!</definedName>
    <definedName name="_1618_________123Graph_ACHART_4" localSheetId="1" hidden="1">#REF!</definedName>
    <definedName name="_1618_________123Graph_ACHART_4" hidden="1">#REF!</definedName>
    <definedName name="_1619_________123Graph_BCHART_3" localSheetId="1" hidden="1">#REF!</definedName>
    <definedName name="_1619_________123Graph_BCHART_3" hidden="1">#REF!</definedName>
    <definedName name="_161ProdCode4_Text_4_1" localSheetId="1">#REF!</definedName>
    <definedName name="_161ProdCode4_Text_4_1">#REF!</definedName>
    <definedName name="_1620_________123Graph_BCHART_4" localSheetId="1" hidden="1">#REF!</definedName>
    <definedName name="_1620_________123Graph_BCHART_4" hidden="1">#REF!</definedName>
    <definedName name="_1621_________123Graph_XCHART_3" hidden="1">#REF!</definedName>
    <definedName name="_1622_________123Graph_XCHART_4" hidden="1">#REF!</definedName>
    <definedName name="_162ProdCode5_4_1" localSheetId="1">#REF!</definedName>
    <definedName name="_162ProdCode5_4_1">#REF!</definedName>
    <definedName name="_162ProdPct1_4_1" localSheetId="1">#REF!</definedName>
    <definedName name="_162ProdPct1_4_1">#REF!</definedName>
    <definedName name="_163ProdCode5_Text_4_1" localSheetId="1">#REF!</definedName>
    <definedName name="_163ProdCode5_Text_4_1">#REF!</definedName>
    <definedName name="_165ProdPct2_4_1">#REF!</definedName>
    <definedName name="_166ProdPct1_4_1">#REF!</definedName>
    <definedName name="_1676_________Headings_4_1">#REF!</definedName>
    <definedName name="_168ProdPct3_4_1" localSheetId="1">#REF!</definedName>
    <definedName name="_168ProdPct3_4_1">#REF!</definedName>
    <definedName name="_169ProdPct2_4_1" localSheetId="1">#REF!</definedName>
    <definedName name="_169ProdPct2_4_1">#REF!</definedName>
    <definedName name="_169ProdPct4_4_1" localSheetId="1">#REF!</definedName>
    <definedName name="_169ProdPct4_4_1">#REF!</definedName>
    <definedName name="_17">#REF!</definedName>
    <definedName name="_17_________________________________________123Graph_ACHART_3" localSheetId="1" hidden="1">#REF!</definedName>
    <definedName name="_17_________________________________________123Graph_ACHART_3" hidden="1">#REF!</definedName>
    <definedName name="_17___123Graph_CSEG_PIE" hidden="1">#REF!</definedName>
    <definedName name="_17___123Graph_XCHART_3" hidden="1">#REF!</definedName>
    <definedName name="_17__123Graph_CSEG_PIE" hidden="1">#REF!</definedName>
    <definedName name="_17__123Graph_CSEG_PIE_1">0</definedName>
    <definedName name="_17__123Graph_DCHART_1" localSheetId="1" hidden="1">#REF!</definedName>
    <definedName name="_17__123Graph_DCHART_1" hidden="1">#REF!</definedName>
    <definedName name="_170__123Graph_CSEG_PIE" localSheetId="1" hidden="1">#REF!</definedName>
    <definedName name="_170__123Graph_CSEG_PIE" hidden="1">#REF!</definedName>
    <definedName name="_170ProdPct5_4_1" localSheetId="1">#REF!</definedName>
    <definedName name="_170ProdPct5_4_1">#REF!</definedName>
    <definedName name="_171ProjAddress1_4_1" localSheetId="1">#REF!</definedName>
    <definedName name="_171ProjAddress1_4_1">#REF!</definedName>
    <definedName name="_172ProdPct3_4_1" localSheetId="1">#REF!</definedName>
    <definedName name="_172ProdPct3_4_1">#REF!</definedName>
    <definedName name="_172ProjAddress2_4_1">#REF!</definedName>
    <definedName name="_173ProdPct4_4_1">#REF!</definedName>
    <definedName name="_173ProjCity_4_1">#REF!</definedName>
    <definedName name="_174ProdPct5_4_1">#REF!</definedName>
    <definedName name="_174ProjCountry_4_1">#REF!</definedName>
    <definedName name="_175ProjAddress1_4_1">#REF!</definedName>
    <definedName name="_175ProjCounty_4_1">#REF!</definedName>
    <definedName name="_176ProjAddress2_4_1">#REF!</definedName>
    <definedName name="_176ProjName_4_1">#REF!</definedName>
    <definedName name="_1779________123Graph_XCHART_3" hidden="1">#REF!</definedName>
    <definedName name="_177ProjCity_4_1" localSheetId="1">#REF!</definedName>
    <definedName name="_177ProjCity_4_1">#REF!</definedName>
    <definedName name="_177ProjNum_4_1" localSheetId="1">#REF!</definedName>
    <definedName name="_177ProjNum_4_1">#REF!</definedName>
    <definedName name="_1780________123Graph_XCHART_4" hidden="1">#REF!</definedName>
    <definedName name="_178ProjCountry_4_1" localSheetId="1">#REF!</definedName>
    <definedName name="_178ProjCountry_4_1">#REF!</definedName>
    <definedName name="_178ProjPostal_4_1" localSheetId="1">#REF!</definedName>
    <definedName name="_178ProjPostal_4_1">#REF!</definedName>
    <definedName name="_179ProjCounty_4_1" localSheetId="1">#REF!</definedName>
    <definedName name="_179ProjCounty_4_1">#REF!</definedName>
    <definedName name="_179ProjState_4_1">#REF!</definedName>
    <definedName name="_18">#REF!</definedName>
    <definedName name="_18_________________________________________123Graph_ACHART_4" localSheetId="1" hidden="1">#REF!</definedName>
    <definedName name="_18_________________________________________123Graph_ACHART_4" hidden="1">#REF!</definedName>
    <definedName name="_18___123Graph_BCHART_15" hidden="1">#REF!</definedName>
    <definedName name="_18___123Graph_DCHART_15" hidden="1">#REF!</definedName>
    <definedName name="_18___123Graph_XCHART_4" hidden="1">#REF!</definedName>
    <definedName name="_18__123Graph_BCHART_15" hidden="1">#REF!</definedName>
    <definedName name="_18__123Graph_BCHART_15_1">0</definedName>
    <definedName name="_18__123Graph_BCHART_4" localSheetId="1" hidden="1">#REF!</definedName>
    <definedName name="_18__123Graph_BCHART_4" hidden="1">#REF!</definedName>
    <definedName name="_18__123Graph_DCHART_15" localSheetId="1" hidden="1">#REF!</definedName>
    <definedName name="_18__123Graph_DCHART_15" hidden="1">#REF!</definedName>
    <definedName name="_18__123Graph_DCHART_15_1">0</definedName>
    <definedName name="_18__123Graph_DCHART_2" localSheetId="1" hidden="1">#REF!</definedName>
    <definedName name="_18__123Graph_DCHART_2" hidden="1">#REF!</definedName>
    <definedName name="_180__123Graph_DCHART_15" localSheetId="1" hidden="1">#REF!</definedName>
    <definedName name="_180__123Graph_DCHART_15" hidden="1">#REF!</definedName>
    <definedName name="_180ProjName_4_1" localSheetId="1">#REF!</definedName>
    <definedName name="_180ProjName_4_1">#REF!</definedName>
    <definedName name="_181ProjNum_4_1" localSheetId="1">#REF!</definedName>
    <definedName name="_181ProjNum_4_1">#REF!</definedName>
    <definedName name="_182ProjPostal_4_1" localSheetId="1">#REF!</definedName>
    <definedName name="_182ProjPostal_4_1">#REF!</definedName>
    <definedName name="_182PSABillingMethod_4_1">#REF!</definedName>
    <definedName name="_1834________Headings_4_1">#REF!</definedName>
    <definedName name="_183ProjState_4_1" localSheetId="1">#REF!</definedName>
    <definedName name="_183ProjState_4_1">#REF!</definedName>
    <definedName name="_183rim4_4_1" localSheetId="1">#REF!</definedName>
    <definedName name="_183rim4_4_1">#REF!</definedName>
    <definedName name="_184SalesMgr_4_1" localSheetId="1">#REF!</definedName>
    <definedName name="_184SalesMgr_4_1">#REF!</definedName>
    <definedName name="_185saud_4_1">#REF!</definedName>
    <definedName name="_186____________________123Graph_ACHART_3" localSheetId="1" hidden="1">#REF!</definedName>
    <definedName name="_186____________________123Graph_ACHART_3" hidden="1">#REF!</definedName>
    <definedName name="_186PSABillingMethod_4_1" localSheetId="1">#REF!</definedName>
    <definedName name="_186PSABillingMethod_4_1">#REF!</definedName>
    <definedName name="_186sauf_4_1" localSheetId="1">#REF!</definedName>
    <definedName name="_186sauf_4_1">#REF!</definedName>
    <definedName name="_187____________________123Graph_ACHART_4" localSheetId="1" hidden="1">#REF!</definedName>
    <definedName name="_187____________________123Graph_ACHART_4" hidden="1">#REF!</definedName>
    <definedName name="_187rim4_4_1" localSheetId="1">#REF!</definedName>
    <definedName name="_187rim4_4_1">#REF!</definedName>
    <definedName name="_187sauif_4_1" localSheetId="1">#REF!</definedName>
    <definedName name="_187sauif_4_1">#REF!</definedName>
    <definedName name="_188____________________123Graph_BCHART_3" localSheetId="1" hidden="1">#REF!</definedName>
    <definedName name="_188____________________123Graph_BCHART_3" hidden="1">#REF!</definedName>
    <definedName name="_188SalesMgr_4_1" localSheetId="1">#REF!</definedName>
    <definedName name="_188SalesMgr_4_1">#REF!</definedName>
    <definedName name="_188SelectedLanguage_4_1" localSheetId="1">#REF!</definedName>
    <definedName name="_188SelectedLanguage_4_1">#REF!</definedName>
    <definedName name="_189____________________123Graph_BCHART_4" localSheetId="1" hidden="1">#REF!</definedName>
    <definedName name="_189____________________123Graph_BCHART_4" hidden="1">#REF!</definedName>
    <definedName name="_189saud_4_1" localSheetId="1">#REF!</definedName>
    <definedName name="_189saud_4_1">#REF!</definedName>
    <definedName name="_19">#REF!</definedName>
    <definedName name="_19_________________________________________123Graph_BCHART_3" localSheetId="1" hidden="1">#REF!</definedName>
    <definedName name="_19_________________________________________123Graph_BCHART_3" hidden="1">#REF!</definedName>
    <definedName name="_19___123Graph_DCHART_16" hidden="1">#REF!</definedName>
    <definedName name="_19__123Graph_BCHART_4" localSheetId="1" hidden="1">#REF!</definedName>
    <definedName name="_19__123Graph_BCHART_4" hidden="1">#REF!</definedName>
    <definedName name="_19__123Graph_DCHART_16" hidden="1">#REF!</definedName>
    <definedName name="_19__123Graph_DCHART_16_1">0</definedName>
    <definedName name="_19__123Graph_LBL_ACHART_1" hidden="1">#REF!</definedName>
    <definedName name="_19__123Graph_XCHART_3" hidden="1">#REF!</definedName>
    <definedName name="_190____________________123Graph_XCHART_3" hidden="1">#REF!</definedName>
    <definedName name="_190__123Graph_DCHART_16" hidden="1">#REF!</definedName>
    <definedName name="_190sauf_4_1" localSheetId="1">#REF!</definedName>
    <definedName name="_190sauf_4_1">#REF!</definedName>
    <definedName name="_191____________________123Graph_XCHART_4" hidden="1">#REF!</definedName>
    <definedName name="_191sauif_4_1" localSheetId="1">#REF!</definedName>
    <definedName name="_191sauif_4_1">#REF!</definedName>
    <definedName name="_191SiteID_4_1" localSheetId="1">#REF!</definedName>
    <definedName name="_191SiteID_4_1">#REF!</definedName>
    <definedName name="_192SelectedLanguage_4_1" localSheetId="1">#REF!</definedName>
    <definedName name="_192SelectedLanguage_4_1">#REF!</definedName>
    <definedName name="_194SiteType_4_1">#REF!</definedName>
    <definedName name="_195SiteID_4_1">#REF!</definedName>
    <definedName name="_195SmallProj_4_1">#REF!</definedName>
    <definedName name="_196SmallProj_Text_4_1">#REF!</definedName>
    <definedName name="_197SP1Branch_4_1">#REF!</definedName>
    <definedName name="_1986_______Headings_4_1">#REF!</definedName>
    <definedName name="_198SiteType_4_1" localSheetId="1">#REF!</definedName>
    <definedName name="_198SiteType_4_1">#REF!</definedName>
    <definedName name="_198SP1Credit_4_1" localSheetId="1">#REF!</definedName>
    <definedName name="_198SP1Credit_4_1">#REF!</definedName>
    <definedName name="_1996" localSheetId="1">#REF!</definedName>
    <definedName name="_1996">#REF!</definedName>
    <definedName name="_1999">#REF!</definedName>
    <definedName name="_199SmallProj_4_1">#REF!</definedName>
    <definedName name="_199SP1Name_4_1">#REF!</definedName>
    <definedName name="_1Excel_BuiltIn_Print_Area_1_1">#REF!</definedName>
    <definedName name="_1Excel_BuiltIn_Print_Area_2_1">#REF!</definedName>
    <definedName name="_1Excel_BuiltIn_Print_Area_5_1_1">#REF!</definedName>
    <definedName name="_1Excel_BuiltIn_Print_Titles_15_1">#REF!</definedName>
    <definedName name="_2">#REF!</definedName>
    <definedName name="_2_____________________________________________123Graph_ACHART_4" localSheetId="1" hidden="1">#REF!</definedName>
    <definedName name="_2_____________________________________________123Graph_ACHART_4" hidden="1">#REF!</definedName>
    <definedName name="_2_____123Graph_ACHART_4" localSheetId="1" hidden="1">#REF!</definedName>
    <definedName name="_2_____123Graph_ACHART_4" hidden="1">#REF!</definedName>
    <definedName name="_2____123Graph_ACHART_3" localSheetId="1" hidden="1">#REF!</definedName>
    <definedName name="_2____123Graph_ACHART_3" hidden="1">#REF!</definedName>
    <definedName name="_2____123Graph_ACHART_4" localSheetId="1" hidden="1">#REF!</definedName>
    <definedName name="_2____123Graph_ACHART_4" hidden="1">#REF!</definedName>
    <definedName name="_2___123Graph_ACHART_12" hidden="1">#REF!</definedName>
    <definedName name="_2___123Graph_ACHART_15" hidden="1">#REF!</definedName>
    <definedName name="_2___123Graph_ACHART_3" localSheetId="1" hidden="1">#REF!</definedName>
    <definedName name="_2___123Graph_ACHART_3" hidden="1">#REF!</definedName>
    <definedName name="_2___123Graph_ACHART_4" localSheetId="1" hidden="1">#REF!</definedName>
    <definedName name="_2___123Graph_ACHART_4" hidden="1">#REF!</definedName>
    <definedName name="_2__123Graph_ACHART_12" hidden="1">#REF!</definedName>
    <definedName name="_2__123Graph_ACHART_12_1">0</definedName>
    <definedName name="_2__123Graph_ACHART_15" hidden="1">#REF!</definedName>
    <definedName name="_2__123Graph_ACHART_15_1">0</definedName>
    <definedName name="_2__123Graph_ACHART_1A" hidden="1">#REF!</definedName>
    <definedName name="_2__123Graph_AChart_1AJ" localSheetId="1" hidden="1">#REF!</definedName>
    <definedName name="_2__123Graph_AChart_1AJ" hidden="1">#REF!</definedName>
    <definedName name="_2__123Graph_ACHART_2" hidden="1">#REF!</definedName>
    <definedName name="_2__123Graph_ACHART_3" hidden="1">#REF!</definedName>
    <definedName name="_2__123Graph_ACHART_4" localSheetId="1" hidden="1">#REF!</definedName>
    <definedName name="_2__123Graph_ACHART_4" hidden="1">#REF!</definedName>
    <definedName name="_2__123Graph_AService_Expense" localSheetId="1" hidden="1">#REF!</definedName>
    <definedName name="_2__123Graph_AService_Expense" hidden="1">#REF!</definedName>
    <definedName name="_2__123Graph_XCHART_1A" localSheetId="1" hidden="1">#REF!</definedName>
    <definedName name="_2__123Graph_XCHART_1A" hidden="1">#REF!</definedName>
    <definedName name="_20" localSheetId="1">#REF!</definedName>
    <definedName name="_20">#REF!</definedName>
    <definedName name="_20_________________________________________123Graph_BCHART_4" localSheetId="1" hidden="1">#REF!</definedName>
    <definedName name="_20_________________________________________123Graph_BCHART_4" hidden="1">#REF!</definedName>
    <definedName name="_20___123Graph_BCHART_16" localSheetId="1" hidden="1">#REF!</definedName>
    <definedName name="_20___123Graph_BCHART_16" hidden="1">#REF!</definedName>
    <definedName name="_20___123Graph_DCHART_17" localSheetId="1" hidden="1">#REF!</definedName>
    <definedName name="_20___123Graph_DCHART_17" hidden="1">#REF!</definedName>
    <definedName name="_20__123Graph_ACHART_15" localSheetId="1" hidden="1">#REF!</definedName>
    <definedName name="_20__123Graph_ACHART_15" hidden="1">#REF!</definedName>
    <definedName name="_20__123Graph_ACHART_3" localSheetId="1" hidden="1">#REF!</definedName>
    <definedName name="_20__123Graph_ACHART_3" hidden="1">#REF!</definedName>
    <definedName name="_20__123Graph_BCHART_16" hidden="1">#REF!</definedName>
    <definedName name="_20__123Graph_BCHART_16_1">0</definedName>
    <definedName name="_20__123Graph_BCHART_4" hidden="1">#REF!</definedName>
    <definedName name="_20__123Graph_DCHART_17" hidden="1">#REF!</definedName>
    <definedName name="_20__123Graph_DCHART_17_1">0</definedName>
    <definedName name="_20__123Graph_LBL_ACHART_2" hidden="1">#REF!</definedName>
    <definedName name="_20__123Graph_XCHART_3" hidden="1">#REF!</definedName>
    <definedName name="_20__123Graph_XCHART_4" hidden="1">#REF!</definedName>
    <definedName name="_200">#N/A</definedName>
    <definedName name="_200__123Graph_DCHART_17" hidden="1">#REF!</definedName>
    <definedName name="_200SmallProj_Text_4_1" localSheetId="1">#REF!</definedName>
    <definedName name="_200SmallProj_Text_4_1">#REF!</definedName>
    <definedName name="_200SP1Number_4_1" localSheetId="1">#REF!</definedName>
    <definedName name="_200SP1Number_4_1">#REF!</definedName>
    <definedName name="_201SP1Branch_4_1" localSheetId="1">#REF!</definedName>
    <definedName name="_201SP1Branch_4_1">#REF!</definedName>
    <definedName name="_202SP1Credit_4_1">#REF!</definedName>
    <definedName name="_203SP1Name_4_1">#REF!</definedName>
    <definedName name="_203SP2Branch_4_1">#REF!</definedName>
    <definedName name="_204SP1Number_4_1">#REF!</definedName>
    <definedName name="_206SP2Credit_4_1">#REF!</definedName>
    <definedName name="_207SP2Branch_4_1">#REF!</definedName>
    <definedName name="_209SP2Name_4_1">#REF!</definedName>
    <definedName name="_21">#REF!</definedName>
    <definedName name="_21________________________________________123Graph_ACHART_3" localSheetId="1" hidden="1">#REF!</definedName>
    <definedName name="_21________________________________________123Graph_ACHART_3" hidden="1">#REF!</definedName>
    <definedName name="_21___123Graph_DCHART_22" hidden="1">#REF!</definedName>
    <definedName name="_21__123Graph_DCHART_22" hidden="1">#REF!</definedName>
    <definedName name="_21__123Graph_DCHART_22_1">0</definedName>
    <definedName name="_21__123Graph_LBL_ACHART_3" hidden="1">#REF!</definedName>
    <definedName name="_21__123Graph_XCHART_3" hidden="1">#REF!</definedName>
    <definedName name="_21__123Graph_XCHART_4" hidden="1">#REF!</definedName>
    <definedName name="_210__123Graph_DCHART_22" hidden="1">#REF!</definedName>
    <definedName name="_210SP2Credit_4_1" localSheetId="1">#REF!</definedName>
    <definedName name="_210SP2Credit_4_1">#REF!</definedName>
    <definedName name="_212SP2Number_4_1" localSheetId="1">#REF!</definedName>
    <definedName name="_212SP2Number_4_1">#REF!</definedName>
    <definedName name="_2138______Headings_4_1">#REF!</definedName>
    <definedName name="_213SP2Name_4_1" localSheetId="1">#REF!</definedName>
    <definedName name="_213SP2Name_4_1">#REF!</definedName>
    <definedName name="_215SP3Branch_4_1" localSheetId="1">#REF!</definedName>
    <definedName name="_215SP3Branch_4_1">#REF!</definedName>
    <definedName name="_216SP2Number_4_1" localSheetId="1">#REF!</definedName>
    <definedName name="_216SP2Number_4_1">#REF!</definedName>
    <definedName name="_218SP3Credit_4_1">#REF!</definedName>
    <definedName name="_219SP3Branch_4_1">#REF!</definedName>
    <definedName name="_22">#REF!</definedName>
    <definedName name="_22________________________________________123Graph_ACHART_4" localSheetId="1" hidden="1">#REF!</definedName>
    <definedName name="_22________________________________________123Graph_ACHART_4" hidden="1">#REF!</definedName>
    <definedName name="_22___123Graph_BCHART_17" hidden="1">#REF!</definedName>
    <definedName name="_22___123Graph_ECHART_15" hidden="1">#REF!</definedName>
    <definedName name="_22__123Graph_ACHART_4" localSheetId="1" hidden="1">#REF!</definedName>
    <definedName name="_22__123Graph_ACHART_4" hidden="1">#REF!</definedName>
    <definedName name="_22__123Graph_BCHART_17" hidden="1">#REF!</definedName>
    <definedName name="_22__123Graph_BCHART_17_1">0</definedName>
    <definedName name="_22__123Graph_ECHART_15" hidden="1">#REF!</definedName>
    <definedName name="_22__123Graph_ECHART_15_1">0</definedName>
    <definedName name="_22__123Graph_LBL_DCHART_1" hidden="1">#REF!</definedName>
    <definedName name="_22__123Graph_XCHART_4" hidden="1">#REF!</definedName>
    <definedName name="_220__123Graph_ECHART_15" hidden="1">#REF!</definedName>
    <definedName name="_221SP3Name_4_1" localSheetId="1">#REF!</definedName>
    <definedName name="_221SP3Name_4_1">#REF!</definedName>
    <definedName name="_222SP3Credit_4_1" localSheetId="1">#REF!</definedName>
    <definedName name="_222SP3Credit_4_1">#REF!</definedName>
    <definedName name="_224SP3Number_4_1" localSheetId="1">#REF!</definedName>
    <definedName name="_224SP3Number_4_1">#REF!</definedName>
    <definedName name="_225SP3Name_4_1">#REF!</definedName>
    <definedName name="_227SP4Branch_4_1">#REF!</definedName>
    <definedName name="_228SP3Number_4_1">#REF!</definedName>
    <definedName name="_2290_____Headings_4_1">#REF!</definedName>
    <definedName name="_23" localSheetId="1">#REF!</definedName>
    <definedName name="_23">#REF!</definedName>
    <definedName name="_23________________________________________123Graph_BCHART_3" localSheetId="1" hidden="1">#REF!</definedName>
    <definedName name="_23________________________________________123Graph_BCHART_3" hidden="1">#REF!</definedName>
    <definedName name="_23___123Graph_ECHART_16" localSheetId="1" hidden="1">#REF!</definedName>
    <definedName name="_23___123Graph_ECHART_16" hidden="1">#REF!</definedName>
    <definedName name="_23__123Graph_ACHART_3" localSheetId="1" hidden="1">#REF!</definedName>
    <definedName name="_23__123Graph_ACHART_3" hidden="1">#REF!</definedName>
    <definedName name="_23__123Graph_ECHART_16" localSheetId="1" hidden="1">#REF!</definedName>
    <definedName name="_23__123Graph_ECHART_16" hidden="1">#REF!</definedName>
    <definedName name="_23__123Graph_ECHART_16_1">0</definedName>
    <definedName name="_23__123Graph_LBL_DCHART_2" localSheetId="1" hidden="1">#REF!</definedName>
    <definedName name="_23__123Graph_LBL_DCHART_2" hidden="1">#REF!</definedName>
    <definedName name="_230__123Graph_ECHART_16" localSheetId="1" hidden="1">#REF!</definedName>
    <definedName name="_230__123Graph_ECHART_16" hidden="1">#REF!</definedName>
    <definedName name="_230SP4Credit_4_1" localSheetId="1">#REF!</definedName>
    <definedName name="_230SP4Credit_4_1">#REF!</definedName>
    <definedName name="_231SP4Branch_4_1" localSheetId="1">#REF!</definedName>
    <definedName name="_231SP4Branch_4_1">#REF!</definedName>
    <definedName name="_231SP4Name_4_1" localSheetId="1">#REF!</definedName>
    <definedName name="_231SP4Name_4_1">#REF!</definedName>
    <definedName name="_234SP4Credit_4_1">#REF!</definedName>
    <definedName name="_234SP4Number_4_1">#REF!</definedName>
    <definedName name="_235SP4Name_4_1">#REF!</definedName>
    <definedName name="_237SP5Branch_4_1">#REF!</definedName>
    <definedName name="_238SP4Number_4_1">#REF!</definedName>
    <definedName name="_24">#REF!</definedName>
    <definedName name="_24________________________________________123Graph_BCHART_4" localSheetId="1" hidden="1">#REF!</definedName>
    <definedName name="_24________________________________________123Graph_BCHART_4" hidden="1">#REF!</definedName>
    <definedName name="_24___123Graph_BCHART_22" hidden="1">#REF!</definedName>
    <definedName name="_24___123Graph_ECHART_17" hidden="1">#REF!</definedName>
    <definedName name="_24__123Graph_ACHART_3" localSheetId="1" hidden="1">#REF!</definedName>
    <definedName name="_24__123Graph_ACHART_3" hidden="1">#REF!</definedName>
    <definedName name="_24__123Graph_BCHART_22" hidden="1">#REF!</definedName>
    <definedName name="_24__123Graph_BCHART_22_1">0</definedName>
    <definedName name="_24__123Graph_BCHART_3" localSheetId="1" hidden="1">#REF!</definedName>
    <definedName name="_24__123Graph_BCHART_3" hidden="1">#REF!</definedName>
    <definedName name="_24__123Graph_ECHART_17" hidden="1">#REF!</definedName>
    <definedName name="_24__123Graph_ECHART_17_1">0</definedName>
    <definedName name="_24__123Graph_XCHART_2" hidden="1">#REF!</definedName>
    <definedName name="_240___________________123Graph_ACHART_3" localSheetId="1" hidden="1">#REF!</definedName>
    <definedName name="_240___________________123Graph_ACHART_3" hidden="1">#REF!</definedName>
    <definedName name="_240__123Graph_ECHART_17" hidden="1">#REF!</definedName>
    <definedName name="_240SP5Credit_4_1" localSheetId="1">#REF!</definedName>
    <definedName name="_240SP5Credit_4_1">#REF!</definedName>
    <definedName name="_241___________________123Graph_ACHART_4" localSheetId="1" hidden="1">#REF!</definedName>
    <definedName name="_241___________________123Graph_ACHART_4" hidden="1">#REF!</definedName>
    <definedName name="_241SP5Branch_4_1" localSheetId="1">#REF!</definedName>
    <definedName name="_241SP5Branch_4_1">#REF!</definedName>
    <definedName name="_242___________________123Graph_BCHART_3" localSheetId="1" hidden="1">#REF!</definedName>
    <definedName name="_242___________________123Graph_BCHART_3" hidden="1">#REF!</definedName>
    <definedName name="_243___________________123Graph_BCHART_4" localSheetId="1" hidden="1">#REF!</definedName>
    <definedName name="_243___________________123Graph_BCHART_4" hidden="1">#REF!</definedName>
    <definedName name="_243SP5Name_4_1" localSheetId="1">#REF!</definedName>
    <definedName name="_243SP5Name_4_1">#REF!</definedName>
    <definedName name="_244___________________123Graph_XCHART_3" hidden="1">#REF!</definedName>
    <definedName name="_2442____Headings_4_1">#REF!</definedName>
    <definedName name="_244SP5Credit_4_1" localSheetId="1">#REF!</definedName>
    <definedName name="_244SP5Credit_4_1">#REF!</definedName>
    <definedName name="_245___________________123Graph_XCHART_4" hidden="1">#REF!</definedName>
    <definedName name="_246SP5Number_4_1" localSheetId="1">#REF!</definedName>
    <definedName name="_246SP5Number_4_1">#REF!</definedName>
    <definedName name="_247SP5Name_4_1" localSheetId="1">#REF!</definedName>
    <definedName name="_247SP5Name_4_1">#REF!</definedName>
    <definedName name="_247SpecClass_4_1" localSheetId="1">#REF!</definedName>
    <definedName name="_247SpecClass_4_1">#REF!</definedName>
    <definedName name="_248SpecClass_Text_4_1">#REF!</definedName>
    <definedName name="_25">#REF!</definedName>
    <definedName name="_25_______________________________________123Graph_ACHART_3" localSheetId="1" hidden="1">#REF!</definedName>
    <definedName name="_25_______________________________________123Graph_ACHART_3" hidden="1">#REF!</definedName>
    <definedName name="_25___123Graph_ECHART_22" hidden="1">#REF!</definedName>
    <definedName name="_25__123Graph_ECHART_22" hidden="1">#REF!</definedName>
    <definedName name="_25__123Graph_ECHART_22_1">0</definedName>
    <definedName name="_25_1">#REF!</definedName>
    <definedName name="_250__123Graph_ECHART_22" hidden="1">#REF!</definedName>
    <definedName name="_250SP5Number_4_1" localSheetId="1">#REF!</definedName>
    <definedName name="_250SP5Number_4_1">#REF!</definedName>
    <definedName name="_251SpecClass_4_1" localSheetId="1">#REF!</definedName>
    <definedName name="_251SpecClass_4_1">#REF!</definedName>
    <definedName name="_251SpecEnv1_4_1" localSheetId="1">#REF!</definedName>
    <definedName name="_251SpecEnv1_4_1">#REF!</definedName>
    <definedName name="_252SpecClass_Text_4_1">#REF!</definedName>
    <definedName name="_254SpecEnv1_Text_4_1">#REF!</definedName>
    <definedName name="_255SpecEnv1_4_1">#REF!</definedName>
    <definedName name="_257SpecEnv2_4_1">#REF!</definedName>
    <definedName name="_258SpecEnv1_Text_4_1">#REF!</definedName>
    <definedName name="_2591___Headings_4_1">#REF!</definedName>
    <definedName name="_26" localSheetId="1">#REF!</definedName>
    <definedName name="_26">#REF!</definedName>
    <definedName name="_26_______________________________________123Graph_ACHART_4" localSheetId="1" hidden="1">#REF!</definedName>
    <definedName name="_26_______________________________________123Graph_ACHART_4" hidden="1">#REF!</definedName>
    <definedName name="_26___123Graph_CCHART_15" localSheetId="1" hidden="1">#REF!</definedName>
    <definedName name="_26___123Graph_CCHART_15" hidden="1">#REF!</definedName>
    <definedName name="_26___123Graph_FCHART_15" localSheetId="1" hidden="1">#REF!</definedName>
    <definedName name="_26___123Graph_FCHART_15" hidden="1">#REF!</definedName>
    <definedName name="_26__123Graph_BCHART_4" localSheetId="1" hidden="1">#REF!</definedName>
    <definedName name="_26__123Graph_BCHART_4" hidden="1">#REF!</definedName>
    <definedName name="_26__123Graph_CCHART_15" hidden="1">#REF!</definedName>
    <definedName name="_26__123Graph_CCHART_15_1">0</definedName>
    <definedName name="_26__123Graph_FCHART_15" hidden="1">#REF!</definedName>
    <definedName name="_26__123Graph_FCHART_15_1">0</definedName>
    <definedName name="_260__123Graph_FCHART_15" hidden="1">#REF!</definedName>
    <definedName name="_260SpecEnv2_Text_4_1" localSheetId="1">#REF!</definedName>
    <definedName name="_260SpecEnv2_Text_4_1">#REF!</definedName>
    <definedName name="_261SpecEnv2_4_1" localSheetId="1">#REF!</definedName>
    <definedName name="_261SpecEnv2_4_1">#REF!</definedName>
    <definedName name="_261SPLR_4_1" localSheetId="1">#REF!</definedName>
    <definedName name="_261SPLR_4_1">#REF!</definedName>
    <definedName name="_264SpecEnv2_Text_4_1">#REF!</definedName>
    <definedName name="_264SrvcCode1_4_1">#REF!</definedName>
    <definedName name="_265SPLR_4_1">#REF!</definedName>
    <definedName name="_267SrvcCode1_Text_4_1">#REF!</definedName>
    <definedName name="_268SrvcCode1_4_1">#REF!</definedName>
    <definedName name="_27">#REF!</definedName>
    <definedName name="_27_______________________________________123Graph_BCHART_3" localSheetId="1" hidden="1">#REF!</definedName>
    <definedName name="_27_______________________________________123Graph_BCHART_3" hidden="1">#REF!</definedName>
    <definedName name="_27___123Graph_FCHART_16" hidden="1">#REF!</definedName>
    <definedName name="_27__123Graph_FCHART_16" hidden="1">#REF!</definedName>
    <definedName name="_27__123Graph_FCHART_16_1">0</definedName>
    <definedName name="_27__123Graph_XCHART_3" hidden="1">#REF!</definedName>
    <definedName name="_270__123Graph_FCHART_16" hidden="1">#REF!</definedName>
    <definedName name="_270SrvcCode2_4_1" localSheetId="1">#REF!</definedName>
    <definedName name="_270SrvcCode2_4_1">#REF!</definedName>
    <definedName name="_271SrvcCode1_Text_4_1" localSheetId="1">#REF!</definedName>
    <definedName name="_271SrvcCode1_Text_4_1">#REF!</definedName>
    <definedName name="_273SrvcCode2_Text_4_1" localSheetId="1">#REF!</definedName>
    <definedName name="_273SrvcCode2_Text_4_1">#REF!</definedName>
    <definedName name="_274SrvcCode2_4_1">#REF!</definedName>
    <definedName name="_276SrvcCode3_4_1">#REF!</definedName>
    <definedName name="_277SrvcCode2_Text_4_1">#REF!</definedName>
    <definedName name="_279SrvcCode3_Text_4_1">#REF!</definedName>
    <definedName name="_28">#REF!</definedName>
    <definedName name="_28_______________________________________123Graph_BCHART_4" localSheetId="1" hidden="1">#REF!</definedName>
    <definedName name="_28_______________________________________123Graph_BCHART_4" hidden="1">#REF!</definedName>
    <definedName name="_28___123Graph_CCHART_16" hidden="1">#REF!</definedName>
    <definedName name="_28___123Graph_FCHART_17" hidden="1">#REF!</definedName>
    <definedName name="_28__123Graph_ACHART_4" localSheetId="1" hidden="1">#REF!</definedName>
    <definedName name="_28__123Graph_ACHART_4" hidden="1">#REF!</definedName>
    <definedName name="_28__123Graph_CCHART_16" hidden="1">#REF!</definedName>
    <definedName name="_28__123Graph_CCHART_16_1">0</definedName>
    <definedName name="_28__123Graph_FCHART_17" hidden="1">#REF!</definedName>
    <definedName name="_28__123Graph_FCHART_17_1">0</definedName>
    <definedName name="_28__123Graph_XCHART_4" hidden="1">#REF!</definedName>
    <definedName name="_280__123Graph_FCHART_17" hidden="1">#REF!</definedName>
    <definedName name="_280SrvcCode3_4_1" localSheetId="1">#REF!</definedName>
    <definedName name="_280SrvcCode3_4_1">#REF!</definedName>
    <definedName name="_280SrvcCode4_4_1" localSheetId="1">#REF!</definedName>
    <definedName name="_280SrvcCode4_4_1">#REF!</definedName>
    <definedName name="_281SrvcCode4_Text_4_1" localSheetId="1">#REF!</definedName>
    <definedName name="_281SrvcCode4_Text_4_1">#REF!</definedName>
    <definedName name="_282SrvcCode5_4_1">#REF!</definedName>
    <definedName name="_283SrvcCode3_Text_4_1">#REF!</definedName>
    <definedName name="_283SrvcCode5_Text_4_1">#REF!</definedName>
    <definedName name="_284SrvcCode4_4_1">#REF!</definedName>
    <definedName name="_284StartDate_4_1">#REF!</definedName>
    <definedName name="_285SrvcCode4_Text_4_1">#REF!</definedName>
    <definedName name="_285swf_4_1">#REF!</definedName>
    <definedName name="_286SrvcCode5_4_1">#REF!</definedName>
    <definedName name="_286TierCode_4_1">#REF!</definedName>
    <definedName name="_287SrvcCode5_Text_4_1">#REF!</definedName>
    <definedName name="_287TierCode_Text_4_1">#REF!</definedName>
    <definedName name="_288StartDate_4_1">#REF!</definedName>
    <definedName name="_288vatf_4_1">#REF!</definedName>
    <definedName name="_289swf_4_1">#REF!</definedName>
    <definedName name="_29">#REF!</definedName>
    <definedName name="_29______________________________________123Graph_ACHART_3" localSheetId="1" hidden="1">#REF!</definedName>
    <definedName name="_29______________________________________123Graph_ACHART_3" hidden="1">#REF!</definedName>
    <definedName name="_29___123Graph_FCHART_22" hidden="1">#REF!</definedName>
    <definedName name="_29__123Graph_FCHART_22" hidden="1">#REF!</definedName>
    <definedName name="_29__123Graph_FCHART_22_1">0</definedName>
    <definedName name="_290__123Graph_FCHART_22" hidden="1">#REF!</definedName>
    <definedName name="_290TierCode_4_1" localSheetId="1">#REF!</definedName>
    <definedName name="_290TierCode_4_1">#REF!</definedName>
    <definedName name="_291TierCode_Text_4_1" localSheetId="1">#REF!</definedName>
    <definedName name="_291TierCode_Text_4_1">#REF!</definedName>
    <definedName name="_292vatf_4_1" localSheetId="1">#REF!</definedName>
    <definedName name="_292vatf_4_1">#REF!</definedName>
    <definedName name="_298__________________123Graph_XCHART_3" hidden="1">#REF!</definedName>
    <definedName name="_299__________________123Graph_XCHART_4" hidden="1">#REF!</definedName>
    <definedName name="_2f??" localSheetId="1">#REF!</definedName>
    <definedName name="_2f??">#REF!</definedName>
    <definedName name="_3">#REF!</definedName>
    <definedName name="_3_____________________________________________123Graph_BCHART_3" localSheetId="1" hidden="1">#REF!</definedName>
    <definedName name="_3_____________________________________________123Graph_BCHART_3" hidden="1">#REF!</definedName>
    <definedName name="_3_____123Graph_BCHART_3" localSheetId="1" hidden="1">#REF!</definedName>
    <definedName name="_3_____123Graph_BCHART_3" hidden="1">#REF!</definedName>
    <definedName name="_3____123Graph_BCHART_3" localSheetId="1">#REF!</definedName>
    <definedName name="_3____123Graph_BCHART_3" hidden="1">#REF!</definedName>
    <definedName name="_3___123Graph_ACHART_16" hidden="1">#REF!</definedName>
    <definedName name="_3___123Graph_ACHART_4" localSheetId="1" hidden="1">#REF!</definedName>
    <definedName name="_3___123Graph_ACHART_4" hidden="1">#REF!</definedName>
    <definedName name="_3___123Graph_BCHART_3" localSheetId="1" hidden="1">#REF!</definedName>
    <definedName name="_3___123Graph_BCHART_3" hidden="1">#REF!</definedName>
    <definedName name="_3__123Graph_ACHART_16" hidden="1">#REF!</definedName>
    <definedName name="_3__123Graph_ACHART_16_1">0</definedName>
    <definedName name="_3__123Graph_AChart_1Q" hidden="1">#REF!</definedName>
    <definedName name="_3__123Graph_ACHART_3" localSheetId="1" hidden="1">#REF!</definedName>
    <definedName name="_3__123Graph_ACHART_3" hidden="1">#REF!</definedName>
    <definedName name="_3__123Graph_BAdmin_Expenses" localSheetId="1" hidden="1">#REF!</definedName>
    <definedName name="_3__123Graph_BAdmin_Expenses" hidden="1">#REF!</definedName>
    <definedName name="_3__123Graph_BCHART_2" hidden="1">#REF!</definedName>
    <definedName name="_3__123Graph_BCHART_3" localSheetId="1" hidden="1">#REF!</definedName>
    <definedName name="_3__123Graph_BCHART_3" hidden="1">#REF!</definedName>
    <definedName name="_30">#REF!</definedName>
    <definedName name="_30______________________________________123Graph_ACHART_4" localSheetId="1" hidden="1">#REF!</definedName>
    <definedName name="_30______________________________________123Graph_ACHART_4" hidden="1">#REF!</definedName>
    <definedName name="_30___123Graph_CCHART_17" localSheetId="1" hidden="1">#REF!</definedName>
    <definedName name="_30___123Graph_CCHART_17" hidden="1">#REF!</definedName>
    <definedName name="_30___123Graph_XCHART_15" localSheetId="1" hidden="1">#REF!</definedName>
    <definedName name="_30___123Graph_XCHART_15" hidden="1">#REF!</definedName>
    <definedName name="_30__123Graph_ACHART_16" localSheetId="1" hidden="1">#REF!</definedName>
    <definedName name="_30__123Graph_ACHART_16" hidden="1">#REF!</definedName>
    <definedName name="_30__123Graph_ACHART_4" localSheetId="1" hidden="1">#REF!</definedName>
    <definedName name="_30__123Graph_ACHART_4" hidden="1">#REF!</definedName>
    <definedName name="_30__123Graph_CCHART_17" hidden="1">#REF!</definedName>
    <definedName name="_30__123Graph_CCHART_17_1">0</definedName>
    <definedName name="_30__123Graph_XCHART_15" hidden="1">#REF!</definedName>
    <definedName name="_30__123Graph_XCHART_15_1">0</definedName>
    <definedName name="_300">#N/A</definedName>
    <definedName name="_300__123Graph_XCHART_15" hidden="1">#REF!</definedName>
    <definedName name="_30cd___Horizontal_Strobe_light_speaker__wall_mounted" localSheetId="1">#REF!</definedName>
    <definedName name="_30cd___Horizontal_Strobe_light_speaker__wall_mounted">#REF!</definedName>
    <definedName name="_30cd__Vertical_strobe_light__wall_mounted" localSheetId="1">#REF!</definedName>
    <definedName name="_30cd__Vertical_strobe_light__wall_mounted">#REF!</definedName>
    <definedName name="_31" localSheetId="1">#REF!</definedName>
    <definedName name="_31">#REF!</definedName>
    <definedName name="_31______________________________________123Graph_BCHART_3" localSheetId="1" hidden="1">#REF!</definedName>
    <definedName name="_31______________________________________123Graph_BCHART_3" hidden="1">#REF!</definedName>
    <definedName name="_31___123Graph_XCHART_16" localSheetId="1" hidden="1">#REF!</definedName>
    <definedName name="_31___123Graph_XCHART_16" hidden="1">#REF!</definedName>
    <definedName name="_31__123Graph_XCHART_16" localSheetId="1" hidden="1">#REF!</definedName>
    <definedName name="_31__123Graph_XCHART_16" hidden="1">#REF!</definedName>
    <definedName name="_31__123Graph_XCHART_16_1">0</definedName>
    <definedName name="_31_Mar_02">#REF!</definedName>
    <definedName name="_310__123Graph_XCHART_16" hidden="1">#REF!</definedName>
    <definedName name="_32" localSheetId="1">#REF!</definedName>
    <definedName name="_32">#REF!</definedName>
    <definedName name="_32______________________________________123Graph_BCHART_4" localSheetId="1" hidden="1">#REF!</definedName>
    <definedName name="_32______________________________________123Graph_BCHART_4" hidden="1">#REF!</definedName>
    <definedName name="_32___123Graph_CCHART_22" localSheetId="1" hidden="1">#REF!</definedName>
    <definedName name="_32___123Graph_CCHART_22" hidden="1">#REF!</definedName>
    <definedName name="_32___123Graph_XCHART_17" localSheetId="1" hidden="1">#REF!</definedName>
    <definedName name="_32___123Graph_XCHART_17" hidden="1">#REF!</definedName>
    <definedName name="_32__123Graph_CCHART_22" hidden="1">#REF!</definedName>
    <definedName name="_32__123Graph_CCHART_22_1">0</definedName>
    <definedName name="_32__123Graph_XCHART_17" hidden="1">#REF!</definedName>
    <definedName name="_32__123Graph_XCHART_17_1">0</definedName>
    <definedName name="_320__123Graph_XCHART_17" hidden="1">#REF!</definedName>
    <definedName name="_321" hidden="1">#REF!</definedName>
    <definedName name="_33" localSheetId="1">#REF!</definedName>
    <definedName name="_33">#REF!</definedName>
    <definedName name="_33_____________________________________123Graph_ACHART_3" localSheetId="1" hidden="1">#REF!</definedName>
    <definedName name="_33_____________________________________123Graph_ACHART_3" hidden="1">#REF!</definedName>
    <definedName name="_33___123Graph_XCHART_18" localSheetId="1" hidden="1">#REF!</definedName>
    <definedName name="_33___123Graph_XCHART_18" hidden="1">#REF!</definedName>
    <definedName name="_33__123Graph_BCHART_3" localSheetId="1" hidden="1">#REF!</definedName>
    <definedName name="_33__123Graph_BCHART_3" hidden="1">#REF!</definedName>
    <definedName name="_33__123Graph_XCHART_18" localSheetId="1" hidden="1">#REF!</definedName>
    <definedName name="_33__123Graph_XCHART_18" hidden="1">#REF!</definedName>
    <definedName name="_33__123Graph_XCHART_18_1">0</definedName>
    <definedName name="_330__123Graph_XCHART_18" localSheetId="1" hidden="1">#REF!</definedName>
    <definedName name="_330__123Graph_XCHART_18" hidden="1">#REF!</definedName>
    <definedName name="_3333" localSheetId="1" hidden="1">#REF!</definedName>
    <definedName name="_3333" hidden="1">#REF!</definedName>
    <definedName name="_34" localSheetId="1">#REF!</definedName>
    <definedName name="_34">#REF!</definedName>
    <definedName name="_34_____________________________________123Graph_ACHART_4" localSheetId="1" hidden="1">#REF!</definedName>
    <definedName name="_34_____________________________________123Graph_ACHART_4" hidden="1">#REF!</definedName>
    <definedName name="_34___123Graph_CSEG_PIE" localSheetId="1" hidden="1">#REF!</definedName>
    <definedName name="_34___123Graph_CSEG_PIE" hidden="1">#REF!</definedName>
    <definedName name="_34___123Graph_XCHART_19" localSheetId="1" hidden="1">#REF!</definedName>
    <definedName name="_34___123Graph_XCHART_19" hidden="1">#REF!</definedName>
    <definedName name="_34__123Graph_CSEG_PIE" localSheetId="1" hidden="1">#REF!</definedName>
    <definedName name="_34__123Graph_CSEG_PIE" hidden="1">#REF!</definedName>
    <definedName name="_34__123Graph_CSEG_PIE_1">0</definedName>
    <definedName name="_34__123Graph_XCHART_19" localSheetId="1" hidden="1">#REF!</definedName>
    <definedName name="_34__123Graph_XCHART_19" hidden="1">#REF!</definedName>
    <definedName name="_34__123Graph_XCHART_19_1">0</definedName>
    <definedName name="_340__123Graph_XCHART_19" hidden="1">#REF!</definedName>
    <definedName name="_35">#REF!</definedName>
    <definedName name="_35_____________________________________123Graph_BCHART_3" localSheetId="1" hidden="1">#REF!</definedName>
    <definedName name="_35_____________________________________123Graph_BCHART_3" hidden="1">#REF!</definedName>
    <definedName name="_35___123Graph_XCHART_22" localSheetId="1" hidden="1">#REF!</definedName>
    <definedName name="_35___123Graph_XCHART_22" hidden="1">#REF!</definedName>
    <definedName name="_35__123Graph_XCHART_22" localSheetId="1" hidden="1">#REF!</definedName>
    <definedName name="_35__123Graph_XCHART_22" hidden="1">#REF!</definedName>
    <definedName name="_35__123Graph_XCHART_22_1">0</definedName>
    <definedName name="_350__123Graph_XCHART_22" localSheetId="1" hidden="1">#REF!</definedName>
    <definedName name="_350__123Graph_XCHART_22" hidden="1">#REF!</definedName>
    <definedName name="_353_________________123Graph_ACHART_3" localSheetId="1" hidden="1">#REF!</definedName>
    <definedName name="_353_________________123Graph_ACHART_3" hidden="1">#REF!</definedName>
    <definedName name="_354_________________123Graph_ACHART_4" localSheetId="1" hidden="1">#REF!</definedName>
    <definedName name="_354_________________123Graph_ACHART_4" hidden="1">#REF!</definedName>
    <definedName name="_355_________________123Graph_BCHART_3" localSheetId="1" hidden="1">#REF!</definedName>
    <definedName name="_355_________________123Graph_BCHART_3" hidden="1">#REF!</definedName>
    <definedName name="_356_________________123Graph_BCHART_4" localSheetId="1" hidden="1">#REF!</definedName>
    <definedName name="_356_________________123Graph_BCHART_4" hidden="1">#REF!</definedName>
    <definedName name="_357_________________123Graph_XCHART_3" hidden="1">#REF!</definedName>
    <definedName name="_358_________________123Graph_XCHART_4" hidden="1">#REF!</definedName>
    <definedName name="_36" localSheetId="1">#REF!</definedName>
    <definedName name="_36">#REF!</definedName>
    <definedName name="_36_____________________________________123Graph_BCHART_4" localSheetId="1" hidden="1">#REF!</definedName>
    <definedName name="_36_____________________________________123Graph_BCHART_4" hidden="1">#REF!</definedName>
    <definedName name="_36___123Graph_DCHART_15" localSheetId="1" hidden="1">#REF!</definedName>
    <definedName name="_36___123Graph_DCHART_15" hidden="1">#REF!</definedName>
    <definedName name="_36___123Graph_XSEG_PIE" localSheetId="1" hidden="1">#REF!</definedName>
    <definedName name="_36___123Graph_XSEG_PIE" hidden="1">#REF!</definedName>
    <definedName name="_36__123Graph_BCHART_3" localSheetId="1" hidden="1">#REF!</definedName>
    <definedName name="_36__123Graph_BCHART_3" hidden="1">#REF!</definedName>
    <definedName name="_36__123Graph_DCHART_15" localSheetId="1" hidden="1">#REF!</definedName>
    <definedName name="_36__123Graph_DCHART_15" hidden="1">#REF!</definedName>
    <definedName name="_36__123Graph_DCHART_15_1">0</definedName>
    <definedName name="_36__123Graph_XSEG_PIE" localSheetId="1" hidden="1">#REF!</definedName>
    <definedName name="_36__123Graph_XSEG_PIE" hidden="1">#REF!</definedName>
    <definedName name="_36__123Graph_XSEG_PIE_1">0</definedName>
    <definedName name="_360__123Graph_XSEG_PIE" localSheetId="1" hidden="1">#REF!</definedName>
    <definedName name="_360__123Graph_XSEG_PIE" hidden="1">#REF!</definedName>
    <definedName name="_37" localSheetId="1">#REF!</definedName>
    <definedName name="_37">#REF!</definedName>
    <definedName name="_37_____________________________________123Graph_XCHART_3" hidden="1">#REF!</definedName>
    <definedName name="_37__123Graph_ACHART_12" hidden="1">#REF!</definedName>
    <definedName name="_38">#REF!</definedName>
    <definedName name="_38_____________________________________123Graph_XCHART_4" hidden="1">#REF!</definedName>
    <definedName name="_38___123Graph_DCHART_16" hidden="1">#REF!</definedName>
    <definedName name="_38__123Graph_ACHART_15" hidden="1">#REF!</definedName>
    <definedName name="_38__123Graph_BCHART_4" localSheetId="1" hidden="1">#REF!</definedName>
    <definedName name="_38__123Graph_BCHART_4" hidden="1">#REF!</definedName>
    <definedName name="_38__123Graph_DCHART_16" localSheetId="1" hidden="1">#REF!</definedName>
    <definedName name="_38__123Graph_DCHART_16" hidden="1">#REF!</definedName>
    <definedName name="_38__123Graph_DCHART_16_1">0</definedName>
    <definedName name="_39">#REF!</definedName>
    <definedName name="_39____________________________________123Graph_ACHART_3" localSheetId="1" hidden="1">#REF!</definedName>
    <definedName name="_39____________________________________123Graph_ACHART_3" hidden="1">#REF!</definedName>
    <definedName name="_39__123Graph_ACHART_16" localSheetId="1" hidden="1">#REF!</definedName>
    <definedName name="_39__123Graph_ACHART_16" hidden="1">#REF!</definedName>
    <definedName name="_39__123Graph_XCHART_3" hidden="1">#REF!</definedName>
    <definedName name="_3ab1_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3ab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3H_E">#REF!</definedName>
    <definedName name="_3m1_" localSheetId="1">#REF!</definedName>
    <definedName name="_3m1_">#REF!</definedName>
    <definedName name="_4">#REF!</definedName>
    <definedName name="_4_____________________________________________123Graph_BCHART_4" localSheetId="1" hidden="1">#REF!</definedName>
    <definedName name="_4_____________________________________________123Graph_BCHART_4" hidden="1">#REF!</definedName>
    <definedName name="_4_____123Graph_BCHART_4" localSheetId="1" hidden="1">#REF!</definedName>
    <definedName name="_4_____123Graph_BCHART_4" hidden="1">#REF!</definedName>
    <definedName name="_4____123Graph_ACHART_4" localSheetId="1" hidden="1">#REF!</definedName>
    <definedName name="_4____123Graph_ACHART_4" hidden="1">#REF!</definedName>
    <definedName name="_4____123Graph_BCHART_4" localSheetId="1" hidden="1">#REF!</definedName>
    <definedName name="_4____123Graph_BCHART_4" hidden="1">#REF!</definedName>
    <definedName name="_4___123Graph_ACHART_15" hidden="1">#REF!</definedName>
    <definedName name="_4___123Graph_ACHART_17" hidden="1">#REF!</definedName>
    <definedName name="_4___123Graph_ACHART_4" localSheetId="1" hidden="1">#REF!</definedName>
    <definedName name="_4___123Graph_ACHART_4" hidden="1">#REF!</definedName>
    <definedName name="_4___123Graph_BCHART_3" localSheetId="1" hidden="1">#REF!</definedName>
    <definedName name="_4___123Graph_BCHART_3" hidden="1">#REF!</definedName>
    <definedName name="_4___123Graph_BCHART_4" localSheetId="1" hidden="1">#REF!</definedName>
    <definedName name="_4___123Graph_BCHART_4" hidden="1">#REF!</definedName>
    <definedName name="_4__123Graph_ACHART_15" hidden="1">#REF!</definedName>
    <definedName name="_4__123Graph_ACHART_15_1">0</definedName>
    <definedName name="_4__123Graph_ACHART_17" hidden="1">#REF!</definedName>
    <definedName name="_4__123Graph_ACHART_17_1">0</definedName>
    <definedName name="_4__123Graph_ACHART_3" localSheetId="1" hidden="1">#REF!</definedName>
    <definedName name="_4__123Graph_ACHART_3" hidden="1">#REF!</definedName>
    <definedName name="_4__123Graph_ACHART_4" hidden="1">#REF!</definedName>
    <definedName name="_4__123Graph_BChart_1Q" localSheetId="1" hidden="1">#REF!</definedName>
    <definedName name="_4__123Graph_BChart_1Q" hidden="1">#REF!</definedName>
    <definedName name="_4__123Graph_BCHART_4" localSheetId="1" hidden="1">#REF!</definedName>
    <definedName name="_4__123Graph_BCHART_4" hidden="1">#REF!</definedName>
    <definedName name="_4__123Graph_BService_Expense" localSheetId="1" hidden="1">#REF!</definedName>
    <definedName name="_4__123Graph_BService_Expense" hidden="1">#REF!</definedName>
    <definedName name="_4__123Graph_CCHART_1" hidden="1">#REF!</definedName>
    <definedName name="_4__123Graph_XCHART_1A" hidden="1">#REF!</definedName>
    <definedName name="_40">#REF!</definedName>
    <definedName name="_40____________________________________123Graph_ACHART_4" localSheetId="1" hidden="1">#REF!</definedName>
    <definedName name="_40____________________________________123Graph_ACHART_4" hidden="1">#REF!</definedName>
    <definedName name="_40___123Graph_DCHART_17" localSheetId="1" hidden="1">#REF!</definedName>
    <definedName name="_40___123Graph_DCHART_17" hidden="1">#REF!</definedName>
    <definedName name="_40__123Graph_ACHART_17" localSheetId="1" hidden="1">#REF!</definedName>
    <definedName name="_40__123Graph_ACHART_17" hidden="1">#REF!</definedName>
    <definedName name="_40__123Graph_DCHART_17" localSheetId="1" hidden="1">#REF!</definedName>
    <definedName name="_40__123Graph_DCHART_17" hidden="1">#REF!</definedName>
    <definedName name="_40__123Graph_DCHART_17_1">0</definedName>
    <definedName name="_40__123Graph_XCHART_4" hidden="1">#REF!</definedName>
    <definedName name="_400">#N/A</definedName>
    <definedName name="_41">#REF!</definedName>
    <definedName name="_41____________________________________123Graph_BCHART_3" localSheetId="1" hidden="1">#REF!</definedName>
    <definedName name="_41____________________________________123Graph_BCHART_3" hidden="1">#REF!</definedName>
    <definedName name="_41__123Graph_ACHART_18" localSheetId="1" hidden="1">#REF!</definedName>
    <definedName name="_41__123Graph_ACHART_18" hidden="1">#REF!</definedName>
    <definedName name="_412_________________Headings_4_1">#REF!</definedName>
    <definedName name="_42">#REF!</definedName>
    <definedName name="_42____________________________________123Graph_BCHART_4" localSheetId="1" hidden="1">#REF!</definedName>
    <definedName name="_42____________________________________123Graph_BCHART_4" hidden="1">#REF!</definedName>
    <definedName name="_42___123Graph_DCHART_22" localSheetId="1" hidden="1">#REF!</definedName>
    <definedName name="_42___123Graph_DCHART_22" hidden="1">#REF!</definedName>
    <definedName name="_42__123Graph_ACHART_19" localSheetId="1" hidden="1">#REF!</definedName>
    <definedName name="_42__123Graph_ACHART_19" hidden="1">#REF!</definedName>
    <definedName name="_42__123Graph_BCHART_4" localSheetId="1" hidden="1">#REF!</definedName>
    <definedName name="_42__123Graph_BCHART_4" hidden="1">#REF!</definedName>
    <definedName name="_42__123Graph_DCHART_22" hidden="1">#REF!</definedName>
    <definedName name="_42__123Graph_DCHART_22_1">0</definedName>
    <definedName name="_43">#REF!</definedName>
    <definedName name="_43____________________________________123Graph_XCHART_3" hidden="1">#REF!</definedName>
    <definedName name="_43__123Graph_ACHART_2" hidden="1">#REF!</definedName>
    <definedName name="_43__123Graph_XCHART_3" hidden="1">#REF!</definedName>
    <definedName name="_43_a_1" localSheetId="1">#REF!</definedName>
    <definedName name="_43_a_1">#REF!</definedName>
    <definedName name="_44">#REF!</definedName>
    <definedName name="_44____________________________________123Graph_XCHART_4" hidden="1">#REF!</definedName>
    <definedName name="_44___123Graph_ECHART_15" hidden="1">#REF!</definedName>
    <definedName name="_44__123Graph_ACHART_21" hidden="1">#REF!</definedName>
    <definedName name="_44__123Graph_ECHART_15" hidden="1">#REF!</definedName>
    <definedName name="_44__123Graph_ECHART_15_1">0</definedName>
    <definedName name="_44__123Graph_XCHART_4" hidden="1">#REF!</definedName>
    <definedName name="_45">#REF!</definedName>
    <definedName name="_45___________________________________123Graph_ACHART_3" localSheetId="1" hidden="1">#REF!</definedName>
    <definedName name="_45___________________________________123Graph_ACHART_3" hidden="1">#REF!</definedName>
    <definedName name="_45__123Graph_ASEG_PIE" localSheetId="1" hidden="1">#REF!</definedName>
    <definedName name="_45__123Graph_ASEG_PIE" hidden="1">#REF!</definedName>
    <definedName name="_46">#REF!</definedName>
    <definedName name="_46___________________________________123Graph_ACHART_4" localSheetId="1" hidden="1">#REF!</definedName>
    <definedName name="_46___________________________________123Graph_ACHART_4" hidden="1">#REF!</definedName>
    <definedName name="_46___123Graph_ECHART_16" localSheetId="1" hidden="1">#REF!</definedName>
    <definedName name="_46___123Graph_ECHART_16" hidden="1">#REF!</definedName>
    <definedName name="_46__123Graph_BCHART_15" localSheetId="1" hidden="1">#REF!</definedName>
    <definedName name="_46__123Graph_BCHART_15" hidden="1">#REF!</definedName>
    <definedName name="_46__123Graph_ECHART_16" localSheetId="1" hidden="1">#REF!</definedName>
    <definedName name="_46__123Graph_ECHART_16" hidden="1">#REF!</definedName>
    <definedName name="_46__123Graph_ECHART_16_1">0</definedName>
    <definedName name="_46_a_1_1_1" localSheetId="1">#REF!</definedName>
    <definedName name="_46_a_1_1_1">#REF!</definedName>
    <definedName name="_47">#REF!</definedName>
    <definedName name="_47___________________________________123Graph_BCHART_3" localSheetId="1" hidden="1">#REF!</definedName>
    <definedName name="_47___________________________________123Graph_BCHART_3" hidden="1">#REF!</definedName>
    <definedName name="_47__123Graph_BCHART_16" localSheetId="1" hidden="1">#REF!</definedName>
    <definedName name="_47__123Graph_BCHART_16" hidden="1">#REF!</definedName>
    <definedName name="_47_a_1" localSheetId="1">#REF!</definedName>
    <definedName name="_47_a_1">#REF!</definedName>
    <definedName name="_48">#REF!</definedName>
    <definedName name="_48___________________________________123Graph_BCHART_4" localSheetId="1" hidden="1">#REF!</definedName>
    <definedName name="_48___________________________________123Graph_BCHART_4" hidden="1">#REF!</definedName>
    <definedName name="_48___123Graph_ECHART_17" localSheetId="1" hidden="1">#REF!</definedName>
    <definedName name="_48___123Graph_ECHART_17" hidden="1">#REF!</definedName>
    <definedName name="_48__123Graph_BCHART_17" localSheetId="1" hidden="1">#REF!</definedName>
    <definedName name="_48__123Graph_BCHART_17" hidden="1">#REF!</definedName>
    <definedName name="_48__123Graph_ECHART_17" localSheetId="1" hidden="1">#REF!</definedName>
    <definedName name="_48__123Graph_ECHART_17" hidden="1">#REF!</definedName>
    <definedName name="_48__123Graph_ECHART_17_1">0</definedName>
    <definedName name="_49">#REF!</definedName>
    <definedName name="_49___________________________________123Graph_XCHART_3" hidden="1">#REF!</definedName>
    <definedName name="_49__123Graph_BCHART_2" hidden="1">#REF!</definedName>
    <definedName name="_49_a_4_1" localSheetId="1">#REF!</definedName>
    <definedName name="_49_a_4_1">#REF!</definedName>
    <definedName name="_4C_x">#REF!</definedName>
    <definedName name="_4단">#REF!</definedName>
    <definedName name="_5">#REF!</definedName>
    <definedName name="_5____________________________________________123Graph_ACHART_3" localSheetId="1" hidden="1">#REF!</definedName>
    <definedName name="_5____________________________________________123Graph_ACHART_3" hidden="1">#REF!</definedName>
    <definedName name="_5_____123Graph_XCHART_3" hidden="1">#REF!</definedName>
    <definedName name="_5___123Graph_ACHART_18" hidden="1">#REF!</definedName>
    <definedName name="_5___123Graph_BCHART_4" localSheetId="1" hidden="1">#REF!</definedName>
    <definedName name="_5___123Graph_BCHART_4" hidden="1">#REF!</definedName>
    <definedName name="_5___123Graph_XCHART_3" hidden="1">#REF!</definedName>
    <definedName name="_5__123Graph_ACHART_18" hidden="1">#REF!</definedName>
    <definedName name="_5__123Graph_ACHART_18_1">0</definedName>
    <definedName name="_5__123Graph_ACHART_3" hidden="1">#REF!</definedName>
    <definedName name="_5__123Graph_DCHART_1" hidden="1">#REF!</definedName>
    <definedName name="_5__123Graph_XAdmin_Expenses" localSheetId="1" hidden="1">#REF!</definedName>
    <definedName name="_5__123Graph_XAdmin_Expenses" hidden="1">#REF!</definedName>
    <definedName name="_5__123Graph_XCHART_3" hidden="1">#REF!</definedName>
    <definedName name="_50">#REF!</definedName>
    <definedName name="_50___________________________________123Graph_XCHART_4" hidden="1">#REF!</definedName>
    <definedName name="_50___123Graph_ECHART_22" hidden="1">#REF!</definedName>
    <definedName name="_50__123Graph_ACHART_18" hidden="1">#REF!</definedName>
    <definedName name="_50__123Graph_BCHART_22" hidden="1">#REF!</definedName>
    <definedName name="_50__123Graph_ECHART_22" hidden="1">#REF!</definedName>
    <definedName name="_50__123Graph_ECHART_22_1">0</definedName>
    <definedName name="_50_a_1_1_1" localSheetId="1">#REF!</definedName>
    <definedName name="_50_a_1_1_1">#REF!</definedName>
    <definedName name="_50_l_1" localSheetId="1">#REF!</definedName>
    <definedName name="_50_l_1">#REF!</definedName>
    <definedName name="_51">#REF!</definedName>
    <definedName name="_51__________________________________123Graph_ACHART_3" localSheetId="1" hidden="1">#REF!</definedName>
    <definedName name="_51__________________________________123Graph_ACHART_3" hidden="1">#REF!</definedName>
    <definedName name="_51__123Graph_CCHART_15" localSheetId="1" hidden="1">#REF!</definedName>
    <definedName name="_51__123Graph_CCHART_15" hidden="1">#REF!</definedName>
    <definedName name="_51_l_4_1" localSheetId="1">#REF!</definedName>
    <definedName name="_51_l_4_1">#REF!</definedName>
    <definedName name="_515________________123Graph_XCHART_3" hidden="1">#REF!</definedName>
    <definedName name="_516________________123Graph_XCHART_4" hidden="1">#REF!</definedName>
    <definedName name="_52">#REF!</definedName>
    <definedName name="_52__________________________________123Graph_ACHART_4" localSheetId="1" hidden="1">#REF!</definedName>
    <definedName name="_52__________________________________123Graph_ACHART_4" hidden="1">#REF!</definedName>
    <definedName name="_52___123Graph_FCHART_15" localSheetId="1" hidden="1">#REF!</definedName>
    <definedName name="_52___123Graph_FCHART_15" hidden="1">#REF!</definedName>
    <definedName name="_52__123Graph_CCHART_16" localSheetId="1" hidden="1">#REF!</definedName>
    <definedName name="_52__123Graph_CCHART_16" hidden="1">#REF!</definedName>
    <definedName name="_52__123Graph_FCHART_15" localSheetId="1" hidden="1">#REF!</definedName>
    <definedName name="_52__123Graph_FCHART_15" hidden="1">#REF!</definedName>
    <definedName name="_52__123Graph_FCHART_15_1">0</definedName>
    <definedName name="_52_p_1" localSheetId="1">#REF!</definedName>
    <definedName name="_52_p_1">#REF!</definedName>
    <definedName name="_53">#REF!</definedName>
    <definedName name="_53__________________________________123Graph_BCHART_3" localSheetId="1" hidden="1">#REF!</definedName>
    <definedName name="_53__________________________________123Graph_BCHART_3" hidden="1">#REF!</definedName>
    <definedName name="_53__123Graph_CCHART_17" localSheetId="1" hidden="1">#REF!</definedName>
    <definedName name="_53__123Graph_CCHART_17" hidden="1">#REF!</definedName>
    <definedName name="_53_a_4_1" localSheetId="1">#REF!</definedName>
    <definedName name="_53_a_4_1">#REF!</definedName>
    <definedName name="_53_p_4_1" localSheetId="1">#REF!</definedName>
    <definedName name="_53_p_4_1">#REF!</definedName>
    <definedName name="_54">#REF!</definedName>
    <definedName name="_54__________________________________123Graph_BCHART_4" localSheetId="1" hidden="1">#REF!</definedName>
    <definedName name="_54__________________________________123Graph_BCHART_4" hidden="1">#REF!</definedName>
    <definedName name="_54___123Graph_FCHART_16" localSheetId="1" hidden="1">#REF!</definedName>
    <definedName name="_54___123Graph_FCHART_16" hidden="1">#REF!</definedName>
    <definedName name="_54__123Graph_CCHART_2" localSheetId="1" hidden="1">#REF!</definedName>
    <definedName name="_54__123Graph_CCHART_2" hidden="1">#REF!</definedName>
    <definedName name="_54__123Graph_FCHART_16" localSheetId="1" hidden="1">#REF!</definedName>
    <definedName name="_54__123Graph_FCHART_16" hidden="1">#REF!</definedName>
    <definedName name="_54__123Graph_FCHART_16_1">0</definedName>
    <definedName name="_54_l_1" localSheetId="1">#REF!</definedName>
    <definedName name="_54_l_1">#REF!</definedName>
    <definedName name="_55">#REF!</definedName>
    <definedName name="_55__________________________________123Graph_XCHART_3" hidden="1">#REF!</definedName>
    <definedName name="_55__123Graph_CCHART_22" hidden="1">#REF!</definedName>
    <definedName name="_55_l_4_1" localSheetId="1">#REF!</definedName>
    <definedName name="_55_l_4_1">#REF!</definedName>
    <definedName name="_56">#REF!</definedName>
    <definedName name="_56__________________________________123Graph_XCHART_4" hidden="1">#REF!</definedName>
    <definedName name="_56___123Graph_FCHART_17" hidden="1">#REF!</definedName>
    <definedName name="_56__123Graph_CSEG_PIE" hidden="1">#REF!</definedName>
    <definedName name="_56__123Graph_FCHART_17" hidden="1">#REF!</definedName>
    <definedName name="_56__123Graph_FCHART_17_1">0</definedName>
    <definedName name="_56_p_1" localSheetId="1">#REF!</definedName>
    <definedName name="_56_p_1">#REF!</definedName>
    <definedName name="_56AcctName_4_1" localSheetId="1">#REF!</definedName>
    <definedName name="_56AcctName_4_1">#REF!</definedName>
    <definedName name="_57">#REF!</definedName>
    <definedName name="_57_________________________________123Graph_ACHART_3" localSheetId="1" hidden="1">#REF!</definedName>
    <definedName name="_57_________________________________123Graph_ACHART_3" hidden="1">#REF!</definedName>
    <definedName name="_57__123Graph_DCHART_15" localSheetId="1" hidden="1">#REF!</definedName>
    <definedName name="_57__123Graph_DCHART_15" hidden="1">#REF!</definedName>
    <definedName name="_57_p_4_1" localSheetId="1">#REF!</definedName>
    <definedName name="_57_p_4_1">#REF!</definedName>
    <definedName name="_570________________Headings_4_1">#REF!</definedName>
    <definedName name="_58">#REF!</definedName>
    <definedName name="_58_________________________________123Graph_ACHART_4" localSheetId="1" hidden="1">#REF!</definedName>
    <definedName name="_58_________________________________123Graph_ACHART_4" hidden="1">#REF!</definedName>
    <definedName name="_58___123Graph_FCHART_22" localSheetId="1" hidden="1">#REF!</definedName>
    <definedName name="_58___123Graph_FCHART_22" hidden="1">#REF!</definedName>
    <definedName name="_58__123Graph_DCHART_16" localSheetId="1" hidden="1">#REF!</definedName>
    <definedName name="_58__123Graph_DCHART_16" hidden="1">#REF!</definedName>
    <definedName name="_58__123Graph_FCHART_22" localSheetId="1" hidden="1">#REF!</definedName>
    <definedName name="_58__123Graph_FCHART_22" hidden="1">#REF!</definedName>
    <definedName name="_58__123Graph_FCHART_22_1">0</definedName>
    <definedName name="_59">#REF!</definedName>
    <definedName name="_59_________________________________123Graph_BCHART_3" localSheetId="1" hidden="1">#REF!</definedName>
    <definedName name="_59_________________________________123Graph_BCHART_3" hidden="1">#REF!</definedName>
    <definedName name="_59__123Graph_DCHART_17" localSheetId="1" hidden="1">#REF!</definedName>
    <definedName name="_59__123Graph_DCHART_17" hidden="1">#REF!</definedName>
    <definedName name="_59AcctPrio_4_1" localSheetId="1">#REF!</definedName>
    <definedName name="_59AcctPrio_4_1">#REF!</definedName>
    <definedName name="_5as1_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5as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5x7">#REF!</definedName>
    <definedName name="_6" localSheetId="1">#REF!</definedName>
    <definedName name="_6">#REF!</definedName>
    <definedName name="_6____________________________________________123Graph_ACHART_4" localSheetId="1" hidden="1">#REF!</definedName>
    <definedName name="_6____________________________________________123Graph_ACHART_4" hidden="1">#REF!</definedName>
    <definedName name="_6_____123Graph_XCHART_4" hidden="1">#REF!</definedName>
    <definedName name="_6____123Graph_BCHART_3" localSheetId="1" hidden="1">#REF!</definedName>
    <definedName name="_6____123Graph_BCHART_3" hidden="1">#REF!</definedName>
    <definedName name="_6___123Graph_ACHART_16" localSheetId="1" hidden="1">#REF!</definedName>
    <definedName name="_6___123Graph_ACHART_16" hidden="1">#REF!</definedName>
    <definedName name="_6___123Graph_ACHART_19" localSheetId="1" hidden="1">#REF!</definedName>
    <definedName name="_6___123Graph_ACHART_19" hidden="1">#REF!</definedName>
    <definedName name="_6___123Graph_BCHART_3" localSheetId="1" hidden="1">#REF!</definedName>
    <definedName name="_6___123Graph_BCHART_3" hidden="1">#REF!</definedName>
    <definedName name="_6___123Graph_XCHART_3" hidden="1">#REF!</definedName>
    <definedName name="_6___123Graph_XCHART_4" hidden="1">#REF!</definedName>
    <definedName name="_6__123Graph_ACHART_16" hidden="1">#REF!</definedName>
    <definedName name="_6__123Graph_ACHART_16_1">0</definedName>
    <definedName name="_6__123Graph_ACHART_19" hidden="1">#REF!</definedName>
    <definedName name="_6__123Graph_ACHART_19_1">0</definedName>
    <definedName name="_6__123Graph_ACHART_4" localSheetId="1" hidden="1">#REF!</definedName>
    <definedName name="_6__123Graph_ACHART_4" hidden="1">#REF!</definedName>
    <definedName name="_6__123Graph_BCHART_3" localSheetId="1" hidden="1">#REF!</definedName>
    <definedName name="_6__123Graph_BCHART_3" hidden="1">#REF!</definedName>
    <definedName name="_6__123Graph_XCHART_4" hidden="1">#REF!</definedName>
    <definedName name="_6__123Graph_XService_Expense" localSheetId="1" hidden="1">#REF!</definedName>
    <definedName name="_6__123Graph_XService_Expense" hidden="1">#REF!</definedName>
    <definedName name="_60">#REF!</definedName>
    <definedName name="_60_________________________________123Graph_BCHART_4" localSheetId="1" hidden="1">#REF!</definedName>
    <definedName name="_60_________________________________123Graph_BCHART_4" hidden="1">#REF!</definedName>
    <definedName name="_60___123Graph_XCHART_15" localSheetId="1" hidden="1">#REF!</definedName>
    <definedName name="_60___123Graph_XCHART_15" hidden="1">#REF!</definedName>
    <definedName name="_60__123Graph_ACHART_19" localSheetId="1" hidden="1">#REF!</definedName>
    <definedName name="_60__123Graph_ACHART_19" hidden="1">#REF!</definedName>
    <definedName name="_60__123Graph_DCHART_2" localSheetId="1" hidden="1">#REF!</definedName>
    <definedName name="_60__123Graph_DCHART_2" hidden="1">#REF!</definedName>
    <definedName name="_60__123Graph_XCHART_15" localSheetId="1" hidden="1">#REF!</definedName>
    <definedName name="_60__123Graph_XCHART_15" hidden="1">#REF!</definedName>
    <definedName name="_60__123Graph_XCHART_15_1">0</definedName>
    <definedName name="_60AcctName_4_1" localSheetId="1">#REF!</definedName>
    <definedName name="_60AcctName_4_1">#REF!</definedName>
    <definedName name="_61">#REF!</definedName>
    <definedName name="_61_________________________________123Graph_XCHART_3" hidden="1">#REF!</definedName>
    <definedName name="_61__123Graph_DCHART_22" hidden="1">#REF!</definedName>
    <definedName name="_62">#REF!</definedName>
    <definedName name="_62_________________________________123Graph_XCHART_4" hidden="1">#REF!</definedName>
    <definedName name="_62___123Graph_XCHART_16" hidden="1">#REF!</definedName>
    <definedName name="_62__123Graph_ECHART_15" hidden="1">#REF!</definedName>
    <definedName name="_62__123Graph_XCHART_16" hidden="1">#REF!</definedName>
    <definedName name="_62__123Graph_XCHART_16_1">0</definedName>
    <definedName name="_62AcctPrio_Text_4_1" localSheetId="1">#REF!</definedName>
    <definedName name="_62AcctPrio_Text_4_1">#REF!</definedName>
    <definedName name="_63">#REF!</definedName>
    <definedName name="_63________________________________123Graph_ACHART_3" localSheetId="1" hidden="1">#REF!</definedName>
    <definedName name="_63________________________________123Graph_ACHART_3" hidden="1">#REF!</definedName>
    <definedName name="_63__123Graph_ECHART_16" localSheetId="1" hidden="1">#REF!</definedName>
    <definedName name="_63__123Graph_ECHART_16" hidden="1">#REF!</definedName>
    <definedName name="_63AcctPrio_4_1" localSheetId="1">#REF!</definedName>
    <definedName name="_63AcctPrio_4_1">#REF!</definedName>
    <definedName name="_63BidClass_4_1" localSheetId="1">#REF!</definedName>
    <definedName name="_63BidClass_4_1">#REF!</definedName>
    <definedName name="_64">#REF!</definedName>
    <definedName name="_64________________________________123Graph_ACHART_4" localSheetId="1" hidden="1">#REF!</definedName>
    <definedName name="_64________________________________123Graph_ACHART_4" hidden="1">#REF!</definedName>
    <definedName name="_64___123Graph_XCHART_17" localSheetId="1" hidden="1">#REF!</definedName>
    <definedName name="_64___123Graph_XCHART_17" hidden="1">#REF!</definedName>
    <definedName name="_64__123Graph_ECHART_17" localSheetId="1" hidden="1">#REF!</definedName>
    <definedName name="_64__123Graph_ECHART_17" hidden="1">#REF!</definedName>
    <definedName name="_64__123Graph_XCHART_17" localSheetId="1" hidden="1">#REF!</definedName>
    <definedName name="_64__123Graph_XCHART_17" hidden="1">#REF!</definedName>
    <definedName name="_64__123Graph_XCHART_17_1">0</definedName>
    <definedName name="_64BidClass_Text_4_1" localSheetId="1">#REF!</definedName>
    <definedName name="_64BidClass_Text_4_1">#REF!</definedName>
    <definedName name="_65">#REF!</definedName>
    <definedName name="_65________________________________123Graph_BCHART_3" localSheetId="1" hidden="1">#REF!</definedName>
    <definedName name="_65________________________________123Graph_BCHART_3" hidden="1">#REF!</definedName>
    <definedName name="_65__123Graph_ECHART_2" localSheetId="1" hidden="1">#REF!</definedName>
    <definedName name="_65__123Graph_ECHART_2" hidden="1">#REF!</definedName>
    <definedName name="_66">#REF!</definedName>
    <definedName name="_66________________________________123Graph_BCHART_4" localSheetId="1" hidden="1">#REF!</definedName>
    <definedName name="_66________________________________123Graph_BCHART_4" hidden="1">#REF!</definedName>
    <definedName name="_66___123Graph_XCHART_18" localSheetId="1" hidden="1">#REF!</definedName>
    <definedName name="_66___123Graph_XCHART_18" hidden="1">#REF!</definedName>
    <definedName name="_66__123Graph_ECHART_22" localSheetId="1" hidden="1">#REF!</definedName>
    <definedName name="_66__123Graph_ECHART_22" hidden="1">#REF!</definedName>
    <definedName name="_66__123Graph_XCHART_18" localSheetId="1" hidden="1">#REF!</definedName>
    <definedName name="_66__123Graph_XCHART_18" hidden="1">#REF!</definedName>
    <definedName name="_66__123Graph_XCHART_18_1">0</definedName>
    <definedName name="_669_______________123Graph_ACHART_3" localSheetId="1" hidden="1">#REF!</definedName>
    <definedName name="_669_______________123Graph_ACHART_3" hidden="1">#REF!</definedName>
    <definedName name="_66AcctPrio_Text_4_1" localSheetId="1">#REF!</definedName>
    <definedName name="_66AcctPrio_Text_4_1">#REF!</definedName>
    <definedName name="_67">#REF!</definedName>
    <definedName name="_67________________________________123Graph_XCHART_3" hidden="1">#REF!</definedName>
    <definedName name="_67__123Graph_FCHART_15" hidden="1">#REF!</definedName>
    <definedName name="_670_______________123Graph_ACHART_4" localSheetId="1" hidden="1">#REF!</definedName>
    <definedName name="_670_______________123Graph_ACHART_4" hidden="1">#REF!</definedName>
    <definedName name="_671_______________123Graph_BCHART_3" localSheetId="1" hidden="1">#REF!</definedName>
    <definedName name="_671_______________123Graph_BCHART_3" hidden="1">#REF!</definedName>
    <definedName name="_672_______________123Graph_BCHART_4" localSheetId="1" hidden="1">#REF!</definedName>
    <definedName name="_672_______________123Graph_BCHART_4" hidden="1">#REF!</definedName>
    <definedName name="_673_______________123Graph_XCHART_3" hidden="1">#REF!</definedName>
    <definedName name="_674_______________123Graph_XCHART_4" hidden="1">#REF!</definedName>
    <definedName name="_67BidClass_4_1" localSheetId="1">#REF!</definedName>
    <definedName name="_67BidClass_4_1">#REF!</definedName>
    <definedName name="_67BillingFreq_4_1" localSheetId="1">#REF!</definedName>
    <definedName name="_67BillingFreq_4_1">#REF!</definedName>
    <definedName name="_68">#REF!</definedName>
    <definedName name="_68________________________________123Graph_XCHART_4" hidden="1">#REF!</definedName>
    <definedName name="_68___123Graph_XCHART_19" hidden="1">#REF!</definedName>
    <definedName name="_68__123Graph_FCHART_16" hidden="1">#REF!</definedName>
    <definedName name="_68__123Graph_XCHART_19" hidden="1">#REF!</definedName>
    <definedName name="_68__123Graph_XCHART_19_1">0</definedName>
    <definedName name="_68BidClass_Text_4_1" localSheetId="1">#REF!</definedName>
    <definedName name="_68BidClass_Text_4_1">#REF!</definedName>
    <definedName name="_69">#REF!</definedName>
    <definedName name="_69_______________________________123Graph_ACHART_3" localSheetId="1" hidden="1">#REF!</definedName>
    <definedName name="_69_______________________________123Graph_ACHART_3" hidden="1">#REF!</definedName>
    <definedName name="_69__123Graph_FCHART_17" localSheetId="1" hidden="1">#REF!</definedName>
    <definedName name="_69__123Graph_FCHART_17" hidden="1">#REF!</definedName>
    <definedName name="_7" localSheetId="1">#REF!</definedName>
    <definedName name="_7">#REF!</definedName>
    <definedName name="_7____________________________________________123Graph_BCHART_3" localSheetId="1" hidden="1">#REF!</definedName>
    <definedName name="_7____________________________________________123Graph_BCHART_3" hidden="1">#REF!</definedName>
    <definedName name="_7____123Graph_ACHART_3" localSheetId="1" hidden="1">#REF!</definedName>
    <definedName name="_7____123Graph_ACHART_3" hidden="1">#REF!</definedName>
    <definedName name="_7___123Graph_ACHART_21" hidden="1">#REF!</definedName>
    <definedName name="_7___123Graph_ACHART_3" localSheetId="1" hidden="1">#REF!</definedName>
    <definedName name="_7___123Graph_ACHART_3" hidden="1">#REF!</definedName>
    <definedName name="_7___123Graph_XCHART_4" hidden="1">#REF!</definedName>
    <definedName name="_7__123Graph_ACHART_21" hidden="1">#REF!</definedName>
    <definedName name="_7__123Graph_ACHART_21_1">0</definedName>
    <definedName name="_7__123Graph_ACHART_3" localSheetId="1" hidden="1">#REF!</definedName>
    <definedName name="_7__123Graph_ACHART_3" hidden="1">#REF!</definedName>
    <definedName name="_7_??" localSheetId="1">#REF!</definedName>
    <definedName name="_7_??">#REF!</definedName>
    <definedName name="_70">#REF!</definedName>
    <definedName name="_70_______________________________123Graph_ACHART_4" localSheetId="1" hidden="1">#REF!</definedName>
    <definedName name="_70_______________________________123Graph_ACHART_4" hidden="1">#REF!</definedName>
    <definedName name="_70___123Graph_XCHART_22" localSheetId="1" hidden="1">#REF!</definedName>
    <definedName name="_70___123Graph_XCHART_22" hidden="1">#REF!</definedName>
    <definedName name="_70__123Graph_ACHART_21" localSheetId="1" hidden="1">#REF!</definedName>
    <definedName name="_70__123Graph_ACHART_21" hidden="1">#REF!</definedName>
    <definedName name="_70__123Graph_FCHART_2" localSheetId="1" hidden="1">#REF!</definedName>
    <definedName name="_70__123Graph_FCHART_2" hidden="1">#REF!</definedName>
    <definedName name="_70__123Graph_XCHART_22" localSheetId="1" hidden="1">#REF!</definedName>
    <definedName name="_70__123Graph_XCHART_22" hidden="1">#REF!</definedName>
    <definedName name="_70__123Graph_XCHART_22_1">0</definedName>
    <definedName name="_70BillingTiming_4_1" localSheetId="1">#REF!</definedName>
    <definedName name="_70BillingTiming_4_1">#REF!</definedName>
    <definedName name="_70Headings_4_1">#REF!</definedName>
    <definedName name="_71">#REF!</definedName>
    <definedName name="_71_______________________________123Graph_BCHART_3" localSheetId="1" hidden="1">#REF!</definedName>
    <definedName name="_71_______________________________123Graph_BCHART_3" hidden="1">#REF!</definedName>
    <definedName name="_71__123Graph_FCHART_22" localSheetId="1" hidden="1">#REF!</definedName>
    <definedName name="_71__123Graph_FCHART_22" hidden="1">#REF!</definedName>
    <definedName name="_71BillingFreq_4_1" localSheetId="1">#REF!</definedName>
    <definedName name="_71BillingFreq_4_1">#REF!</definedName>
    <definedName name="_71BusType_4_1" localSheetId="1">#REF!</definedName>
    <definedName name="_71BusType_4_1">#REF!</definedName>
    <definedName name="_72">#REF!</definedName>
    <definedName name="_72_______________________________123Graph_BCHART_4" localSheetId="1" hidden="1">#REF!</definedName>
    <definedName name="_72_______________________________123Graph_BCHART_4" hidden="1">#REF!</definedName>
    <definedName name="_72___123Graph_XSEG_PIE" localSheetId="1" hidden="1">#REF!</definedName>
    <definedName name="_72___123Graph_XSEG_PIE" hidden="1">#REF!</definedName>
    <definedName name="_72__123Graph_XCHART_15" localSheetId="1" hidden="1">#REF!</definedName>
    <definedName name="_72__123Graph_XCHART_15" hidden="1">#REF!</definedName>
    <definedName name="_72__123Graph_XSEG_PIE" localSheetId="1" hidden="1">#REF!</definedName>
    <definedName name="_72__123Graph_XSEG_PIE" hidden="1">#REF!</definedName>
    <definedName name="_72__123Graph_XSEG_PIE_1">0</definedName>
    <definedName name="_728_______________Headings_4_1">#REF!</definedName>
    <definedName name="_72BusType_Text_4_1" localSheetId="1">#REF!</definedName>
    <definedName name="_72BusType_Text_4_1">#REF!</definedName>
    <definedName name="_72Headings_4_1">#REF!</definedName>
    <definedName name="_73">#REF!</definedName>
    <definedName name="_73_______________________________123Graph_XCHART_3" hidden="1">#REF!</definedName>
    <definedName name="_73__123Graph_XCHART_16" hidden="1">#REF!</definedName>
    <definedName name="_73cab21.5tp_4_1" localSheetId="1">#REF!</definedName>
    <definedName name="_73cab21.5tp_4_1">#REF!</definedName>
    <definedName name="_74">#REF!</definedName>
    <definedName name="_74_______________________________123Graph_XCHART_4" hidden="1">#REF!</definedName>
    <definedName name="_74__123Graph_ACHART_12" hidden="1">#REF!</definedName>
    <definedName name="_74__123Graph_XCHART_17" hidden="1">#REF!</definedName>
    <definedName name="_74BillingTiming_4_1" localSheetId="1">#REF!</definedName>
    <definedName name="_74BillingTiming_4_1">#REF!</definedName>
    <definedName name="_74cab21s_4_1" localSheetId="1">#REF!</definedName>
    <definedName name="_74cab21s_4_1">#REF!</definedName>
    <definedName name="_75">#REF!</definedName>
    <definedName name="_75______________________________123Graph_ACHART_3" localSheetId="1" hidden="1">#REF!</definedName>
    <definedName name="_75______________________________123Graph_ACHART_3" hidden="1">#REF!</definedName>
    <definedName name="_75__123Graph_XCHART_18" localSheetId="1" hidden="1">#REF!</definedName>
    <definedName name="_75__123Graph_XCHART_18" hidden="1">#REF!</definedName>
    <definedName name="_75BusType_4_1" localSheetId="1">#REF!</definedName>
    <definedName name="_75BusType_4_1">#REF!</definedName>
    <definedName name="_75cab21us_4_1" localSheetId="1">#REF!</definedName>
    <definedName name="_75cab21us_4_1">#REF!</definedName>
    <definedName name="_76______________________________123Graph_ACHART_4" localSheetId="1" hidden="1">#REF!</definedName>
    <definedName name="_76______________________________123Graph_ACHART_4" hidden="1">#REF!</definedName>
    <definedName name="_76__123Graph_ACHART_15" localSheetId="1" hidden="1">#REF!</definedName>
    <definedName name="_76__123Graph_ACHART_15" hidden="1">#REF!</definedName>
    <definedName name="_76__123Graph_XCHART_19" hidden="1">#REF!</definedName>
    <definedName name="_76BusType_Text_4_1" localSheetId="1">#REF!</definedName>
    <definedName name="_76BusType_Text_4_1">#REF!</definedName>
    <definedName name="_76cab31s_4_1" localSheetId="1">#REF!</definedName>
    <definedName name="_76cab31s_4_1">#REF!</definedName>
    <definedName name="_77______________________________123Graph_BCHART_3" localSheetId="1" hidden="1">#REF!</definedName>
    <definedName name="_77______________________________123Graph_BCHART_3" hidden="1">#REF!</definedName>
    <definedName name="_77__123Graph_XCHART_2" hidden="1">#REF!</definedName>
    <definedName name="_77cab21.5tp_4_1" localSheetId="1">#REF!</definedName>
    <definedName name="_77cab21.5tp_4_1">#REF!</definedName>
    <definedName name="_77cab31us_4_1" localSheetId="1">#REF!</definedName>
    <definedName name="_77cab31us_4_1">#REF!</definedName>
    <definedName name="_78______________________________123Graph_BCHART_4" localSheetId="1" hidden="1">#REF!</definedName>
    <definedName name="_78______________________________123Graph_BCHART_4" hidden="1">#REF!</definedName>
    <definedName name="_78__123Graph_ACHART_16" localSheetId="1" hidden="1">#REF!</definedName>
    <definedName name="_78__123Graph_ACHART_16" hidden="1">#REF!</definedName>
    <definedName name="_78__123Graph_XCHART_22" localSheetId="1" hidden="1">#REF!</definedName>
    <definedName name="_78__123Graph_XCHART_22" hidden="1">#REF!</definedName>
    <definedName name="_78cab21s_4_1" localSheetId="1">#REF!</definedName>
    <definedName name="_78cab21s_4_1">#REF!</definedName>
    <definedName name="_78cab41s_4_1" localSheetId="1">#REF!</definedName>
    <definedName name="_78cab41s_4_1">#REF!</definedName>
    <definedName name="_79______________________________123Graph_XCHART_3" hidden="1">#REF!</definedName>
    <definedName name="_79__123Graph_XSEG_PIE" hidden="1">#REF!</definedName>
    <definedName name="_79cab21us_4_1" localSheetId="1">#REF!</definedName>
    <definedName name="_79cab21us_4_1">#REF!</definedName>
    <definedName name="_79cab41us_4_1" localSheetId="1">#REF!</definedName>
    <definedName name="_79cab41us_4_1">#REF!</definedName>
    <definedName name="_8" localSheetId="1">#REF!</definedName>
    <definedName name="_8">#REF!</definedName>
    <definedName name="_8____________________________________________123Graph_BCHART_4" localSheetId="1" hidden="1">#REF!</definedName>
    <definedName name="_8____________________________________________123Graph_BCHART_4" hidden="1">#REF!</definedName>
    <definedName name="_8____123Graph_ACHART_4" localSheetId="1" hidden="1">#REF!</definedName>
    <definedName name="_8____123Graph_ACHART_4" hidden="1">#REF!</definedName>
    <definedName name="_8____123Graph_BCHART_4" localSheetId="1" hidden="1">#REF!</definedName>
    <definedName name="_8____123Graph_BCHART_4" hidden="1">#REF!</definedName>
    <definedName name="_8___123Graph_ACHART_17" localSheetId="1" hidden="1">#REF!</definedName>
    <definedName name="_8___123Graph_ACHART_17" hidden="1">#REF!</definedName>
    <definedName name="_8___123Graph_ASEG_PIE" hidden="1">#REF!</definedName>
    <definedName name="_8___123Graph_BCHART_4" localSheetId="1" hidden="1">#REF!</definedName>
    <definedName name="_8___123Graph_BCHART_4" hidden="1">#REF!</definedName>
    <definedName name="_8__123Graph_ACHART_17" hidden="1">#REF!</definedName>
    <definedName name="_8__123Graph_ACHART_17_1">0</definedName>
    <definedName name="_8__123Graph_ACHART_4" localSheetId="1" hidden="1">#REF!</definedName>
    <definedName name="_8__123Graph_ACHART_4" hidden="1">#REF!</definedName>
    <definedName name="_8__123Graph_ASEG_PIE" hidden="1">#REF!</definedName>
    <definedName name="_8__123Graph_ASEG_PIE_1">0</definedName>
    <definedName name="_8__123Graph_BCHART_4" hidden="1">#REF!</definedName>
    <definedName name="_80______________________________123Graph_XCHART_4" hidden="1">#REF!</definedName>
    <definedName name="_80__123Graph_ACHART_17" hidden="1">#REF!</definedName>
    <definedName name="_80__123Graph_ASEG_PIE" hidden="1">#REF!</definedName>
    <definedName name="_80cab31s_4_1" localSheetId="1">#REF!</definedName>
    <definedName name="_80cab31s_4_1">#REF!</definedName>
    <definedName name="_80cabf_4_1" localSheetId="1">#REF!</definedName>
    <definedName name="_80cabf_4_1">#REF!</definedName>
    <definedName name="_81_____________________________123Graph_ACHART_3" localSheetId="1" hidden="1">#REF!</definedName>
    <definedName name="_81_____________________________123Graph_ACHART_3" hidden="1">#REF!</definedName>
    <definedName name="_81cab31us_4_1" localSheetId="1">#REF!</definedName>
    <definedName name="_81cab31us_4_1">#REF!</definedName>
    <definedName name="_81CABLE_4_1" localSheetId="1">#REF!</definedName>
    <definedName name="_81CABLE_4_1">#REF!</definedName>
    <definedName name="_82_____________________________123Graph_ACHART_4" localSheetId="1" hidden="1">#REF!</definedName>
    <definedName name="_82_____________________________123Graph_ACHART_4" hidden="1">#REF!</definedName>
    <definedName name="_82__123Graph_ACHART_18" localSheetId="1" hidden="1">#REF!</definedName>
    <definedName name="_82__123Graph_ACHART_18" hidden="1">#REF!</definedName>
    <definedName name="_82cab41s_4_1" localSheetId="1">#REF!</definedName>
    <definedName name="_82cab41s_4_1">#REF!</definedName>
    <definedName name="_82CALf_4_1" localSheetId="1">#REF!</definedName>
    <definedName name="_82CALf_4_1">#REF!</definedName>
    <definedName name="_83_____________________________123Graph_BCHART_3" localSheetId="1" hidden="1">#REF!</definedName>
    <definedName name="_83_____________________________123Graph_BCHART_3" hidden="1">#REF!</definedName>
    <definedName name="_831______________123Graph_XCHART_3" hidden="1">#REF!</definedName>
    <definedName name="_832______________123Graph_XCHART_4" hidden="1">#REF!</definedName>
    <definedName name="_83cab41us_4_1" localSheetId="1">#REF!</definedName>
    <definedName name="_83cab41us_4_1">#REF!</definedName>
    <definedName name="_83ChangeBy_4_1" localSheetId="1">#REF!</definedName>
    <definedName name="_83ChangeBy_4_1">#REF!</definedName>
    <definedName name="_84_____________________________123Graph_BCHART_4" localSheetId="1" hidden="1">#REF!</definedName>
    <definedName name="_84_____________________________123Graph_BCHART_4" hidden="1">#REF!</definedName>
    <definedName name="_84__123Graph_ACHART_19" localSheetId="1" hidden="1">#REF!</definedName>
    <definedName name="_84__123Graph_ACHART_19" hidden="1">#REF!</definedName>
    <definedName name="_84cabf_4_1" localSheetId="1">#REF!</definedName>
    <definedName name="_84cabf_4_1">#REF!</definedName>
    <definedName name="_84ChangeDate_4_1" localSheetId="1">#REF!</definedName>
    <definedName name="_84ChangeDate_4_1">#REF!</definedName>
    <definedName name="_84Headings_4_1">#REF!</definedName>
    <definedName name="_85_____________________________123Graph_XCHART_3" hidden="1">#REF!</definedName>
    <definedName name="_85__123Graph_ACHART_2" hidden="1">#REF!</definedName>
    <definedName name="_85CABLE_4_1" localSheetId="1">#REF!</definedName>
    <definedName name="_85CABLE_4_1">#REF!</definedName>
    <definedName name="_85CompDate_4_1" localSheetId="1">#REF!</definedName>
    <definedName name="_85CompDate_4_1">#REF!</definedName>
    <definedName name="_86_____________________________123Graph_XCHART_4" hidden="1">#REF!</definedName>
    <definedName name="_86CALf_4_1" localSheetId="1">#REF!</definedName>
    <definedName name="_86CALf_4_1">#REF!</definedName>
    <definedName name="_86conf_4_1" localSheetId="1">#REF!</definedName>
    <definedName name="_86conf_4_1">#REF!</definedName>
    <definedName name="_87____________________________123Graph_ACHART_3" localSheetId="1" hidden="1">#REF!</definedName>
    <definedName name="_87____________________________123Graph_ACHART_3" hidden="1">#REF!</definedName>
    <definedName name="_87__123Graph_ACHART_21" localSheetId="1" hidden="1">#REF!</definedName>
    <definedName name="_87__123Graph_ACHART_21" hidden="1">#REF!</definedName>
    <definedName name="_87ChangeBy_4_1" localSheetId="1">#REF!</definedName>
    <definedName name="_87ChangeBy_4_1">#REF!</definedName>
    <definedName name="_87ContAmt_4_1" localSheetId="1">#REF!</definedName>
    <definedName name="_87ContAmt_4_1">#REF!</definedName>
    <definedName name="_88____________________________123Graph_ACHART_4" localSheetId="1" hidden="1">#REF!</definedName>
    <definedName name="_88____________________________123Graph_ACHART_4" hidden="1">#REF!</definedName>
    <definedName name="_886______________Headings_4_1">#REF!</definedName>
    <definedName name="_88ChangeDate_4_1" localSheetId="1">#REF!</definedName>
    <definedName name="_88ChangeDate_4_1">#REF!</definedName>
    <definedName name="_89____________________________123Graph_BCHART_3" localSheetId="1" hidden="1">#REF!</definedName>
    <definedName name="_89____________________________123Graph_BCHART_3" hidden="1">#REF!</definedName>
    <definedName name="_89__123Graph_ASEG_PIE" localSheetId="1" hidden="1">#REF!</definedName>
    <definedName name="_89__123Graph_ASEG_PIE" hidden="1">#REF!</definedName>
    <definedName name="_89CompDate_4_1" localSheetId="1">#REF!</definedName>
    <definedName name="_89CompDate_4_1">#REF!</definedName>
    <definedName name="_8단" localSheetId="1">#REF!</definedName>
    <definedName name="_8단">#REF!</definedName>
    <definedName name="_9" localSheetId="1">#REF!</definedName>
    <definedName name="_9">#REF!</definedName>
    <definedName name="_9___________________________________________123Graph_ACHART_3" localSheetId="1" hidden="1">#REF!</definedName>
    <definedName name="_9___________________________________________123Graph_ACHART_3" hidden="1">#REF!</definedName>
    <definedName name="_9____123Graph_BCHART_3" localSheetId="1" hidden="1">#REF!</definedName>
    <definedName name="_9____123Graph_BCHART_3" hidden="1">#REF!</definedName>
    <definedName name="_9___123Graph_BCHART_15" hidden="1">#REF!</definedName>
    <definedName name="_9___123Graph_XCHART_3" hidden="1">#REF!</definedName>
    <definedName name="_9__123Graph_BCHART_15" hidden="1">#REF!</definedName>
    <definedName name="_9__123Graph_BCHART_15_1">0</definedName>
    <definedName name="_9__123Graph_BCHART_3" localSheetId="1" hidden="1">#REF!</definedName>
    <definedName name="_9__123Graph_BCHART_3" hidden="1">#REF!</definedName>
    <definedName name="_9__123Graph_XCHART_3" hidden="1">#REF!</definedName>
    <definedName name="_9_???">#REF!</definedName>
    <definedName name="_90____________________________123Graph_BCHART_4" localSheetId="1" hidden="1">#REF!</definedName>
    <definedName name="_90____________________________123Graph_BCHART_4" hidden="1">#REF!</definedName>
    <definedName name="_90__123Graph_BCHART_15" localSheetId="1" hidden="1">#REF!</definedName>
    <definedName name="_90__123Graph_BCHART_15" hidden="1">#REF!</definedName>
    <definedName name="_900">#N/A</definedName>
    <definedName name="_90conf_4_1" localSheetId="1">#REF!</definedName>
    <definedName name="_90conf_4_1">#REF!</definedName>
    <definedName name="_90ContWithAcct_4_1" localSheetId="1">#REF!</definedName>
    <definedName name="_90ContWithAcct_4_1">#REF!</definedName>
    <definedName name="_90Headings_4_1">#REF!</definedName>
    <definedName name="_91____________________________123Graph_XCHART_3" hidden="1">#REF!</definedName>
    <definedName name="_91__123Graph_BCHART_15" hidden="1">#REF!</definedName>
    <definedName name="_91ContAmt_4_1" localSheetId="1">#REF!</definedName>
    <definedName name="_91ContAmt_4_1">#REF!</definedName>
    <definedName name="_91ContWithName_4_1" localSheetId="1">#REF!</definedName>
    <definedName name="_91ContWithName_4_1">#REF!</definedName>
    <definedName name="_92____________________________123Graph_XCHART_4" hidden="1">#REF!</definedName>
    <definedName name="_92ContWithPrio_4_1" localSheetId="1">#REF!</definedName>
    <definedName name="_92ContWithPrio_4_1">#REF!</definedName>
    <definedName name="_93___________________________123Graph_ACHART_3" localSheetId="1" hidden="1">#REF!</definedName>
    <definedName name="_93___________________________123Graph_ACHART_3" hidden="1">#REF!</definedName>
    <definedName name="_93__123Graph_BCHART_16" localSheetId="1" hidden="1">#REF!</definedName>
    <definedName name="_93__123Graph_BCHART_16" hidden="1">#REF!</definedName>
    <definedName name="_93ContWithPrio_Text_4_1" localSheetId="1">#REF!</definedName>
    <definedName name="_93ContWithPrio_Text_4_1">#REF!</definedName>
    <definedName name="_94___________________________123Graph_ACHART_4" localSheetId="1" hidden="1">#REF!</definedName>
    <definedName name="_94___________________________123Graph_ACHART_4" hidden="1">#REF!</definedName>
    <definedName name="_94ContWithAcct_4_1" localSheetId="1">#REF!</definedName>
    <definedName name="_94ContWithAcct_4_1">#REF!</definedName>
    <definedName name="_94CONum_4_1" localSheetId="1">#REF!</definedName>
    <definedName name="_94CONum_4_1">#REF!</definedName>
    <definedName name="_95___________________________123Graph_BCHART_3" localSheetId="1" hidden="1">#REF!</definedName>
    <definedName name="_95___________________________123Graph_BCHART_3" hidden="1">#REF!</definedName>
    <definedName name="_95__123Graph_BCHART_17" localSheetId="1" hidden="1">#REF!</definedName>
    <definedName name="_95__123Graph_BCHART_17" hidden="1">#REF!</definedName>
    <definedName name="_95ContWithName_4_1" localSheetId="1">#REF!</definedName>
    <definedName name="_95ContWithName_4_1">#REF!</definedName>
    <definedName name="_95CorpClient_4_1" localSheetId="1">#REF!</definedName>
    <definedName name="_95CorpClient_4_1">#REF!</definedName>
    <definedName name="_96___________________________123Graph_BCHART_4" localSheetId="1" hidden="1">#REF!</definedName>
    <definedName name="_96___________________________123Graph_BCHART_4" hidden="1">#REF!</definedName>
    <definedName name="_96.12.30" localSheetId="1">#REF!</definedName>
    <definedName name="_96.12.30">#REF!</definedName>
    <definedName name="_96ContWithPrio_4_1" localSheetId="1">#REF!</definedName>
    <definedName name="_96ContWithPrio_4_1">#REF!</definedName>
    <definedName name="_96CorpClient_Text_4_1" localSheetId="1">#REF!</definedName>
    <definedName name="_96CorpClient_Text_4_1">#REF!</definedName>
    <definedName name="_97___________________________123Graph_XCHART_3" hidden="1">#REF!</definedName>
    <definedName name="_97__123Graph_BCHART_2" hidden="1">#REF!</definedName>
    <definedName name="_97ContWithPrio_Text_4_1" localSheetId="1">#REF!</definedName>
    <definedName name="_97ContWithPrio_Text_4_1">#REF!</definedName>
    <definedName name="_97CURR_4_1" localSheetId="1">#REF!</definedName>
    <definedName name="_97CURR_4_1">#REF!</definedName>
    <definedName name="_98___________________________123Graph_XCHART_4" hidden="1">#REF!</definedName>
    <definedName name="_985_____________123Graph_ACHART_3" localSheetId="1" hidden="1">#REF!</definedName>
    <definedName name="_985_____________123Graph_ACHART_3" hidden="1">#REF!</definedName>
    <definedName name="_986_____________123Graph_ACHART_4" localSheetId="1" hidden="1">#REF!</definedName>
    <definedName name="_986_____________123Graph_ACHART_4" hidden="1">#REF!</definedName>
    <definedName name="_987_____________123Graph_BCHART_3" localSheetId="1" hidden="1">#REF!</definedName>
    <definedName name="_987_____________123Graph_BCHART_3" hidden="1">#REF!</definedName>
    <definedName name="_988_____________123Graph_BCHART_4" localSheetId="1" hidden="1">#REF!</definedName>
    <definedName name="_988_____________123Graph_BCHART_4" hidden="1">#REF!</definedName>
    <definedName name="_989_____________123Graph_XCHART_3" hidden="1">#REF!</definedName>
    <definedName name="_98CONum_4_1" localSheetId="1">#REF!</definedName>
    <definedName name="_98CONum_4_1">#REF!</definedName>
    <definedName name="_99__123Graph_BCHART_22" localSheetId="1" hidden="1">#REF!</definedName>
    <definedName name="_99__123Graph_BCHART_22" hidden="1">#REF!</definedName>
    <definedName name="_990_____________123Graph_XCHART_4" hidden="1">#REF!</definedName>
    <definedName name="_99CorpClient_4_1" localSheetId="1">#REF!</definedName>
    <definedName name="_99CorpClient_4_1">#REF!</definedName>
    <definedName name="_99Headings_4_1">#REF!</definedName>
    <definedName name="_a" localSheetId="1">#REF!</definedName>
    <definedName name="_a">#REF!</definedName>
    <definedName name="_a_1" localSheetId="1">#REF!</definedName>
    <definedName name="_a_1">#REF!</definedName>
    <definedName name="_a_1_1" localSheetId="1">#REF!</definedName>
    <definedName name="_a_1_1">#REF!</definedName>
    <definedName name="_a_2">#REF!</definedName>
    <definedName name="_a_4">#REF!</definedName>
    <definedName name="_a_4_1">#REF!</definedName>
    <definedName name="_a_6">#REF!</definedName>
    <definedName name="_a1">#REF!</definedName>
    <definedName name="_a100">#REF!</definedName>
    <definedName name="_A100000">#REF!</definedName>
    <definedName name="_a1200">#REF!</definedName>
    <definedName name="_A2" localSheetId="1" hidden="1">{#N/A,#N/A,FALSE,"MARCH"}</definedName>
    <definedName name="_A2" hidden="1">{#N/A,#N/A,FALSE,"MARCH"}</definedName>
    <definedName name="_a3" localSheetId="1" hidden="1">{#N/A,#N/A,TRUE,"Financials";#N/A,#N/A,TRUE,"Operating Statistics";#N/A,#N/A,TRUE,"Capex &amp; Depreciation";#N/A,#N/A,TRUE,"Debt"}</definedName>
    <definedName name="_a3" hidden="1">{#N/A,#N/A,TRUE,"Financials";#N/A,#N/A,TRUE,"Operating Statistics";#N/A,#N/A,TRUE,"Capex &amp; Depreciation";#N/A,#N/A,TRUE,"Debt"}</definedName>
    <definedName name="_A31">#REF!</definedName>
    <definedName name="_a65537" localSheetId="1">#REF!</definedName>
    <definedName name="_a65537">#REF!</definedName>
    <definedName name="_A65539" localSheetId="1">#REF!</definedName>
    <definedName name="_A65539">#REF!</definedName>
    <definedName name="_A65555">#REF!</definedName>
    <definedName name="_A655600">#REF!</definedName>
    <definedName name="_A65658">#REF!</definedName>
    <definedName name="_A65800">#REF!</definedName>
    <definedName name="_A66000">#REF!</definedName>
    <definedName name="_A67000">#REF!</definedName>
    <definedName name="_A68000">#REF!</definedName>
    <definedName name="_A70000">#REF!</definedName>
    <definedName name="_A80000">#REF!</definedName>
    <definedName name="_A99999">#REF!</definedName>
    <definedName name="_A999999">#REF!</definedName>
    <definedName name="_aa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a1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a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aa5" localSheetId="1">#REF!</definedName>
    <definedName name="_aaa5">#REF!</definedName>
    <definedName name="_AAC2">#N/A</definedName>
    <definedName name="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ct1" localSheetId="1">#REF!</definedName>
    <definedName name="_act1">#REF!</definedName>
    <definedName name="_ADD2" localSheetId="1">#REF!</definedName>
    <definedName name="_ADD2">#REF!</definedName>
    <definedName name="_aj1">#REF!</definedName>
    <definedName name="_ALC03">#REF!</definedName>
    <definedName name="_ALL1" localSheetId="1">#REF!</definedName>
    <definedName name="_all1">#REF!</definedName>
    <definedName name="_ALL2" localSheetId="1">#REF!</definedName>
    <definedName name="_ALL2">#REF!</definedName>
    <definedName name="_ALL3" localSheetId="1">#REF!</definedName>
    <definedName name="_ALL3">#REF!</definedName>
    <definedName name="_alt1" localSheetId="1">#REF!</definedName>
    <definedName name="_alt1">#REF!</definedName>
    <definedName name="_ALT2">#REF!</definedName>
    <definedName name="_ALT3">#REF!</definedName>
    <definedName name="_ALT4">#REF!</definedName>
    <definedName name="_AMO_SingleObject_75055432_ROM_F0.SEC2.Print_1.SEC1.BDY.Data_Set_WORK_LF4" hidden="1">#REF!</definedName>
    <definedName name="_AMO_SingleObject_75055432_ROM_F0.SEC2.Print_1.SEC1.HDR.TXT1" hidden="1">#REF!</definedName>
    <definedName name="_AMO_SingleObject_75055432_ROM_F0.SEC2.Print_2.SEC1.BDY.Data_Set_WORK_LF4" hidden="1">#REF!</definedName>
    <definedName name="_AMO_SingleObject_75055432_ROM_F0.SEC2.Print_2.SEC1.HDR.TXT1" hidden="1">#REF!</definedName>
    <definedName name="_AMO_SingleObject_75055432_ROM_F0.SEC2.Print_3.SEC1.BDY.Data_Set_WORK_LF4" hidden="1">#REF!</definedName>
    <definedName name="_AMO_SingleObject_75055432_ROM_F0.SEC2.Print_3.SEC1.HDR.TXT1" hidden="1">#REF!</definedName>
    <definedName name="_ANO1">#REF!</definedName>
    <definedName name="_ANO2">#REF!</definedName>
    <definedName name="_ANO3">#REF!</definedName>
    <definedName name="_ans987" localSheetId="1" hidden="1">{#N/A,#N/A,FALSE,"VARIATIONS";#N/A,#N/A,FALSE,"BUDGET";#N/A,#N/A,FALSE,"CIVIL QNTY VAR";#N/A,#N/A,FALSE,"SUMMARY";#N/A,#N/A,FALSE,"MATERIAL VAR"}</definedName>
    <definedName name="_ans987" hidden="1">{#N/A,#N/A,FALSE,"VARIATIONS";#N/A,#N/A,FALSE,"BUDGET";#N/A,#N/A,FALSE,"CIVIL QNTY VAR";#N/A,#N/A,FALSE,"SUMMARY";#N/A,#N/A,FALSE,"MATERIAL VAR"}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D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0.99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W1">#N/A</definedName>
    <definedName name="_AW2">#N/A</definedName>
    <definedName name="_b111121" localSheetId="1">#REF!</definedName>
    <definedName name="_b111121">#REF!</definedName>
    <definedName name="_B19000" localSheetId="1">#REF!</definedName>
    <definedName name="_B19000">#REF!</definedName>
    <definedName name="_B19999">#REF!</definedName>
    <definedName name="_B2" localSheetId="1" hidden="1">{#N/A,#N/A,FALSE,"MARCH"}</definedName>
    <definedName name="_B2" hidden="1">{#N/A,#N/A,FALSE,"MARCH"}</definedName>
    <definedName name="_B20000" localSheetId="1">#REF!</definedName>
    <definedName name="_B20000">#REF!</definedName>
    <definedName name="_b201185" localSheetId="1">#REF!</definedName>
    <definedName name="_b201185">#REF!</definedName>
    <definedName name="_B98518">#REF!</definedName>
    <definedName name="_BB1">#N/A</definedName>
    <definedName name="_BB3">#N/A</definedName>
    <definedName name="_BDR1" localSheetId="1">#REF!</definedName>
    <definedName name="_BDR1">#REF!</definedName>
    <definedName name="_BDR2">#REF!</definedName>
    <definedName name="_BFT1">#N/A</definedName>
    <definedName name="_BGH678" localSheetId="1" hidden="1">{"'Break down'!$A$4"}</definedName>
    <definedName name="_BGH678" hidden="1">{"'Break down'!$A$4"}</definedName>
    <definedName name="_BGT543" localSheetId="1" hidden="1">{"'Break down'!$A$4"}</definedName>
    <definedName name="_BGT543" hidden="1">{"'Break down'!$A$4"}</definedName>
    <definedName name="_BGT564" localSheetId="1" hidden="1">{"'Break down'!$A$4"}</definedName>
    <definedName name="_BGT564" hidden="1">{"'Break down'!$A$4"}</definedName>
    <definedName name="_BIL1">#REF!</definedName>
    <definedName name="_BIL2">#REF!</definedName>
    <definedName name="_bil3" localSheetId="1">#REF!</definedName>
    <definedName name="_bil3">#REF!</definedName>
    <definedName name="_BLK100">#REF!</definedName>
    <definedName name="_BLK2">#REF!</definedName>
    <definedName name="_BLK3">#REF!</definedName>
    <definedName name="_blk4" localSheetId="1">#REF!</definedName>
    <definedName name="_blk4">#REF!</definedName>
    <definedName name="_blk4_1">0</definedName>
    <definedName name="_bo3">#REF!</definedName>
    <definedName name="_bol1">#REF!</definedName>
    <definedName name="_boq1" localSheetId="1">#REF!</definedName>
    <definedName name="_boq1">#REF!</definedName>
    <definedName name="_BVF765" localSheetId="1" hidden="1">{"'Break down'!$A$4"}</definedName>
    <definedName name="_BVF765" hidden="1">{"'Break down'!$A$4"}</definedName>
    <definedName name="_C">#REF!</definedName>
    <definedName name="_C___0" localSheetId="1">#REF!</definedName>
    <definedName name="_C___0">#REF!</definedName>
    <definedName name="_C___13" localSheetId="1">#REF!</definedName>
    <definedName name="_C___13">#REF!</definedName>
    <definedName name="_can430">40.73</definedName>
    <definedName name="_can435">43.3</definedName>
    <definedName name="_cat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at123" localSheetId="1">#N/A</definedName>
    <definedName name="_cat123">[1]!City&amp;" "&amp;STATE</definedName>
    <definedName name="_ccr1" localSheetId="1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cr1_1" localSheetId="1" hidden="1">{#N/A,#N/A,TRUE,"Cover";#N/A,#N/A,TRUE,"Conts";#N/A,#N/A,TRUE,"VOS";#N/A,#N/A,TRUE,"Warrington";#N/A,#N/A,TRUE,"Widnes"}</definedName>
    <definedName name="_ccr1_1" hidden="1">{#N/A,#N/A,TRUE,"Cover";#N/A,#N/A,TRUE,"Conts";#N/A,#N/A,TRUE,"VOS";#N/A,#N/A,TRUE,"Warrington";#N/A,#N/A,TRUE,"Widnes"}</definedName>
    <definedName name="_ccr1_2">NA()</definedName>
    <definedName name="_ccr1_3">NA()</definedName>
    <definedName name="_ccr1_4">NA()</definedName>
    <definedName name="_ccr2" localSheetId="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F1">#N/A</definedName>
    <definedName name="_cf564" localSheetId="1" hidden="1">{"'Break down'!$A$4"}</definedName>
    <definedName name="_cf564" hidden="1">{"'Break down'!$A$4"}</definedName>
    <definedName name="_cfd56" localSheetId="1" hidden="1">{"'Break down'!$A$4"}</definedName>
    <definedName name="_cfd56" hidden="1">{"'Break down'!$A$4"}</definedName>
    <definedName name="_cls1">#REF!</definedName>
    <definedName name="_cls10">#REF!</definedName>
    <definedName name="_cls11">#REF!</definedName>
    <definedName name="_cls12">#REF!</definedName>
    <definedName name="_cls13">#REF!</definedName>
    <definedName name="_cls14">#REF!</definedName>
    <definedName name="_cls15">#REF!</definedName>
    <definedName name="_cls16">#REF!</definedName>
    <definedName name="_cls17">#REF!</definedName>
    <definedName name="_cls18">#REF!</definedName>
    <definedName name="_cls19">#REF!</definedName>
    <definedName name="_cls2">#REF!</definedName>
    <definedName name="_cls20">#REF!</definedName>
    <definedName name="_cls21">#REF!</definedName>
    <definedName name="_cls22">#REF!</definedName>
    <definedName name="_cls23">#REF!</definedName>
    <definedName name="_cls24">#REF!</definedName>
    <definedName name="_cls25">#REF!</definedName>
    <definedName name="_cls26">#REF!</definedName>
    <definedName name="_cls27">#REF!</definedName>
    <definedName name="_cls28">#REF!</definedName>
    <definedName name="_cls29">#REF!</definedName>
    <definedName name="_cls3">#REF!</definedName>
    <definedName name="_cls30">#REF!</definedName>
    <definedName name="_cls4">#REF!</definedName>
    <definedName name="_cls5">#REF!</definedName>
    <definedName name="_cls6">#REF!</definedName>
    <definedName name="_cls7">#REF!</definedName>
    <definedName name="_cls8">#REF!</definedName>
    <definedName name="_cls9">#REF!</definedName>
    <definedName name="_COL1">#REF!</definedName>
    <definedName name="_Com01">"#REF!"</definedName>
    <definedName name="_Com02">"#REF!"</definedName>
    <definedName name="_Com03">"#REF!"</definedName>
    <definedName name="_Com04">"#REF!"</definedName>
    <definedName name="_Com05">"#REF!"</definedName>
    <definedName name="_Com06">"#REF!"</definedName>
    <definedName name="_Com07">"#REF!"</definedName>
    <definedName name="_Com08">"#REF!"</definedName>
    <definedName name="_Com09">"#REF!"</definedName>
    <definedName name="_Com10">"#REF!"</definedName>
    <definedName name="_com2" localSheetId="1" hidden="1">{"'Break down'!$A$4"}</definedName>
    <definedName name="_com2" hidden="1">{"'Break down'!$A$4"}</definedName>
    <definedName name="_CON1">#REF!</definedName>
    <definedName name="_CON2">#REF!</definedName>
    <definedName name="_cpu1">#REF!</definedName>
    <definedName name="_csc1" localSheetId="1">#REF!</definedName>
    <definedName name="_csc1">#REF!</definedName>
    <definedName name="_csc2" localSheetId="1">#REF!</definedName>
    <definedName name="_csc2">#REF!</definedName>
    <definedName name="_CSM1">#REF!</definedName>
    <definedName name="_CSM2">#REF!</definedName>
    <definedName name="_CSM3">#REF!</definedName>
    <definedName name="_CST02">"#REF!"</definedName>
    <definedName name="_d1" localSheetId="1" hidden="1">{#N/A,#N/A,FALSE,"VARIATIONS";#N/A,#N/A,FALSE,"BUDGET";#N/A,#N/A,FALSE,"CIVIL QNTY VAR";#N/A,#N/A,FALSE,"SUMMARY";#N/A,#N/A,FALSE,"MATERIAL VAR"}</definedName>
    <definedName name="_d1" hidden="1">{#N/A,#N/A,FALSE,"VARIATIONS";#N/A,#N/A,FALSE,"BUDGET";#N/A,#N/A,FALSE,"CIVIL QNTY VAR";#N/A,#N/A,FALSE,"SUMMARY";#N/A,#N/A,FALSE,"MATERIAL VAR"}</definedName>
    <definedName name="_d2">#REF!</definedName>
    <definedName name="_DAT1" localSheetId="1">#REF!</definedName>
    <definedName name="_DAT1">#REF!</definedName>
    <definedName name="_DAT10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s1">#REF!</definedName>
    <definedName name="_dbs11">#REF!</definedName>
    <definedName name="_dbs76">#REF!</definedName>
    <definedName name="_dd5" localSheetId="1" hidden="1">{#N/A,#N/A,FALSE,"VARIATIONS";#N/A,#N/A,FALSE,"BUDGET";#N/A,#N/A,FALSE,"CIVIL QNTY VAR";#N/A,#N/A,FALSE,"SUMMARY";#N/A,#N/A,FALSE,"MATERIAL VAR"}</definedName>
    <definedName name="_dd5" hidden="1">{#N/A,#N/A,FALSE,"VARIATIONS";#N/A,#N/A,FALSE,"BUDGET";#N/A,#N/A,FALSE,"CIVIL QNTY VAR";#N/A,#N/A,FALSE,"SUMMARY";#N/A,#N/A,FALSE,"MATERIAL VAR"}</definedName>
    <definedName name="_dec05" localSheetId="1" hidden="1">{"'Sheet1'!$A$4386:$N$4591"}</definedName>
    <definedName name="_dec05" hidden="1">{"'Sheet1'!$A$4386:$N$4591"}</definedName>
    <definedName name="_dep123">#REF!</definedName>
    <definedName name="_dep2">#REF!</definedName>
    <definedName name="_dep3">#REF!</definedName>
    <definedName name="_dim4">#REF!</definedName>
    <definedName name="_Dist_Bin" hidden="1">#REF!</definedName>
    <definedName name="_Dist_Values" hidden="1">#REF!</definedName>
    <definedName name="_dk1" localSheetId="1" hidden="1">{#N/A,#N/A,FALSE,"COVER.XLS";#N/A,#N/A,FALSE,"RACT1.XLS";#N/A,#N/A,FALSE,"RACT2.XLS";#N/A,#N/A,FALSE,"ECCMP";#N/A,#N/A,FALSE,"WELDER.XLS"}</definedName>
    <definedName name="_dk1" hidden="1">{#N/A,#N/A,FALSE,"COVER.XLS";#N/A,#N/A,FALSE,"RACT1.XLS";#N/A,#N/A,FALSE,"RACT2.XLS";#N/A,#N/A,FALSE,"ECCMP";#N/A,#N/A,FALSE,"WELDER.XLS"}</definedName>
    <definedName name="_DPM375">#REF!</definedName>
    <definedName name="_DWR001">#REF!</definedName>
    <definedName name="_DWR002">#REF!</definedName>
    <definedName name="_DWR003">#REF!</definedName>
    <definedName name="_DWR004">#REF!</definedName>
    <definedName name="_DWR005">#REF!</definedName>
    <definedName name="_e20000" localSheetId="1">#REF!</definedName>
    <definedName name="_e20000">#REF!</definedName>
    <definedName name="_e772" localSheetId="1">#REF!</definedName>
    <definedName name="_e772">#REF!</definedName>
    <definedName name="_e99991">#REF!</definedName>
    <definedName name="_ee222" localSheetId="1" hidden="1">{#N/A,#N/A,TRUE,"Cover";#N/A,#N/A,TRUE,"Conts";#N/A,#N/A,TRUE,"VOS";#N/A,#N/A,TRUE,"Warrington";#N/A,#N/A,TRUE,"Widnes"}</definedName>
    <definedName name="_ee222" hidden="1">{#N/A,#N/A,TRUE,"Cover";#N/A,#N/A,TRUE,"Conts";#N/A,#N/A,TRUE,"VOS";#N/A,#N/A,TRUE,"Warrington";#N/A,#N/A,TRUE,"Widnes"}</definedName>
    <definedName name="_Eg616103">#REF!</definedName>
    <definedName name="_ELL45" localSheetId="1">#REF!</definedName>
    <definedName name="_ELL45">#REF!</definedName>
    <definedName name="_ELL90">#REF!</definedName>
    <definedName name="_END1">#REF!</definedName>
    <definedName name="_END2">#REF!</definedName>
    <definedName name="_END3">#REF!</definedName>
    <definedName name="_END4">#REF!</definedName>
    <definedName name="_END5">#REF!</definedName>
    <definedName name="_END6">#REF!</definedName>
    <definedName name="_END7">#REF!</definedName>
    <definedName name="_ert3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ert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esc1">#REF!</definedName>
    <definedName name="_ESC2">#REF!</definedName>
    <definedName name="_ewk4" localSheetId="1">#REF!</definedName>
    <definedName name="_ewk4">#REF!</definedName>
    <definedName name="_ewk4_1">0</definedName>
    <definedName name="_ex1" localSheetId="1">#REF!</definedName>
    <definedName name="_ex1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ext2">#REF!</definedName>
    <definedName name="_ext21">#REF!</definedName>
    <definedName name="_ext3">#REF!</definedName>
    <definedName name="_f1" localSheetId="1" hidden="1">{#N/A,#N/A,FALSE,"VARIATIONS";#N/A,#N/A,FALSE,"BUDGET";#N/A,#N/A,FALSE,"CIVIL QNTY VAR";#N/A,#N/A,FALSE,"SUMMARY";#N/A,#N/A,FALSE,"MATERIAL VAR"}</definedName>
    <definedName name="_F1">#REF!</definedName>
    <definedName name="_F3" localSheetId="1">#REF!</definedName>
    <definedName name="_F3">#REF!</definedName>
    <definedName name="_f329080" localSheetId="1">#REF!</definedName>
    <definedName name="_f329080">#REF!</definedName>
    <definedName name="_FAC1">#REF!</definedName>
    <definedName name="_fco2" localSheetId="1" hidden="1">{#N/A,#N/A,FALSE,"gc (2)"}</definedName>
    <definedName name="_fco2" hidden="1">{#N/A,#N/A,FALSE,"gc (2)"}</definedName>
    <definedName name="_fd2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f" localSheetId="1">#REF!</definedName>
    <definedName name="_fdf">#REF!</definedName>
    <definedName name="_fdu2">#REF!</definedName>
    <definedName name="_Feb06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ff1">#REF!</definedName>
    <definedName name="_FF3" localSheetId="1">#REF!</definedName>
    <definedName name="_FF3">#REF!</definedName>
    <definedName name="_ffb2">"#REF!"</definedName>
    <definedName name="_FFE1">"#REF!"</definedName>
    <definedName name="_FFE2">"#REF!"</definedName>
    <definedName name="_FFE3">"#REF!"</definedName>
    <definedName name="_FFE4">"#REF!"</definedName>
    <definedName name="_FFE5">"#REF!"</definedName>
    <definedName name="_FFE6">"#REF!"</definedName>
    <definedName name="_FFE7">"#REF!"</definedName>
    <definedName name="_FFE8">"#REF!"</definedName>
    <definedName name="_FFE9">"#REF!"</definedName>
    <definedName name="_fhg1">#REF!</definedName>
    <definedName name="_Fill" localSheetId="1" hidden="1">#REF!</definedName>
    <definedName name="_Fill" hidden="1">#REF!</definedName>
    <definedName name="_Fill_1">0</definedName>
    <definedName name="_Fill1" hidden="1">#REF!</definedName>
    <definedName name="_Fill2" hidden="1">#REF!</definedName>
    <definedName name="_xlnm._FilterDatabase" localSheetId="1" hidden="1">#REF!</definedName>
    <definedName name="_xlnm._FilterDatabase" localSheetId="2" hidden="1">Sheet1!$A$3:$AD$376</definedName>
    <definedName name="_xlnm._FilterDatabase" hidden="1">#REF!</definedName>
    <definedName name="_FIN1">"#REF!"</definedName>
    <definedName name="_FIN10">"#REF!"</definedName>
    <definedName name="_fin2">#N/A</definedName>
    <definedName name="_FIN3">"#REF!"</definedName>
    <definedName name="_FIN4">"#REF!"</definedName>
    <definedName name="_FIN5">"#REF!"</definedName>
    <definedName name="_FIN6">"#REF!"</definedName>
    <definedName name="_FIN7">"#REF!"</definedName>
    <definedName name="_FIN8">"#REF!"</definedName>
    <definedName name="_FIN9">"#REF!"</definedName>
    <definedName name="_foo1" localSheetId="1">#REF!</definedName>
    <definedName name="_foo1">#REF!</definedName>
    <definedName name="_foo2">#REF!</definedName>
    <definedName name="_foo3">#REF!</definedName>
    <definedName name="_FOO4">#REF!</definedName>
    <definedName name="_fos1">#REF!</definedName>
    <definedName name="_FR_?__" localSheetId="1">#REF!</definedName>
    <definedName name="_FR_?__">#REF!</definedName>
    <definedName name="_gey1">#REF!</definedName>
    <definedName name="_gfa1" localSheetId="1">#REF!</definedName>
    <definedName name="_gfa1">#REF!</definedName>
    <definedName name="_gfa2">#REF!</definedName>
    <definedName name="_ghy678" localSheetId="1" hidden="1">{"'Break down'!$A$4"}</definedName>
    <definedName name="_ghy678" hidden="1">{"'Break down'!$A$4"}</definedName>
    <definedName name="_gld1">#REF!</definedName>
    <definedName name="_HAB1">#REF!</definedName>
    <definedName name="_HAB2">#REF!</definedName>
    <definedName name="_hgp1">#REF!</definedName>
    <definedName name="_HJY654" localSheetId="1" hidden="1">{"'Break down'!$A$4"}</definedName>
    <definedName name="_HJY654" hidden="1">{"'Break down'!$A$4"}</definedName>
    <definedName name="_HJY657" localSheetId="1" hidden="1">{"'Break down'!$A$4"}</definedName>
    <definedName name="_HJY657" hidden="1">{"'Break down'!$A$4"}</definedName>
    <definedName name="_HJY675" localSheetId="1" hidden="1">{"'Break down'!$A$4"}</definedName>
    <definedName name="_HJY675" hidden="1">{"'Break down'!$A$4"}</definedName>
    <definedName name="_hp1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ce4" localSheetId="1">#REF!</definedName>
    <definedName name="_ice4">#REF!</definedName>
    <definedName name="_ice4_1">0</definedName>
    <definedName name="_IDC2" localSheetId="1">#N/A</definedName>
    <definedName name="_IDC2">[1]!City&amp;" "&amp;STATE</definedName>
    <definedName name="_ig541" localSheetId="1">#REF!</definedName>
    <definedName name="_ig541">#REF!</definedName>
    <definedName name="_int12">#REF!</definedName>
    <definedName name="_iv66666" localSheetId="1">#REF!</definedName>
    <definedName name="_iv66666">#REF!</definedName>
    <definedName name="_IW2" localSheetId="1">#REF!</definedName>
    <definedName name="_IW2">#REF!</definedName>
    <definedName name="_JH5675" localSheetId="1" hidden="1">{"'Break down'!$A$4"}</definedName>
    <definedName name="_JH5675" hidden="1">{"'Break down'!$A$4"}</definedName>
    <definedName name="_JHG654" localSheetId="1" hidden="1">{"'Break down'!$A$4"}</definedName>
    <definedName name="_JHG654" hidden="1">{"'Break down'!$A$4"}</definedName>
    <definedName name="_JHN5" localSheetId="1" hidden="1">{"'Break down'!$A$4"}</definedName>
    <definedName name="_JHN5" hidden="1">{"'Break down'!$A$4"}</definedName>
    <definedName name="_jj300">#REF!</definedName>
    <definedName name="_JK765" localSheetId="1" hidden="1">{"'Break down'!$A$4"}</definedName>
    <definedName name="_JK765" hidden="1">{"'Break down'!$A$4"}</definedName>
    <definedName name="_JKH654" localSheetId="1" hidden="1">{"'Break down'!$A$4"}</definedName>
    <definedName name="_JKH654" hidden="1">{"'Break down'!$A$4"}</definedName>
    <definedName name="_JKH675" localSheetId="1" hidden="1">{"'Break down'!$A$4"}</definedName>
    <definedName name="_JKH675" hidden="1">{"'Break down'!$A$4"}</definedName>
    <definedName name="_JNH564" localSheetId="1" hidden="1">{"'Break down'!$A$4"}</definedName>
    <definedName name="_JNH564" hidden="1">{"'Break down'!$A$4"}</definedName>
    <definedName name="_k" localSheetId="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_k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_K85167">#REF!</definedName>
    <definedName name="_KCF1" localSheetId="1">#REF!</definedName>
    <definedName name="_KCF1">#REF!</definedName>
    <definedName name="_KCF2" localSheetId="1">#REF!</definedName>
    <definedName name="_KCF2">#REF!</definedName>
    <definedName name="_KCO1">#REF!</definedName>
    <definedName name="_KCO2">#REF!</definedName>
    <definedName name="_KCO3">#REF!</definedName>
    <definedName name="_Key1" hidden="1">#REF!</definedName>
    <definedName name="_Key1_1">0</definedName>
    <definedName name="_Key2" hidden="1">#REF!</definedName>
    <definedName name="_Ki1">#REF!</definedName>
    <definedName name="_Ki2">#REF!</definedName>
    <definedName name="_KI9">#REF!</definedName>
    <definedName name="_KJL080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KJL080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KJL765" localSheetId="1" hidden="1">{"'Break down'!$A$4"}</definedName>
    <definedName name="_KJL765" hidden="1">{"'Break down'!$A$4"}</definedName>
    <definedName name="_KJU765" localSheetId="1" hidden="1">{"'Break down'!$A$4"}</definedName>
    <definedName name="_KJU765" hidden="1">{"'Break down'!$A$4"}</definedName>
    <definedName name="_KLJ675" localSheetId="1" hidden="1">{"'Break down'!$A$4"}</definedName>
    <definedName name="_KLJ675" hidden="1">{"'Break down'!$A$4"}</definedName>
    <definedName name="_KLJ675456" localSheetId="1" hidden="1">{"'Break down'!$A$4"}</definedName>
    <definedName name="_KLJ675456" hidden="1">{"'Break down'!$A$4"}</definedName>
    <definedName name="_kvs1" localSheetId="1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localSheetId="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localSheetId="1" hidden="1">{#N/A,#N/A,FALSE,"COVER.XLS";#N/A,#N/A,FALSE,"RACT1.XLS";#N/A,#N/A,FALSE,"RACT2.XLS";#N/A,#N/A,FALSE,"ECCMP";#N/A,#N/A,FALSE,"WELDER.XLS"}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localSheetId="1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">#REF!</definedName>
    <definedName name="_l_1" localSheetId="1">#REF!</definedName>
    <definedName name="_l_1">#REF!</definedName>
    <definedName name="_l_1_1" localSheetId="1">#REF!</definedName>
    <definedName name="_l_1_1">#REF!</definedName>
    <definedName name="_l_4">#REF!</definedName>
    <definedName name="_l_4_1">#REF!</definedName>
    <definedName name="_l_6">#REF!</definedName>
    <definedName name="_L1">#REF!</definedName>
    <definedName name="_L6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_L6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_le3" localSheetId="1">{"'Break down'!$A$4"}</definedName>
    <definedName name="_le3">{"'Break down'!$A$4"}</definedName>
    <definedName name="_le3_1" localSheetId="1">{"'Break down'!$A$4"}</definedName>
    <definedName name="_le3_1">{"'Break down'!$A$4"}</definedName>
    <definedName name="_len2">#REF!</definedName>
    <definedName name="_len3">#REF!</definedName>
    <definedName name="_LEV1">#REF!</definedName>
    <definedName name="_LEV2">#REF!</definedName>
    <definedName name="_LHS700">#REF!</definedName>
    <definedName name="_LIG1">#REF!,#REF!,#REF!,#REF!,#REF!,#REF!,#REF!,#REF!,#REF!,#REF!,#REF!,#REF!,#REF!,#REF!,#REF!,#REF!,#REF!,#REF!,#REF!,#REF!,#REF!,#REF!,#REF!,#REF!,#REF!,#REF!,#REF!</definedName>
    <definedName name="_LIG2">#REF!,#REF!,#REF!,#REF!,#REF!,#REF!,#REF!,#REF!,#REF!,#REF!,#REF!,#REF!,#REF!</definedName>
    <definedName name="_LIG3">#REF!,#REF!,#REF!,#REF!,#REF!,#REF!,#REF!,#REF!,#REF!,#REF!,#REF!,#REF!,#REF!,#REF!,#REF!</definedName>
    <definedName name="_lin1" localSheetId="1">#REF!</definedName>
    <definedName name="_lin1">#REF!</definedName>
    <definedName name="_lk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oc1" localSheetId="1">#N/A</definedName>
    <definedName name="_loc1">[1]!City&amp;" "&amp;STATE</definedName>
    <definedName name="_loi432" localSheetId="1" hidden="1">{"'Break down'!$A$4"}</definedName>
    <definedName name="_loi432" hidden="1">{"'Break down'!$A$4"}</definedName>
    <definedName name="_LOP987" localSheetId="1" hidden="1">{"'Break down'!$A$4"}</definedName>
    <definedName name="_LOP987" hidden="1">{"'Break down'!$A$4"}</definedName>
    <definedName name="_Lt01">"#REF!"</definedName>
    <definedName name="_Lt02">"#REF!"</definedName>
    <definedName name="_Lt03">"#REF!"</definedName>
    <definedName name="_LT1536">#REF!</definedName>
    <definedName name="_LT2030" localSheetId="1">#REF!</definedName>
    <definedName name="_LT2030">#REF!</definedName>
    <definedName name="_M8" localSheetId="1">#REF!</definedName>
    <definedName name="_M8">#REF!</definedName>
    <definedName name="_M9">#REF!</definedName>
    <definedName name="_MAN1">#REF!</definedName>
    <definedName name="_Mat04">#N/A</definedName>
    <definedName name="_Mat07">#N/A</definedName>
    <definedName name="_Mat08">#N/A</definedName>
    <definedName name="_Mat09">#N/A</definedName>
    <definedName name="_Mat10">#N/A</definedName>
    <definedName name="_Mat10a">#N/A</definedName>
    <definedName name="_MatInverse_In" localSheetId="1" hidden="1">#REF!</definedName>
    <definedName name="_MatInverse_In" hidden="1">#REF!</definedName>
    <definedName name="_may1" localSheetId="1" hidden="1">{#N/A,#N/A,FALSE,"MARCH"}</definedName>
    <definedName name="_may1" hidden="1">{#N/A,#N/A,FALSE,"MARCH"}</definedName>
    <definedName name="_mcs0409">#REF!</definedName>
    <definedName name="_MdO1" localSheetId="1">#REF!</definedName>
    <definedName name="_MdO1">#REF!</definedName>
    <definedName name="_MdO2" localSheetId="1">#REF!</definedName>
    <definedName name="_MdO2">#REF!</definedName>
    <definedName name="_MdO3">#REF!</definedName>
    <definedName name="_mgr2">#REF!</definedName>
    <definedName name="_mh1">#REF!</definedName>
    <definedName name="_mh600">#REF!</definedName>
    <definedName name="_MJK765" localSheetId="1" hidden="1">{"'Break down'!$A$4"}</definedName>
    <definedName name="_MJK765" hidden="1">{"'Break down'!$A$4"}</definedName>
    <definedName name="_MJK786" localSheetId="1" hidden="1">{"'Break down'!$A$4"}</definedName>
    <definedName name="_MJK786" hidden="1">{"'Break down'!$A$4"}</definedName>
    <definedName name="_MKA18">#REF!</definedName>
    <definedName name="_MM321" localSheetId="1">{"Book1","BoQ2.XLS"}</definedName>
    <definedName name="_MM321">{"Book1","BoQ2.XLS"}</definedName>
    <definedName name="_MN1">#REF!</definedName>
    <definedName name="_MR10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UP3">#REF!</definedName>
    <definedName name="_NA1" localSheetId="1">#REF!</definedName>
    <definedName name="_NA1">#REF!</definedName>
    <definedName name="_NBH6543" localSheetId="1" hidden="1">{"'Break down'!$A$4"}</definedName>
    <definedName name="_NBH6543" hidden="1">{"'Break down'!$A$4"}</definedName>
    <definedName name="_NBH657" localSheetId="1" hidden="1">{"'Break down'!$A$4"}</definedName>
    <definedName name="_NBH657" hidden="1">{"'Break down'!$A$4"}</definedName>
    <definedName name="_NET2">#REF!</definedName>
    <definedName name="_new10">#REF!</definedName>
    <definedName name="_new11">#REF!</definedName>
    <definedName name="_new12">#REF!</definedName>
    <definedName name="_new13">#REF!</definedName>
    <definedName name="_new14">#REF!</definedName>
    <definedName name="_new15">#REF!</definedName>
    <definedName name="_new16">#REF!</definedName>
    <definedName name="_new17">#REF!</definedName>
    <definedName name="_new2">#REF!</definedName>
    <definedName name="_new3" localSheetId="1">#REF!</definedName>
    <definedName name="_new3">#REF!</definedName>
    <definedName name="_new4">#REF!</definedName>
    <definedName name="_new5">#REF!</definedName>
    <definedName name="_new6">#REF!</definedName>
    <definedName name="_new7">#REF!</definedName>
    <definedName name="_new8" hidden="1">#REF!</definedName>
    <definedName name="_new9" localSheetId="1">#REF!</definedName>
    <definedName name="_new9">#REF!</definedName>
    <definedName name="_NF1">#REF!</definedName>
    <definedName name="_NF2">#REF!</definedName>
    <definedName name="_NF3">#REF!</definedName>
    <definedName name="_NF4">#REF!</definedName>
    <definedName name="_ngk1109" localSheetId="1" hidden="1">{#N/A,#N/A,FALSE,"估價單  (3)"}</definedName>
    <definedName name="_ngk1109" hidden="1">{#N/A,#N/A,FALSE,"估價單  (3)"}</definedName>
    <definedName name="_NHY768" localSheetId="1" hidden="1">{"'Break down'!$A$4"}</definedName>
    <definedName name="_NHY768" hidden="1">{"'Break down'!$A$4"}</definedName>
    <definedName name="_No" hidden="1">#REF!</definedName>
    <definedName name="_No1">#REF!</definedName>
    <definedName name="_No2">#REF!</definedName>
    <definedName name="_No3">#REF!</definedName>
    <definedName name="_nr83">#REF!</definedName>
    <definedName name="_NS1">#REF!</definedName>
    <definedName name="_ob1">#REF!</definedName>
    <definedName name="_od1">#REF!</definedName>
    <definedName name="_od84">#N/A</definedName>
    <definedName name="_old2">#REF!</definedName>
    <definedName name="_old3" localSheetId="1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3_1" localSheetId="1" hidden="1">{#N/A,#N/A,FALSE,"Summary";#N/A,#N/A,FALSE,"3TJ";#N/A,#N/A,FALSE,"3TN";#N/A,#N/A,FALSE,"3TP";#N/A,#N/A,FALSE,"3SJ";#N/A,#N/A,FALSE,"3CJ";#N/A,#N/A,FALSE,"3CN";#N/A,#N/A,FALSE,"3CP";#N/A,#N/A,FALSE,"3A"}</definedName>
    <definedName name="_old3_1" hidden="1">{#N/A,#N/A,FALSE,"Summary";#N/A,#N/A,FALSE,"3TJ";#N/A,#N/A,FALSE,"3TN";#N/A,#N/A,FALSE,"3TP";#N/A,#N/A,FALSE,"3SJ";#N/A,#N/A,FALSE,"3CJ";#N/A,#N/A,FALSE,"3CN";#N/A,#N/A,FALSE,"3CP";#N/A,#N/A,FALSE,"3A"}</definedName>
    <definedName name="_old4">#REF!</definedName>
    <definedName name="_old5" localSheetId="1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5_1" localSheetId="1" hidden="1">{#N/A,#N/A,FALSE,"Summary";#N/A,#N/A,FALSE,"3TJ";#N/A,#N/A,FALSE,"3TN";#N/A,#N/A,FALSE,"3TP";#N/A,#N/A,FALSE,"3SJ";#N/A,#N/A,FALSE,"3CJ";#N/A,#N/A,FALSE,"3CN";#N/A,#N/A,FALSE,"3CP";#N/A,#N/A,FALSE,"3A"}</definedName>
    <definedName name="_old5_1" hidden="1">{#N/A,#N/A,FALSE,"Summary";#N/A,#N/A,FALSE,"3TJ";#N/A,#N/A,FALSE,"3TN";#N/A,#N/A,FALSE,"3TP";#N/A,#N/A,FALSE,"3SJ";#N/A,#N/A,FALSE,"3CJ";#N/A,#N/A,FALSE,"3CN";#N/A,#N/A,FALSE,"3CP";#N/A,#N/A,FALSE,"3A"}</definedName>
    <definedName name="_old6">#REF!</definedName>
    <definedName name="_old7" localSheetId="1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ld7_1" localSheetId="1" hidden="1">{#N/A,#N/A,FALSE,"Summary";#N/A,#N/A,FALSE,"3TJ";#N/A,#N/A,FALSE,"3TN";#N/A,#N/A,FALSE,"3TP";#N/A,#N/A,FALSE,"3SJ";#N/A,#N/A,FALSE,"3CJ";#N/A,#N/A,FALSE,"3CN";#N/A,#N/A,FALSE,"3CP";#N/A,#N/A,FALSE,"3A"}</definedName>
    <definedName name="_old7_1" hidden="1">{#N/A,#N/A,FALSE,"Summary";#N/A,#N/A,FALSE,"3TJ";#N/A,#N/A,FALSE,"3TN";#N/A,#N/A,FALSE,"3TP";#N/A,#N/A,FALSE,"3SJ";#N/A,#N/A,FALSE,"3CJ";#N/A,#N/A,FALSE,"3CN";#N/A,#N/A,FALSE,"3CP";#N/A,#N/A,FALSE,"3A"}</definedName>
    <definedName name="_old88" localSheetId="1" hidden="1">{#N/A,#N/A,FALSE,"Summary";#N/A,#N/A,FALSE,"3TJ";#N/A,#N/A,FALSE,"3TN";#N/A,#N/A,FALSE,"3TP";#N/A,#N/A,FALSE,"3SJ";#N/A,#N/A,FALSE,"3CJ";#N/A,#N/A,FALSE,"3CN";#N/A,#N/A,FALSE,"3CP";#N/A,#N/A,FALSE,"3A"}</definedName>
    <definedName name="_old88" hidden="1">{#N/A,#N/A,FALSE,"Summary";#N/A,#N/A,FALSE,"3TJ";#N/A,#N/A,FALSE,"3TN";#N/A,#N/A,FALSE,"3TP";#N/A,#N/A,FALSE,"3SJ";#N/A,#N/A,FALSE,"3CJ";#N/A,#N/A,FALSE,"3CN";#N/A,#N/A,FALSE,"3CP";#N/A,#N/A,FALSE,"3A"}</definedName>
    <definedName name="_old88_1" localSheetId="1" hidden="1">{#N/A,#N/A,FALSE,"Summary";#N/A,#N/A,FALSE,"3TJ";#N/A,#N/A,FALSE,"3TN";#N/A,#N/A,FALSE,"3TP";#N/A,#N/A,FALSE,"3SJ";#N/A,#N/A,FALSE,"3CJ";#N/A,#N/A,FALSE,"3CN";#N/A,#N/A,FALSE,"3CP";#N/A,#N/A,FALSE,"3A"}</definedName>
    <definedName name="_old88_1" hidden="1">{#N/A,#N/A,FALSE,"Summary";#N/A,#N/A,FALSE,"3TJ";#N/A,#N/A,FALSE,"3TN";#N/A,#N/A,FALSE,"3TP";#N/A,#N/A,FALSE,"3SJ";#N/A,#N/A,FALSE,"3CJ";#N/A,#N/A,FALSE,"3CN";#N/A,#N/A,FALSE,"3CP";#N/A,#N/A,FALSE,"3A"}</definedName>
    <definedName name="_opi567" localSheetId="1" hidden="1">{"'Break down'!$A$4"}</definedName>
    <definedName name="_opi567" hidden="1">{"'Break down'!$A$4"}</definedName>
    <definedName name="_OPS1">#REF!</definedName>
    <definedName name="_Opt1">"#REF!"</definedName>
    <definedName name="_Opt2">"#REF!"</definedName>
    <definedName name="_Opt3">"#REF!"</definedName>
    <definedName name="_Opt4">"#REF!"</definedName>
    <definedName name="_Opt5">"#REF!"</definedName>
    <definedName name="_Option3">#REF!</definedName>
    <definedName name="_Order1">255</definedName>
    <definedName name="_Order2">255</definedName>
    <definedName name="_p">#REF!</definedName>
    <definedName name="_p_1" localSheetId="1">#REF!</definedName>
    <definedName name="_p_1">#REF!</definedName>
    <definedName name="_p_1_1" localSheetId="1">#REF!</definedName>
    <definedName name="_p_1_1">#REF!</definedName>
    <definedName name="_p_4">#REF!</definedName>
    <definedName name="_p_4_1">#REF!</definedName>
    <definedName name="_p_6">#REF!</definedName>
    <definedName name="_p2">#REF!</definedName>
    <definedName name="_P200205">#REF!</definedName>
    <definedName name="_PAG1" localSheetId="1">#REF!</definedName>
    <definedName name="_PAG1">#REF!</definedName>
    <definedName name="_PAG2">#REF!</definedName>
    <definedName name="_PAG3">#REF!</definedName>
    <definedName name="_Parse_In" hidden="1">#REF!</definedName>
    <definedName name="_Parse_Out" localSheetId="1" hidden="1">#REF!</definedName>
    <definedName name="_Parse_Out" hidden="1">#REF!</definedName>
    <definedName name="_PB1">#REF!</definedName>
    <definedName name="_pc1" localSheetId="1" hidden="1">{#N/A,#N/A,FALSE,"VCR"}</definedName>
    <definedName name="_pc1">#REF!</definedName>
    <definedName name="_PC2" localSheetId="1" hidden="1">{#N/A,#N/A,FALSE,"VCR"}</definedName>
    <definedName name="_pc2">#REF!</definedName>
    <definedName name="_pc3" localSheetId="1">#REF!</definedName>
    <definedName name="_pc3">#REF!</definedName>
    <definedName name="_pcc1">#REF!</definedName>
    <definedName name="_pcc2">#REF!</definedName>
    <definedName name="_pcc3">#REF!</definedName>
    <definedName name="_PCC4">#REF!</definedName>
    <definedName name="_PE2000">#REF!</definedName>
    <definedName name="_pel1">#REF!</definedName>
    <definedName name="_Pg01">"#REF!"</definedName>
    <definedName name="_Pg02">"#REF!"</definedName>
    <definedName name="_Pg03">"#REF!"</definedName>
    <definedName name="_Pg04">"#REF!"</definedName>
    <definedName name="_Pg05">"#REF!"</definedName>
    <definedName name="_Pg07">"#REF!"</definedName>
    <definedName name="_Pg08">"#REF!"</definedName>
    <definedName name="_Pg09">"#REF!"</definedName>
    <definedName name="_Pg10">"#REF!"</definedName>
    <definedName name="_pg11">"#REF!"</definedName>
    <definedName name="_pg12">"#REF!"</definedName>
    <definedName name="_pg13">"#REF!"</definedName>
    <definedName name="_pg14">"#REF!"</definedName>
    <definedName name="_pg15">"#REF!"</definedName>
    <definedName name="_pg16">"#REF!"</definedName>
    <definedName name="_pg17">"#REF!"</definedName>
    <definedName name="_pg18">"#REF!"</definedName>
    <definedName name="_ph1">#REF!</definedName>
    <definedName name="_pig1">#REF!</definedName>
    <definedName name="_PKT1">#N/A</definedName>
    <definedName name="_PKT2">#N/A</definedName>
    <definedName name="_pl4" localSheetId="1">#REF!</definedName>
    <definedName name="_pl4">#REF!</definedName>
    <definedName name="_pl4_1">0</definedName>
    <definedName name="_plb1">#REF!</definedName>
    <definedName name="_plb2">#REF!</definedName>
    <definedName name="_plb3">#REF!</definedName>
    <definedName name="_plb4">#REF!</definedName>
    <definedName name="_pls4">#REF!</definedName>
    <definedName name="_pls4_1">0</definedName>
    <definedName name="_PO7">#REF!</definedName>
    <definedName name="_PO8">#REF!</definedName>
    <definedName name="_PO9">#REF!</definedName>
    <definedName name="_poi564" localSheetId="1" hidden="1">{"'Break down'!$A$4"}</definedName>
    <definedName name="_poi564" hidden="1">{"'Break down'!$A$4"}</definedName>
    <definedName name="_pop1">#REF!</definedName>
    <definedName name="_POP3" localSheetId="1">#REF!</definedName>
    <definedName name="_POP3">#REF!</definedName>
    <definedName name="_pot" localSheetId="1" hidden="1">#REF!</definedName>
    <definedName name="_pot" hidden="1">#REF!</definedName>
    <definedName name="_ppp23" localSheetId="1">BlankMacro1</definedName>
    <definedName name="_ppp23">BlankMacro1</definedName>
    <definedName name="_PR1">#N/A</definedName>
    <definedName name="_PR2">#N/A</definedName>
    <definedName name="_PRN1" localSheetId="1" hidden="1">{#N/A,#N/A,FALSE,"COVER.XLS";#N/A,#N/A,FALSE,"RACT1.XLS";#N/A,#N/A,FALSE,"RACT2.XLS";#N/A,#N/A,FALSE,"ECCMP";#N/A,#N/A,FALSE,"WELDER.XLS"}</definedName>
    <definedName name="_PRN1" hidden="1">{#N/A,#N/A,FALSE,"COVER.XLS";#N/A,#N/A,FALSE,"RACT1.XLS";#N/A,#N/A,FALSE,"RACT2.XLS";#N/A,#N/A,FALSE,"ECCMP";#N/A,#N/A,FALSE,"WELDER.XLS"}</definedName>
    <definedName name="_PRV1" localSheetId="1">#REF!</definedName>
    <definedName name="_PRV1">#REF!</definedName>
    <definedName name="_ps4">#REF!</definedName>
    <definedName name="_ps4_1">0</definedName>
    <definedName name="_PVC1">#REF!</definedName>
    <definedName name="_PVC2">#REF!</definedName>
    <definedName name="_q90" localSheetId="1">BlankMacro1</definedName>
    <definedName name="_q90">BlankMacro1</definedName>
    <definedName name="_qiy4" localSheetId="1">BlankMacro1</definedName>
    <definedName name="_qiy4">BlankMacro1</definedName>
    <definedName name="_Qlt10102" localSheetId="1">#REF!</definedName>
    <definedName name="_Qlt10102">#REF!</definedName>
    <definedName name="_Qlt10152" localSheetId="1">#REF!</definedName>
    <definedName name="_Qlt10152">#REF!</definedName>
    <definedName name="_Qlt10202" localSheetId="1">#REF!</definedName>
    <definedName name="_Qlt10202">#REF!</definedName>
    <definedName name="_Qlt15202">#REF!</definedName>
    <definedName name="_Qlt15362">#REF!</definedName>
    <definedName name="_Qlt20202">#REF!</definedName>
    <definedName name="_Qlt20302">#REF!</definedName>
    <definedName name="_Qlt30362">#REF!</definedName>
    <definedName name="_qq20" localSheetId="1">BlankMacro1</definedName>
    <definedName name="_qq20">BlankMacro1</definedName>
    <definedName name="_qq21" localSheetId="1">BlankMacro1</definedName>
    <definedName name="_qq21">BlankMacro1</definedName>
    <definedName name="_qs12" localSheetId="1">#REF!</definedName>
    <definedName name="_qs12">#REF!</definedName>
    <definedName name="_QTY1" localSheetId="1">IF(#REF!=#REF!,#REF!,IF(#REF!=1,#REF!*VLOOKUP(#REF!,#REF!,5),#REF!/VLOOKUP(#REF!,#REF!,5)))</definedName>
    <definedName name="_QTY1">IF(#REF!=#REF!,#REF!,IF(#REF!=1,#REF!*VLOOKUP(#REF!,#REF!,5),#REF!/VLOOKUP(#REF!,#REF!,5)))</definedName>
    <definedName name="_r23" localSheetId="1" hidden="1">#REF!</definedName>
    <definedName name="_r23" hidden="1">#REF!</definedName>
    <definedName name="_ra3" localSheetId="1">#REF!</definedName>
    <definedName name="_ra3">#REF!</definedName>
    <definedName name="_ra4" localSheetId="1">#REF!</definedName>
    <definedName name="_ra4">#REF!</definedName>
    <definedName name="_Ra6">#REF!</definedName>
    <definedName name="_RAB0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j1">#REF!</definedName>
    <definedName name="_ram1" localSheetId="1" hidden="1">{#N/A,#N/A,FALSE,"gc (2)"}</definedName>
    <definedName name="_ram1" hidden="1">{#N/A,#N/A,FALSE,"gc (2)"}</definedName>
    <definedName name="_rb1">#REF!</definedName>
    <definedName name="_rb2">#REF!</definedName>
    <definedName name="_RBS1" localSheetId="1">#REF!</definedName>
    <definedName name="_RBS1">#REF!</definedName>
    <definedName name="_RC">#REF!</definedName>
    <definedName name="_RE100" localSheetId="1">#REF!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f2">#REF!</definedName>
    <definedName name="_Regression_Int">1</definedName>
    <definedName name="_Regression_Out" localSheetId="1" hidden="1">#REF!</definedName>
    <definedName name="_Regression_Out" hidden="1">#REF!</definedName>
    <definedName name="_Regression_X" hidden="1">#REF!</definedName>
    <definedName name="_Regression_Y" hidden="1">#REF!</definedName>
    <definedName name="_REM1">#REF!</definedName>
    <definedName name="_REM2">#REF!</definedName>
    <definedName name="_RFP1">#REF!</definedName>
    <definedName name="_RFP2">#REF!</definedName>
    <definedName name="_RFP3">#REF!</definedName>
    <definedName name="_rim4">#REF!</definedName>
    <definedName name="_rm4">#REF!</definedName>
    <definedName name="_RND2">2</definedName>
    <definedName name="_ROI1" localSheetId="1">#REF!</definedName>
    <definedName name="_ROI1">#REF!</definedName>
    <definedName name="_roi2">#REF!</definedName>
    <definedName name="_s056">#REF!</definedName>
    <definedName name="_s0564">#REF!</definedName>
    <definedName name="_s105640">#REF!</definedName>
    <definedName name="_s12">#REF!</definedName>
    <definedName name="_s15604">#REF!</definedName>
    <definedName name="_s1564">#REF!</definedName>
    <definedName name="_s4560">#REF!</definedName>
    <definedName name="_s45620">#REF!</definedName>
    <definedName name="_s560">#REF!</definedName>
    <definedName name="_SC03">#REF!</definedName>
    <definedName name="_sc06">#REF!</definedName>
    <definedName name="_sc07">#REF!</definedName>
    <definedName name="_sc08">#REF!</definedName>
    <definedName name="_sc09">#REF!</definedName>
    <definedName name="_SC1">#N/A</definedName>
    <definedName name="_sc10" localSheetId="1">#REF!</definedName>
    <definedName name="_sc10">#REF!</definedName>
    <definedName name="_sc11">#REF!</definedName>
    <definedName name="_sc12">#REF!</definedName>
    <definedName name="_sc13">#REF!</definedName>
    <definedName name="_sc14">#REF!</definedName>
    <definedName name="_sc15">#REF!</definedName>
    <definedName name="_sc16">#REF!</definedName>
    <definedName name="_sc17">#REF!</definedName>
    <definedName name="_sc18">#REF!</definedName>
    <definedName name="_sc19">#REF!</definedName>
    <definedName name="_sc20">#REF!</definedName>
    <definedName name="_SC200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27">#REF!</definedName>
    <definedName name="_sc28">#REF!</definedName>
    <definedName name="_sc29">#REF!</definedName>
    <definedName name="_sc30">#REF!</definedName>
    <definedName name="_sc31">#REF!</definedName>
    <definedName name="_sc32">#REF!</definedName>
    <definedName name="_sc33">#REF!</definedName>
    <definedName name="_sc34">#REF!</definedName>
    <definedName name="_sc35">#REF!</definedName>
    <definedName name="_sc36">#REF!</definedName>
    <definedName name="_sc37">#REF!</definedName>
    <definedName name="_sc38">#REF!</definedName>
    <definedName name="_sc39">#REF!</definedName>
    <definedName name="_sc40">#REF!</definedName>
    <definedName name="_sc41">#REF!</definedName>
    <definedName name="_sc42">#REF!</definedName>
    <definedName name="_sc43">#REF!</definedName>
    <definedName name="_sc44">#REF!</definedName>
    <definedName name="_sc45">#REF!</definedName>
    <definedName name="_sc46">#REF!</definedName>
    <definedName name="_sc47">#REF!</definedName>
    <definedName name="_sc48">#REF!</definedName>
    <definedName name="_sc6">#REF!</definedName>
    <definedName name="_sc7">#REF!</definedName>
    <definedName name="_sc8">#REF!</definedName>
    <definedName name="_sc9">#REF!</definedName>
    <definedName name="_SCH10">#REF!</definedName>
    <definedName name="_sch2">#REF!</definedName>
    <definedName name="_SCH40">#REF!</definedName>
    <definedName name="_SCR04">#REF!</definedName>
    <definedName name="_SCR1">#REF!</definedName>
    <definedName name="_SCR2">#REF!</definedName>
    <definedName name="_SCR3">#REF!</definedName>
    <definedName name="_scr4">#REF!</definedName>
    <definedName name="_SDB1">#REF!</definedName>
    <definedName name="_SDB2">#REF!</definedName>
    <definedName name="_SDB3">#REF!</definedName>
    <definedName name="_SDB3.">#REF!</definedName>
    <definedName name="_SDB3..">#REF!</definedName>
    <definedName name="_SDB3...">#REF!</definedName>
    <definedName name="_SDB4">#REF!</definedName>
    <definedName name="_SDB4.">#REF!</definedName>
    <definedName name="_SDB4..">#REF!</definedName>
    <definedName name="_SDB4...">#REF!</definedName>
    <definedName name="_SDB5">#REF!</definedName>
    <definedName name="_SDB5.">#REF!</definedName>
    <definedName name="_SDB5..">#REF!</definedName>
    <definedName name="_SDB5...">#REF!</definedName>
    <definedName name="_SDB6">#REF!</definedName>
    <definedName name="_SDB7">#REF!</definedName>
    <definedName name="_SDB7.">#REF!</definedName>
    <definedName name="_SDB7..">#REF!</definedName>
    <definedName name="_SDB7...">#REF!</definedName>
    <definedName name="_SDB8">#REF!</definedName>
    <definedName name="_SEC15030">#REF!</definedName>
    <definedName name="_SEC15060">#REF!</definedName>
    <definedName name="_SEC15100">#REF!</definedName>
    <definedName name="_SEC15110">#REF!</definedName>
    <definedName name="_SEC15125">#REF!</definedName>
    <definedName name="_SEC15160">#REF!</definedName>
    <definedName name="_SEC15175">#REF!</definedName>
    <definedName name="_SEC1529">#REF!</definedName>
    <definedName name="_SEC15290">#REF!</definedName>
    <definedName name="_SEC1531">#REF!</definedName>
    <definedName name="_SEC15310">#REF!</definedName>
    <definedName name="_SEC15420">#REF!</definedName>
    <definedName name="_SEC15440">#REF!</definedName>
    <definedName name="_SEC15470">#REF!</definedName>
    <definedName name="_SEC15486">#REF!</definedName>
    <definedName name="_SEC15540">#REF!</definedName>
    <definedName name="_SEC15610">#REF!</definedName>
    <definedName name="_SEC15625">#REF!</definedName>
    <definedName name="_SEC15680">#REF!</definedName>
    <definedName name="_SEC15850">#REF!</definedName>
    <definedName name="_SEC15865">#REF!</definedName>
    <definedName name="_SEC15875">#REF!</definedName>
    <definedName name="_SEC15890">#REF!</definedName>
    <definedName name="_SEC15910">#REF!</definedName>
    <definedName name="_SEC15940">#REF!</definedName>
    <definedName name="_SEC15975">#REF!</definedName>
    <definedName name="_sep05">#REF!</definedName>
    <definedName name="_SET08_1">#N/A</definedName>
    <definedName name="_SET09_1">#N/A</definedName>
    <definedName name="_set1" localSheetId="1">#REF!,#REF!,#REF!,#REF!,#REF!,#REF!,#REF!,#REF!,#REF!,#REF!,#REF!,#REF!,#REF!,#REF!,#REF!,#REF!,#REF!,#REF!</definedName>
    <definedName name="_set1">#REF!,#REF!,#REF!,#REF!,#REF!,#REF!,#REF!,#REF!,#REF!,#REF!,#REF!,#REF!,#REF!,#REF!,#REF!,#REF!,#REF!,#REF!</definedName>
    <definedName name="_SH1" localSheetId="1">#REF!</definedName>
    <definedName name="_SH1">#REF!</definedName>
    <definedName name="_SH2" localSheetId="1">#REF!</definedName>
    <definedName name="_SH2">#REF!</definedName>
    <definedName name="_SH3" localSheetId="1">#REF!</definedName>
    <definedName name="_SH3">#REF!</definedName>
    <definedName name="_SH4">#REF!</definedName>
    <definedName name="_SH5">#REF!</definedName>
    <definedName name="_SI16" localSheetId="1" hidden="1">{#N/A,#N/A,FALSE,"MARCH"}</definedName>
    <definedName name="_SI16" hidden="1">{#N/A,#N/A,FALSE,"MARCH"}</definedName>
    <definedName name="_sls5">#REF!</definedName>
    <definedName name="_Soilwall" localSheetId="1">#REF!</definedName>
    <definedName name="_Soilwall">#REF!</definedName>
    <definedName name="_Sort" hidden="1">#REF!</definedName>
    <definedName name="_Sort_1">0</definedName>
    <definedName name="_ss01" localSheetId="1">BlankMacro1</definedName>
    <definedName name="_ss01">BlankMacro1</definedName>
    <definedName name="_ss1" localSheetId="1">BlankMacro1</definedName>
    <definedName name="_ss1">BlankMacro1</definedName>
    <definedName name="_ST1" localSheetId="1">#REF!</definedName>
    <definedName name="_ST1">#REF!</definedName>
    <definedName name="_ST2">#REF!</definedName>
    <definedName name="_sti02" localSheetId="1" hidden="1">{#N/A,#N/A,FALSE,"gc (2)"}</definedName>
    <definedName name="_sti02" hidden="1">{#N/A,#N/A,FALSE,"gc (2)"}</definedName>
    <definedName name="_sub1">#REF!</definedName>
    <definedName name="_sub10">#REF!</definedName>
    <definedName name="_sub11">#REF!</definedName>
    <definedName name="_sub12">#REF!</definedName>
    <definedName name="_sub13">#REF!</definedName>
    <definedName name="_sub14">#REF!</definedName>
    <definedName name="_sub15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b8">#REF!</definedName>
    <definedName name="_sub9">#REF!</definedName>
    <definedName name="_Sum1" localSheetId="1">#REF!</definedName>
    <definedName name="_Sum1">#REF!</definedName>
    <definedName name="_SUMMARY_OF_COS">"#REF!"</definedName>
    <definedName name="_sw4" localSheetId="1">#REF!</definedName>
    <definedName name="_sw4">#REF!</definedName>
    <definedName name="_sw4_1">0</definedName>
    <definedName name="_t1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localSheetId="1" hidden="1">{#N/A,#N/A,TRUE,"Financials";#N/A,#N/A,TRUE,"Operating Statistics";#N/A,#N/A,TRUE,"Capex &amp; Depreciation";#N/A,#N/A,TRUE,"Debt"}</definedName>
    <definedName name="_ta1" hidden="1">{#N/A,#N/A,TRUE,"Financials";#N/A,#N/A,TRUE,"Operating Statistics";#N/A,#N/A,TRUE,"Capex &amp; Depreciation";#N/A,#N/A,TRUE,"Debt"}</definedName>
    <definedName name="_tab1">#REF!</definedName>
    <definedName name="_Table1_In1" hidden="1">#REF!</definedName>
    <definedName name="_Table1_Out" hidden="1">#REF!</definedName>
    <definedName name="_Table2_In1" localSheetId="1" hidden="1">#REF!</definedName>
    <definedName name="_Table2_In1" hidden="1">#REF!</definedName>
    <definedName name="_Table2_In2" hidden="1">#REF!</definedName>
    <definedName name="_Table2_Out" hidden="1">#REF!</definedName>
    <definedName name="_tas2">#REF!</definedName>
    <definedName name="_tas3">#REF!</definedName>
    <definedName name="_tax1">#REF!</definedName>
    <definedName name="_tax2">#REF!</definedName>
    <definedName name="_tax3">#REF!</definedName>
    <definedName name="_tax4">#REF!</definedName>
    <definedName name="_tb1" localSheetId="1" hidden="1">{#N/A,#N/A,FALSE,"One Pager";#N/A,#N/A,FALSE,"Technical"}</definedName>
    <definedName name="_tb1" hidden="1">{#N/A,#N/A,FALSE,"One Pager";#N/A,#N/A,FALSE,"Technical"}</definedName>
    <definedName name="_TB2">#REF!</definedName>
    <definedName name="_tbc2" localSheetId="1">#REF!</definedName>
    <definedName name="_tbc2">#REF!</definedName>
    <definedName name="_tbc3">#REF!</definedName>
    <definedName name="_TC1" localSheetId="1" hidden="1">{#N/A,#N/A,FALSE,"물량산출"}</definedName>
    <definedName name="_TC1" hidden="1">{#N/A,#N/A,FALSE,"물량산출"}</definedName>
    <definedName name="_TDS2" localSheetId="1" hidden="1">{"'Sheet1'!$A$4386:$N$4591"}</definedName>
    <definedName name="_TDS2" hidden="1">{"'Sheet1'!$A$4386:$N$4591"}</definedName>
    <definedName name="_tem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hu1">#REF!</definedName>
    <definedName name="_tm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">#REF!</definedName>
    <definedName name="_TRT44">#N/A</definedName>
    <definedName name="_try2" localSheetId="1">#REF!</definedName>
    <definedName name="_try2">#REF!</definedName>
    <definedName name="_TS45">#N/A</definedName>
    <definedName name="_ttt1" localSheetId="1" hidden="1">{"'Sheet1'!$L$16"}</definedName>
    <definedName name="_ttt1" hidden="1">{"'Sheet1'!$L$16"}</definedName>
    <definedName name="_tz593">#REF!</definedName>
    <definedName name="_U14">#REF!</definedName>
    <definedName name="_U60">#REF!</definedName>
    <definedName name="_utr2" localSheetId="1">BlankMacro1</definedName>
    <definedName name="_utr2">BlankMacro1</definedName>
    <definedName name="_Val101" localSheetId="1">#REF!</definedName>
    <definedName name="_Val101">#REF!</definedName>
    <definedName name="_Val102" localSheetId="1">#REF!</definedName>
    <definedName name="_Val102">#REF!</definedName>
    <definedName name="_Val201" localSheetId="1">#REF!</definedName>
    <definedName name="_Val201">#REF!</definedName>
    <definedName name="_Val202">#REF!</definedName>
    <definedName name="_Val301">#REF!</definedName>
    <definedName name="_Val302">#REF!</definedName>
    <definedName name="_VB98" localSheetId="1" hidden="1">{"'Break down'!$A$4"}</definedName>
    <definedName name="_VB98" hidden="1">{"'Break down'!$A$4"}</definedName>
    <definedName name="_VBF45321" localSheetId="1" hidden="1">{"'Break down'!$A$4"}</definedName>
    <definedName name="_VBF45321" hidden="1">{"'Break down'!$A$4"}</definedName>
    <definedName name="_vf453" localSheetId="1" hidden="1">{"'Break down'!$A$4"}</definedName>
    <definedName name="_vf453" hidden="1">{"'Break down'!$A$4"}</definedName>
    <definedName name="_VN1">#REF!</definedName>
    <definedName name="_VO1" localSheetId="1" hidden="1">{"'VO'!$P$64:$S$69"}</definedName>
    <definedName name="_VO1" hidden="1">{"'VO'!$P$64:$S$69"}</definedName>
    <definedName name="_VO2" localSheetId="1" hidden="1">{"'VO'!$P$64:$S$69"}</definedName>
    <definedName name="_VO2" hidden="1">{"'VO'!$P$64:$S$69"}</definedName>
    <definedName name="_VV11">#N/A</definedName>
    <definedName name="_wc1">#REF!</definedName>
    <definedName name="_WC2">#REF!</definedName>
    <definedName name="_we22">#N/A</definedName>
    <definedName name="_wet4" localSheetId="1" hidden="1">{#N/A,#N/A,FALSE,"포장1";#N/A,#N/A,FALSE,"포장1"}</definedName>
    <definedName name="_wet4" hidden="1">{#N/A,#N/A,FALSE,"포장1";#N/A,#N/A,FALSE,"포장1"}</definedName>
    <definedName name="_whb1">#REF!</definedName>
    <definedName name="_WHB2">#REF!</definedName>
    <definedName name="_WHB3">#REF!</definedName>
    <definedName name="_wid2" localSheetId="1">#REF!</definedName>
    <definedName name="_wid2">#REF!</definedName>
    <definedName name="_wid3">#REF!</definedName>
    <definedName name="_win1">#REF!</definedName>
    <definedName name="_win2">#REF!</definedName>
    <definedName name="_WP1" localSheetId="1">#REF!</definedName>
    <definedName name="_WP1">#REF!</definedName>
    <definedName name="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2" localSheetId="1" hidden="1">{#N/A,#N/A,FALSE,"COVER1.XLS ";#N/A,#N/A,FALSE,"RACT1.XLS";#N/A,#N/A,FALSE,"RACT2.XLS";#N/A,#N/A,FALSE,"ECCMP";#N/A,#N/A,FALSE,"WELDER.XLS"}</definedName>
    <definedName name="_WRN2" hidden="1">{#N/A,#N/A,FALSE,"COVER1.XLS ";#N/A,#N/A,FALSE,"RACT1.XLS";#N/A,#N/A,FALSE,"RACT2.XLS";#N/A,#N/A,FALSE,"ECCMP";#N/A,#N/A,FALSE,"WELDER.XLS"}</definedName>
    <definedName name="_WRN3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x1">#REF!</definedName>
    <definedName name="_x2" localSheetId="1">#REF!</definedName>
    <definedName name="_x2">#REF!</definedName>
    <definedName name="_XCZ342" localSheetId="1" hidden="1">{"'Break down'!$A$4"}</definedName>
    <definedName name="_XCZ342" hidden="1">{"'Break down'!$A$4"}</definedName>
    <definedName name="_yt564" localSheetId="1" hidden="1">{"'Break down'!$A$4"}</definedName>
    <definedName name="_yt564" hidden="1">{"'Break down'!$A$4"}</definedName>
    <definedName name="_yy5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yy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z1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z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zz1" localSheetId="1">#REF!</definedName>
    <definedName name="_zz1">#REF!</definedName>
    <definedName name="_zz93">#REF!</definedName>
    <definedName name="\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>#REF!</definedName>
    <definedName name="\00">#REF!</definedName>
    <definedName name="\1" localSheetId="1">"#REF!"</definedName>
    <definedName name="\1">#REF!</definedName>
    <definedName name="\122" localSheetId="1" hidden="1">#REF!</definedName>
    <definedName name="\122" hidden="1">#REF!</definedName>
    <definedName name="\123" localSheetId="1" hidden="1">#REF!</definedName>
    <definedName name="\123" hidden="1">#REF!</definedName>
    <definedName name="\1234" localSheetId="1" hidden="1">#REF!</definedName>
    <definedName name="\1234" hidden="1">#REF!</definedName>
    <definedName name="\12345" localSheetId="1" hidden="1">#REF!</definedName>
    <definedName name="\12345" hidden="1">#REF!</definedName>
    <definedName name="\2" localSheetId="1">#REF!</definedName>
    <definedName name="\2">#REF!</definedName>
    <definedName name="\44333" localSheetId="1">#REF!</definedName>
    <definedName name="\44333">#REF!</definedName>
    <definedName name="\A" localSheetId="1">#REF!</definedName>
    <definedName name="\A">#REF!</definedName>
    <definedName name="\AA" localSheetId="1">#REF!</definedName>
    <definedName name="\AA">#REF!</definedName>
    <definedName name="\ab" localSheetId="1">#REF!</definedName>
    <definedName name="\ab">#REF!</definedName>
    <definedName name="\add9a" localSheetId="1">#REF!</definedName>
    <definedName name="\add9a">#REF!</definedName>
    <definedName name="\B" localSheetId="1">#REF!</definedName>
    <definedName name="\B">#REF!</definedName>
    <definedName name="\BA">"#REF!"</definedName>
    <definedName name="\c">#N/A</definedName>
    <definedName name="\CALCS">"#REF!"</definedName>
    <definedName name="\CC">#REF!</definedName>
    <definedName name="\D" localSheetId="1">#REF!</definedName>
    <definedName name="\D">#REF!</definedName>
    <definedName name="\DATA">"#REF!"</definedName>
    <definedName name="\E">#REF!</definedName>
    <definedName name="\F">#REF!</definedName>
    <definedName name="\G">#REF!</definedName>
    <definedName name="\gvfbd" localSheetId="1">#REF!</definedName>
    <definedName name="\gvfbd">#REF!</definedName>
    <definedName name="\gzfbhxcn" localSheetId="1">#REF!</definedName>
    <definedName name="\gzfbhxcn">#REF!</definedName>
    <definedName name="\H" localSheetId="1">#REF!</definedName>
    <definedName name="\H">#REF!</definedName>
    <definedName name="\I">#REF!</definedName>
    <definedName name="\INSERT">"#REF!"</definedName>
    <definedName name="\J">#REF!</definedName>
    <definedName name="\K">#REF!</definedName>
    <definedName name="\L">#REF!</definedName>
    <definedName name="\LA">"#REF!"</definedName>
    <definedName name="\LP">"#REF!"</definedName>
    <definedName name="\LPS">"#REF!"</definedName>
    <definedName name="\M">#REF!</definedName>
    <definedName name="\MENU">"#REF!"</definedName>
    <definedName name="\N">#REF!</definedName>
    <definedName name="\o">#REF!</definedName>
    <definedName name="\OO">#REF!</definedName>
    <definedName name="\p">#N/A</definedName>
    <definedName name="\PRIME">"#REF!"</definedName>
    <definedName name="\PRINT">"#REF!"</definedName>
    <definedName name="\Q">#REF!</definedName>
    <definedName name="\r" localSheetId="1">#REF!</definedName>
    <definedName name="\r">#REF!</definedName>
    <definedName name="\S" localSheetId="1">#REF!</definedName>
    <definedName name="\S">#REF!</definedName>
    <definedName name="\SORT">"#REF!"</definedName>
    <definedName name="\T">#REF!</definedName>
    <definedName name="\U">#REF!</definedName>
    <definedName name="\V">#REF!</definedName>
    <definedName name="\w" localSheetId="1">"#REF!"</definedName>
    <definedName name="\W">#REF!</definedName>
    <definedName name="\X" localSheetId="1">#REF!</definedName>
    <definedName name="\X">#REF!</definedName>
    <definedName name="\Y" localSheetId="1">#REF!</definedName>
    <definedName name="\Y">#REF!</definedName>
    <definedName name="\z" localSheetId="1">#REF!</definedName>
    <definedName name="\z">#REF!</definedName>
    <definedName name="\zbcdBSA">#REF!</definedName>
    <definedName name="\zpr">#REF!</definedName>
    <definedName name="A" localSheetId="1">#REF!</definedName>
    <definedName name="A">#REF!</definedName>
    <definedName name="A___0" localSheetId="1">#REF!</definedName>
    <definedName name="A___0">#REF!</definedName>
    <definedName name="A___0___0">"$#REF!.$#REF!$#REF!:$#REF!$#REF!"</definedName>
    <definedName name="A___0___3">"$#REF!.$#REF!$#REF!:$#REF!$#REF!"</definedName>
    <definedName name="A___0___4">"$#REF!.$#REF!$#REF!:$#REF!$#REF!"</definedName>
    <definedName name="a___13">#REF!</definedName>
    <definedName name="A___18" localSheetId="1">#REF!</definedName>
    <definedName name="A___18">#REF!</definedName>
    <definedName name="A___2">#REF!</definedName>
    <definedName name="A___2___0">"$#REF!.$#REF!$#REF!:$#REF!$#REF!"</definedName>
    <definedName name="A___2___3">"$#REF!.$#REF!$#REF!:$#REF!$#REF!"</definedName>
    <definedName name="A___3">#REF!</definedName>
    <definedName name="A___3___0">"$#REF!.$#REF!$#REF!:$#REF!$#REF!"</definedName>
    <definedName name="A___3___3">"$#REF!.$#REF!$#REF!:$#REF!$#REF!"</definedName>
    <definedName name="A___3___4">"$#REF!.$#REF!$#REF!:$#REF!$#REF!"</definedName>
    <definedName name="A___4">#REF!</definedName>
    <definedName name="A___4___0">"$#REF!.$#REF!$#REF!:$#REF!$#REF!"</definedName>
    <definedName name="A___4___3">"$#REF!.$#REF!$#REF!:$#REF!$#REF!"</definedName>
    <definedName name="A___7">"$#REF!.$#REF!$#REF!:$#REF!$#REF!"</definedName>
    <definedName name="A__360">#REF!</definedName>
    <definedName name="a_1">NA()</definedName>
    <definedName name="a_100">#REF!</definedName>
    <definedName name="a_150" localSheetId="1">#REF!</definedName>
    <definedName name="a_150">#REF!</definedName>
    <definedName name="a_2">NA()</definedName>
    <definedName name="A_2000_Concrete" localSheetId="1">#REF!</definedName>
    <definedName name="A_2000_Concrete">#REF!</definedName>
    <definedName name="A_22" localSheetId="1">#REF!</definedName>
    <definedName name="A_22">#REF!</definedName>
    <definedName name="A_2500_Concrete">#REF!</definedName>
    <definedName name="a_3">NA()</definedName>
    <definedName name="A_4" localSheetId="1">#REF!</definedName>
    <definedName name="A_4">#REF!</definedName>
    <definedName name="A_5">#REF!</definedName>
    <definedName name="a_50">#REF!</definedName>
    <definedName name="A_6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Mat_Wahl_1">#REF!</definedName>
    <definedName name="A_Mat_Wahl_2">#REF!</definedName>
    <definedName name="A_Mat_Wahl_3">#REF!</definedName>
    <definedName name="A_Mat_Wahl_4">#REF!</definedName>
    <definedName name="A_Mat_Wahl_5">#REF!</definedName>
    <definedName name="A_Mat_Wahl_6">#REF!</definedName>
    <definedName name="A_Prelims" localSheetId="1">#REF!</definedName>
    <definedName name="A_Prelims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START">#REF!</definedName>
    <definedName name="A_STATUS_DRGS">#REF!</definedName>
    <definedName name="A_STATUS_NUMBER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.6">#N/A</definedName>
    <definedName name="a.pp" localSheetId="1">#REF!</definedName>
    <definedName name="a.pp">#REF!</definedName>
    <definedName name="a\" localSheetId="1">#REF!</definedName>
    <definedName name="a\">#REF!</definedName>
    <definedName name="a\FGg" localSheetId="1" hidden="1">{#N/A,#N/A,TRUE,"Cover";#N/A,#N/A,TRUE,"Conts";#N/A,#N/A,TRUE,"VOS";#N/A,#N/A,TRUE,"Warrington";#N/A,#N/A,TRUE,"Widnes"}</definedName>
    <definedName name="a\FGg" hidden="1">{#N/A,#N/A,TRUE,"Cover";#N/A,#N/A,TRUE,"Conts";#N/A,#N/A,TRUE,"VOS";#N/A,#N/A,TRUE,"Warrington";#N/A,#N/A,TRUE,"Widnes"}</definedName>
    <definedName name="a\FGg_1" localSheetId="1" hidden="1">{#N/A,#N/A,TRUE,"Cover";#N/A,#N/A,TRUE,"Conts";#N/A,#N/A,TRUE,"VOS";#N/A,#N/A,TRUE,"Warrington";#N/A,#N/A,TRUE,"Widnes"}</definedName>
    <definedName name="a\FGg_1" hidden="1">{#N/A,#N/A,TRUE,"Cover";#N/A,#N/A,TRUE,"Conts";#N/A,#N/A,TRUE,"VOS";#N/A,#N/A,TRUE,"Warrington";#N/A,#N/A,TRUE,"Widnes"}</definedName>
    <definedName name="a\sdasdf" localSheetId="1" hidden="1">{#N/A,#N/A,TRUE,"Cover";#N/A,#N/A,TRUE,"Conts";#N/A,#N/A,TRUE,"VOS";#N/A,#N/A,TRUE,"Warrington";#N/A,#N/A,TRUE,"Widnes"}</definedName>
    <definedName name="a\sdasdf" hidden="1">{#N/A,#N/A,TRUE,"Cover";#N/A,#N/A,TRUE,"Conts";#N/A,#N/A,TRUE,"VOS";#N/A,#N/A,TRUE,"Warrington";#N/A,#N/A,TRUE,"Widnes"}</definedName>
    <definedName name="a\sdasdf_1" localSheetId="1" hidden="1">{#N/A,#N/A,TRUE,"Cover";#N/A,#N/A,TRUE,"Conts";#N/A,#N/A,TRUE,"VOS";#N/A,#N/A,TRUE,"Warrington";#N/A,#N/A,TRUE,"Widnes"}</definedName>
    <definedName name="a\sdasdf_1" hidden="1">{#N/A,#N/A,TRUE,"Cover";#N/A,#N/A,TRUE,"Conts";#N/A,#N/A,TRUE,"VOS";#N/A,#N/A,TRUE,"Warrington";#N/A,#N/A,TRUE,"Widnes"}</definedName>
    <definedName name="A\SEYHVJYHGF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1">#REF!</definedName>
    <definedName name="A1_">#REF!</definedName>
    <definedName name="A1____0" localSheetId="1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>#REF!</definedName>
    <definedName name="A1A759">#N/A</definedName>
    <definedName name="A1BON" localSheetId="1">#REF!</definedName>
    <definedName name="A1BON">#REF!</definedName>
    <definedName name="A1F" localSheetId="1">#REF!</definedName>
    <definedName name="A1F">#REF!</definedName>
    <definedName name="A1Fsheepiling" localSheetId="1">#REF!</definedName>
    <definedName name="A1Fsheepiling">#REF!</definedName>
    <definedName name="A1Fsheetpiling">#REF!</definedName>
    <definedName name="A1PROVV_NOLI_TRASP">#REF!</definedName>
    <definedName name="A1SAL">#REF!</definedName>
    <definedName name="A2_">#REF!</definedName>
    <definedName name="A2____0">#REF!</definedName>
    <definedName name="A2____13">#REF!</definedName>
    <definedName name="a277Print_Titles">#REF!</definedName>
    <definedName name="a2a2" localSheetId="1" hidden="1">{#N/A,#N/A,TRUE,"Financials";#N/A,#N/A,TRUE,"Operating Statistics";#N/A,#N/A,TRUE,"Capex &amp; Depreciation";#N/A,#N/A,TRUE,"Debt"}</definedName>
    <definedName name="a2a2" hidden="1">{#N/A,#N/A,TRUE,"Financials";#N/A,#N/A,TRUE,"Operating Statistics";#N/A,#N/A,TRUE,"Capex &amp; Depreciation";#N/A,#N/A,TRUE,"Debt"}</definedName>
    <definedName name="A2Csheetpiling">#REF!</definedName>
    <definedName name="A2DEMOL_RIMOZ_DISF" localSheetId="1">#REF!</definedName>
    <definedName name="A2DEMOL_RIMOZ_DISF">#REF!</definedName>
    <definedName name="A2LA" localSheetId="1">#REF!</definedName>
    <definedName name="A2LA">#REF!</definedName>
    <definedName name="A3_">#REF!</definedName>
    <definedName name="A3____0">#REF!</definedName>
    <definedName name="A3____13">#REF!</definedName>
    <definedName name="A3INIT">#REF!</definedName>
    <definedName name="A3MOVIMTERRA_SCAV_RINT">#REF!</definedName>
    <definedName name="A4_">#REF!</definedName>
    <definedName name="A4____0">#REF!</definedName>
    <definedName name="A4____13">#REF!</definedName>
    <definedName name="A4DEUMIDIFICAZIONE">#REF!</definedName>
    <definedName name="A4RECUR">#REF!</definedName>
    <definedName name="A5_">#REF!</definedName>
    <definedName name="A5____0">#REF!</definedName>
    <definedName name="A5____13">#REF!</definedName>
    <definedName name="A5CONSOLIDAMENTI">#REF!</definedName>
    <definedName name="A5FARES">#REF!</definedName>
    <definedName name="A5LEAVE">#REF!</definedName>
    <definedName name="A5RETURN">#REF!</definedName>
    <definedName name="A6_">#REF!</definedName>
    <definedName name="A6____0">#REF!</definedName>
    <definedName name="A6____13">#REF!</definedName>
    <definedName name="A6PREVEN_INCENDI">#REF!</definedName>
    <definedName name="A6SUND">#REF!</definedName>
    <definedName name="A7_">#REF!</definedName>
    <definedName name="A7____0">#REF!</definedName>
    <definedName name="A7____13">#REF!</definedName>
    <definedName name="A7_TAX">#REF!</definedName>
    <definedName name="A7HTAX">#REF!</definedName>
    <definedName name="A7MURAT_TAMP_INTONACI">#REF!</definedName>
    <definedName name="A7NINS">#REF!</definedName>
    <definedName name="A7TAX">#REF!</definedName>
    <definedName name="A8_">#REF!</definedName>
    <definedName name="A8____0">#REF!</definedName>
    <definedName name="A8____13">#REF!</definedName>
    <definedName name="A8.36">#REF!</definedName>
    <definedName name="A8OP_FALEGNAME">#REF!</definedName>
    <definedName name="A9_">#REF!</definedName>
    <definedName name="A9____0">#REF!</definedName>
    <definedName name="A9____13">#REF!</definedName>
    <definedName name="A9OP_CEMENTISTA">#REF!</definedName>
    <definedName name="AA">#REF!</definedName>
    <definedName name="AA_1">0</definedName>
    <definedName name="AA_22">#REF!</definedName>
    <definedName name="AA.Report.Files" hidden="1">#REF!</definedName>
    <definedName name="AA.Reports.Available" hidden="1">#REF!</definedName>
    <definedName name="AAA">#REF!</definedName>
    <definedName name="AAA_1">"$#REF!.$#REF!$#REF!:$#REF!$#REF!"</definedName>
    <definedName name="AAA_DOCTOPS" hidden="1">"AAA_SET"</definedName>
    <definedName name="AAA_duser" hidden="1">"OFF"</definedName>
    <definedName name="aaaa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aaa">#REF!</definedName>
    <definedName name="aaaaa" localSheetId="1">#REF!</definedName>
    <definedName name="aaaaa">#REF!</definedName>
    <definedName name="aaaaa_1">0</definedName>
    <definedName name="aaaaaa" localSheetId="1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aAAAA" hidden="1">#REF!</definedName>
    <definedName name="aaaaaaa" localSheetId="1" hidden="1">{"'Break down'!$A$4"}</definedName>
    <definedName name="aaaaaaa" hidden="1">{"'Break down'!$A$4"}</definedName>
    <definedName name="aaaaaaaa" localSheetId="1" hidden="1">{#N/A,#N/A,TRUE,"Cover";#N/A,#N/A,TRUE,"Conts";#N/A,#N/A,TRUE,"VOS";#N/A,#N/A,TRUE,"Warrington";#N/A,#N/A,TRUE,"Widnes"}</definedName>
    <definedName name="aaaaaaaa" hidden="1">{#N/A,#N/A,TRUE,"Cover";#N/A,#N/A,TRUE,"Conts";#N/A,#N/A,TRUE,"VOS";#N/A,#N/A,TRUE,"Warrington";#N/A,#N/A,TRUE,"Widnes"}</definedName>
    <definedName name="aaaaaaaa_1" localSheetId="1" hidden="1">{#N/A,#N/A,TRUE,"Cover";#N/A,#N/A,TRUE,"Conts";#N/A,#N/A,TRUE,"VOS";#N/A,#N/A,TRUE,"Warrington";#N/A,#N/A,TRUE,"Widnes"}</definedName>
    <definedName name="aaaaaaaa_1" hidden="1">{#N/A,#N/A,TRUE,"Cover";#N/A,#N/A,TRUE,"Conts";#N/A,#N/A,TRUE,"VOS";#N/A,#N/A,TRUE,"Warrington";#N/A,#N/A,TRUE,"Widnes"}</definedName>
    <definedName name="aaaaaaaaa">#N/A</definedName>
    <definedName name="aaaaaaaaaa">#N/A</definedName>
    <definedName name="aaaaaaaaaaa">#REF!</definedName>
    <definedName name="aaaaaaaaaaaa" localSheetId="1" hidden="1">{"'Break down'!$A$4"}</definedName>
    <definedName name="aaaaaaaaaaaa" hidden="1">{"'Break down'!$A$4"}</definedName>
    <definedName name="aaaaaaaaaaaaa">#REF!</definedName>
    <definedName name="aaaaaaaaaaaaaaa" localSheetId="1" hidden="1">{#N/A,#N/A,TRUE,"Cover";#N/A,#N/A,TRUE,"Conts";#N/A,#N/A,TRUE,"VOS";#N/A,#N/A,TRUE,"Warrington";#N/A,#N/A,TRUE,"Widnes"}</definedName>
    <definedName name="aaaaaaaaaaaaaaa" hidden="1">{#N/A,#N/A,TRUE,"Cover";#N/A,#N/A,TRUE,"Conts";#N/A,#N/A,TRUE,"VOS";#N/A,#N/A,TRUE,"Warrington";#N/A,#N/A,TRUE,"Widnes"}</definedName>
    <definedName name="AAAAAAAAAAAAAAAAA" hidden="1">#REF!</definedName>
    <definedName name="aaaaaaaaaaaaaaaaaaaaa" localSheetId="1" hidden="1">{"'Break down'!$A$4"}</definedName>
    <definedName name="aaaaaaaaaaaaaaaaaaaaa" hidden="1">{"'Break down'!$A$4"}</definedName>
    <definedName name="aaaaaaaaaaaaaaaaaaaaaaa" localSheetId="1" hidden="1">{"'Break down'!$A$4"}</definedName>
    <definedName name="aaaaaaaaaaaaaaaaaaaaaaa" hidden="1">{"'Break down'!$A$4"}</definedName>
    <definedName name="aaaaaaaaaaaaaaaaaaaaaaaaaaaaaaaaaa" localSheetId="1" hidden="1">{"'Break down'!$A$4"}</definedName>
    <definedName name="aaaaaaaaaaaaaaaaaaaaaaaaaaaaaaaaaa" hidden="1">{"'Break down'!$A$4"}</definedName>
    <definedName name="aaaaaaaaaaaaaaaaaaaz" hidden="1">#REF!</definedName>
    <definedName name="aaaaaaaaaaaadddddddddddddddd" localSheetId="1" hidden="1">{"'Break down'!$A$4"}</definedName>
    <definedName name="aaaaaaaaaaaadddddddddddddddd" hidden="1">{"'Break down'!$A$4"}</definedName>
    <definedName name="aaaaagre" localSheetId="1" hidden="1">{#N/A,#N/A,FALSE,"Header P";#N/A,#N/A,FALSE,"Summary";#N/A,#N/A,FALSE,"CONTRACT WORKS";#N/A,#N/A,FALSE,"Variations";#N/A,#N/A,FALSE,"Dwk"}</definedName>
    <definedName name="aaaaagre" hidden="1">{#N/A,#N/A,FALSE,"Header P";#N/A,#N/A,FALSE,"Summary";#N/A,#N/A,FALSE,"CONTRACT WORKS";#N/A,#N/A,FALSE,"Variations";#N/A,#N/A,FALSE,"Dwk"}</definedName>
    <definedName name="AAB" localSheetId="1">#REF!</definedName>
    <definedName name="AAB">#REF!</definedName>
    <definedName name="AAB_Addin5" hidden="1">"AAB_Description for addin 5,Description for addin 5,Description for addin 5,Description for addin 5,Description for addin 5,Description for addin 5"</definedName>
    <definedName name="AAC" localSheetId="1">#REF!</definedName>
    <definedName name="AAC">#REF!</definedName>
    <definedName name="AAD">#REF!</definedName>
    <definedName name="aadawawdaW">#REF!</definedName>
    <definedName name="Aadia">#REF!</definedName>
    <definedName name="AAE">#REF!</definedName>
    <definedName name="AAF">#REF!</definedName>
    <definedName name="aaffa" localSheetId="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g">#REF!</definedName>
    <definedName name="aamir1khan" localSheetId="1">#REF!</definedName>
    <definedName name="aamir1khan">#REF!</definedName>
    <definedName name="aamirkhan" localSheetId="1">#REF!</definedName>
    <definedName name="aamirkhan">#REF!</definedName>
    <definedName name="aangat">#REF!</definedName>
    <definedName name="Aapp">#REF!</definedName>
    <definedName name="aas" localSheetId="1">BlankMacro1</definedName>
    <definedName name="aas">BlankMacro1</definedName>
    <definedName name="Aaspace" localSheetId="1">#REF!</definedName>
    <definedName name="Aaspace">#REF!</definedName>
    <definedName name="aasss" localSheetId="1">#REF!</definedName>
    <definedName name="aasss">#REF!</definedName>
    <definedName name="a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0318___807.33" localSheetId="1">#REF!</definedName>
    <definedName name="AB0318___807.33">#REF!</definedName>
    <definedName name="AB2771___266.48">#REF!</definedName>
    <definedName name="AB2773___142.08">#REF!</definedName>
    <definedName name="AB3051___44.04">#REF!</definedName>
    <definedName name="AB3457___325.22">#REF!</definedName>
    <definedName name="AB3457A___429.44">#REF!</definedName>
    <definedName name="AB9078___790.26">#REF!</definedName>
    <definedName name="AB9079___449.11">#REF!</definedName>
    <definedName name="AB9105___25.62">#REF!</definedName>
    <definedName name="AB9123___188.36">#REF!</definedName>
    <definedName name="AB9130___91.42">#REF!</definedName>
    <definedName name="aba" localSheetId="1" hidden="1">{#N/A,#N/A,FALSE,"COVER1.XLS ";#N/A,#N/A,FALSE,"RACT1.XLS";#N/A,#N/A,FALSE,"RACT2.XLS";#N/A,#N/A,FALSE,"ECCMP";#N/A,#N/A,FALSE,"WELDER.XLS"}</definedName>
    <definedName name="ABA">#REF!</definedName>
    <definedName name="abc" localSheetId="1">#REF!</definedName>
    <definedName name="abc">#REF!</definedName>
    <definedName name="abc_1">0</definedName>
    <definedName name="ABCD" hidden="1">#REF!</definedName>
    <definedName name="ABCDE" localSheetId="1" hidden="1">{#N/A,#N/A,FALSE,"DI 2 YEAR MASTER SCHEDULE"}</definedName>
    <definedName name="ABCDE" hidden="1">{#N/A,#N/A,FALSE,"DI 2 YEAR MASTER SCHEDULE"}</definedName>
    <definedName name="abcdef" localSheetId="1" hidden="1">{"'Break down'!$A$4"}</definedName>
    <definedName name="abcdef" hidden="1">{"'Break down'!$A$4"}</definedName>
    <definedName name="abcs" localSheetId="1" hidden="1">{"'Break down'!$A$4"}</definedName>
    <definedName name="abcs" hidden="1">{"'Break down'!$A$4"}</definedName>
    <definedName name="Abdia">#REF!</definedName>
    <definedName name="Abdulla_Subaih_Drainage_Services_and_Water_Distribution">#REF!</definedName>
    <definedName name="abel" hidden="1">#REF!</definedName>
    <definedName name="ab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pace">#REF!</definedName>
    <definedName name="Abst" localSheetId="1">#REF!</definedName>
    <definedName name="Abst">#REF!</definedName>
    <definedName name="ABSTRACT" localSheetId="1">#REF!</definedName>
    <definedName name="ABSTRACT">#REF!</definedName>
    <definedName name="abstractE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t_Code" localSheetId="1">#REF!</definedName>
    <definedName name="Abt_Code">#REF!</definedName>
    <definedName name="Abt_Kost_Ing">#REF!</definedName>
    <definedName name="Abt_Proj_Ing">#REF!</definedName>
    <definedName name="abtarea" localSheetId="1">#REF!</definedName>
    <definedName name="abtarea">#REF!</definedName>
    <definedName name="abtends">#REF!</definedName>
    <definedName name="abtpi">#REF!</definedName>
    <definedName name="abtpiledia">#REF!</definedName>
    <definedName name="abutpiles">#REF!</definedName>
    <definedName name="abw_zeit" localSheetId="1">'City Walk - Comparison'!abw_zeit</definedName>
    <definedName name="abw_zeit">[1]!abw_zeit</definedName>
    <definedName name="a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Handling_Blocks">#REF!</definedName>
    <definedName name="AC_SYSTEM" localSheetId="1">#REF!</definedName>
    <definedName name="AC_SYSTEM">#REF!</definedName>
    <definedName name="ACA" localSheetId="1">#REF!</definedName>
    <definedName name="ACA">#REF!</definedName>
    <definedName name="Acap">#REF!</definedName>
    <definedName name="ACC" localSheetId="1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_1" localSheetId="1" hidden="1">{#N/A,#N/A,TRUE,"Cover";#N/A,#N/A,TRUE,"Conts";#N/A,#N/A,TRUE,"VOS";#N/A,#N/A,TRUE,"Warrington";#N/A,#N/A,TRUE,"Widnes"}</definedName>
    <definedName name="ACC_1" hidden="1">{#N/A,#N/A,TRUE,"Cover";#N/A,#N/A,TRUE,"Conts";#N/A,#N/A,TRUE,"VOS";#N/A,#N/A,TRUE,"Warrington";#N/A,#N/A,TRUE,"Widnes"}</definedName>
    <definedName name="accarp">#REF!</definedName>
    <definedName name="accc" localSheetId="1" hidden="1">{"'Break down'!$A$4"}</definedName>
    <definedName name="accc" hidden="1">{"'Break down'!$A$4"}</definedName>
    <definedName name="AccCarpt">#REF!</definedName>
    <definedName name="AccessCode" hidden="1">""""</definedName>
    <definedName name="AccessDatabase">"C:\AA-MEDIUM PROJECTS\Khaleej Times - GO 14017\Submittals Status.mdb"</definedName>
    <definedName name="ACCESSORIES" localSheetId="1">#REF!,#REF!</definedName>
    <definedName name="ACCESSORIES">#REF!,#REF!</definedName>
    <definedName name="accflr1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NT_10" localSheetId="1">#REF!</definedName>
    <definedName name="ACCNT_10">#REF!</definedName>
    <definedName name="ACCNT_10THRU95">#REF!</definedName>
    <definedName name="ACCNT_11">#REF!</definedName>
    <definedName name="ACCNT_12">#REF!</definedName>
    <definedName name="ACCNT_13">#REF!</definedName>
    <definedName name="ACCNT_14">#REF!</definedName>
    <definedName name="ACCNT_15">#REF!</definedName>
    <definedName name="ACCNT_15.11">#REF!</definedName>
    <definedName name="ACCNT_15.12">#REF!</definedName>
    <definedName name="ACCNT_15.14">#REF!</definedName>
    <definedName name="ACCNT_15.22">#REF!</definedName>
    <definedName name="ACCNT_16">#REF!</definedName>
    <definedName name="ACCNT_20">#REF!</definedName>
    <definedName name="ACCNT_21">#REF!</definedName>
    <definedName name="accnt_21.01">#REF!</definedName>
    <definedName name="accnt_21.02">#REF!</definedName>
    <definedName name="ACCNT_22">#REF!</definedName>
    <definedName name="ACCNT_22.9">#REF!</definedName>
    <definedName name="ACCNT_23">#REF!</definedName>
    <definedName name="ACCNT_25">#REF!</definedName>
    <definedName name="ACCNT_25.4">#REF!</definedName>
    <definedName name="ACCNT_25.6">#REF!</definedName>
    <definedName name="ACCNT_26">#REF!</definedName>
    <definedName name="ACCNT_26.2">#REF!</definedName>
    <definedName name="ACCNT_26.3">#REF!</definedName>
    <definedName name="ACCNT_27.1">#REF!</definedName>
    <definedName name="ACCNT_27.2">#REF!</definedName>
    <definedName name="ACCNT_28">#REF!</definedName>
    <definedName name="ACCNT_28.6">#REF!</definedName>
    <definedName name="ACCNT_29">#REF!</definedName>
    <definedName name="ACCNT_30">#REF!</definedName>
    <definedName name="ACCNT_40">#REF!</definedName>
    <definedName name="ACCNT_41">#REF!</definedName>
    <definedName name="ACCNT_41.1">#REF!</definedName>
    <definedName name="ACCNT_42">#REF!</definedName>
    <definedName name="ACCNT_43">#REF!</definedName>
    <definedName name="ACCNT_44">#REF!</definedName>
    <definedName name="ACCNT_45">#REF!</definedName>
    <definedName name="ACCNT_46">#REF!</definedName>
    <definedName name="ACCNT_47">#REF!</definedName>
    <definedName name="ACCNT_47.1">#REF!</definedName>
    <definedName name="ACCNT_47.3">#REF!</definedName>
    <definedName name="ACCNT_47.4">#REF!</definedName>
    <definedName name="ACCNT_47.8">#REF!</definedName>
    <definedName name="ACCNT_48">#REF!</definedName>
    <definedName name="ACCNT_48.5">#REF!</definedName>
    <definedName name="ACCNT_48.9">#REF!</definedName>
    <definedName name="ACCNT_49">#REF!</definedName>
    <definedName name="ACCNT_50">#REF!</definedName>
    <definedName name="ACCNT_50_54_AF_YARD">#REF!</definedName>
    <definedName name="ACCNT_50_54_AFPB">#REF!</definedName>
    <definedName name="ACCNT_50_54_C1PB">#REF!</definedName>
    <definedName name="ACCNT_50_54_C1YARD">#REF!</definedName>
    <definedName name="ACCNT_50_54_CPB">#REF!</definedName>
    <definedName name="ACCNT_50_54_CRPB">#REF!</definedName>
    <definedName name="ACCNT_50_54_CRPB_HG">#REF!</definedName>
    <definedName name="ACCNT_50_54_CRPBAG">#REF!</definedName>
    <definedName name="ACCNT_50_54_CRYARDAG">#REF!</definedName>
    <definedName name="ACCNT_50_54_CYARD">#REF!</definedName>
    <definedName name="ACCNT_50_54_HISTORY">#REF!</definedName>
    <definedName name="ACCNT_50_54_KPB">#REF!</definedName>
    <definedName name="ACCNT_50_54_KYARD">#REF!</definedName>
    <definedName name="ACCNT_50_54_LBAG">#REF!</definedName>
    <definedName name="ACCNT_50_54_OFFSITE">#REF!</definedName>
    <definedName name="ACCNT_50_54_PAINT">#REF!</definedName>
    <definedName name="ACCNT_50_54_PB">#REF!</definedName>
    <definedName name="ACCNT_50_54_PBAG">#REF!</definedName>
    <definedName name="ACCNT_50_54_SPB">#REF!</definedName>
    <definedName name="ACCNT_50_54_SPPB">#REF!</definedName>
    <definedName name="ACCNT_50_54_SPYARD">#REF!</definedName>
    <definedName name="ACCNT_50_54_SYARD">#REF!</definedName>
    <definedName name="ACCNT_50_54_YARD">#REF!</definedName>
    <definedName name="ACCNT_50_54_YARDAG">#REF!</definedName>
    <definedName name="ACCNT_51.6">#REF!</definedName>
    <definedName name="ACCNT_51.7">#REF!</definedName>
    <definedName name="ACCNT_51.8">#REF!</definedName>
    <definedName name="ACCNT_51BOP">#REF!</definedName>
    <definedName name="ACCNT_51HP">#REF!</definedName>
    <definedName name="ACCNT_51OFFSITE">#REF!</definedName>
    <definedName name="ACCNT_51YARD">#REF!</definedName>
    <definedName name="ACCNT_52BOP">#REF!</definedName>
    <definedName name="ACCNT_52HP">#REF!</definedName>
    <definedName name="ACCNT_52OFFSITE">#REF!</definedName>
    <definedName name="ACCNT_52YARD">#REF!</definedName>
    <definedName name="ACCNT_53">#REF!</definedName>
    <definedName name="ACCNT_54">#REF!</definedName>
    <definedName name="ACCNT_54.1">#REF!</definedName>
    <definedName name="ACCNT_54.11">#REF!</definedName>
    <definedName name="ACCNT_54.12">#REF!</definedName>
    <definedName name="ACCNT_54.13">#REF!</definedName>
    <definedName name="ACCNT_54.14">#REF!</definedName>
    <definedName name="ACCNT_54.15">#REF!</definedName>
    <definedName name="ACCNT_54.19">#REF!</definedName>
    <definedName name="ACCNT_54.9">#REF!</definedName>
    <definedName name="ACCNT_55">#REF!</definedName>
    <definedName name="ACCNT_55_DISCOUNT">#REF!</definedName>
    <definedName name="ACCNT_55_HANGER">#REF!</definedName>
    <definedName name="ACCNT_55_HISTCHK">#REF!</definedName>
    <definedName name="ACCNT_55_PAINT">#REF!</definedName>
    <definedName name="ACCNT_55_VALVES">#REF!</definedName>
    <definedName name="ACCNT_55.1">#REF!</definedName>
    <definedName name="ACCNT_55.2">#REF!</definedName>
    <definedName name="ACCNT_55.3">#REF!</definedName>
    <definedName name="ACCNT_55.4">#REF!</definedName>
    <definedName name="ACCNT_55.5">#REF!</definedName>
    <definedName name="ACCNT_55.9">#REF!</definedName>
    <definedName name="ACCNT_57">#REF!</definedName>
    <definedName name="ACCNT_57_AG">#REF!</definedName>
    <definedName name="ACCNT_58">#REF!</definedName>
    <definedName name="ACCNT_58.1">#REF!</definedName>
    <definedName name="ACCNT_58.7">#REF!</definedName>
    <definedName name="ACCNT_59">#REF!</definedName>
    <definedName name="ACCNT_59_NDE">#REF!</definedName>
    <definedName name="ACCNT_59_STRESS">#REF!</definedName>
    <definedName name="ACCNT_59.1">#REF!</definedName>
    <definedName name="ACCNT_60">#REF!</definedName>
    <definedName name="ACCNT_61">#REF!</definedName>
    <definedName name="ACCNT_62">#REF!</definedName>
    <definedName name="ACCNT_62.2">#REF!</definedName>
    <definedName name="ACCNT_62.5">#REF!</definedName>
    <definedName name="ACCNT_63">#REF!</definedName>
    <definedName name="ACCNT_70">#REF!</definedName>
    <definedName name="ACCNT_71">#REF!</definedName>
    <definedName name="accnt_71.9">#REF!</definedName>
    <definedName name="ACCNT_72">#REF!</definedName>
    <definedName name="ACCNT_72.1">#REF!</definedName>
    <definedName name="ACCNT_72.2">#REF!</definedName>
    <definedName name="ACCNT_72.3">#REF!</definedName>
    <definedName name="ACCNT_72.33">#REF!</definedName>
    <definedName name="ACCNT_72.4">#REF!</definedName>
    <definedName name="ACCNT_73">#REF!</definedName>
    <definedName name="ACCNT_74">#REF!</definedName>
    <definedName name="ACCNT_74.3">#REF!</definedName>
    <definedName name="ACCNT_75">#REF!</definedName>
    <definedName name="ACCNT_75.1">#REF!</definedName>
    <definedName name="ACCNT_75.11">#REF!</definedName>
    <definedName name="ACCNT_76">#REF!</definedName>
    <definedName name="ACCNT_76.5">#REF!</definedName>
    <definedName name="ACCNT_76.70_ANODE">#REF!</definedName>
    <definedName name="ACCNT_76.70_JB">#REF!</definedName>
    <definedName name="ACCNT_77">#REF!</definedName>
    <definedName name="ACCNT_78">#REF!</definedName>
    <definedName name="ACCNT_78.761">#REF!</definedName>
    <definedName name="ACCNT_78.762">#REF!</definedName>
    <definedName name="ACCNT_78.81">#REF!</definedName>
    <definedName name="ACCNT_78.821">#REF!</definedName>
    <definedName name="ACCNT_78.827">#REF!</definedName>
    <definedName name="ACCNT_78.8275">#REF!</definedName>
    <definedName name="ACCNT_78.828">#REF!</definedName>
    <definedName name="ACCNT_78.83">#REF!</definedName>
    <definedName name="ACCNT_78.84">#REF!</definedName>
    <definedName name="ACCNT_78.85">#REF!</definedName>
    <definedName name="ACCNT_78.861">#REF!</definedName>
    <definedName name="ACCNT_78.862">#REF!</definedName>
    <definedName name="ACCNT_79">#REF!</definedName>
    <definedName name="ACCNT_80">#REF!</definedName>
    <definedName name="ACCNT_81">#REF!</definedName>
    <definedName name="ACCNT_82">#REF!</definedName>
    <definedName name="ACCNT_82.2">#REF!</definedName>
    <definedName name="ACCNT_82.7">#REF!</definedName>
    <definedName name="ACCNT_82.72">#REF!</definedName>
    <definedName name="ACCNT_82.80">#REF!</definedName>
    <definedName name="ACCNT_83">#REF!</definedName>
    <definedName name="ACCNT_83.1">#REF!</definedName>
    <definedName name="ACCNT_84">#REF!</definedName>
    <definedName name="ACCNT_84.1">#REF!</definedName>
    <definedName name="ACCNT_84.3">#REF!</definedName>
    <definedName name="ACCNT_84.4">#REF!</definedName>
    <definedName name="ACCNT_84.6">#REF!</definedName>
    <definedName name="ACCNT_85">#REF!</definedName>
    <definedName name="ACCNT_86">#REF!</definedName>
    <definedName name="ACCNT_87">#REF!</definedName>
    <definedName name="ACCNT_90">#REF!</definedName>
    <definedName name="ACCNT_91">#REF!</definedName>
    <definedName name="ACCNT_91.1">#REF!</definedName>
    <definedName name="ACCNT_91.2">#REF!</definedName>
    <definedName name="ACCNT_91.3">#REF!</definedName>
    <definedName name="ACCNT_91.5">#REF!</definedName>
    <definedName name="ACCNT_91.55">#REF!</definedName>
    <definedName name="ACCNT_91.6">#REF!</definedName>
    <definedName name="ACCNT_91.7">#REF!</definedName>
    <definedName name="ACCNT_91THRU93">#REF!</definedName>
    <definedName name="ACCNT_91THRU95">#REF!</definedName>
    <definedName name="ACCNT_92">#REF!</definedName>
    <definedName name="ACCNT_92.1">#REF!</definedName>
    <definedName name="ACCNT_92.2">#REF!</definedName>
    <definedName name="ACCNT_92.3">#REF!</definedName>
    <definedName name="ACCNT_92.5">#REF!</definedName>
    <definedName name="ACCNT_92.6">#REF!</definedName>
    <definedName name="ACCNT_92.7">#REF!</definedName>
    <definedName name="ACCNT_92.8">#REF!</definedName>
    <definedName name="ACCNT_92.81">#REF!</definedName>
    <definedName name="ACCNT_92.82">#REF!</definedName>
    <definedName name="ACCNT_92.83">#REF!</definedName>
    <definedName name="ACCNT_92.84">#REF!</definedName>
    <definedName name="ACCNT_93">#REF!</definedName>
    <definedName name="ACCNT_94">#REF!</definedName>
    <definedName name="ACCNT_94.01">#REF!</definedName>
    <definedName name="ACCNT_94.02">#REF!</definedName>
    <definedName name="ACCNT_94.03">#REF!</definedName>
    <definedName name="ACCNT_94.04">#REF!</definedName>
    <definedName name="ACCNT_94.05">#REF!</definedName>
    <definedName name="ACCNT_94.09">#REF!</definedName>
    <definedName name="ACCNT_94.11">#REF!</definedName>
    <definedName name="ACCNT_94.12">#REF!</definedName>
    <definedName name="ACCNT_94.13">#REF!</definedName>
    <definedName name="ACCNT_94.14">#REF!</definedName>
    <definedName name="ACCNT_94.15">#REF!</definedName>
    <definedName name="ACCNT_94.16">#REF!</definedName>
    <definedName name="ACCNT_94.17">#REF!</definedName>
    <definedName name="ACCNT_94.18">#REF!</definedName>
    <definedName name="ACCNT_94.19">#REF!</definedName>
    <definedName name="ACCNT_94FCN">#REF!</definedName>
    <definedName name="ACCNT_94IS">#REF!</definedName>
    <definedName name="ACCNT_94LOCAL">#REF!</definedName>
    <definedName name="ACCNT_94US">#REF!</definedName>
    <definedName name="ACCNT_95">#REF!</definedName>
    <definedName name="ACCNT_95.1">#REF!</definedName>
    <definedName name="ACCNT_95.1FCN">#REF!</definedName>
    <definedName name="ACCNT_95.1IS">#REF!</definedName>
    <definedName name="ACCNT_95.1LOCAL">#REF!</definedName>
    <definedName name="ACCNT_95.1US">#REF!</definedName>
    <definedName name="ACCNT_95.3">#REF!</definedName>
    <definedName name="ACCNT_96">#REF!</definedName>
    <definedName name="ACCNT_97">#REF!</definedName>
    <definedName name="ACCNT_98">#REF!</definedName>
    <definedName name="ACCNT_98.1">#REF!</definedName>
    <definedName name="ACCNT_98.10THRU30">#REF!</definedName>
    <definedName name="ACCNT_98.11">#REF!</definedName>
    <definedName name="ACCNT_98.12">#REF!</definedName>
    <definedName name="ACCNT_98.13">#REF!</definedName>
    <definedName name="ACCNT_98.131">#REF!</definedName>
    <definedName name="ACCNT_98.14">#REF!</definedName>
    <definedName name="ACCNT_98.15">#REF!</definedName>
    <definedName name="ACCNT_98.16">#REF!</definedName>
    <definedName name="ACCNT_98.17">#REF!</definedName>
    <definedName name="ACCNT_98.18">#REF!</definedName>
    <definedName name="ACCNT_98.19">#REF!</definedName>
    <definedName name="ACCNT_98.191">#REF!</definedName>
    <definedName name="ACCNT_98.192">#REF!</definedName>
    <definedName name="ACCNT_98.2">#REF!</definedName>
    <definedName name="ACCNT_98.21">#REF!</definedName>
    <definedName name="ACCNT_98.22">#REF!</definedName>
    <definedName name="ACCNT_98.23">#REF!</definedName>
    <definedName name="ACCNT_98.24">#REF!</definedName>
    <definedName name="ACCNT_98.26">#REF!</definedName>
    <definedName name="ACCNT_98.3">#REF!</definedName>
    <definedName name="ACCNT_98.4">#REF!</definedName>
    <definedName name="ACCNT_98.40THRU90">#REF!</definedName>
    <definedName name="ACCNT_98.5">#REF!</definedName>
    <definedName name="ACCNT_98.51">#REF!</definedName>
    <definedName name="ACCNT_98.52">#REF!</definedName>
    <definedName name="ACCNT_98.6">#REF!</definedName>
    <definedName name="ACCNT_98.7">#REF!</definedName>
    <definedName name="ACCNT_98.8">#REF!</definedName>
    <definedName name="ACCNT_98.9">#REF!</definedName>
    <definedName name="ACCNT_98.91">#REF!</definedName>
    <definedName name="ACCNT_98.92">#REF!</definedName>
    <definedName name="ACCNT_98.93">#REF!</definedName>
    <definedName name="ACCNT_98.94">#REF!</definedName>
    <definedName name="ACCNT_99">#REF!</definedName>
    <definedName name="ACCNT_TOT">#REF!</definedName>
    <definedName name="ACCOM">#REF!</definedName>
    <definedName name="account">#REF!</definedName>
    <definedName name="Account_Balance" localSheetId="1">#REF!</definedName>
    <definedName name="Account_Balance">#REF!</definedName>
    <definedName name="accounts" localSheetId="1">#REF!</definedName>
    <definedName name="accounts">#REF!</definedName>
    <definedName name="accpan1" localSheetId="1">#REF!</definedName>
    <definedName name="accpan1">#REF!</definedName>
    <definedName name="accrual_table" localSheetId="1">#REF!</definedName>
    <definedName name="accrual_table">#REF!</definedName>
    <definedName name="AccsPanel">#REF!</definedName>
    <definedName name="AcctName" localSheetId="1">#REF!</definedName>
    <definedName name="AcctName">#REF!</definedName>
    <definedName name="AcctName_4" localSheetId="1">#REF!</definedName>
    <definedName name="AcctName_4">#REF!</definedName>
    <definedName name="AcctName_4_1" localSheetId="1">#REF!</definedName>
    <definedName name="AcctName_4_1">#REF!</definedName>
    <definedName name="AcctName_6">#REF!</definedName>
    <definedName name="AcctPrio">#REF!</definedName>
    <definedName name="AcctPrio_4">#REF!</definedName>
    <definedName name="AcctPrio_4_1">#REF!</definedName>
    <definedName name="AcctPrio_6">#REF!</definedName>
    <definedName name="AcctPrio_Text">#REF!</definedName>
    <definedName name="AcctPrio_Text_4">#REF!</definedName>
    <definedName name="AcctPrio_Text_4_1">#REF!</definedName>
    <definedName name="AcctPrio_Text_6">#REF!</definedName>
    <definedName name="accumulateamt">#REF!</definedName>
    <definedName name="Acdia">#REF!</definedName>
    <definedName name="ACE">OFFSET(#REF!,1,0,COUNTA(#REF!)-(#REF!+2))</definedName>
    <definedName name="AcFlrHi">#REF!</definedName>
    <definedName name="ACR_range">#REF!</definedName>
    <definedName name="ACR_Total">#REF!</definedName>
    <definedName name="Acspace" localSheetId="1">#REF!</definedName>
    <definedName name="Acspace">#REF!</definedName>
    <definedName name="ACT">#REF!</definedName>
    <definedName name="actcum1">OFFSET(#REF!,0,0,COUNTA(#REF!),1)</definedName>
    <definedName name="ActHistOps" localSheetId="1">OFFSET(#REF!,0,0,1,cMthRef)</definedName>
    <definedName name="ActHistOps">OFFSET(#REF!,0,0,1,cMthRef)</definedName>
    <definedName name="ActHistStaff" localSheetId="1">OFFSET(#REF!,0,0,1,cMthRef)</definedName>
    <definedName name="ActHistStaff">OFFSET(#REF!,0,0,1,cMthRef)</definedName>
    <definedName name="Action">#REF!</definedName>
    <definedName name="Action_Required">#N/A</definedName>
    <definedName name="ActionRequired">#N/A</definedName>
    <definedName name="ACTIVITY_5" localSheetId="1">#REF!</definedName>
    <definedName name="ACTIVITY_5">#REF!</definedName>
    <definedName name="ACTIVITY_6">#REF!</definedName>
    <definedName name="actmonth1">OFFSET(#REF!,0,0,COUNTA(#REF!),1)</definedName>
    <definedName name="Actual" localSheetId="1">('City Walk - Comparison'!PeriodInActual*(#REF!&gt;0))*'City Walk - Comparison'!PeriodInPlan</definedName>
    <definedName name="Actual">(PeriodInActual*(#REF!&gt;0))*PeriodInPlan</definedName>
    <definedName name="Actual_estimate">#REF!</definedName>
    <definedName name="ActualBeyond" localSheetId="1">'City Walk - Comparison'!PeriodInActual*(#REF!&gt;0)</definedName>
    <definedName name="ActualBeyond">PeriodInActual*(#REF!&gt;0)</definedName>
    <definedName name="Actuals" localSheetId="1">#REF!</definedName>
    <definedName name="Actuals">#REF!</definedName>
    <definedName name="Actuals_SWF" localSheetId="1">#REF!</definedName>
    <definedName name="Actuals_SWF">#REF!</definedName>
    <definedName name="ACwvu.CapersView." localSheetId="1" hidden="1">#REF!</definedName>
    <definedName name="ACwvu.CapersView." hidden="1">#REF!</definedName>
    <definedName name="ACwvu.Japan_Capers_Ed_Pub." hidden="1">#REF!</definedName>
    <definedName name="ACwvu.KJP_CC." hidden="1">#REF!</definedName>
    <definedName name="ad" localSheetId="1">[1]!LongTermDebt+[1]!ShortTermDebt+[1]!CurrentPortion</definedName>
    <definedName name="Ad">#REF!</definedName>
    <definedName name="ada" localSheetId="1" hidden="1">{#N/A,#N/A,FALSE,"갑지";#N/A,#N/A,FALSE,"개요";#N/A,#N/A,FALSE,"비목별";#N/A,#N/A,FALSE,"건물별";#N/A,#N/A,FALSE,"기구표";#N/A,#N/A,FALSE,"직원투입"}</definedName>
    <definedName name="ada" hidden="1">{#N/A,#N/A,FALSE,"갑지";#N/A,#N/A,FALSE,"개요";#N/A,#N/A,FALSE,"비목별";#N/A,#N/A,FALSE,"건물별";#N/A,#N/A,FALSE,"기구표";#N/A,#N/A,FALSE,"직원투입"}</definedName>
    <definedName name="ada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" localSheetId="1" hidden="1">{#N/A,#N/A,TRUE,"Cover";#N/A,#N/A,TRUE,"Conts";#N/A,#N/A,TRUE,"VOS";#N/A,#N/A,TRUE,"Warrington";#N/A,#N/A,TRUE,"Widnes"}</definedName>
    <definedName name="adadad" hidden="1">{#N/A,#N/A,TRUE,"Cover";#N/A,#N/A,TRUE,"Conts";#N/A,#N/A,TRUE,"VOS";#N/A,#N/A,TRUE,"Warrington";#N/A,#N/A,TRUE,"Widnes"}</definedName>
    <definedName name="adadad_1" localSheetId="1" hidden="1">{#N/A,#N/A,TRUE,"Cover";#N/A,#N/A,TRUE,"Conts";#N/A,#N/A,TRUE,"VOS";#N/A,#N/A,TRUE,"Warrington";#N/A,#N/A,TRUE,"Widnes"}</definedName>
    <definedName name="adadad_1" hidden="1">{#N/A,#N/A,TRUE,"Cover";#N/A,#N/A,TRUE,"Conts";#N/A,#N/A,TRUE,"VOS";#N/A,#N/A,TRUE,"Warrington";#N/A,#N/A,TRUE,"Widnes"}</definedName>
    <definedName name="ADADASASDASD">#REF!</definedName>
    <definedName name="adadd" localSheetId="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ASDASASDASDAS">#REF!</definedName>
    <definedName name="ADASASDASDASDAD" localSheetId="1">#REF!</definedName>
    <definedName name="ADASASDASDASDAD">#REF!</definedName>
    <definedName name="adasdas" localSheetId="1">#REF!</definedName>
    <definedName name="adasdas">#REF!</definedName>
    <definedName name="ADASDASASDAS" localSheetId="1">#REF!</definedName>
    <definedName name="ADASDASASDAS">#REF!</definedName>
    <definedName name="ADASDASDASDAS" localSheetId="1">#REF!</definedName>
    <definedName name="ADASDASDASDAS">#REF!</definedName>
    <definedName name="ADASDSAD">#N/A</definedName>
    <definedName name="adc" localSheetId="1">"Page "&amp;IF(ISNA(MATCH(ROW(),[1]!COUNT_TH2_V2__units_1___Type_D_04__900_x_2200mm_high,1)),1,MATCH(ROW(),[1]!COUNT_TH2_V2__units_1___Type_D_04__900_x_2200mm_high,1)+1)&amp;" of " &amp; [1]!CUSTOM1_Shops__GF_ + 0*NOW()</definedName>
    <definedName name="adc">"Page "&amp;IF(ISNA(MATCH(ROW(),RowAfterpgbrk,1)),1,MATCH(ROW(),RowAfterpgbrk,1)+1)&amp;" of " &amp; TotPageCount + 0*NOW()</definedName>
    <definedName name="adcd">#REF!</definedName>
    <definedName name="ADD" localSheetId="1">#REF!</definedName>
    <definedName name="ADD">#REF!</definedName>
    <definedName name="add_BOQ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d_BO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dad" localSheetId="1" hidden="1">{#N/A,#N/A,TRUE,"Cover";#N/A,#N/A,TRUE,"Conts";#N/A,#N/A,TRUE,"VOS";#N/A,#N/A,TRUE,"Warrington";#N/A,#N/A,TRUE,"Widnes"}</definedName>
    <definedName name="addad" hidden="1">{#N/A,#N/A,TRUE,"Cover";#N/A,#N/A,TRUE,"Conts";#N/A,#N/A,TRUE,"VOS";#N/A,#N/A,TRUE,"Warrington";#N/A,#N/A,TRUE,"Widnes"}</definedName>
    <definedName name="addad_1" localSheetId="1" hidden="1">{#N/A,#N/A,TRUE,"Cover";#N/A,#N/A,TRUE,"Conts";#N/A,#N/A,TRUE,"VOS";#N/A,#N/A,TRUE,"Warrington";#N/A,#N/A,TRUE,"Widnes"}</definedName>
    <definedName name="addad_1" hidden="1">{#N/A,#N/A,TRUE,"Cover";#N/A,#N/A,TRUE,"Conts";#N/A,#N/A,TRUE,"VOS";#N/A,#N/A,TRUE,"Warrington";#N/A,#N/A,TRUE,"Widnes"}</definedName>
    <definedName name="addbeam" localSheetId="1">#REF!</definedName>
    <definedName name="addbeam">#REF!</definedName>
    <definedName name="addi_wrk" localSheetId="1">#REF!</definedName>
    <definedName name="addi_wrk">#REF!</definedName>
    <definedName name="Addia">#REF!</definedName>
    <definedName name="addqd">#REF!</definedName>
    <definedName name="Address">#REF!</definedName>
    <definedName name="address_1">#REF!</definedName>
    <definedName name="Address_2">#REF!</definedName>
    <definedName name="Address_3">#REF!</definedName>
    <definedName name="Address_4">#REF!</definedName>
    <definedName name="Address_5">#REF!</definedName>
    <definedName name="Addressable____interface____module_for_converted_emergency_light">#REF!</definedName>
    <definedName name="addresses">#REF!</definedName>
    <definedName name="AddwkAmt" localSheetId="1">#REF!</definedName>
    <definedName name="AddwkAmt">#REF!</definedName>
    <definedName name="adf" localSheetId="1" hidden="1">{"'Break down'!$A$4"}</definedName>
    <definedName name="adf" hidden="1">{"'Break down'!$A$4"}</definedName>
    <definedName name="adfasfaw">#REF!</definedName>
    <definedName name="adfg" localSheetId="1" hidden="1">{"'Break down'!$A$4"}</definedName>
    <definedName name="adfg" hidden="1">{"'Break down'!$A$4"}</definedName>
    <definedName name="adh">#REF!</definedName>
    <definedName name="adhgzdb" localSheetId="1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dhgzd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dia">#REF!</definedName>
    <definedName name="ADJUSMENT" localSheetId="1">#REF!</definedName>
    <definedName name="ADJUSMENT">#REF!</definedName>
    <definedName name="adjustment">#REF!</definedName>
    <definedName name="adjustment2">#REF!</definedName>
    <definedName name="ADM16_BGP">#REF!</definedName>
    <definedName name="ADM16_col_sales">#REF!</definedName>
    <definedName name="ADM16_FAC">#REF!</definedName>
    <definedName name="ADM16_FLR">#REF!</definedName>
    <definedName name="ADM16_FMF">#REF!</definedName>
    <definedName name="ADM16_MOC">#REF!</definedName>
    <definedName name="ADM16_PriceWave">#REF!</definedName>
    <definedName name="ADM16_SGP">#REF!</definedName>
    <definedName name="ADM16_sp_BGP">#REF!</definedName>
    <definedName name="ADM16_sp_FAC">#REF!</definedName>
    <definedName name="ADM16_sp_FLR">#REF!</definedName>
    <definedName name="ADM16_sp_MOC">#REF!</definedName>
    <definedName name="ADM16_sp_SGP">#REF!</definedName>
    <definedName name="AdministrationCost">#REF!</definedName>
    <definedName name="admn_off">#REF!</definedName>
    <definedName name="admn_site">#REF!</definedName>
    <definedName name="adpvol">#REF!</definedName>
    <definedName name="ads" localSheetId="1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sadsad">#REF!</definedName>
    <definedName name="adsasd" localSheetId="1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dsasd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DSD">#REF!</definedName>
    <definedName name="adsds" localSheetId="1">#REF!</definedName>
    <definedName name="adsds">#REF!</definedName>
    <definedName name="Adspace" localSheetId="1">#REF!</definedName>
    <definedName name="Adspace">#REF!</definedName>
    <definedName name="ADVANCE" localSheetId="1">#REF!</definedName>
    <definedName name="ADVANCE">#REF!</definedName>
    <definedName name="AdvOthers">#REF!</definedName>
    <definedName name="ADWEWEW">#N/A</definedName>
    <definedName name="Ae">#REF!</definedName>
    <definedName name="AEC_Area_Deductable" localSheetId="1">#REF!</definedName>
    <definedName name="AEC_Area_Deductable">#REF!</definedName>
    <definedName name="AEC_Area_Deductable_Spaces">#REF!</definedName>
    <definedName name="AEC_Area_GFA">#REF!</definedName>
    <definedName name="AEC_Area_Usable">#REF!,#REF!</definedName>
    <definedName name="AEC_Area_UsableSpaces" localSheetId="1">#REF!</definedName>
    <definedName name="AEC_Area_UsableSpaces">#REF!</definedName>
    <definedName name="AEC_AreaScheduleTitle">#REF!</definedName>
    <definedName name="AEC_FootPrint_BUA">#REF!</definedName>
    <definedName name="AEC_LiftCalc">#REF!</definedName>
    <definedName name="AEC_ParkingCalculation">#REF!</definedName>
    <definedName name="AEC_RefuseCalc">#REF!</definedName>
    <definedName name="AEC_UnitMix">#REF!</definedName>
    <definedName name="AED2EUR">#REF!</definedName>
    <definedName name="aeddf">#REF!</definedName>
    <definedName name="Aedia">#REF!</definedName>
    <definedName name="aeg" localSheetId="1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e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egrgas" localSheetId="1" hidden="1">{#N/A,#N/A,TRUE,"Cover";#N/A,#N/A,TRUE,"Conts";#N/A,#N/A,TRUE,"VOS";#N/A,#N/A,TRUE,"Warrington";#N/A,#N/A,TRUE,"Widnes"}</definedName>
    <definedName name="aegrgas" hidden="1">{#N/A,#N/A,TRUE,"Cover";#N/A,#N/A,TRUE,"Conts";#N/A,#N/A,TRUE,"VOS";#N/A,#N/A,TRUE,"Warrington";#N/A,#N/A,TRUE,"Widnes"}</definedName>
    <definedName name="aegrgas_1" localSheetId="1" hidden="1">{#N/A,#N/A,TRUE,"Cover";#N/A,#N/A,TRUE,"Conts";#N/A,#N/A,TRUE,"VOS";#N/A,#N/A,TRUE,"Warrington";#N/A,#N/A,TRUE,"Widnes"}</definedName>
    <definedName name="aegrgas_1" hidden="1">{#N/A,#N/A,TRUE,"Cover";#N/A,#N/A,TRUE,"Conts";#N/A,#N/A,TRUE,"VOS";#N/A,#N/A,TRUE,"Warrington";#N/A,#N/A,TRUE,"Widnes"}</definedName>
    <definedName name="AERAFG" localSheetId="1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AFG_1" localSheetId="1" hidden="1">{#N/A,#N/A,TRUE,"Cover";#N/A,#N/A,TRUE,"Conts";#N/A,#N/A,TRUE,"VOS";#N/A,#N/A,TRUE,"Warrington";#N/A,#N/A,TRUE,"Widnes"}</definedName>
    <definedName name="AERAFG_1" hidden="1">{#N/A,#N/A,TRUE,"Cover";#N/A,#N/A,TRUE,"Conts";#N/A,#N/A,TRUE,"VOS";#N/A,#N/A,TRUE,"Warrington";#N/A,#N/A,TRUE,"Widnes"}</definedName>
    <definedName name="aeron">#REF!</definedName>
    <definedName name="aerte" localSheetId="1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localSheetId="1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rtes_1" localSheetId="1" hidden="1">{#N/A,#N/A,TRUE,"Cover";#N/A,#N/A,TRUE,"Conts";#N/A,#N/A,TRUE,"VOS";#N/A,#N/A,TRUE,"Warrington";#N/A,#N/A,TRUE,"Widnes"}</definedName>
    <definedName name="aertes_1" hidden="1">{#N/A,#N/A,TRUE,"Cover";#N/A,#N/A,TRUE,"Conts";#N/A,#N/A,TRUE,"VOS";#N/A,#N/A,TRUE,"Warrington";#N/A,#N/A,TRUE,"Widnes"}</definedName>
    <definedName name="Aespace">#REF!</definedName>
    <definedName name="aetertryh" localSheetId="1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etertryh_1" localSheetId="1" hidden="1">{#N/A,#N/A,TRUE,"Cover";#N/A,#N/A,TRUE,"Conts";#N/A,#N/A,TRUE,"VOS";#N/A,#N/A,TRUE,"Warrington";#N/A,#N/A,TRUE,"Widnes"}</definedName>
    <definedName name="aetertryh_1" hidden="1">{#N/A,#N/A,TRUE,"Cover";#N/A,#N/A,TRUE,"Conts";#N/A,#N/A,TRUE,"VOS";#N/A,#N/A,TRUE,"Warrington";#N/A,#N/A,TRUE,"Widnes"}</definedName>
    <definedName name="AF" localSheetId="1">#REF!</definedName>
    <definedName name="AF">#REF!</definedName>
    <definedName name="AFA">#REF!</definedName>
    <definedName name="afafd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faf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fafrehytkyu" hidden="1">#REF!</definedName>
    <definedName name="aFDf" localSheetId="1" hidden="1">{#N/A,#N/A,FALSE,"혼합골재"}</definedName>
    <definedName name="aFDf" hidden="1">{#N/A,#N/A,FALSE,"혼합골재"}</definedName>
    <definedName name="afdggf" localSheetId="1" hidden="1">{"'Break down'!$A$4"}</definedName>
    <definedName name="afdggf" hidden="1">{"'Break down'!$A$4"}</definedName>
    <definedName name="aff" localSheetId="1" hidden="1">{#N/A,#N/A,TRUE,"Cover";#N/A,#N/A,TRUE,"Conts";#N/A,#N/A,TRUE,"VOS";#N/A,#N/A,TRUE,"Warrington";#N/A,#N/A,TRUE,"Widnes"}</definedName>
    <definedName name="aff" hidden="1">{#N/A,#N/A,TRUE,"Cover";#N/A,#N/A,TRUE,"Conts";#N/A,#N/A,TRUE,"VOS";#N/A,#N/A,TRUE,"Warrington";#N/A,#N/A,TRUE,"Widnes"}</definedName>
    <definedName name="affkitchens">#REF!</definedName>
    <definedName name="afgdsvzcx" localSheetId="1">#REF!</definedName>
    <definedName name="afgdsvzcx">#REF!</definedName>
    <definedName name="AFGIS_ELECT">#REF!</definedName>
    <definedName name="afgsu" localSheetId="1">BlankMacro1</definedName>
    <definedName name="afgsu">BlankMacro1</definedName>
    <definedName name="Aflar" localSheetId="1">#REF!</definedName>
    <definedName name="Aflar">#REF!</definedName>
    <definedName name="afsfdfs" localSheetId="1">#REF!</definedName>
    <definedName name="afsfdfs">#REF!</definedName>
    <definedName name="AFTER_MP" localSheetId="1">#REF!</definedName>
    <definedName name="AFTER_MP">#REF!</definedName>
    <definedName name="ag" localSheetId="1">#REF!</definedName>
    <definedName name="ag">#REF!</definedName>
    <definedName name="Ag___0">#REF!</definedName>
    <definedName name="Ag___13">#REF!</definedName>
    <definedName name="ag_1">0</definedName>
    <definedName name="ag15F80">#REF!</definedName>
    <definedName name="agf" localSheetId="1" hidden="1">{#N/A,#N/A,FALSE,"CAM-G7";#N/A,#N/A,FALSE,"SPL";#N/A,#N/A,FALSE,"butt-in G7";#N/A,#N/A,FALSE,"dia-in G7";#N/A,#N/A,FALSE,"추가-STA G7"}</definedName>
    <definedName name="agf" hidden="1">{#N/A,#N/A,FALSE,"CAM-G7";#N/A,#N/A,FALSE,"SPL";#N/A,#N/A,FALSE,"butt-in G7";#N/A,#N/A,FALSE,"dia-in G7";#N/A,#N/A,FALSE,"추가-STA G7"}</definedName>
    <definedName name="AggregateBaseCourse" localSheetId="1">#REF!</definedName>
    <definedName name="AggregateBaseCourse">#REF!</definedName>
    <definedName name="AGN" localSheetId="1">#REF!</definedName>
    <definedName name="AGN">#REF!</definedName>
    <definedName name="Agree">"#REF!"</definedName>
    <definedName name="Agree1">#REF!</definedName>
    <definedName name="AGREEMENT" localSheetId="1">#REF!</definedName>
    <definedName name="AGREEMENT">#REF!</definedName>
    <definedName name="agsdfhgjdf" localSheetId="1">#REF!</definedName>
    <definedName name="agsdfhgjdf">#REF!</definedName>
    <definedName name="agsdfhjk">#REF!</definedName>
    <definedName name="agsdjfh">#REF!</definedName>
    <definedName name="agsfdhjk">#REF!</definedName>
    <definedName name="ah">#REF!</definedName>
    <definedName name="ahgd">#REF!</definedName>
    <definedName name="ahgd_1">0</definedName>
    <definedName name="ahm" localSheetId="1" hidden="1">{#N/A,#N/A,FALSE,"Scenario A";#N/A,#N/A,FALSE,"Budget";#N/A,#N/A,FALSE,"Land";#N/A,#N/A,FALSE,"Proceeds";#N/A,#N/A,FALSE,"Assumptions"}</definedName>
    <definedName name="ahm" hidden="1">{#N/A,#N/A,FALSE,"Scenario A";#N/A,#N/A,FALSE,"Budget";#N/A,#N/A,FALSE,"Land";#N/A,#N/A,FALSE,"Proceeds";#N/A,#N/A,FALSE,"Assumptions"}</definedName>
    <definedName name="AHMADI">#REF!</definedName>
    <definedName name="aho" localSheetId="1">#REF!</definedName>
    <definedName name="aho">#REF!</definedName>
    <definedName name="ahu" localSheetId="1">#REF!</definedName>
    <definedName name="ahu">#REF!</definedName>
    <definedName name="AHUFan" hidden="1">#REF!</definedName>
    <definedName name="AI">#REF!</definedName>
    <definedName name="Aic_Instrumentation_List" localSheetId="1">#REF!</definedName>
    <definedName name="Aic_Instrumentation_List">#REF!</definedName>
    <definedName name="air">#REF!</definedName>
    <definedName name="Air_Blowers" localSheetId="1">#REF!</definedName>
    <definedName name="Air_Blowers">#REF!</definedName>
    <definedName name="Air_Conditioning" localSheetId="1">#REF!</definedName>
    <definedName name="Air_Conditioning">#REF!</definedName>
    <definedName name="air_trap" localSheetId="1">#REF!</definedName>
    <definedName name="air_trap">#REF!</definedName>
    <definedName name="AIRCON">#REF!</definedName>
    <definedName name="airpor">#REF!</definedName>
    <definedName name="Airport">#REF!</definedName>
    <definedName name="AirportStat">#REF!</definedName>
    <definedName name="aj" hidden="1">#REF!</definedName>
    <definedName name="ajay">#REF!</definedName>
    <definedName name="aji" localSheetId="1">#REF!</definedName>
    <definedName name="aji">#REF!</definedName>
    <definedName name="AJITABH" localSheetId="1">#REF!</definedName>
    <definedName name="AJITABH">#REF!</definedName>
    <definedName name="AJITABHPANDEY" localSheetId="1">#REF!</definedName>
    <definedName name="AJITABHPANDEY">#REF!</definedName>
    <definedName name="ajitha">#REF!</definedName>
    <definedName name="AJYVNBGFVC">#REF!</definedName>
    <definedName name="ak">#REF!</definedName>
    <definedName name="AK_197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_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DBSBCNB">#REF!</definedName>
    <definedName name="AKFGHL" localSheetId="1">#REF!</definedName>
    <definedName name="AKFGHL">#REF!</definedName>
    <definedName name="AKGOH" localSheetId="1">#REF!</definedName>
    <definedName name="AKGOH">#REF!</definedName>
    <definedName name="AKLMNOPQR">#REF!</definedName>
    <definedName name="AKS" hidden="1">#REF!</definedName>
    <definedName name="al" localSheetId="1">#REF!</definedName>
    <definedName name="al">#REF!</definedName>
    <definedName name="al_1">0</definedName>
    <definedName name="AL_Hammoudi_GEN_TRD_LLC">#REF!</definedName>
    <definedName name="AL_KHAF">"AL KHAF"</definedName>
    <definedName name="Al_Majid_Motors_Company">#REF!</definedName>
    <definedName name="Al_Merikh_Advertising_And_Publishing_Establishment" localSheetId="1">#REF!</definedName>
    <definedName name="Al_Merikh_Advertising_And_Publishing_Establishment">#REF!</definedName>
    <definedName name="Al_Meshari_Heavy_Equipment_Trading_LLC" localSheetId="1">#REF!</definedName>
    <definedName name="Al_Meshari_Heavy_Equipment_Trading_LLC">#REF!</definedName>
    <definedName name="Al_Naboodah_Contracting_Co_LLC">#REF!</definedName>
    <definedName name="Al_Nibras_Lighting_LLC">#REF!</definedName>
    <definedName name="AL_Serkal_Group">#REF!</definedName>
    <definedName name="Al_Shola_Transport_Co._LLC">#REF!</definedName>
    <definedName name="Al_Sofooh_Thaners_">#REF!</definedName>
    <definedName name="Al_warqa_Survey_Engineering_">#REF!</definedName>
    <definedName name="ALAMSAMEER">#REF!</definedName>
    <definedName name="Alarm_current_Amp_In_Minutes">#REF!</definedName>
    <definedName name="Alarm_Monitors">#REF!</definedName>
    <definedName name="ALC02X03">#REF!</definedName>
    <definedName name="ALCTEL02X03">#REF!</definedName>
    <definedName name="ALCTEL03">#REF!</definedName>
    <definedName name="ALCTEL103">#REF!</definedName>
    <definedName name="Aldar_developments">#REF!</definedName>
    <definedName name="aldf" localSheetId="1">#REF!</definedName>
    <definedName name="aldf">#REF!</definedName>
    <definedName name="ALDKHAN1234">#REF!</definedName>
    <definedName name="all">#REF!</definedName>
    <definedName name="all_activities" localSheetId="1">#REF!,#REF!,#REF!,#REF!,#REF!,#REF!,#REF!,#REF!,#REF!,#REF!,#REF!,#REF!,#REF!,#REF!,#REF!,#REF!</definedName>
    <definedName name="all_activities">#REF!,#REF!,#REF!,#REF!,#REF!,#REF!,#REF!,#REF!,#REF!,#REF!,#REF!,#REF!,#REF!,#REF!,#REF!,#REF!</definedName>
    <definedName name="all_airmech" localSheetId="1">#REF!</definedName>
    <definedName name="all_airmech">#REF!</definedName>
    <definedName name="all_data" localSheetId="1">#REF!</definedName>
    <definedName name="all_data">#REF!</definedName>
    <definedName name="all_hilalco" localSheetId="1">#REF!</definedName>
    <definedName name="all_hilalco">#REF!</definedName>
    <definedName name="All_Item">#REF!</definedName>
    <definedName name="all_misc">#REF!</definedName>
    <definedName name="all_ryum">#REF!</definedName>
    <definedName name="All_Stages_Input">#REF!,#REF!,#REF!,#REF!,#REF!,#REF!,#REF!,#REF!,#REF!,#REF!,#REF!,#REF!,#REF!,#REF!,#REF!</definedName>
    <definedName name="all_terrazzo" localSheetId="1">#REF!</definedName>
    <definedName name="all_terrazzo">#REF!</definedName>
    <definedName name="AllData">#REF!</definedName>
    <definedName name="allocation">#REF!</definedName>
    <definedName name="Allocation_Level_1">#REF!</definedName>
    <definedName name="allow__maint">#REF!</definedName>
    <definedName name="allow_cont">#REF!</definedName>
    <definedName name="allow_maint">#REF!</definedName>
    <definedName name="allowance" localSheetId="1">#REF!</definedName>
    <definedName name="allowance">#REF!</definedName>
    <definedName name="allows_bondmargin" localSheetId="1">#REF!</definedName>
    <definedName name="allows_bondmargin">#REF!</definedName>
    <definedName name="allows_contmargin">#REF!</definedName>
    <definedName name="allows_dbbmargin">#REF!</definedName>
    <definedName name="allows_financemargin">#REF!</definedName>
    <definedName name="allows_grossvalue">#REF!</definedName>
    <definedName name="allows_insmargin">#REF!</definedName>
    <definedName name="allows_margin">#REF!</definedName>
    <definedName name="allows_monres_mat">#REF!</definedName>
    <definedName name="allows_monres_plant">#REF!</definedName>
    <definedName name="allows_netvalue">#REF!</definedName>
    <definedName name="allows_scmargin">#REF!</definedName>
    <definedName name="allows_tss">#REF!</definedName>
    <definedName name="allows101">#REF!</definedName>
    <definedName name="allows102">#REF!</definedName>
    <definedName name="allows103">#REF!</definedName>
    <definedName name="allows104">#REF!</definedName>
    <definedName name="allows105">#REF!</definedName>
    <definedName name="allows106">#REF!</definedName>
    <definedName name="allows107">#REF!</definedName>
    <definedName name="allows108">#REF!</definedName>
    <definedName name="allows124">#REF!</definedName>
    <definedName name="allows199">#REF!</definedName>
    <definedName name="allows201">#REF!</definedName>
    <definedName name="allows202">#REF!</definedName>
    <definedName name="allows203">#REF!</definedName>
    <definedName name="allows299">#REF!</definedName>
    <definedName name="allows300">#REF!</definedName>
    <definedName name="allows302" localSheetId="1">#REF!</definedName>
    <definedName name="allows302">#REF!</definedName>
    <definedName name="allows303">#REF!</definedName>
    <definedName name="allows304">#REF!</definedName>
    <definedName name="allows313">#REF!</definedName>
    <definedName name="allows314">#REF!</definedName>
    <definedName name="allows320">#REF!</definedName>
    <definedName name="allows323">#REF!</definedName>
    <definedName name="allows324">#REF!</definedName>
    <definedName name="allows325">#REF!</definedName>
    <definedName name="allows326">#REF!</definedName>
    <definedName name="allows330">#REF!</definedName>
    <definedName name="allows331">#REF!</definedName>
    <definedName name="allows332">#REF!</definedName>
    <definedName name="allows333">#REF!</definedName>
    <definedName name="allows336">#REF!</definedName>
    <definedName name="allows337">#REF!</definedName>
    <definedName name="allows340">#REF!</definedName>
    <definedName name="allows342">#REF!</definedName>
    <definedName name="allows351">#REF!</definedName>
    <definedName name="allows352">#REF!</definedName>
    <definedName name="allows355">#REF!</definedName>
    <definedName name="allows361">#REF!</definedName>
    <definedName name="allows374">#REF!</definedName>
    <definedName name="allows378">#REF!</definedName>
    <definedName name="allows386">#REF!</definedName>
    <definedName name="allows388">#REF!</definedName>
    <definedName name="allows392">#REF!</definedName>
    <definedName name="allows399">#REF!</definedName>
    <definedName name="allows400">#REF!</definedName>
    <definedName name="allows401" localSheetId="1">#REF!</definedName>
    <definedName name="allows401">#REF!</definedName>
    <definedName name="allows404">#REF!</definedName>
    <definedName name="allows405">#REF!</definedName>
    <definedName name="allows406">#REF!</definedName>
    <definedName name="allows412">#REF!</definedName>
    <definedName name="allows413">#REF!</definedName>
    <definedName name="allows414">#REF!</definedName>
    <definedName name="allows420">#REF!</definedName>
    <definedName name="allows426">#REF!</definedName>
    <definedName name="allows427">#REF!</definedName>
    <definedName name="allows430">#REF!</definedName>
    <definedName name="allows450">#REF!</definedName>
    <definedName name="allows454">#REF!</definedName>
    <definedName name="allows455">#REF!</definedName>
    <definedName name="allows456">#REF!</definedName>
    <definedName name="allows457">#REF!</definedName>
    <definedName name="allows460">#REF!</definedName>
    <definedName name="allows461">#REF!</definedName>
    <definedName name="allows462">#REF!</definedName>
    <definedName name="allows501">#REF!</definedName>
    <definedName name="allows502">#REF!</definedName>
    <definedName name="allows503">#REF!</definedName>
    <definedName name="allows504">#REF!</definedName>
    <definedName name="allows505">#REF!</definedName>
    <definedName name="allows506">#REF!</definedName>
    <definedName name="allows507">#REF!</definedName>
    <definedName name="allows508">#REF!</definedName>
    <definedName name="allows509">#REF!</definedName>
    <definedName name="allows510">#REF!</definedName>
    <definedName name="allows511">#REF!</definedName>
    <definedName name="allows512">#REF!</definedName>
    <definedName name="allows513">#REF!</definedName>
    <definedName name="allows514">#REF!</definedName>
    <definedName name="allows515">#REF!</definedName>
    <definedName name="allows516">#REF!</definedName>
    <definedName name="allows517">#REF!</definedName>
    <definedName name="allows518">#REF!</definedName>
    <definedName name="allows519">#REF!</definedName>
    <definedName name="allows520">#REF!</definedName>
    <definedName name="allows522">#REF!</definedName>
    <definedName name="allows523">#REF!</definedName>
    <definedName name="allows524">#REF!</definedName>
    <definedName name="allows525">#REF!</definedName>
    <definedName name="allows526">#REF!</definedName>
    <definedName name="allows527">#REF!</definedName>
    <definedName name="allows528">#REF!</definedName>
    <definedName name="allows529">#REF!</definedName>
    <definedName name="allows530">#REF!</definedName>
    <definedName name="allows531">#REF!</definedName>
    <definedName name="allows532">#REF!</definedName>
    <definedName name="allows533">#REF!</definedName>
    <definedName name="allows534">#REF!</definedName>
    <definedName name="allows535">#REF!</definedName>
    <definedName name="allows536">#REF!</definedName>
    <definedName name="allows601">#REF!</definedName>
    <definedName name="allows611">#REF!</definedName>
    <definedName name="allows613">#REF!</definedName>
    <definedName name="allows614">#REF!</definedName>
    <definedName name="allows615">#REF!</definedName>
    <definedName name="allows620">#REF!</definedName>
    <definedName name="allows623">#REF!</definedName>
    <definedName name="allows635">#REF!</definedName>
    <definedName name="allows650">#REF!</definedName>
    <definedName name="allows656">#REF!</definedName>
    <definedName name="allows658">#REF!</definedName>
    <definedName name="allows660">#REF!</definedName>
    <definedName name="allows661">#REF!</definedName>
    <definedName name="allows690">#REF!</definedName>
    <definedName name="allows691">#REF!</definedName>
    <definedName name="allowss300">#REF!</definedName>
    <definedName name="allowss400">#REF!</definedName>
    <definedName name="allsubincPending">#REF!</definedName>
    <definedName name="allsubmittals">#REF!</definedName>
    <definedName name="ALLW">#REF!</definedName>
    <definedName name="alos" localSheetId="1">BlankMacro1</definedName>
    <definedName name="alos">BlankMacro1</definedName>
    <definedName name="ALPAN" localSheetId="1">#REF!</definedName>
    <definedName name="ALPAN">#REF!</definedName>
    <definedName name="alpha" localSheetId="1">#REF!</definedName>
    <definedName name="alpha">#REF!</definedName>
    <definedName name="Alpha_7_Trading_Co." localSheetId="1">#REF!</definedName>
    <definedName name="Alpha_7_Trading_Co.">#REF!</definedName>
    <definedName name="alphabet">#REF!</definedName>
    <definedName name="ALPIN">#N/A</definedName>
    <definedName name="ALPJYOU">#N/A</definedName>
    <definedName name="ALPTOI">#N/A</definedName>
    <definedName name="als_1">0</definedName>
    <definedName name="alter">#REF!</definedName>
    <definedName name="Alteration_works">#REF!</definedName>
    <definedName name="Alterations">#REF!</definedName>
    <definedName name="AltKSP">#REF!</definedName>
    <definedName name="alu" localSheetId="1">#REF!</definedName>
    <definedName name="alu">#REF!</definedName>
    <definedName name="ALU_door_window" localSheetId="1">#REF!</definedName>
    <definedName name="ALU_door_window">#REF!</definedName>
    <definedName name="alu_haerware" localSheetId="1">#REF!</definedName>
    <definedName name="alu_haerware">#REF!</definedName>
    <definedName name="alu_haerware1">#REF!</definedName>
    <definedName name="alu_hardware">#REF!</definedName>
    <definedName name="alum">#REF!</definedName>
    <definedName name="Aluminium_Feature_Louvres">#REF!</definedName>
    <definedName name="Aluminium_Work">#REF!</definedName>
    <definedName name="Alw">#REF!</definedName>
    <definedName name="AM">#REF!</definedName>
    <definedName name="Amco_Environmental_Solutions">#REF!</definedName>
    <definedName name="AME">OFFSET(#REF!,1,0,COUNTA(#REF!)-(#REF!+2))</definedName>
    <definedName name="Amen">13/100</definedName>
    <definedName name="AMERON">#REF!</definedName>
    <definedName name="Amortization" localSheetId="1">#REF!</definedName>
    <definedName name="Amortization">#REF!</definedName>
    <definedName name="Amount">#REF!</definedName>
    <definedName name="Amount_Dhs.">"F1"</definedName>
    <definedName name="Amount_of_repayment_due_from_previous_years" localSheetId="1">#REF!</definedName>
    <definedName name="Amount_of_repayment_due_from_previous_years">#REF!</definedName>
    <definedName name="Amt_Contingency" localSheetId="1">#REF!</definedName>
    <definedName name="Amt_Contingency">#REF!</definedName>
    <definedName name="AMT_CONTINGENCY_FEE">#REF!</definedName>
    <definedName name="Amt_Demolition">#REF!</definedName>
    <definedName name="Amt_Design.Fee">#REF!</definedName>
    <definedName name="Amt_Direct.Cost">#REF!</definedName>
    <definedName name="Amt_Earth.Work">#REF!</definedName>
    <definedName name="Amt_Elec">#REF!</definedName>
    <definedName name="Amt_Ext.Civil">#REF!</definedName>
    <definedName name="Amt_Finish.Work">#REF!</definedName>
    <definedName name="Amt_Lift">#REF!</definedName>
    <definedName name="Amt_Mech">#REF!</definedName>
    <definedName name="Amt_Onsite">#REF!</definedName>
    <definedName name="Amt_Others">#REF!</definedName>
    <definedName name="Amt_PC.PS">#REF!</definedName>
    <definedName name="Amt_Pile.Work">#REF!</definedName>
    <definedName name="Amt_prev_paid" localSheetId="1">#REF!</definedName>
    <definedName name="Amt_prev_paid">#REF!</definedName>
    <definedName name="Amt_prev_paid_range" localSheetId="1">#REF!</definedName>
    <definedName name="Amt_prev_paid_range">#REF!</definedName>
    <definedName name="Amt_Project" localSheetId="1">#REF!</definedName>
    <definedName name="Amt_Project">#REF!</definedName>
    <definedName name="Amt_Sub.Struc">#REF!</definedName>
    <definedName name="Amt_Super.Struc">#REF!</definedName>
    <definedName name="AmtDue">#REF!</definedName>
    <definedName name="AN">#REF!</definedName>
    <definedName name="analysis">#REF!</definedName>
    <definedName name="Analysiss">#REF!</definedName>
    <definedName name="AnalysisType">#REF!</definedName>
    <definedName name="ang">#REF!</definedName>
    <definedName name="angle">#REF!</definedName>
    <definedName name="Angle_Screed">#REF!</definedName>
    <definedName name="anitha" localSheetId="1" hidden="1">{"'Break down'!$A$4"}</definedName>
    <definedName name="anitha" hidden="1">{"'Break down'!$A$4"}</definedName>
    <definedName name="AnjanaPandey">#REF!</definedName>
    <definedName name="Anlagenart">#REF!</definedName>
    <definedName name="ann" localSheetId="1">#REF!</definedName>
    <definedName name="ann">#REF!</definedName>
    <definedName name="ANNAA" localSheetId="1">#REF!</definedName>
    <definedName name="ANNAA">#REF!</definedName>
    <definedName name="ANNAB" localSheetId="1">#REF!</definedName>
    <definedName name="ANNAB">#REF!</definedName>
    <definedName name="annayam">#REF!</definedName>
    <definedName name="anne">#REF!</definedName>
    <definedName name="annealing">#REF!</definedName>
    <definedName name="annealing1">#REF!</definedName>
    <definedName name="ANNEXSUM">#REF!</definedName>
    <definedName name="ANNSUM">#REF!</definedName>
    <definedName name="ANNUAL_EXPENDIT">"#REF!"</definedName>
    <definedName name="anscount">1</definedName>
    <definedName name="Anteil_WVF">#REF!</definedName>
    <definedName name="anuj10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P">#REF!</definedName>
    <definedName name="ANX_2" localSheetId="1">#REF!</definedName>
    <definedName name="ANX_2">#REF!</definedName>
    <definedName name="ANX_2A" localSheetId="1">#REF!</definedName>
    <definedName name="ANX_2A">#REF!</definedName>
    <definedName name="ANX_3">#REF!</definedName>
    <definedName name="AnzInputAdd" localSheetId="1">#REF!,#REF!,#REF!,#REF!</definedName>
    <definedName name="AnzInputAdd">#REF!,#REF!,#REF!,#REF!</definedName>
    <definedName name="AnzInputOld" localSheetId="1">#REF!,#REF!,#REF!,#REF!</definedName>
    <definedName name="AnzInputOld">#REF!,#REF!,#REF!,#REF!</definedName>
    <definedName name="apa" localSheetId="1">#REF!</definedName>
    <definedName name="apa">#REF!</definedName>
    <definedName name="apart" localSheetId="1">#REF!</definedName>
    <definedName name="apart">#REF!</definedName>
    <definedName name="Apartment_Type" localSheetId="1">#REF!</definedName>
    <definedName name="Apartment_Type">#REF!</definedName>
    <definedName name="apba" localSheetId="1">#REF!</definedName>
    <definedName name="apba">#REF!</definedName>
    <definedName name="apbv" localSheetId="1">#REF!</definedName>
    <definedName name="apbv">#REF!</definedName>
    <definedName name="APL">#REF!</definedName>
    <definedName name="apm">#REF!</definedName>
    <definedName name="apm_bax.contract">#REF!</definedName>
    <definedName name="apm_bax.now">#REF!</definedName>
    <definedName name="apm_bax.old">#REF!</definedName>
    <definedName name="apm_bax.old.now">#REF!</definedName>
    <definedName name="apm_bax.old.payment">#REF!</definedName>
    <definedName name="apm_bax.old.vo.app">#REF!</definedName>
    <definedName name="apm_bax.payment">#REF!</definedName>
    <definedName name="apm_bax.rev">#REF!</definedName>
    <definedName name="apm_bax.tot.contract">#REF!</definedName>
    <definedName name="apm_bax.tot.now">#REF!</definedName>
    <definedName name="apm_bax.tot.payment">#REF!</definedName>
    <definedName name="apm_bax.tot.vo.app">#REF!</definedName>
    <definedName name="apm_bax.vo.app">#REF!</definedName>
    <definedName name="apm_ccu.bs">#REF!</definedName>
    <definedName name="apm_ccu.bs.now">#REF!</definedName>
    <definedName name="apm_ccu.bs.payment">#REF!</definedName>
    <definedName name="apm_ccu.bs.vo.app">#REF!</definedName>
    <definedName name="apm_ccu.cert">#REF!</definedName>
    <definedName name="apm_ccu.contract">#REF!</definedName>
    <definedName name="apm_ccu.contract.now">#REF!</definedName>
    <definedName name="apm_ccu.fire">#REF!</definedName>
    <definedName name="apm_ccu.fire.now">#REF!</definedName>
    <definedName name="apm_ccu.fire.payment">#REF!</definedName>
    <definedName name="apm_ccu.fire.vo.app">#REF!</definedName>
    <definedName name="apm_ccu.furn">#REF!</definedName>
    <definedName name="apm_ccu.furn.vo.app">#REF!</definedName>
    <definedName name="apm_ccu.mon">#REF!</definedName>
    <definedName name="apm_ccu.mon.vo.app">#REF!</definedName>
    <definedName name="apm_ccu.payment">#REF!</definedName>
    <definedName name="apm_ccu.rev">#REF!</definedName>
    <definedName name="apm_ccu.tot.contract">#REF!</definedName>
    <definedName name="apm_ccu.tot.now">#REF!</definedName>
    <definedName name="apm_ccu.tot.payment">#REF!</definedName>
    <definedName name="apm_ccu.tot.vo.app">#REF!</definedName>
    <definedName name="apm_ccu.vo.app">#REF!</definedName>
    <definedName name="apm_dax.app.vo">#REF!</definedName>
    <definedName name="apm_dax.bs.fee">#REF!</definedName>
    <definedName name="apm_dax.bs.now">#REF!</definedName>
    <definedName name="apm_dax.bs.payment">#REF!</definedName>
    <definedName name="apm_dax.bs.vo.app">#REF!</definedName>
    <definedName name="apm_dax.cert">#REF!</definedName>
    <definedName name="apm_dax.com.now">#REF!</definedName>
    <definedName name="apm_dax.com.payment">#REF!</definedName>
    <definedName name="apm_dax.com.vo.app">#REF!</definedName>
    <definedName name="apm_dax.consult.fee">#REF!</definedName>
    <definedName name="apm_dax.consult.now">#REF!</definedName>
    <definedName name="apm_dax.consult.payment">#REF!</definedName>
    <definedName name="apm_dax.consult.vo.app">#REF!</definedName>
    <definedName name="apm_dax.contract.now">#REF!</definedName>
    <definedName name="apm_dax.contractor">#REF!</definedName>
    <definedName name="apm_dax.ffe">#REF!</definedName>
    <definedName name="apm_dax.ffe.now">#REF!</definedName>
    <definedName name="apm_dax.ffe.payment">#REF!</definedName>
    <definedName name="apm_dax.ffe.vo.app">#REF!</definedName>
    <definedName name="apm_dax.hosp">#REF!</definedName>
    <definedName name="apm_dax.hosp.com">#REF!</definedName>
    <definedName name="apm_dax.hosp.comm">#REF!</definedName>
    <definedName name="apm_dax.hosp.now">#REF!</definedName>
    <definedName name="apm_dax.hosp.payment">#REF!</definedName>
    <definedName name="apm_dax.hosp.vo.app">#REF!</definedName>
    <definedName name="apm_dax.pabx">#REF!</definedName>
    <definedName name="apm_dax.pabx.now">#REF!</definedName>
    <definedName name="apm_dax.pabx.payment">#REF!</definedName>
    <definedName name="apm_dax.pabx.vo.app">#REF!</definedName>
    <definedName name="apm_dax.payment">#REF!</definedName>
    <definedName name="apm_dax.pm.fee">#REF!</definedName>
    <definedName name="apm_dax.pm.now">#REF!</definedName>
    <definedName name="apm_dax.pm.payment">#REF!</definedName>
    <definedName name="apm_dax.pm.vo.app">#REF!</definedName>
    <definedName name="apm_dax.ps">#REF!</definedName>
    <definedName name="apm_dax.qs.fee">#REF!</definedName>
    <definedName name="apm_dax.qs.now">#REF!</definedName>
    <definedName name="apm_dax.qs.payment">#REF!</definedName>
    <definedName name="apm_dax.qs.vo.app">#REF!</definedName>
    <definedName name="apm_dax.special.now">#REF!</definedName>
    <definedName name="apm_dax.specialist.fee">#REF!</definedName>
    <definedName name="apm_dax.specialist.payment">#REF!</definedName>
    <definedName name="apm_dax.specialist.vo.app">#REF!</definedName>
    <definedName name="apm_dem.consult">#REF!</definedName>
    <definedName name="apm_dem.consult.now">#REF!</definedName>
    <definedName name="apm_dem.consult.payment">#REF!</definedName>
    <definedName name="apm_dem.consult.vo.app">#REF!</definedName>
    <definedName name="apm_dem.contract">#REF!</definedName>
    <definedName name="apm_dem.contract.now">#REF!</definedName>
    <definedName name="apm_dem.contract.payment">#REF!</definedName>
    <definedName name="apm_dem.contract.vo.app">#REF!</definedName>
    <definedName name="apm_dem.furn">#REF!</definedName>
    <definedName name="apm_dem.furn.now">#REF!</definedName>
    <definedName name="apm_dem.furn.payment">#REF!</definedName>
    <definedName name="apm_dem.furn.vo.app">#REF!</definedName>
    <definedName name="apm_dem.hosp">#REF!</definedName>
    <definedName name="apm_dem.hosp.now">#REF!</definedName>
    <definedName name="apm_dem.hosp.payment">#REF!</definedName>
    <definedName name="apm_dem.hosp.vo.app">#REF!</definedName>
    <definedName name="apm_dem.mon">#REF!</definedName>
    <definedName name="apm_dem.mon.now">#REF!</definedName>
    <definedName name="apm_dem.mon.payment">#REF!</definedName>
    <definedName name="apm_dem.mon.vo.app">#REF!</definedName>
    <definedName name="apm_dem.rev">#REF!</definedName>
    <definedName name="apm_dem.tot.contract">#REF!</definedName>
    <definedName name="apm_dem.tot.now">#REF!</definedName>
    <definedName name="apm_dem.tot.payment">#REF!</definedName>
    <definedName name="apm_dem.tot.vo.app">#REF!</definedName>
    <definedName name="apm_icu.bs">#REF!</definedName>
    <definedName name="apm_icu.bs.now">#REF!</definedName>
    <definedName name="apm_icu.bs.payment">#REF!</definedName>
    <definedName name="apm_icu.bs.vo.app">#REF!</definedName>
    <definedName name="apm_icu.cert">#REF!</definedName>
    <definedName name="apm_icu.contract">#REF!</definedName>
    <definedName name="apm_icu.contract.now">#REF!</definedName>
    <definedName name="apm_icu.furn">#REF!</definedName>
    <definedName name="apm_icu.furn.vo.app">#REF!</definedName>
    <definedName name="apm_icu.mon">#REF!</definedName>
    <definedName name="apm_icu.mon.vo.app">#REF!</definedName>
    <definedName name="apm_icu.payment">#REF!</definedName>
    <definedName name="apm_icu.rev">#REF!</definedName>
    <definedName name="apm_icu.tot.contract">#REF!</definedName>
    <definedName name="apm_icu.tot.now">#REF!</definedName>
    <definedName name="apm_icu.tot.payment">#REF!</definedName>
    <definedName name="apm_icu.tot.vo.app">#REF!</definedName>
    <definedName name="apm_icu.vo.app">#REF!</definedName>
    <definedName name="apm_temp.cert">#REF!</definedName>
    <definedName name="APN">#REF!</definedName>
    <definedName name="App">#REF!</definedName>
    <definedName name="App_Name_A">#REF!</definedName>
    <definedName name="App_Name_B">#REF!</definedName>
    <definedName name="App_Name_C">#REF!</definedName>
    <definedName name="App_Name_D">#REF!</definedName>
    <definedName name="App_Name_E">#REF!</definedName>
    <definedName name="App_Name_F">#REF!</definedName>
    <definedName name="App_Name_G">#REF!</definedName>
    <definedName name="App_Name_H">#REF!</definedName>
    <definedName name="App_Name_I">#REF!</definedName>
    <definedName name="App_Name_J">#REF!</definedName>
    <definedName name="App_Name_K">#REF!</definedName>
    <definedName name="App_Name_L">#REF!</definedName>
    <definedName name="App_Name_M">#REF!</definedName>
    <definedName name="App_Name_N">#REF!</definedName>
    <definedName name="App_Name_O">#REF!</definedName>
    <definedName name="APP_options_selected" localSheetId="1">#REF!</definedName>
    <definedName name="APP_options_selected">#REF!</definedName>
    <definedName name="APP_tx" localSheetId="1">#REF!</definedName>
    <definedName name="APP_tx">#REF!</definedName>
    <definedName name="APP_tx_BSCE" localSheetId="1">#REF!</definedName>
    <definedName name="APP_tx_BSCE">#REF!</definedName>
    <definedName name="APP_tx_Dat">#REF!</definedName>
    <definedName name="Appe_A">#REF!</definedName>
    <definedName name="Appen_A">#REF!</definedName>
    <definedName name="Appen_B">#REF!</definedName>
    <definedName name="Appen_C">#REF!</definedName>
    <definedName name="Appen_d">#REF!</definedName>
    <definedName name="Appen_E">#REF!</definedName>
    <definedName name="Appen_F">#REF!</definedName>
    <definedName name="Appen_G">#REF!</definedName>
    <definedName name="Appen_Name_A">#REF!</definedName>
    <definedName name="Appen_Name_B">#REF!</definedName>
    <definedName name="Appen_name_C">#REF!</definedName>
    <definedName name="Appen_Name_D">#REF!</definedName>
    <definedName name="Appen_Name_E">#REF!</definedName>
    <definedName name="Appen_Name_F">#REF!</definedName>
    <definedName name="Appen_Name_G">#REF!</definedName>
    <definedName name="APPINDEX" localSheetId="1">#REF!</definedName>
    <definedName name="APPINDEX">#REF!</definedName>
    <definedName name="applen">#REF!</definedName>
    <definedName name="Application">OFFSET(#REF!,1,0,COUNTA(#REF!)-(#REF!+3))</definedName>
    <definedName name="Applications" localSheetId="1">#REF!</definedName>
    <definedName name="Applications">#REF!</definedName>
    <definedName name="appraisal" localSheetId="1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praisal_1" localSheetId="1" hidden="1">{#N/A,#N/A,TRUE,"Cover";#N/A,#N/A,TRUE,"Conts";#N/A,#N/A,TRUE,"VOS";#N/A,#N/A,TRUE,"Warrington";#N/A,#N/A,TRUE,"Widnes"}</definedName>
    <definedName name="appraisal_1" hidden="1">{#N/A,#N/A,TRUE,"Cover";#N/A,#N/A,TRUE,"Conts";#N/A,#N/A,TRUE,"VOS";#N/A,#N/A,TRUE,"Warrington";#N/A,#N/A,TRUE,"Widnes"}</definedName>
    <definedName name="APR">#REF!</definedName>
    <definedName name="april_qty" localSheetId="1">#REF!</definedName>
    <definedName name="april_qty">#REF!</definedName>
    <definedName name="aq" localSheetId="1" hidden="1">{"'Break down'!$A$4"}</definedName>
    <definedName name="aq" hidden="1">{"'Break down'!$A$4"}</definedName>
    <definedName name="AQE">#N/A</definedName>
    <definedName name="aqss">#REF!</definedName>
    <definedName name="aquatic" localSheetId="1" hidden="1">{"'Break down'!$A$4"}</definedName>
    <definedName name="aquatic" hidden="1">{"'Break down'!$A$4"}</definedName>
    <definedName name="aquatic1" localSheetId="1" hidden="1">{"'Break down'!$A$4"}</definedName>
    <definedName name="aquatic1" hidden="1">{"'Break down'!$A$4"}</definedName>
    <definedName name="AQWE" localSheetId="1" hidden="1">{#N/A,#N/A,FALSE,"mpph1";#N/A,#N/A,FALSE,"mpmseb";#N/A,#N/A,FALSE,"mpph2"}</definedName>
    <definedName name="AQWE" hidden="1">{#N/A,#N/A,FALSE,"mpph1";#N/A,#N/A,FALSE,"mpmseb";#N/A,#N/A,FALSE,"mpph2"}</definedName>
    <definedName name="AQWER" localSheetId="1" hidden="1">{#N/A,#N/A,TRUE,"Cover";#N/A,#N/A,TRUE,"Conts";#N/A,#N/A,TRUE,"VOS";#N/A,#N/A,TRUE,"Warrington";#N/A,#N/A,TRUE,"Widnes"}</definedName>
    <definedName name="AQWER" hidden="1">{#N/A,#N/A,TRUE,"Cover";#N/A,#N/A,TRUE,"Conts";#N/A,#N/A,TRUE,"VOS";#N/A,#N/A,TRUE,"Warrington";#N/A,#N/A,TRUE,"Widnes"}</definedName>
    <definedName name="aqwse">#N/A</definedName>
    <definedName name="aqzzzzzzzzzzzw" localSheetId="1">#REF!</definedName>
    <definedName name="aqzzzzzzzzzzzw">#REF!</definedName>
    <definedName name="ar_1">NA()</definedName>
    <definedName name="ar_2">NA()</definedName>
    <definedName name="Arabian_Coast_Contracting_LLC" localSheetId="1">#REF!</definedName>
    <definedName name="Arabian_Coast_Contracting_LLC">#REF!</definedName>
    <definedName name="Arcade_Redemption" localSheetId="1">#REF!</definedName>
    <definedName name="Arcade_Redemption">#REF!</definedName>
    <definedName name="arch" localSheetId="1">#REF!</definedName>
    <definedName name="arch">#REF!</definedName>
    <definedName name="arch_add_3">#REF!</definedName>
    <definedName name="arch_add1">#REF!</definedName>
    <definedName name="arch_add2">#REF!</definedName>
    <definedName name="arch_add4">#REF!</definedName>
    <definedName name="arch_add5">#REF!</definedName>
    <definedName name="ARCH_CITY">#REF!</definedName>
    <definedName name="arch_company">#REF!</definedName>
    <definedName name="ARCH_ESC">#REF!</definedName>
    <definedName name="arch_name">#REF!</definedName>
    <definedName name="ARCH_OLD_CITY">#REF!</definedName>
    <definedName name="ARCH_OLD_ESC">#REF!</definedName>
    <definedName name="ARCH_OLD_PROD">#REF!</definedName>
    <definedName name="ARCH_OLD_WAGE">#REF!</definedName>
    <definedName name="ARCH_PROD">#REF!</definedName>
    <definedName name="ARCH_WAGE">#REF!</definedName>
    <definedName name="Archi">#N/A</definedName>
    <definedName name="Architect" localSheetId="1">#N/A</definedName>
    <definedName name="Architect">#REF!</definedName>
    <definedName name="ARCHITECT________M_s">#REF!</definedName>
    <definedName name="Architect_company" localSheetId="1">#REF!</definedName>
    <definedName name="Architect_company">#REF!</definedName>
    <definedName name="Architect_firm" localSheetId="1">#REF!</definedName>
    <definedName name="Architect_firm">#REF!</definedName>
    <definedName name="ARCHITECTURAL" localSheetId="1">#REF!</definedName>
    <definedName name="ARCHITECTURAL">#REF!</definedName>
    <definedName name="are">#REF!</definedName>
    <definedName name="are_1">NA()</definedName>
    <definedName name="are_2">NA()</definedName>
    <definedName name="AREA">#REF!</definedName>
    <definedName name="AREA__C1A__Standard_Guestroom" localSheetId="1">#REF!</definedName>
    <definedName name="AREA__C1A__Standard_Guestroom">#REF!</definedName>
    <definedName name="AREA__C1C__Junior_Suites" localSheetId="1">#REF!</definedName>
    <definedName name="AREA__C1C__Junior_Suites">#REF!</definedName>
    <definedName name="AREA__C1D__One_Bedroom_Suites" localSheetId="1">#REF!</definedName>
    <definedName name="AREA__C1D__One_Bedroom_Suites">#REF!</definedName>
    <definedName name="AREA__C1E__Two_bedroom_Suites">#REF!</definedName>
    <definedName name="AREA__C1F1__Public_Circulation_Areas">#REF!</definedName>
    <definedName name="AREA__C1G4__Shafts">#REF!</definedName>
    <definedName name="AREA__C1G6__Fire_Escape_Stairs">#REF!</definedName>
    <definedName name="AREA__C1H1__Standard_Guestrooms">#REF!</definedName>
    <definedName name="AREA__C1H3__Junior_Suites">#REF!</definedName>
    <definedName name="AREA__C1H4__One_Bedroom_Suites">#REF!</definedName>
    <definedName name="AREA__C1H5__Two_Bedroom_Suites">#REF!</definedName>
    <definedName name="AREA__C1H6__One_Bedroom_Suites_Type_2">#REF!</definedName>
    <definedName name="AREA__C1I__General_Works_Guestrooms">#REF!</definedName>
    <definedName name="AREA__C1J__One_Bedroom_Suites_Type_2">#REF!</definedName>
    <definedName name="AREA__C2A2__Arrival_and_Reception_Lobby">#REF!</definedName>
    <definedName name="AREA__C2A3__Front_Offices___Concierge">#REF!</definedName>
    <definedName name="AREA__C2A4__Luggage_Scanner">#REF!</definedName>
    <definedName name="AREA__C2A5__Hotel_Retail">#REF!</definedName>
    <definedName name="AREA__C2A6__Prayer_Rooms">#REF!</definedName>
    <definedName name="AREA__C2A7__Kids_Club">#REF!</definedName>
    <definedName name="AREA__C2A8__Public_Toilets">#REF!</definedName>
    <definedName name="AREA__C2A9__Changing_Rooms">#REF!</definedName>
    <definedName name="AREA__C2C1__Hotel_Restaurant">#REF!</definedName>
    <definedName name="AREA__C2C2__Lobby_Lounge">#REF!</definedName>
    <definedName name="AREA__C2C3__Lobby_Bar">#REF!</definedName>
    <definedName name="AREA__C2C4__Lobby_Bar___Covered_Terrace">#REF!</definedName>
    <definedName name="AREA__C2C5__Speciality_Restaurant__1">#REF!</definedName>
    <definedName name="AREA__C2C6__Speciality_Restaurant__2">#REF!</definedName>
    <definedName name="AREA__C2C7__Speciality_Restaurant__2___Covered_Terrace">#REF!</definedName>
    <definedName name="AREA__C2C8__Pool_Bar___Grill">#REF!</definedName>
    <definedName name="AREA__C2D2__Gymnasium">#REF!</definedName>
    <definedName name="AREA__C2G1__Circulation">#REF!</definedName>
    <definedName name="AREA__C2G2__Outdoor_Lobby">#REF!</definedName>
    <definedName name="AREA__C3A1__Front_Offices">#REF!</definedName>
    <definedName name="AREA__C3A2__Administration_Offices">#REF!</definedName>
    <definedName name="AREA__C3A3__Accounting_Offices">#REF!</definedName>
    <definedName name="AREA__C3A4__Human_Resources_and_Training">#REF!</definedName>
    <definedName name="AREA__C3B__IT_Department">#REF!</definedName>
    <definedName name="AREA__C3C1__Kitchen___Main_Kitchen">#REF!</definedName>
    <definedName name="AREA__C3C2__Kitchen___Speciality_Restaurant__1">#REF!</definedName>
    <definedName name="AREA__C3C3__Kitchen___Speciality_Restaurant__2">#REF!</definedName>
    <definedName name="AREA__C3C5__Pantry___Lobby_Bar">#REF!</definedName>
    <definedName name="AREA__C3D__Housekeeping_and_Linen">#REF!</definedName>
    <definedName name="AREA__C3E__Central_Laundry___Dry_Cleaning___Valet_Only">#REF!</definedName>
    <definedName name="AREA__C3F5__Dining_Room_Seating">#REF!</definedName>
    <definedName name="AREA__C3F8__Staff_Changing_Rooms">#REF!</definedName>
    <definedName name="AREA__C3F9__Staff_Prayer_Rooms">#REF!</definedName>
    <definedName name="AREA__C3G__Maintenance_and_Engineering">#REF!</definedName>
    <definedName name="AREA__C3H1__Plant_and_Equipment_Rooms">#REF!</definedName>
    <definedName name="AREA__C3H2__MEP_Shafts">#REF!</definedName>
    <definedName name="AREA__C3J__Security">#REF!</definedName>
    <definedName name="AREA__C3K__Purchasing__Goods_Receiving_and_Storage">#REF!</definedName>
    <definedName name="AREA__C3L__BOH_Circulation_Areas">#REF!</definedName>
    <definedName name="AREA__C4B__General_Works_Parking">#REF!</definedName>
    <definedName name="AREA__C5__Unallocated_Rooms">#REF!</definedName>
    <definedName name="AREA__G1__Conference_Centre">#REF!</definedName>
    <definedName name="AREA__G1A__Conference_Hall">#REF!</definedName>
    <definedName name="AREA__G1B__Reception">#REF!</definedName>
    <definedName name="AREA__G1C__Meeting_Rooms">#REF!</definedName>
    <definedName name="AREA__G2__Pre_function">#REF!</definedName>
    <definedName name="AREA__G3__Toilets">#REF!</definedName>
    <definedName name="AREA__G4__FOH_Circulation">#REF!</definedName>
    <definedName name="AREA__G5__BOH_Circulation">#REF!</definedName>
    <definedName name="AREA__G6__Fire_Escape_Stairs">#REF!</definedName>
    <definedName name="AREA__G7__Plant_and_Equipment_Rooms">#REF!</definedName>
    <definedName name="AREA__G8__Storage">#REF!</definedName>
    <definedName name="AREA__G9__Kitchen_and_Service_Area">#REF!</definedName>
    <definedName name="area_1">NA()</definedName>
    <definedName name="AREA_1_bed_Balcony_area" localSheetId="1">#REF!</definedName>
    <definedName name="AREA_1_bed_Balcony_area">#REF!</definedName>
    <definedName name="AREA_1_bed_bath_screen">#REF!</definedName>
    <definedName name="AREA_1_bed_bath_shelf">#REF!</definedName>
    <definedName name="AREA_1_bed_Bath_tub">#REF!</definedName>
    <definedName name="AREA_1_bed_Bath_tub_mixer">#REF!</definedName>
    <definedName name="AREA_1_bed_Bathroom_area">#REF!</definedName>
    <definedName name="AREA_1_bed_Bedroom_area">#REF!</definedName>
    <definedName name="AREA_1_bed_Cistern_cover">#REF!</definedName>
    <definedName name="AREA_1_bed_Cooker_hob">#REF!</definedName>
    <definedName name="AREA_1_bed_Fridge_freezer">#REF!</definedName>
    <definedName name="AREA_1_bed_Kitchen_sink">#REF!</definedName>
    <definedName name="AREA_1_bed_Kitchen_sink_mixer">#REF!</definedName>
    <definedName name="AREA_1_bed_kitchen_units">#REF!</definedName>
    <definedName name="AREA_1_bed_living_area">#REF!</definedName>
    <definedName name="AREA_1_bed_mirror">#REF!</definedName>
    <definedName name="AREA_1_bed_NIA">#REF!</definedName>
    <definedName name="AREA_1_bed_Oven">#REF!</definedName>
    <definedName name="AREA_1_bed_shower_mixer">#REF!</definedName>
    <definedName name="AREA_1_bed_vanitys">#REF!</definedName>
    <definedName name="AREA_1_bed_Wardrobes">#REF!</definedName>
    <definedName name="AREA_1_bed_Wash_basin">#REF!</definedName>
    <definedName name="AREA_1_bed_Wash_basin_mixer">#REF!</definedName>
    <definedName name="AREA_1_bed_Washing_machine">#REF!</definedName>
    <definedName name="AREA_1_bed_WC">#REF!</definedName>
    <definedName name="AREA_110_mm_dia._RWP">#REF!</definedName>
    <definedName name="AREA_110mm_dia_RWP">#REF!</definedName>
    <definedName name="AREA_110mm_dia._opening_for_rain_water">#REF!</definedName>
    <definedName name="AREA_110mm_dia._Rainwater_pipe">#REF!</definedName>
    <definedName name="AREA_15mm_dia_Copper_pipe">#REF!</definedName>
    <definedName name="AREA_15mm_dia._CWS_Buried_Underground">#REF!</definedName>
    <definedName name="AREA_1F__25mm_dia._BCWS_Pipe">#REF!</definedName>
    <definedName name="AREA_1F__25mm_dia._HWS_Pipe">#REF!</definedName>
    <definedName name="AREA_1F__Isolation_valve">#REF!</definedName>
    <definedName name="AREA_1F__Water_Hammer_Arrestor">#REF!</definedName>
    <definedName name="AREA_1F_BOH_Service_and_Utility_area">#REF!</definedName>
    <definedName name="AREA_1F_BOH_Staircase">#REF!</definedName>
    <definedName name="AREA_1F_Guest_Core">#REF!</definedName>
    <definedName name="AREA_1F_Guestrooms">#REF!</definedName>
    <definedName name="AREA_1F_HGR_BOH">#REF!</definedName>
    <definedName name="AREA_1F_HGR_Circulation">#REF!</definedName>
    <definedName name="AREA_1F_HGR_Covered_Balcony">#REF!</definedName>
    <definedName name="AREA_1F_HGR_Fire_Staircase">#REF!</definedName>
    <definedName name="AREA_1F_HGR_Open_Terrace">#REF!</definedName>
    <definedName name="AREA_1F_Lift_Shaft">#REF!</definedName>
    <definedName name="AREA_1F_Roof_Terrace">#REF!</definedName>
    <definedName name="AREA_1F_Services_Core">#REF!</definedName>
    <definedName name="AREA_1F_Void___Dead_space">#REF!</definedName>
    <definedName name="AREA_1st_Floor">#REF!</definedName>
    <definedName name="AREA_1st_Floor___BOH___FIre_Escape_Stairs">#REF!</definedName>
    <definedName name="AREA_1st_Floor___BOH___Guest_Core">#REF!</definedName>
    <definedName name="AREA_1st_Floor___BOH___Guest_Core_lifts">#REF!</definedName>
    <definedName name="AREA_1st_Floor___BOH___Service_Core">#REF!</definedName>
    <definedName name="AREA_1st_Floor___BOH___Service_Core_ducts">#REF!</definedName>
    <definedName name="AREA_1st_Floor___BOH___Service_Core_lift_shafts">#REF!</definedName>
    <definedName name="AREA_1st_Floor___FOH___Guest_Circulation">#REF!</definedName>
    <definedName name="AREA_1st_Floor___FOH___Guestroom_Terrace">#REF!</definedName>
    <definedName name="AREA_1st_Floor___FOH___Guestrooms">#REF!</definedName>
    <definedName name="AREA_1st_Floor___Guest_Core_ducts">#REF!</definedName>
    <definedName name="area_2">NA()</definedName>
    <definedName name="AREA_2_bed_2nd_bathroom_area" localSheetId="1">#REF!</definedName>
    <definedName name="AREA_2_bed_2nd_bathroom_area">#REF!</definedName>
    <definedName name="AREA_2_bed_2nd_bedroom_area">#REF!</definedName>
    <definedName name="AREA_2_bed_4_burner_hob">#REF!</definedName>
    <definedName name="AREA_2_bed_Balcony_area">#REF!</definedName>
    <definedName name="AREA_2_bed_bath_screen">#REF!</definedName>
    <definedName name="AREA_2_bed_bath_tub">#REF!</definedName>
    <definedName name="AREA_2_bed_bath_tub_mixer">#REF!</definedName>
    <definedName name="AREA_2_bed_bidet">#REF!</definedName>
    <definedName name="AREA_2_bed_cistern_cover">#REF!</definedName>
    <definedName name="AREA_2_bed_fridge_freezer">#REF!</definedName>
    <definedName name="AREA_2_bed_kitchen_sink">#REF!</definedName>
    <definedName name="AREA_2_bed_kitchen_sink_mixer">#REF!</definedName>
    <definedName name="AREA_2_bed_Kitchen_units">#REF!</definedName>
    <definedName name="AREA_2_bed_living_area">#REF!</definedName>
    <definedName name="AREA_2_bed_Master_bathroom_area">#REF!</definedName>
    <definedName name="AREA_2_bed_Master_bedroom_area">#REF!</definedName>
    <definedName name="AREA_2_bed_mirror">#REF!</definedName>
    <definedName name="AREA_2_bed_NIA">#REF!</definedName>
    <definedName name="AREA_2_bed_shower_mixer_set">#REF!</definedName>
    <definedName name="AREA_2_bed_shower_partition_inc_door">#REF!</definedName>
    <definedName name="AREA_2_bed_vanity_unit">#REF!</definedName>
    <definedName name="AREA_2_bed_wardrobes">#REF!</definedName>
    <definedName name="AREA_2_bed_wash_basin">#REF!</definedName>
    <definedName name="AREA_2_bed_wash_basin_mixer">#REF!</definedName>
    <definedName name="AREA_2_bed_washing_machine">#REF!</definedName>
    <definedName name="AREA_2_bed_WC">#REF!</definedName>
    <definedName name="AREA_2.2.1___Upper_Floors_240mm_thk_slab">#REF!</definedName>
    <definedName name="AREA_2.2.1___Upper_Floors_300mm_thk_slab">#REF!</definedName>
    <definedName name="AREA_2.3.1___Stairs__FF05_Steps_280mm">#REF!</definedName>
    <definedName name="AREA_2.3.2___Stairs__FF05_Risers_170mm">#REF!</definedName>
    <definedName name="AREA_2.3.3___Stairs__FF05_Skirting_100mm_high">#REF!</definedName>
    <definedName name="AREA_2.3.4___Stairs__Balustrade___Fixed_to_floor">#REF!</definedName>
    <definedName name="AREA_2.3.4___Stairs__Balustrade___Handrails_50mm_to_wall">#REF!</definedName>
    <definedName name="AREA_2.3.4___Stairs__Balustrade___Sloping_Fixed_to_floor">#REF!</definedName>
    <definedName name="AREA_2.4.1___Roof___Shuttering__Paint_incl_waterproofing_to_roof_canopies">#REF!</definedName>
    <definedName name="AREA_2.4.1___Roof___Shuttering__Precast_cement_incl_waterproofing">#REF!</definedName>
    <definedName name="AREA_2.4.1___Roof___Shuttering__Suspended_Reinforced_Concrete_Slab">#REF!</definedName>
    <definedName name="AREA_2.4.2___Roof___Shuttering__Roof_Access_panel_750mmx900mm">#REF!</definedName>
    <definedName name="AREA_20mm_dia_Bib_tap">#REF!</definedName>
    <definedName name="AREA_20mm_dia_HSW_pipe">#REF!</definedName>
    <definedName name="AREA_25mm_dia_BCWS_pipe">#REF!</definedName>
    <definedName name="AREA_25mm_dia_HSW_pipe">#REF!</definedName>
    <definedName name="AREA_2F_BOH_Roof_Terrace">#REF!</definedName>
    <definedName name="AREA_2F_BOH_Service_and_Utility_area">#REF!</definedName>
    <definedName name="AREA_2F_BOH_Staircase">#REF!</definedName>
    <definedName name="AREA_2F_Guest_Core">#REF!</definedName>
    <definedName name="AREA_2F_Guestrooms">#REF!</definedName>
    <definedName name="AREA_2F_HGR_BOH">#REF!</definedName>
    <definedName name="AREA_2F_HGR_Circulation">#REF!</definedName>
    <definedName name="AREA_2F_HGR_Covered_Balcony">#REF!</definedName>
    <definedName name="AREA_2F_HGR_Fire_Staircase">#REF!</definedName>
    <definedName name="AREA_2F_Lift_Shaft">#REF!</definedName>
    <definedName name="AREA_2F_Services_Core">#REF!</definedName>
    <definedName name="AREA_2F_Voids___Dead_space">#REF!</definedName>
    <definedName name="AREA_2nd_Floor">#REF!</definedName>
    <definedName name="AREA_2nd_Floor___BOH___Event_Center_Core">#REF!</definedName>
    <definedName name="AREA_2nd_Floor___BOH___Event_Center_Core_lift_shafts">#REF!</definedName>
    <definedName name="AREA_2nd_Floor___BOH___Event_Center_Service">#REF!</definedName>
    <definedName name="AREA_2nd_Floor___BOH___Event_Center_Service_lift_shafts">#REF!</definedName>
    <definedName name="AREA_2nd_Floor___BOH___Fire_Escape_Stairs">#REF!</definedName>
    <definedName name="AREA_2nd_Floor___BOH___Guest_Core">#REF!</definedName>
    <definedName name="AREA_2nd_Floor___BOH___Guest_Core_ducts">#REF!</definedName>
    <definedName name="AREA_2nd_Floor___BOH___Guest_Core_lift_shafts">#REF!</definedName>
    <definedName name="AREA_2nd_Floor___BOH___Service_Core">#REF!</definedName>
    <definedName name="AREA_2nd_Floor___BOH___Service_Core_ducts">#REF!</definedName>
    <definedName name="AREA_2nd_Floor___BOH___Service_Core_lift_shafts">#REF!</definedName>
    <definedName name="AREA_2nd_Floor___FOH___Guestroom_Circulation">#REF!</definedName>
    <definedName name="AREA_2nd_Floor___FOH___Guestroom_Terrace">#REF!</definedName>
    <definedName name="AREA_2nd_Floor___FOH___Guestrooms">#REF!</definedName>
    <definedName name="AREA_3.1__External_Walls" localSheetId="1">#REF!</definedName>
    <definedName name="AREA_3.1__External_Walls">#REF!</definedName>
    <definedName name="AREA_3.1.1___BW2__150mm_thk">#REF!</definedName>
    <definedName name="AREA_3.1.1___BW3__200mm_thk">#REF!</definedName>
    <definedName name="AREA_3.1.1___BW4__250mm_thk">#REF!</definedName>
    <definedName name="AREA_3.2.2___Timber__D_01___1600mmx2250mm" localSheetId="1">#REF!</definedName>
    <definedName name="AREA_3.2.2___Timber__D_01___1600mmx2250mm">#REF!</definedName>
    <definedName name="AREA_3.2.2___Timber__D_02___1000mmx2200mm" localSheetId="1">#REF!</definedName>
    <definedName name="AREA_3.2.2___Timber__D_02___1000mmx2200mm">#REF!</definedName>
    <definedName name="AREA_3.2.2___Timber__D_04___1100mmx2200mm">#REF!</definedName>
    <definedName name="AREA_3.3.1___GL01___800mmx1350mm">#REF!</definedName>
    <definedName name="AREA_3.3.1___GL02___2350mmx2600mm">#REF!</definedName>
    <definedName name="AREA_3.3.1___GL03___2500mmx2600mm">#REF!</definedName>
    <definedName name="AREA_3.3.1___GL04___2000mmx2600mm">#REF!</definedName>
    <definedName name="AREA_3.3.1___GL05___2600mmx2700mm">#REF!</definedName>
    <definedName name="AREA_3.3.1___GL06___3600mmx2700mm">#REF!</definedName>
    <definedName name="AREA_3.3.1___GL07___1600mmx1350mm">#REF!</definedName>
    <definedName name="AREA_3.3.1___GL08___800mmx1350mm">#REF!</definedName>
    <definedName name="AREA_3.3.1___GL09___500mmx1200mm">#REF!</definedName>
    <definedName name="AREA_3.3.1___GL10___3600mmx2700mm">#REF!</definedName>
    <definedName name="AREA_3.3.1___GL11___2100mmx2700mm">#REF!</definedName>
    <definedName name="AREA_3.3.1___GL12___1600mmx2700mm">#REF!</definedName>
    <definedName name="AREA_3.3.1___GL13___1200mmx1800mm">#REF!</definedName>
    <definedName name="AREA_3.3.1___GL14___1000mmx1500mm">#REF!</definedName>
    <definedName name="AREA_3.3.1___GL15___5000mmx2700mm">#REF!</definedName>
    <definedName name="AREA_3.3.1___GL16___1700mmx1350mm">#REF!</definedName>
    <definedName name="AREA_3.3.1___GL17___600mmx1200mm">#REF!</definedName>
    <definedName name="AREA_3.4.1___Cement_render_and_paint">#REF!</definedName>
    <definedName name="AREA_3.4.2___50mmthk_Insulation">#REF!</definedName>
    <definedName name="AREA_3.4.3___External_Soffits">#REF!</definedName>
    <definedName name="AREA_3.4.5___Metal_railing_to_balcony">#REF!</definedName>
    <definedName name="AREA_32_dia._CWS_Main_Buried_underground" localSheetId="1">#REF!</definedName>
    <definedName name="AREA_32_dia._CWS_Main_Buried_underground">#REF!</definedName>
    <definedName name="AREA_32mm_dia_BCWS">#REF!</definedName>
    <definedName name="AREA_32mm_dia_BCWS_pipe">#REF!</definedName>
    <definedName name="AREA_32mm_dia_BCWS_Riser">#REF!</definedName>
    <definedName name="AREA_32mm_dia_HSW_pipe">#REF!</definedName>
    <definedName name="AREA_32mm_dia_HSW_Riser">#REF!</definedName>
    <definedName name="AREA_3F_BOH_Service___Utility_area">#REF!</definedName>
    <definedName name="AREA_3F_BOH_Staircase">#REF!</definedName>
    <definedName name="AREA_3F_Guest_Core">#REF!</definedName>
    <definedName name="AREA_3F_Guestrooms">#REF!</definedName>
    <definedName name="AREA_3F_HGR_BOH">#REF!</definedName>
    <definedName name="AREA_3F_HGR_Circulation">#REF!</definedName>
    <definedName name="AREA_3F_HGR_Covered_Balcony">#REF!</definedName>
    <definedName name="AREA_3F_HGR_Fire_Staircase">#REF!</definedName>
    <definedName name="AREA_3F_Lift_Shaft">#REF!</definedName>
    <definedName name="AREA_3F_Services_Core">#REF!</definedName>
    <definedName name="AREA_3F_Voids___Dead_space">#REF!</definedName>
    <definedName name="AREA_3rd_Floor">#REF!</definedName>
    <definedName name="AREA_3rd_Floor___BOH___Fire_Escape_Stairs">#REF!</definedName>
    <definedName name="AREA_3rd_Floor___BOH___Guest_Core">#REF!</definedName>
    <definedName name="AREA_3rd_Floor___BOH___Guest_Core_ducts">#REF!</definedName>
    <definedName name="AREA_3rd_Floor___BOH___Guest_Core_lift_shafts">#REF!</definedName>
    <definedName name="AREA_3rd_Floor___BOH___Service_Core">#REF!</definedName>
    <definedName name="AREA_3rd_Floor___BOH___Service_Core_ducts">#REF!</definedName>
    <definedName name="AREA_3rd_Floor___BOH___Service_Core_lift_shafts">#REF!</definedName>
    <definedName name="AREA_3rd_Floor___FOH___Guest_Circulation">#REF!</definedName>
    <definedName name="AREA_3rd_Floor___FOH___Guestroom_Terrace">#REF!</definedName>
    <definedName name="AREA_3rd_Floor___FOH___Guestrooms">#REF!</definedName>
    <definedName name="AREA_4.1.1___BW1__100mm_thk">#REF!</definedName>
    <definedName name="AREA_4.1.1___BW2__150mm_thk">#REF!</definedName>
    <definedName name="AREA_4.1.1___BW3__200mm_thk">#REF!</definedName>
    <definedName name="AREA_4.1.2___Allow_for_joint_sealant">#REF!</definedName>
    <definedName name="AREA_4.2__Skirting___S1" localSheetId="1">#REF!</definedName>
    <definedName name="AREA_4.2__Skirting___S1">#REF!</definedName>
    <definedName name="AREA_4.2.1___D_02__1000mm_x_2200mm">#REF!</definedName>
    <definedName name="AREA_4.2.1___D_03__900mm_x_2200mm">#REF!</definedName>
    <definedName name="AREA_4.2.1___D_04">#REF!</definedName>
    <definedName name="AREA_4.2.2___Utility_Cupboard">#REF!</definedName>
    <definedName name="AREA_4F_BOH_Service___Utility_area">#REF!</definedName>
    <definedName name="AREA_4F_BOH_Staircase">#REF!</definedName>
    <definedName name="AREA_4F_Guest_Core">#REF!</definedName>
    <definedName name="AREA_4F_Guestrooms">#REF!</definedName>
    <definedName name="AREA_4F_HGR_BOH">#REF!</definedName>
    <definedName name="AREA_4F_HGR_Circulation">#REF!</definedName>
    <definedName name="AREA_4F_HGR_Covered_Balcony">#REF!</definedName>
    <definedName name="AREA_4F_HGR_Fire_Staircase">#REF!</definedName>
    <definedName name="AREA_4F_Lift_Shaft">#REF!</definedName>
    <definedName name="AREA_4F_Services_Core">#REF!</definedName>
    <definedName name="AREA_4F_Voids___Dead_space">#REF!</definedName>
    <definedName name="AREA_4th_Floor___BOH___Fire_Escape_Stairs">#REF!</definedName>
    <definedName name="AREA_4th_Floor___BOH___Guest_Core">#REF!</definedName>
    <definedName name="AREA_4th_Floor___BOH___Guest_Core_ducts">#REF!</definedName>
    <definedName name="AREA_4th_Floor___BOH___Guest_Core_lift_shafts">#REF!</definedName>
    <definedName name="AREA_4th_Floor___BOH___Service_Core">#REF!</definedName>
    <definedName name="AREA_4th_Floor___BOH___Service_Core_ducts">#REF!</definedName>
    <definedName name="AREA_4th_Floor___BOH___Service_Core_lift_shafts">#REF!</definedName>
    <definedName name="AREA_4th_Floor___FOH___Guestroom_Circulation">#REF!</definedName>
    <definedName name="AREA_4th_Floor___FOH___Guestroom_Terrace">#REF!</definedName>
    <definedName name="AREA_4th_Floor___FOH___Guestrooms">#REF!</definedName>
    <definedName name="AREA_4th_Floor___FOH___Roof_Top_Pantry">#REF!</definedName>
    <definedName name="AREA_4th_Floor___FOH___Roof_Top_Restaurant">#REF!</definedName>
    <definedName name="AREA_4th_Floor___FOH___Roof_Top_Toilets">#REF!</definedName>
    <definedName name="AREA_4th_Floor___Roof_Top_Restaurant_open_terrace">#REF!</definedName>
    <definedName name="AREA_5.1.2___Paint_to_walls__PF03">#REF!</definedName>
    <definedName name="AREA_5.1.2___Paint_to_walls__PF04">#REF!</definedName>
    <definedName name="AREA_5.1.3___Ceramic_Tiles_to_walls__WF01">#REF!</definedName>
    <definedName name="AREA_5.1.3___Ceramic_Tiles_to_walls__WF03">#REF!</definedName>
    <definedName name="AREA_5.1.3___Ceramic_Tiles_to_walls__WF05">#REF!</definedName>
    <definedName name="AREA_5.1.3___Ceramic_Tiles_to_walls__WF07">#REF!</definedName>
    <definedName name="AREA_5.1.4___Waterproofing_to_wet_areas">#REF!</definedName>
    <definedName name="AREA_5.2.2___FF01__Porcelian_Tiles">#REF!</definedName>
    <definedName name="AREA_5.2.2___FF01__Porcelian_Tiles_Skirting">#REF!</definedName>
    <definedName name="AREA_5.2.3___FF03__Ceramic_Tiles">#REF!</definedName>
    <definedName name="AREA_5.2.3___FF03__Ceramic_Tiles____Balconies">#REF!</definedName>
    <definedName name="AREA_5.2.3___FF03__Ceramic_Tiles____Waterproofing_to_wet_areas">#REF!</definedName>
    <definedName name="AREA_5.2.3___FF03__Ceramic_Tiles_Skirting">#REF!</definedName>
    <definedName name="AREA_5.2.4___Threshold_Allowance_100mm_200mm_thk">#REF!</definedName>
    <definedName name="AREA_5.3.1___PF01__Gypsum_Board">#REF!</definedName>
    <definedName name="AREA_5.3.1___PF01__Slab_Soffits">#REF!</definedName>
    <definedName name="AREA_5.3.1___PF03__Gypsum_Board">#REF!</definedName>
    <definedName name="AREA_5.3.2___Bulkheads">#REF!</definedName>
    <definedName name="AREA_50mm_dia_WP">#REF!</definedName>
    <definedName name="AREA_50mm_dia._Balcony_Drain" localSheetId="1">#REF!</definedName>
    <definedName name="AREA_50mm_dia._Balcony_Drain">#REF!</definedName>
    <definedName name="AREA_5A_CEILING">#REF!</definedName>
    <definedName name="AREA_5A_FS01">#REF!</definedName>
    <definedName name="AREA_5A_FS02">#REF!</definedName>
    <definedName name="AREA_5A_FS02_2F">#REF!</definedName>
    <definedName name="AREA_5A_FS03">#REF!</definedName>
    <definedName name="AREA_5A_FS03_AREA">#REF!</definedName>
    <definedName name="AREA_5A_FS03_GRILL">#REF!</definedName>
    <definedName name="AREA_5A_FS04">#REF!</definedName>
    <definedName name="AREA_5A_FS04_1F">#REF!</definedName>
    <definedName name="AREA_5A_FS04_2F">#REF!</definedName>
    <definedName name="AREA_5A_FS05">#REF!</definedName>
    <definedName name="AREA_5A_FS05_RF">#REF!</definedName>
    <definedName name="AREA_5A_FS07">#REF!</definedName>
    <definedName name="AREA_5A_FS08">#REF!</definedName>
    <definedName name="AREA_5A_FS08_RF">#REF!</definedName>
    <definedName name="AREA_5A_FS12_1F">#REF!</definedName>
    <definedName name="AREA_5A_FS15_2F">#REF!</definedName>
    <definedName name="AREA_5A_FS16">#REF!</definedName>
    <definedName name="AREA_5B_FS01">#REF!</definedName>
    <definedName name="AREA_5B_FS02_1F">#REF!</definedName>
    <definedName name="AREA_5B_FS02_RF">#REF!</definedName>
    <definedName name="AREA_5B_FS03">#REF!</definedName>
    <definedName name="AREA_5B_FS03_AREA">#REF!</definedName>
    <definedName name="AREA_5B_FS03_GRILL">#REF!</definedName>
    <definedName name="AREA_5B_FS03_RF">#REF!</definedName>
    <definedName name="AREA_5B_FS04_1F">#REF!</definedName>
    <definedName name="AREA_5B_FS04_2F">#REF!</definedName>
    <definedName name="AREA_5B_FS04_RF">#REF!</definedName>
    <definedName name="AREA_5B_FS05">#REF!</definedName>
    <definedName name="AREA_5B_FS05_GARDEN">#REF!</definedName>
    <definedName name="AREA_5B_FS05_PARAPET">#REF!</definedName>
    <definedName name="AREA_5B_FS06">#REF!</definedName>
    <definedName name="AREA_5B_FS07_1F">#REF!</definedName>
    <definedName name="AREA_5B_FS08_RF">#REF!</definedName>
    <definedName name="AREA_5B_FS11_1F">#REF!</definedName>
    <definedName name="AREA_5B_FS11_2F">#REF!</definedName>
    <definedName name="AREA_5B_FS12_2F">#REF!</definedName>
    <definedName name="AREA_5B_FS15_1F">#REF!</definedName>
    <definedName name="AREA_5B_FS15_2F">#REF!</definedName>
    <definedName name="AREA_5B_FS15_RF">#REF!</definedName>
    <definedName name="AREA_5B_FS16">#REF!</definedName>
    <definedName name="AREA_5B_LOUVRE">#REF!</definedName>
    <definedName name="AREA_5B_PARAPET_COPING">#REF!</definedName>
    <definedName name="AREA_5C_FS01">#REF!</definedName>
    <definedName name="AREA_5C_FS02">#REF!</definedName>
    <definedName name="AREA_5C_FS02_1F">#REF!</definedName>
    <definedName name="AREA_5C_FS02_COPING">#REF!</definedName>
    <definedName name="AREA_5C_FS03">#REF!</definedName>
    <definedName name="AREA_5C_FS03_GRILL">#REF!</definedName>
    <definedName name="AREA_5C_FS05_RF">#REF!</definedName>
    <definedName name="AREA_5C_FS07_RF">#REF!</definedName>
    <definedName name="AREA_5C_FS08_1F">#REF!</definedName>
    <definedName name="AREA_5C_FS08_RF">#REF!</definedName>
    <definedName name="AREA_5C_FS16">#REF!</definedName>
    <definedName name="AREA_5C_LINK_BRIDGE">#REF!</definedName>
    <definedName name="AREA_5F_BOH_Circulation">#REF!</definedName>
    <definedName name="AREA_5F_BOH_Service___Utility_area">#REF!</definedName>
    <definedName name="AREA_5F_BOH_Staircase">#REF!</definedName>
    <definedName name="AREA_5F_Lift_Shaft">#REF!</definedName>
    <definedName name="AREA_5F_MEP">#REF!</definedName>
    <definedName name="AREA_5F_Services_Core">#REF!</definedName>
    <definedName name="AREA_5F_Voids___Dead_area">#REF!</definedName>
    <definedName name="AREA_6.1.1___U_Shaped_Base_Cabinet___3400___2250___2300_x_700_x_900">#REF!</definedName>
    <definedName name="AREA_6.1.2___Kitchen_Wall_Cabinet_____600_x340_x_830">#REF!</definedName>
    <definedName name="AREA_6.1.2___Kitchen_Wall_Cabinet_____650_x340_x_830">#REF!</definedName>
    <definedName name="AREA_6.1.2___Kitchen_Wall_Cabinet_____850_x340_x_830">#REF!</definedName>
    <definedName name="AREA_6.1.2___Kitchen_Wall_Cabinet_____900_x340_x_400">#REF!</definedName>
    <definedName name="AREA_6.1.3___Cooker_Hood__4_series">#REF!</definedName>
    <definedName name="AREA_6.2.1___Wardrobe__1000mm_x_600mm__walkin_">#REF!</definedName>
    <definedName name="AREA_6.2.1___Wardrobe__2000mm_x_600mm__Bed3_">#REF!</definedName>
    <definedName name="AREA_6.2.1___Wardrobe__2200mm_x_600mm__Bed2_">#REF!</definedName>
    <definedName name="AREA_6.2.1___Wardrobe_L_shape__2500mm___2300mm_x_600mm__walkin_">#REF!</definedName>
    <definedName name="AREA_6.3.1___Base_Cabinet__1000mm_x_600mm_x_900mm">#REF!</definedName>
    <definedName name="AREA_6.3.1___Base_Cabinet__1800mm_x_600mm_x_900m">#REF!</definedName>
    <definedName name="AREA_6.3.1___Base_Cabinet__1900mm_x_600mm_x_900m">#REF!</definedName>
    <definedName name="AREA_82mm_dia_Vent_pipe_1F" localSheetId="1">#REF!</definedName>
    <definedName name="AREA_82mm_dia_Vent_pipe_1F">#REF!</definedName>
    <definedName name="AREA_82mm_dia_Vent_pipe_GF">#REF!</definedName>
    <definedName name="AREA_AM_Beams">#REF!</definedName>
    <definedName name="AREA_AM_Slab_1200">#REF!</definedName>
    <definedName name="AREA_AM_Slab_300">#REF!</definedName>
    <definedName name="AREA_Assume_Roof">#REF!</definedName>
    <definedName name="AREA_Assumed_Stair_Roof">#REF!</definedName>
    <definedName name="AREA_B1">#REF!</definedName>
    <definedName name="AREA_B1___BOH____Loading_Unloading">#REF!</definedName>
    <definedName name="AREA_B1___BOH____Service_Corridor">#REF!</definedName>
    <definedName name="AREA_B1___BOH___Bulk_Storage">#REF!</definedName>
    <definedName name="AREA_B1___BOH___Event_Center_Core">#REF!</definedName>
    <definedName name="AREA_B1___BOH___Event_Center_Core_lift_shafts">#REF!</definedName>
    <definedName name="AREA_B1___BOH___Event_Center_Kitchen">#REF!</definedName>
    <definedName name="AREA_B1___BOH___Event_Center_Service">#REF!</definedName>
    <definedName name="AREA_B1___BOH___Fire_Escape_Stairs">#REF!</definedName>
    <definedName name="AREA_B1___BOH___Food___Beverage_Dept">#REF!</definedName>
    <definedName name="AREA_B1___BOH___General_Areas">#REF!</definedName>
    <definedName name="AREA_B1___BOH___Guest_Core">#REF!</definedName>
    <definedName name="AREA_B1___BOH___Guest_Core_ducts">#REF!</definedName>
    <definedName name="AREA_B1___BOH___Guest_Core_lift_shafts">#REF!</definedName>
    <definedName name="AREA_B1___BOH___Human_Resources">#REF!</definedName>
    <definedName name="AREA_B1___BOH___Main_Kitchen">#REF!</definedName>
    <definedName name="AREA_B1___BOH___Pool_Bar___Grill_Pantry">#REF!</definedName>
    <definedName name="AREA_B1___BOH___Ramp__B1___GF_">#REF!</definedName>
    <definedName name="AREA_B1___BOH___Ramp_B1_to_B2__loading_unloading_">#REF!</definedName>
    <definedName name="AREA_B1___BOH___Receiving___Purchasing">#REF!</definedName>
    <definedName name="AREA_B1___BOH___Service_Core">#REF!</definedName>
    <definedName name="AREA_B1___BOH___Service_Core_ducts">#REF!</definedName>
    <definedName name="AREA_B1___BOH___Service_Core_lift_shaft">#REF!</definedName>
    <definedName name="AREA_B1___BOH___Service_Corridor">#REF!</definedName>
    <definedName name="AREA_B1___BOH___Speciality_Restaurant_01_Pantry">#REF!</definedName>
    <definedName name="AREA_B1___BOH___Staff_Core">#REF!</definedName>
    <definedName name="AREA_B1___BOH___Staff_Core_lift_shafts">#REF!</definedName>
    <definedName name="AREA_B1___BOH___Staff_Facilities">#REF!</definedName>
    <definedName name="AREA_B1___BOH___Waste_Management">#REF!</definedName>
    <definedName name="AREA_B1___Double_Volume_internal_Plant_RM">#REF!</definedName>
    <definedName name="AREA_B1___FOH____Day_Care_Center">#REF!</definedName>
    <definedName name="AREA_B1___FOH___All_Day_Dining">#REF!</definedName>
    <definedName name="AREA_B1___FOH___Circulation">#REF!</definedName>
    <definedName name="AREA_B1___FOH___Day_Care_Center_Terrace">#REF!</definedName>
    <definedName name="AREA_B1___FOH___Guest_Circulation">#REF!</definedName>
    <definedName name="AREA_B1___FOH___Guestroom_Terrace">#REF!</definedName>
    <definedName name="AREA_B1___FOH___Guestrooms">#REF!</definedName>
    <definedName name="AREA_B1___FOH___Gym">#REF!</definedName>
    <definedName name="AREA_B1___FOH___Pool_Bar___Grill">#REF!</definedName>
    <definedName name="AREA_B1___FOH___Pool_Bar___Grill_Terrace">#REF!</definedName>
    <definedName name="AREA_B1___FOH___Spa">#REF!</definedName>
    <definedName name="AREA_B1___FOH___Speciality_Restauarant_02_Toilets">#REF!</definedName>
    <definedName name="AREA_B1___FOH___Speciality_Restaurant_01">#REF!</definedName>
    <definedName name="AREA_B1___FOH___Speciality_Restaurant_02">#REF!</definedName>
    <definedName name="AREA_B1___FOH___Speciality_Restaurant_02_Terrace__covered_terrace_area_">#REF!</definedName>
    <definedName name="AREA_B1___FOH___Speciality_Restaurant_02_Terrace__open_terrace_area_">#REF!</definedName>
    <definedName name="AREA_B1___Parking">#REF!</definedName>
    <definedName name="AREA_B1__BOH_">#REF!</definedName>
    <definedName name="AREA_B1__Car_Park_">#REF!</definedName>
    <definedName name="AREA_B1__Column_C1">#REF!</definedName>
    <definedName name="AREA_B1__Column_C10">#REF!</definedName>
    <definedName name="AREA_B1__Column_C11">#REF!</definedName>
    <definedName name="AREA_B1__Column_C12">#REF!</definedName>
    <definedName name="AREA_B1__Column_C2">#REF!</definedName>
    <definedName name="AREA_B1__Column_C3">#REF!</definedName>
    <definedName name="AREA_B1__Column_C4">#REF!</definedName>
    <definedName name="AREA_B1__Column_C5">#REF!</definedName>
    <definedName name="AREA_B1__Column_C6">#REF!</definedName>
    <definedName name="AREA_B1__Column_C7">#REF!</definedName>
    <definedName name="AREA_B1__Column_C8">#REF!</definedName>
    <definedName name="AREA_B1__Column_C9">#REF!</definedName>
    <definedName name="AREA_B1__Column_TC1">#REF!</definedName>
    <definedName name="AREA_B1__Column_TC2">#REF!</definedName>
    <definedName name="AREA_B1__Column_TC3">#REF!</definedName>
    <definedName name="AREA_B1__Column_TC4">#REF!</definedName>
    <definedName name="AREA_B1__Column_TC5">#REF!</definedName>
    <definedName name="AREA_B1__FOH_circulation_">#REF!</definedName>
    <definedName name="AREA_B1__GIFA_">#REF!</definedName>
    <definedName name="AREA_B1__RW1_400">#REF!</definedName>
    <definedName name="AREA_B1__RW2_600">#REF!</definedName>
    <definedName name="AREA_B1__Stairs_">#REF!</definedName>
    <definedName name="AREA_B1__TW1_250">#REF!</definedName>
    <definedName name="AREA_B1__TW2_200">#REF!</definedName>
    <definedName name="AREA_B1__TW3_300">#REF!</definedName>
    <definedName name="AREA_B1__TW3_400">#REF!</definedName>
    <definedName name="AREA_B1__TW4_500">#REF!</definedName>
    <definedName name="AREA_B1__TW4_500_Door_Overhead">#REF!</definedName>
    <definedName name="AREA_B1__TW4_600">#REF!</definedName>
    <definedName name="AREA_B1__voids_">#REF!</definedName>
    <definedName name="AREA_B1__W1__300">#REF!</definedName>
    <definedName name="AREA_B1__W1_300_Door_Overhead">#REF!</definedName>
    <definedName name="AREA_B1_Beams">#REF!</definedName>
    <definedName name="AREA_B1_BOH">#REF!</definedName>
    <definedName name="AREA_B1_BOH_Area" localSheetId="1">#REF!</definedName>
    <definedName name="AREA_B1_BOH_Area">#REF!</definedName>
    <definedName name="AREA_B1_BOH_Service___Utility_area" localSheetId="1">#REF!</definedName>
    <definedName name="AREA_B1_BOH_Service___Utility_area">#REF!</definedName>
    <definedName name="AREA_B1_Car_Park" localSheetId="1">#REF!</definedName>
    <definedName name="AREA_B1_Car_Park">#REF!</definedName>
    <definedName name="AREA_B1_Double_Internal_Doors__BOH_" localSheetId="1">#REF!</definedName>
    <definedName name="AREA_B1_Double_Internal_Doors__BOH_">#REF!</definedName>
    <definedName name="AREA_B1_Double_Internal_Doors__FOH_">#REF!</definedName>
    <definedName name="AREA_B1_Double_Volume_area" localSheetId="1">#REF!</definedName>
    <definedName name="AREA_B1_Double_Volume_area">#REF!</definedName>
    <definedName name="AREA_B1_Executive_Club" localSheetId="1">#REF!</definedName>
    <definedName name="AREA_B1_Executive_Club">#REF!</definedName>
    <definedName name="AREA_B1_FOH_Circulation" localSheetId="1">#REF!</definedName>
    <definedName name="AREA_B1_FOH_Circulation">#REF!</definedName>
    <definedName name="AREA_B1_FOH_Circulation_area" localSheetId="1">#REF!</definedName>
    <definedName name="AREA_B1_FOH_Circulation_area">#REF!</definedName>
    <definedName name="AREA_B1_FOH_Lobby" localSheetId="1">#REF!</definedName>
    <definedName name="AREA_B1_FOH_Lobby">#REF!</definedName>
    <definedName name="AREA_B1_GIFA" localSheetId="1">#REF!</definedName>
    <definedName name="AREA_B1_GIFA">#REF!</definedName>
    <definedName name="AREA_B1_Guest_Core" localSheetId="1">#REF!</definedName>
    <definedName name="AREA_B1_Guest_Core">#REF!</definedName>
    <definedName name="AREA_B1_Gym" localSheetId="1">#REF!</definedName>
    <definedName name="AREA_B1_Gym">#REF!</definedName>
    <definedName name="AREA_B1_Gym_Toilets" localSheetId="1">#REF!</definedName>
    <definedName name="AREA_B1_Gym_Toilets">#REF!</definedName>
    <definedName name="AREA_B1_Internal_Double_doors__BOH_">#REF!</definedName>
    <definedName name="AREA_B1_Internal_Double_doors__FOH_">#REF!</definedName>
    <definedName name="AREA_B1_Internal_Single_doors__BOH_">#REF!</definedName>
    <definedName name="AREA_B1_Kids_Area">#REF!</definedName>
    <definedName name="AREA_B1_Kitchen">#REF!</definedName>
    <definedName name="AREA_B1_Lift_Shaft">#REF!</definedName>
    <definedName name="AREA_B1_Main_Restaurant">#REF!</definedName>
    <definedName name="AREA_B1_MEP_Area">#REF!</definedName>
    <definedName name="AREA_B1_Mezz">#REF!</definedName>
    <definedName name="AREA_B1_Mezzanine___BOH___Event_Center_Admin">#REF!</definedName>
    <definedName name="AREA_B1_Mezzanine___BOH___Event_Center_Core">#REF!</definedName>
    <definedName name="AREA_B1_Mezzanine___BOH___Event_Center_Valet">#REF!</definedName>
    <definedName name="AREA_B1_Mezzanine___BOH___Event_Service_Core_lift_shafts">#REF!</definedName>
    <definedName name="AREA_B1_Mezzanine___BOH___Fire_Escape_Stairs">#REF!</definedName>
    <definedName name="AREA_B1_Mezzanine___BOH___General_Areas">#REF!</definedName>
    <definedName name="AREA_B1_Mezzanine___BOH___Guest_Core">#REF!</definedName>
    <definedName name="AREA_B1_Mezzanine___BOH___Guest_Core_ducts">#REF!</definedName>
    <definedName name="AREA_B1_Mezzanine___BOH___Guest_Core_lift_shafts">#REF!</definedName>
    <definedName name="AREA_B1_Mezzanine___BOH___RMU">#REF!</definedName>
    <definedName name="AREA_B1_Mezzanine___BOH___Service_Core">#REF!</definedName>
    <definedName name="AREA_B1_Mezzanine___BOH___Service_Core_ducts">#REF!</definedName>
    <definedName name="AREA_B1_Mezzanine___BOH___Service_Core_lift_shafts">#REF!</definedName>
    <definedName name="AREA_B1_Mezzanine___Double_Volume__left_wing_">#REF!</definedName>
    <definedName name="AREA_B1_Mezzanine___Double_Volume__left_wing_stairs___">#REF!</definedName>
    <definedName name="AREA_B1_Mezzanine___Double_Volume__main_hotel___">#REF!</definedName>
    <definedName name="AREA_B1_Mezzanine___Double_Volume__right_wing_">#REF!</definedName>
    <definedName name="AREA_B1_Mezzanine___Double_Volume__right_wing_stairs___">#REF!</definedName>
    <definedName name="AREA_B1_Mezzanine___Double_Volume__Speciality_Restaurant___">#REF!</definedName>
    <definedName name="AREA_B1_Mezzanine___FOH___Business_Center">#REF!</definedName>
    <definedName name="AREA_B1_Mezzanine___FOH___Circulation">#REF!</definedName>
    <definedName name="AREA_B1_Mezzanine___FOH___Event_Center_Core_lift_shafts">#REF!</definedName>
    <definedName name="AREA_B1_Mezzanine___FOH___Event_Center_Port_Corchere">#REF!</definedName>
    <definedName name="AREA_B1_Mezzanine___FOH___Event_Center_Reception">#REF!</definedName>
    <definedName name="AREA_B1_Mezzanine___FOH___Event_Center_Wind_Lobby">#REF!</definedName>
    <definedName name="AREA_B1_Mezzanine___FOH___Guestroom_Terrace">#REF!</definedName>
    <definedName name="AREA_B1_Mezzanine___FOH___Guestrooms">#REF!</definedName>
    <definedName name="AREA_B1_Mezzanine___FOH___Meeting_Prefunction">#REF!</definedName>
    <definedName name="AREA_B1_Mezzanine___FOH___Meeting_Rooms">#REF!</definedName>
    <definedName name="AREA_B1_Mezzanine___FOH___Meeting_Rooms_Pantry">#REF!</definedName>
    <definedName name="AREA_B1_Mezzanine___FOH___Meeting_Rooms_Terrace">#REF!</definedName>
    <definedName name="AREA_B1_Mezzanine___FOH___Meeting_Rooms_Toilet">#REF!</definedName>
    <definedName name="AREA_B1_Mezzanine___FOH___Retail">#REF!</definedName>
    <definedName name="AREA_B1_Parking_area">#REF!</definedName>
    <definedName name="AREA_B1_Public_Toilets">#REF!</definedName>
    <definedName name="AREA_B1_Ramp">#REF!</definedName>
    <definedName name="AREA_B1_Service_Lift_Lobby">#REF!</definedName>
    <definedName name="AREA_B1_Services_Core">#REF!</definedName>
    <definedName name="AREA_B1_Single_Internal_Doors__BOH_">#REF!</definedName>
    <definedName name="AREA_B1_Slab_200" localSheetId="1">#REF!</definedName>
    <definedName name="AREA_B1_Slab_200">#REF!</definedName>
    <definedName name="AREA_B1_Slab_220">#REF!</definedName>
    <definedName name="AREA_B1_Slab_240">#REF!</definedName>
    <definedName name="AREA_B1_Slab_260">#REF!</definedName>
    <definedName name="AREA_B1_Spa">#REF!</definedName>
    <definedName name="AREA_B1_Speciality_Kitchen">#REF!</definedName>
    <definedName name="AREA_B1_Speciality_Restaurant">#REF!</definedName>
    <definedName name="AREA_B1_Staicase_Lobby">#REF!</definedName>
    <definedName name="AREA_B1_Staircase">#REF!</definedName>
    <definedName name="AREA_B1_Stairs">#REF!</definedName>
    <definedName name="AREA_B1_Voids" localSheetId="1">#REF!</definedName>
    <definedName name="AREA_B1_Voids">#REF!</definedName>
    <definedName name="AREA_B2" localSheetId="1">#REF!</definedName>
    <definedName name="AREA_B2">#REF!</definedName>
    <definedName name="AREA_B2___BOH____Tank" localSheetId="1">#REF!</definedName>
    <definedName name="AREA_B2___BOH____Tank">#REF!</definedName>
    <definedName name="AREA_B2___BOH___AHU">#REF!</definedName>
    <definedName name="AREA_B2___BOH___Engineering___Maintenance">#REF!</definedName>
    <definedName name="AREA_B2___BOH___Event_Center_Core">#REF!</definedName>
    <definedName name="AREA_B2___BOH___Event_Center_Core_lift_shafts">#REF!</definedName>
    <definedName name="AREA_B2___BOH___Fire_Escape_Stairs">#REF!</definedName>
    <definedName name="AREA_B2___BOH___Guest_Core">#REF!</definedName>
    <definedName name="AREA_B2___BOH___Guest_Core_lift_shafts">#REF!</definedName>
    <definedName name="AREA_B2___BOH___Heat_Exchange">#REF!</definedName>
    <definedName name="AREA_B2___BOH___IT_Department">#REF!</definedName>
    <definedName name="AREA_B2___BOH___Laundry___Housekeeping">#REF!</definedName>
    <definedName name="AREA_B2___BOH___LV_Room">#REF!</definedName>
    <definedName name="AREA_B2___BOH___Plant">#REF!</definedName>
    <definedName name="AREA_B2___BOH___Pump_Room">#REF!</definedName>
    <definedName name="AREA_B2___BOH___Ramp_B2_to_B1">#REF!</definedName>
    <definedName name="AREA_B2___BOH___Ramp_B2_to_B1__loading___unloading_">#REF!</definedName>
    <definedName name="AREA_B2___BOH___Service_Core">#REF!</definedName>
    <definedName name="AREA_B2___BOH___Service_Core_duct">#REF!</definedName>
    <definedName name="AREA_B2___BOH___Service_Core_lift_shafts">#REF!</definedName>
    <definedName name="AREA_B2___BOH___Service_Corridor">#REF!</definedName>
    <definedName name="AREA_B2___BOH___Substation">#REF!</definedName>
    <definedName name="AREA_B2___BOH___Unknown_areas">#REF!</definedName>
    <definedName name="AREA_B2___FOH___Pool_Toilets">#REF!</definedName>
    <definedName name="AREA_B2___FOH___Speciality_Restaurant_01_Toilets">#REF!</definedName>
    <definedName name="AREA_B2___Parking">#REF!</definedName>
    <definedName name="AREA_B2__BOH_">#REF!</definedName>
    <definedName name="AREA_B2__Car_Parking_">#REF!</definedName>
    <definedName name="AREA_B2__Column_C1">#REF!</definedName>
    <definedName name="AREA_B2__Column_C10">#REF!</definedName>
    <definedName name="AREA_B2__Column_C11">#REF!</definedName>
    <definedName name="AREA_B2__Column_C12">#REF!</definedName>
    <definedName name="AREA_B2__Column_C2">#REF!</definedName>
    <definedName name="AREA_B2__Column_C3">#REF!</definedName>
    <definedName name="AREA_B2__Column_C4">#REF!</definedName>
    <definedName name="AREA_B2__Column_C5">#REF!</definedName>
    <definedName name="AREA_B2__Column_C6">#REF!</definedName>
    <definedName name="AREA_B2__Column_C7">#REF!</definedName>
    <definedName name="AREA_B2__Column_C8">#REF!</definedName>
    <definedName name="AREA_B2__Column_C9">#REF!</definedName>
    <definedName name="AREA_B2__Column_TC1">#REF!</definedName>
    <definedName name="AREA_B2__Column_TC2">#REF!</definedName>
    <definedName name="AREA_B2__Column_TC3">#REF!</definedName>
    <definedName name="AREA_B2__Column_TC4">#REF!</definedName>
    <definedName name="AREA_B2__Column_TC5">#REF!</definedName>
    <definedName name="AREA_B2__FOH_Circulation_">#REF!</definedName>
    <definedName name="AREA_B2__GIFA_">#REF!</definedName>
    <definedName name="AREA_B2__Loading__Unloading_Area">#REF!</definedName>
    <definedName name="AREA_B2__RW1_400">#REF!</definedName>
    <definedName name="AREA_B2__RW2_600">#REF!</definedName>
    <definedName name="AREA_B2__Stairs_">#REF!</definedName>
    <definedName name="AREA_B2__TW1_250">#REF!</definedName>
    <definedName name="AREA_B2__TW2_200">#REF!</definedName>
    <definedName name="AREA_B2__TW3_300">#REF!</definedName>
    <definedName name="AREA_B2__TW3_400">#REF!</definedName>
    <definedName name="AREA_B2__TW4_500">#REF!</definedName>
    <definedName name="AREA_B2__TW4_600">#REF!</definedName>
    <definedName name="AREA_B2__Voids_">#REF!</definedName>
    <definedName name="AREA_B2__W1__300">#REF!</definedName>
    <definedName name="AREA_B2__W1__300_Door_Overhead">#REF!</definedName>
    <definedName name="AREA_B2_BOH">#REF!</definedName>
    <definedName name="AREA_B2_BOH___Services_Area" localSheetId="1">#REF!</definedName>
    <definedName name="AREA_B2_BOH___Services_Area">#REF!</definedName>
    <definedName name="AREA_B2_BOH_Area" localSheetId="1">#REF!</definedName>
    <definedName name="AREA_B2_BOH_Area">#REF!</definedName>
    <definedName name="AREA_B2_Car_Park" localSheetId="1">#REF!</definedName>
    <definedName name="AREA_B2_Car_Park">#REF!</definedName>
    <definedName name="AREA_B2_Dirty_Room" localSheetId="1">#REF!</definedName>
    <definedName name="AREA_B2_Dirty_Room">#REF!</definedName>
    <definedName name="AREA_B2_Double_Internal_Doors__BOH_" localSheetId="1">#REF!</definedName>
    <definedName name="AREA_B2_Double_Internal_Doors__BOH_">#REF!</definedName>
    <definedName name="AREA_B2_Double_Internal_Doors__FOH_" localSheetId="1">#REF!</definedName>
    <definedName name="AREA_B2_Double_Internal_Doors__FOH_">#REF!</definedName>
    <definedName name="AREA_B2_FOH" localSheetId="1">#REF!</definedName>
    <definedName name="AREA_B2_FOH">#REF!</definedName>
    <definedName name="AREA_B2_GIFA">#REF!</definedName>
    <definedName name="AREA_B2_Kitchen" localSheetId="1">#REF!</definedName>
    <definedName name="AREA_B2_Kitchen">#REF!</definedName>
    <definedName name="AREA_B2_Lift_Shaft" localSheetId="1">#REF!</definedName>
    <definedName name="AREA_B2_Lift_Shaft">#REF!</definedName>
    <definedName name="AREA_B2_MEP_Area" localSheetId="1">#REF!</definedName>
    <definedName name="AREA_B2_MEP_Area">#REF!</definedName>
    <definedName name="AREA_B2_Raft_2500">#REF!</definedName>
    <definedName name="AREA_B2_Raft_600">#REF!</definedName>
    <definedName name="AREA_B2_Services_Core">#REF!</definedName>
    <definedName name="AREA_B2_Single_Internal_Doors__BOH_">#REF!</definedName>
    <definedName name="AREA_B2_Staircase" localSheetId="1">#REF!</definedName>
    <definedName name="AREA_B2_Staircase">#REF!</definedName>
    <definedName name="AREA_B2_Stairs" localSheetId="1">#REF!</definedName>
    <definedName name="AREA_B2_Stairs">#REF!</definedName>
    <definedName name="AREA_B2_Voids" localSheetId="1">#REF!</definedName>
    <definedName name="AREA_B2_Voids">#REF!</definedName>
    <definedName name="AREA_B3_Beams" localSheetId="1">#REF!</definedName>
    <definedName name="AREA_B3_Beams">#REF!</definedName>
    <definedName name="AREA_B3_Wall">#REF!</definedName>
    <definedName name="AREA_B3_Wall_Link">#REF!</definedName>
    <definedName name="AREA_B4_Beams">#REF!</definedName>
    <definedName name="AREA_B4_Tower_Wall___same_as_B5">#REF!</definedName>
    <definedName name="AREA_B4_Wall_Length">#REF!</definedName>
    <definedName name="AREA_B4_Wall_Link">#REF!</definedName>
    <definedName name="AREA_B5_Beams">#REF!</definedName>
    <definedName name="AREA_B5_Tower_Wall">#REF!</definedName>
    <definedName name="AREA_B5_Wall_Length">#REF!</definedName>
    <definedName name="AREA_B5_Wall_Link">#REF!</definedName>
    <definedName name="AREA_B6_Beams">#REF!</definedName>
    <definedName name="AREA_B7_Tower_Wall">#REF!</definedName>
    <definedName name="AREA_B7_Wall_Length">#REF!</definedName>
    <definedName name="AREA_B7_Wall_Link">#REF!</definedName>
    <definedName name="AREA_Balconies_Entry">#REF!</definedName>
    <definedName name="AREA_Balcony_Drain">#REF!</definedName>
    <definedName name="AREA_Bib_Tap">#REF!</definedName>
    <definedName name="AREA_BOH__GF_">#REF!</definedName>
    <definedName name="AREA_BOH__Podium_1_">#REF!</definedName>
    <definedName name="AREA_BOH__Podium_2_">#REF!</definedName>
    <definedName name="AREA_BOH__Roof_">#REF!</definedName>
    <definedName name="AREA_BOH_areas__lvl_1_">#REF!</definedName>
    <definedName name="AREA_BOH_areas__lvl_2_">#REF!</definedName>
    <definedName name="AREA_BOH_areas__lvl_3_">#REF!</definedName>
    <definedName name="AREA_BUA">#REF!</definedName>
    <definedName name="AREA_Bypass_Valve__Normally_Closed_">#REF!</definedName>
    <definedName name="AREA_Cable_Foundation_Length">#REF!</definedName>
    <definedName name="AREA_Cable_raft">#REF!</definedName>
    <definedName name="AREA_Cable_Retaining_wall">#REF!</definedName>
    <definedName name="AREA_Cable_Waterproofing">#REF!</definedName>
    <definedName name="AREA_capping">#REF!</definedName>
    <definedName name="AREA_Car_Park__Podium_1_">#REF!</definedName>
    <definedName name="AREA_Car_Park__Podium_2_">#REF!</definedName>
    <definedName name="AREA_Car_Parking__lvl_1_">#REF!</definedName>
    <definedName name="Area_Cleaning">#REF!</definedName>
    <definedName name="AREA_Conference_Centre" localSheetId="1">#REF!</definedName>
    <definedName name="AREA_Conference_Centre">#REF!</definedName>
    <definedName name="AREA_Counterweight" localSheetId="1">#REF!</definedName>
    <definedName name="AREA_Counterweight">#REF!</definedName>
    <definedName name="AREA_DP1_3000x3000x350">#REF!</definedName>
    <definedName name="AREA_DP11_3250x1750x350">#REF!</definedName>
    <definedName name="AREA_DP2_3000x1750x350">#REF!</definedName>
    <definedName name="AREA_DP3_3500x1900x350">#REF!</definedName>
    <definedName name="AREA_DP5_3000x3000x400">#REF!</definedName>
    <definedName name="AREA_DP6_6500x4000x550">#REF!</definedName>
    <definedName name="AREA_DP7_3500x1900x400">#REF!</definedName>
    <definedName name="AREA_Entrance_lobby__GF_">#REF!</definedName>
    <definedName name="AREA_External_areas__lvl_2_">#REF!</definedName>
    <definedName name="AREA_External_areas__Roof_">#REF!</definedName>
    <definedName name="AREA_External_Doors__AL_01">#REF!</definedName>
    <definedName name="AREA_External_Doors__AL_02">#REF!</definedName>
    <definedName name="AREA_External_Doors__AL_03">#REF!</definedName>
    <definedName name="AREA_External_Doors__AL_04">#REF!</definedName>
    <definedName name="AREA_External_Doors__AL_05">#REF!</definedName>
    <definedName name="AREA_External_Doors__D_01">#REF!</definedName>
    <definedName name="AREA_External_Doors__D_02">#REF!</definedName>
    <definedName name="AREA_External_Doors__D_05">#REF!</definedName>
    <definedName name="AREA_External_Doors__Threshold">#REF!</definedName>
    <definedName name="AREA_External_Floor_Finishes__Interlocking_Paving">#REF!</definedName>
    <definedName name="AREA_External_Wall__Blockwork___BW_2">#REF!</definedName>
    <definedName name="AREA_External_Wall__Blockwork___BW_3">#REF!</definedName>
    <definedName name="AREA_External_Wall__Blockwork___BW_4">#REF!</definedName>
    <definedName name="AREA_External_Wall_Finishes__50mm_thk_insulation">#REF!</definedName>
    <definedName name="AREA_External_Wall_finishes__Cast_Aluminium_handrail___Balustrade">#REF!</definedName>
    <definedName name="AREA_External_Wall_Finishes__Cement_render___Paint">#REF!</definedName>
    <definedName name="AREA_External_Wall_finishes__Elevation_projection_with_painted_finish">#REF!</definedName>
    <definedName name="AREA_External_Wall_Finishes__Skirting">#REF!</definedName>
    <definedName name="AREA_External_Wall_finishes__Soffits">#REF!</definedName>
    <definedName name="AREA_External_Window__GL_01">#REF!</definedName>
    <definedName name="AREA_External_Window__GL_02">#REF!</definedName>
    <definedName name="AREA_External_Window__GL_02_a">#REF!</definedName>
    <definedName name="AREA_External_Window__GL_03">#REF!</definedName>
    <definedName name="AREA_External_Window__GL_04">#REF!</definedName>
    <definedName name="AREA_External_Window__GL_05">#REF!</definedName>
    <definedName name="AREA_External_Window__GL_06">#REF!</definedName>
    <definedName name="AREA_External_Window__GL_07">#REF!</definedName>
    <definedName name="AREA_External_Window__GL_08">#REF!</definedName>
    <definedName name="AREA_External_Window__GL_16">#REF!</definedName>
    <definedName name="AREA_External_Window__GL_18">#REF!</definedName>
    <definedName name="AREA_External_Window__GL_19">#REF!</definedName>
    <definedName name="AREA_External_Window__GL_19_a">#REF!</definedName>
    <definedName name="AREA_External_Window__GL_20">#REF!</definedName>
    <definedName name="AREA_External_Window__GL_21">#REF!</definedName>
    <definedName name="AREA_External_Window__GL_22">#REF!</definedName>
    <definedName name="AREA_External_Window__GL_23">#REF!</definedName>
    <definedName name="AREA_External_Window__GL_24">#REF!</definedName>
    <definedName name="AREA_External_Window__GL_25">#REF!</definedName>
    <definedName name="AREA_Fence">#REF!</definedName>
    <definedName name="AREA_Floor_Plate___B1_Mezzanine">#REF!</definedName>
    <definedName name="AREA_Floor_Plate___Basement_1">#REF!</definedName>
    <definedName name="AREA_Floor_Plate___Basement_2">#REF!</definedName>
    <definedName name="AREA_Floor_Plate___First_Floor">#REF!</definedName>
    <definedName name="AREA_Floor_Plate___Fourth_Floor">#REF!</definedName>
    <definedName name="AREA_Floor_Plate___Ground_Floor">#REF!</definedName>
    <definedName name="AREA_Floor_Plate___Mezanine_Floor">#REF!</definedName>
    <definedName name="AREA_Floor_Plate___Second_Floor">#REF!</definedName>
    <definedName name="AREA_Floor_Plate___Third_Floor">#REF!</definedName>
    <definedName name="AREA_FOH_areas__GF_">#REF!</definedName>
    <definedName name="AREA_FOH_Areas__Roof_">#REF!</definedName>
    <definedName name="AREA_FOH_Circulation__GF_">#REF!</definedName>
    <definedName name="AREA_FOH_circulation__lvl_1_">#REF!</definedName>
    <definedName name="AREA_FOH_circulation__lvl_2_">#REF!</definedName>
    <definedName name="AREA_FOH_Circulation__lvl_3_">#REF!</definedName>
    <definedName name="AREA_FOH_Circulation__Podium_1_">#REF!</definedName>
    <definedName name="AREA_FOH_Circulation__Podium_2_">#REF!</definedName>
    <definedName name="AREA_FOH_Circulation__Roof_">#REF!</definedName>
    <definedName name="AREA_FP_A_00AF">#REF!</definedName>
    <definedName name="AREA_FP_A_01F">#REF!</definedName>
    <definedName name="AREA_FP_A_02F___4F">#REF!</definedName>
    <definedName name="AREA_FP_A_03F">#REF!</definedName>
    <definedName name="AREA_FP_A_05F">#REF!</definedName>
    <definedName name="AREA_FP_A_06F">#REF!</definedName>
    <definedName name="AREA_FP_A_07F">#REF!</definedName>
    <definedName name="AREA_FP_A_08F___10F">#REF!</definedName>
    <definedName name="AREA_FP_A_09F">#REF!</definedName>
    <definedName name="AREA_FP_A_11F_to_29F_alt_">#REF!</definedName>
    <definedName name="AREA_FP_A_12F_to_30F_alt_">#REF!</definedName>
    <definedName name="AREA_FP_A_31F">#REF!</definedName>
    <definedName name="AREA_FP_A_32F">#REF!</definedName>
    <definedName name="AREA_FP_A_33RF__">#REF!</definedName>
    <definedName name="AREA_FP_A_34uRF__">#REF!</definedName>
    <definedName name="AREA_FP_A_35uRF__">#REF!</definedName>
    <definedName name="AREA_FP_B_00BF_1">#REF!</definedName>
    <definedName name="AREA_FP_B_00BF_1_intermediate">#REF!</definedName>
    <definedName name="AREA_FP_B_00BF_2">#REF!</definedName>
    <definedName name="AREA_FP_B_00GF">#REF!</definedName>
    <definedName name="AREA_FP_B_00MF">#REF!</definedName>
    <definedName name="AREA_FP_B_00PF___1">#REF!</definedName>
    <definedName name="AREA_FP_B_00PF___2">#REF!</definedName>
    <definedName name="AREA_FP_B_00PF___3">#REF!</definedName>
    <definedName name="AREA_FS01">#REF!</definedName>
    <definedName name="AREA_FS01_1B">#REF!</definedName>
    <definedName name="AREA_FS01_1C">#REF!</definedName>
    <definedName name="AREA_FS012_1B2">#REF!</definedName>
    <definedName name="AREA_FS02_1A">#REF!</definedName>
    <definedName name="AREA_FS02_1B">#REF!</definedName>
    <definedName name="AREA_FS02_1B_RF">#REF!</definedName>
    <definedName name="AREA_FS02_1B1">#REF!</definedName>
    <definedName name="AREA_FS02_1C">#REF!</definedName>
    <definedName name="AREA_FS02_1C1">#REF!</definedName>
    <definedName name="AREA_FS03_1A">#REF!</definedName>
    <definedName name="AREA_FS03_1B">#REF!</definedName>
    <definedName name="AREA_FS03_1C">#REF!</definedName>
    <definedName name="AREA_FS04">#REF!</definedName>
    <definedName name="AREA_FS04_1A">#REF!</definedName>
    <definedName name="AREA_FS04_1B">#REF!</definedName>
    <definedName name="AREA_FS04_1B1">#REF!</definedName>
    <definedName name="AREA_FS04_1B2">#REF!</definedName>
    <definedName name="AREA_FS04_1C">#REF!</definedName>
    <definedName name="AREA_FS04_1C1">#REF!</definedName>
    <definedName name="AREA_FS04_1C2">#REF!</definedName>
    <definedName name="AREA_FS04_Rail">#REF!</definedName>
    <definedName name="AREA_FS05_1A">#REF!</definedName>
    <definedName name="AREA_FS05_1A_RF">#REF!</definedName>
    <definedName name="AREA_FS05_1B">#REF!</definedName>
    <definedName name="AREA_FS05_1B1">#REF!</definedName>
    <definedName name="AREA_FS05_1B2">#REF!</definedName>
    <definedName name="AREA_FS05_1C">#REF!</definedName>
    <definedName name="AREA_FS05_1C_RF">#REF!</definedName>
    <definedName name="AREA_FS05_1C1">#REF!</definedName>
    <definedName name="AREA_FS05_1C2">#REF!</definedName>
    <definedName name="AREA_FS05_GARDEN">#REF!</definedName>
    <definedName name="AREA_FS05_GARDEN_1C">#REF!</definedName>
    <definedName name="AREA_FS05_IB_RF">#REF!</definedName>
    <definedName name="AREA_FS06_1A">#REF!</definedName>
    <definedName name="AREA_FS06_1C_RF">#REF!</definedName>
    <definedName name="AREA_FS06_RF">#REF!</definedName>
    <definedName name="AREA_FS06_Skybridge">#REF!</definedName>
    <definedName name="AREA_FS07_1B1">#REF!</definedName>
    <definedName name="AREA_FS07_1C">#REF!</definedName>
    <definedName name="AREA_FS11_1B1">#REF!</definedName>
    <definedName name="AREA_FS11_1B2">#REF!</definedName>
    <definedName name="AREA_FS11_1C1">#REF!</definedName>
    <definedName name="AREA_FS11_1C2">#REF!</definedName>
    <definedName name="AREA_FS12_1C2">#REF!</definedName>
    <definedName name="AREA_FS12_IC_RF">#REF!</definedName>
    <definedName name="AREA_FS12_RAIL_1C">#REF!</definedName>
    <definedName name="AREA_FS12_RAIL_RF">#REF!</definedName>
    <definedName name="AREA_FS12_RF">#REF!</definedName>
    <definedName name="AREA_Garage">#REF!</definedName>
    <definedName name="AREA_Garden">#REF!</definedName>
    <definedName name="AREA_GF">#REF!</definedName>
    <definedName name="AREA_GF___BOH____General_areas">#REF!</definedName>
    <definedName name="AREA_GF___BOH___Admin_Support">#REF!</definedName>
    <definedName name="AREA_GF___BOH___Boiler_Room">#REF!</definedName>
    <definedName name="AREA_GF___BOH___Ducts">#REF!</definedName>
    <definedName name="AREA_GF___BOH___Executive_Offices">#REF!</definedName>
    <definedName name="AREA_GF___BOH___Fire_Escape_Stairs">#REF!</definedName>
    <definedName name="AREA_GF___BOH___Front_Desk">#REF!</definedName>
    <definedName name="AREA_GF___BOH___Front_Office_Devision">#REF!</definedName>
    <definedName name="AREA_GF___BOH___Guest_Core">#REF!</definedName>
    <definedName name="AREA_GF___BOH___Guest_Core_ducts">#REF!</definedName>
    <definedName name="AREA_GF___BOH___Guest_Core_lift_shafts">#REF!</definedName>
    <definedName name="AREA_GF___BOH___Lobby_Bar_Pantry">#REF!</definedName>
    <definedName name="AREA_GF___BOH___Luggage">#REF!</definedName>
    <definedName name="AREA_GF___BOH___Prayer_Rooms">#REF!</definedName>
    <definedName name="AREA_GF___BOH___Sales_Offices">#REF!</definedName>
    <definedName name="AREA_GF___BOH___Security_and_Valet">#REF!</definedName>
    <definedName name="AREA_GF___BOH___Service_Core">#REF!</definedName>
    <definedName name="AREA_GF___BOH___Service_Core_ducts">#REF!</definedName>
    <definedName name="AREA_GF___BOH___Staff_Core">#REF!</definedName>
    <definedName name="AREA_GF___BOH___Staff_Core_lift_shafts">#REF!</definedName>
    <definedName name="AREA_GF___Double_Volume_internal_Reception">#REF!</definedName>
    <definedName name="AREA_GF___FOH___Circulation">#REF!</definedName>
    <definedName name="AREA_GF___FOH___Guest_Circulation">#REF!</definedName>
    <definedName name="AREA_GF___FOH___Guestroom_Terrace">#REF!</definedName>
    <definedName name="AREA_GF___FOH___Guestrooms">#REF!</definedName>
    <definedName name="AREA_GF___FOH___Hotel_Port_Corchere">#REF!</definedName>
    <definedName name="AREA_GF___FOH___Lobby_Bar___Lounge">#REF!</definedName>
    <definedName name="AREA_GF___FOH___Lobby_Bar___Lounge_Toilets">#REF!</definedName>
    <definedName name="AREA_GF___FOH___Reception_and_Lobby_BR_Terrace">#REF!</definedName>
    <definedName name="AREA_GF___FOH___Reception_Lobby">#REF!</definedName>
    <definedName name="AREA_GF___FOH___Speciality_Restaurant_01_Roof_Terrace">#REF!</definedName>
    <definedName name="AREA_GF___FOH___Wind_Lobby">#REF!</definedName>
    <definedName name="AREA_GF__15mm_dia._CWS_Buried_Underground">#REF!</definedName>
    <definedName name="AREA_GF__25mm_dia._CWS_20mm_dia_HSW">#REF!</definedName>
    <definedName name="AREA_GF__32_dia._CWS_Main_Buried_underground">#REF!</definedName>
    <definedName name="AREA_GF__32mm_dia_BCWS_25mm_dia_HWS">#REF!</definedName>
    <definedName name="AREA_GF_Bell_Captain">#REF!</definedName>
    <definedName name="AREA_GF_BOH_Service___Utility_area">#REF!</definedName>
    <definedName name="AREA_GF_BOH_Staircase">#REF!</definedName>
    <definedName name="AREA_GF_Business_Center">#REF!</definedName>
    <definedName name="AREA_GF_Double_Vol._at_Parking_ramp__2.5m_high_">#REF!</definedName>
    <definedName name="AREA_GF_Double_Volume">#REF!</definedName>
    <definedName name="AREA_GF_ENT._LOBBY_TO_LUGGAGE_BELL_CAPT">#REF!</definedName>
    <definedName name="AREA_GF_External_Double_doors__FOH_">#REF!</definedName>
    <definedName name="AREA_GF_External_Revolving_doors__FOH_">#REF!</definedName>
    <definedName name="AREA_GF_External_Single_doors__BOH_">#REF!</definedName>
    <definedName name="AREA_GF_External_Single_doors__FOH_">#REF!</definedName>
    <definedName name="AREA_GF_FOH_Circulation_Area">#REF!</definedName>
    <definedName name="AREA_GF_FOH_Staircase">#REF!</definedName>
    <definedName name="AREA_GF_Front_Office">#REF!</definedName>
    <definedName name="AREA_GF_Guest_Core">#REF!</definedName>
    <definedName name="AREA_GF_Guest_Rooms">#REF!</definedName>
    <definedName name="AREA_GF_HGR_BOH">#REF!</definedName>
    <definedName name="AREA_GF_HGR_Circulation">#REF!</definedName>
    <definedName name="AREA_GF_HGR_Covered_Balcony">#REF!</definedName>
    <definedName name="AREA_GF_HGR_Fire_Staircase">#REF!</definedName>
    <definedName name="AREA_GF_Internal_Single_doors__BOH_">#REF!</definedName>
    <definedName name="AREA_GF_Internal_Single_doors__FOH_">#REF!</definedName>
    <definedName name="AREA_GF_Lift_Shaft">#REF!</definedName>
    <definedName name="AREA_GF_Lobby_Bar">#REF!</definedName>
    <definedName name="AREA_GF_Lobby_Lounge">#REF!</definedName>
    <definedName name="AREA_GF_Lobby_Lounge_pantry">#REF!</definedName>
    <definedName name="AREA_GF_Luggage_Room">#REF!</definedName>
    <definedName name="AREA_GF_MEP_Area">#REF!</definedName>
    <definedName name="AREA_GF_Prayer_Room">#REF!</definedName>
    <definedName name="AREA_GF_Public_Toilets">#REF!</definedName>
    <definedName name="AREA_GF_Ramp_B1_to_GF">#REF!</definedName>
    <definedName name="AREA_GF_Ramp_GF_to_B1">#REF!</definedName>
    <definedName name="AREA_GF_Reception">#REF!</definedName>
    <definedName name="AREA_GF_Roller_shutter_doors__BOH_">#REF!</definedName>
    <definedName name="AREA_GF_Service_Core">#REF!</definedName>
    <definedName name="AREA_GF_Toilet_cubicle_doors">#REF!</definedName>
    <definedName name="AREA_GF_Toilet_to_Prayer_rooms">#REF!</definedName>
    <definedName name="AREA_GF_Voids_Dead_areas">#REF!</definedName>
    <definedName name="AREA_GFA">#REF!</definedName>
    <definedName name="AREA_GFA__GF_">#REF!</definedName>
    <definedName name="AREA_GFA__lvl_1_">#REF!</definedName>
    <definedName name="AREA_GFA__lvl_2_">#REF!</definedName>
    <definedName name="AREA_GFA__lvl_3_">#REF!</definedName>
    <definedName name="AREA_GFA__Podium_1_">#REF!</definedName>
    <definedName name="AREA_GFA__Podium_2_">#REF!</definedName>
    <definedName name="AREA_GFA__Roof_">#REF!</definedName>
    <definedName name="AREA_GIFA">#REF!</definedName>
    <definedName name="AREA_GIFA__GF_">#REF!</definedName>
    <definedName name="AREA_GIFA__lvl_1_">#REF!</definedName>
    <definedName name="AREA_GIFA__lvl_2_">#REF!</definedName>
    <definedName name="AREA_GIFA__Podium_1_">#REF!</definedName>
    <definedName name="AREA_GIFA__Podium_2_">#REF!</definedName>
    <definedName name="AREA_GIFA__Roof_">#REF!</definedName>
    <definedName name="AREA_GR1__FLoor_Finishes___Stone">#REF!</definedName>
    <definedName name="AREA_GR2__Ceiling_Finishes___Dropped_Ceiling">#REF!</definedName>
    <definedName name="AREA_GR2__Ceiling_Finishes___False_Ceiling">#REF!</definedName>
    <definedName name="AREA_GR2__FLoor_Finishes___Stone">#REF!</definedName>
    <definedName name="AREA_Hotel_F_B__GF_" localSheetId="1">#REF!</definedName>
    <definedName name="AREA_Hotel_F_B__GF_">#REF!</definedName>
    <definedName name="AREA_IA_001mPF_BA_A_U00___lift_lobby">#REF!</definedName>
    <definedName name="AREA_IA_001mPF_BA_A_U00___lift_shaft">#REF!</definedName>
    <definedName name="AREA_IA_001mPF_BB_B_U00___double_vol._e.t.s._rm.">#REF!</definedName>
    <definedName name="AREA_IA_001mPF_BB_B_U00___double_volume">#REF!</definedName>
    <definedName name="AREA_IA_001mPF_BB_B_U00___electrical_rm.">#REF!</definedName>
    <definedName name="AREA_IA_001mPF_BB_B_U00___f.e._stairs">#REF!</definedName>
    <definedName name="AREA_IA_001mPF_BB_B_U00___f.h.c.">#REF!</definedName>
    <definedName name="AREA_IA_001mPF_BB_B_U00___garbage_rm.">#REF!</definedName>
    <definedName name="AREA_IA_001mPF_BB_B_U00___services_trans._area">#REF!</definedName>
    <definedName name="AREA_IA_001mPF_BB_B_U00___shaft">#REF!</definedName>
    <definedName name="AREA_IA_001mPF_BB_B_U00___stair_3">#REF!</definedName>
    <definedName name="AREA_IA_001mPF_BB_B_U00___telephone_rm.">#REF!</definedName>
    <definedName name="AREA_IA_001mPF_BB_B_U00___void">#REF!</definedName>
    <definedName name="AREA_IA_001mPF_BB_C_U00___driveway">#REF!</definedName>
    <definedName name="AREA_IA_001mPF_BB_C_U00___driveway_ramp">#REF!</definedName>
    <definedName name="AREA_IA_001mPF_BB_C_U00___driveway_zebra_lines">#REF!</definedName>
    <definedName name="AREA_IA_001mPF_BB_C_U00___parking_bay">#REF!</definedName>
    <definedName name="AREA_IA_001mPF_BB_C_U00___sidewalk">#REF!</definedName>
    <definedName name="AREA_IA_001mPF_BB_C_U00___sidewalk_ramp">#REF!</definedName>
    <definedName name="AREA_IA_001PF_BA_A_U00___lift_lobby">#REF!</definedName>
    <definedName name="AREA_IA_001PF_BA_A_U00___lift_shaft">#REF!</definedName>
    <definedName name="AREA_IA_001PF_BA_B_U00___electrical_rm.">#REF!</definedName>
    <definedName name="AREA_IA_001PF_BA_B_U00___f.e._stairs">#REF!</definedName>
    <definedName name="AREA_IA_001PF_BA_B_U00___f.h.c.">#REF!</definedName>
    <definedName name="AREA_IA_001PF_BA_B_U00___garbage_rm.">#REF!</definedName>
    <definedName name="AREA_IA_001PF_BA_B_U00___shaft">#REF!</definedName>
    <definedName name="AREA_IA_001PF_BA_B_U00___stair_3">#REF!</definedName>
    <definedName name="AREA_IA_001PF_BA_B_U00___telephone_rm.">#REF!</definedName>
    <definedName name="AREA_IA_001PF_BA_C_U00___driveway">#REF!</definedName>
    <definedName name="AREA_IA_001PF_BA_C_U00___driveway_zebra_line">#REF!</definedName>
    <definedName name="AREA_IA_001PF_BA_C_U00___parking_bay">#REF!</definedName>
    <definedName name="AREA_IA_001PF_BA_C_U00___sidewalk">#REF!</definedName>
    <definedName name="AREA_IA_002PF_BA_A_U00___lift_lobby">#REF!</definedName>
    <definedName name="AREA_IA_002PF_BA_A_U00___lift_shaft">#REF!</definedName>
    <definedName name="AREA_IA_002PF_BA_B_U00___electrical_rm.">#REF!</definedName>
    <definedName name="AREA_IA_002PF_BA_B_U00___f.e._stairs">#REF!</definedName>
    <definedName name="AREA_IA_002PF_BA_B_U00___f.h.c.">#REF!</definedName>
    <definedName name="AREA_IA_002PF_BA_B_U00___garbage_rm.">#REF!</definedName>
    <definedName name="AREA_IA_002PF_BA_B_U00___shaft">#REF!</definedName>
    <definedName name="AREA_IA_002PF_BA_B_U00___stair_3">#REF!</definedName>
    <definedName name="AREA_IA_002PF_BA_B_U00___telephone_rm.">#REF!</definedName>
    <definedName name="AREA_IA_002PF_BA_C_U00___driveway">#REF!</definedName>
    <definedName name="AREA_IA_002PF_BA_C_U00___driveway_zebra_line">#REF!</definedName>
    <definedName name="AREA_IA_002PF_BA_C_U00___parking_bay">#REF!</definedName>
    <definedName name="AREA_IA_002PF_BA_C_U00___sidewalk">#REF!</definedName>
    <definedName name="AREA_IA_003PF_BA_A_U00___lift_lobby">#REF!</definedName>
    <definedName name="AREA_IA_003PF_BA_A_U00___lift_shaft">#REF!</definedName>
    <definedName name="AREA_IA_003PF_BA_B_U00___electrical_rm.">#REF!</definedName>
    <definedName name="AREA_IA_003PF_BA_B_U00___f.e._stairs">#REF!</definedName>
    <definedName name="AREA_IA_003PF_BA_B_U00___f.h.c.">#REF!</definedName>
    <definedName name="AREA_IA_003PF_BA_B_U00___garbage_rm.">#REF!</definedName>
    <definedName name="AREA_IA_003PF_BA_B_U00___plant_rm.">#REF!</definedName>
    <definedName name="AREA_IA_003PF_BA_B_U00___shaft">#REF!</definedName>
    <definedName name="AREA_IA_003PF_BA_B_U00___stair_3">#REF!</definedName>
    <definedName name="AREA_IA_003PF_BA_B_U00___telephone_rm.">#REF!</definedName>
    <definedName name="AREA_IA_003PF_BA_C_U00___driveway">#REF!</definedName>
    <definedName name="AREA_IA_003PF_BA_C_U00___driveway_zebra_line">#REF!</definedName>
    <definedName name="AREA_IA_003PF_BA_C_U00___parking_bay">#REF!</definedName>
    <definedName name="AREA_IA_003PF_BA_C_U00___sidewalk">#REF!</definedName>
    <definedName name="AREA_IA_00AF_AB_U00___cafe">#REF!</definedName>
    <definedName name="AREA_IA_00AF_AB_U00___cafe_pantry">#REF!</definedName>
    <definedName name="AREA_IA_00AF_AB_U00___corridor">#REF!</definedName>
    <definedName name="AREA_IA_00AF_AB_U00___game_rm.">#REF!</definedName>
    <definedName name="AREA_IA_00AF_AB_U00___game_rm._store">#REF!</definedName>
    <definedName name="AREA_IA_00AF_AB_U00___gym_female">#REF!</definedName>
    <definedName name="AREA_IA_00AF_AB_U00___gym_female_lobby">#REF!</definedName>
    <definedName name="AREA_IA_00AF_AB_U00___gym_female_shaft">#REF!</definedName>
    <definedName name="AREA_IA_00AF_AB_U00___gym_female_store">#REF!</definedName>
    <definedName name="AREA_IA_00AF_AB_U00___gym_female_void">#REF!</definedName>
    <definedName name="AREA_IA_00AF_AB_U00___gym_male">#REF!</definedName>
    <definedName name="AREA_IA_00AF_AB_U00___gym_male_lobby">#REF!</definedName>
    <definedName name="AREA_IA_00AF_AB_U00___gym_male_shaft">#REF!</definedName>
    <definedName name="AREA_IA_00AF_AB_U00___gym_male_store">#REF!</definedName>
    <definedName name="AREA_IA_00AF_AB_U00___gym_male_void">#REF!</definedName>
    <definedName name="AREA_IA_00AF_AB_U00___handicap_toi._female">#REF!</definedName>
    <definedName name="AREA_IA_00AF_AB_U00___handicap_toi._male">#REF!</definedName>
    <definedName name="AREA_IA_00AF_AB_U00___lift_lobby">#REF!</definedName>
    <definedName name="AREA_IA_00AF_AB_U00___lift_shaft">#REF!</definedName>
    <definedName name="AREA_IA_00AF_AB_U00___multi_purpose_rm.">#REF!</definedName>
    <definedName name="AREA_IA_00AF_AB_U00___multi_purpose_shaft">#REF!</definedName>
    <definedName name="AREA_IA_00AF_AB_U00___multi_purpose_store">#REF!</definedName>
    <definedName name="AREA_IA_00AF_AB_U00___spa_f._hallway">#REF!</definedName>
    <definedName name="AREA_IA_00AF_AB_U00___spa_f._heater_rm.">#REF!</definedName>
    <definedName name="AREA_IA_00AF_AB_U00___spa_f._lobby">#REF!</definedName>
    <definedName name="AREA_IA_00AF_AB_U00___spa_f._lockers">#REF!</definedName>
    <definedName name="AREA_IA_00AF_AB_U00___spa_f._massage_rm.">#REF!</definedName>
    <definedName name="AREA_IA_00AF_AB_U00___spa_f._rec.">#REF!</definedName>
    <definedName name="AREA_IA_00AF_AB_U00___spa_f._sauna">#REF!</definedName>
    <definedName name="AREA_IA_00AF_AB_U00___spa_f._shaft">#REF!</definedName>
    <definedName name="AREA_IA_00AF_AB_U00___spa_f._shower_toilet">#REF!</definedName>
    <definedName name="AREA_IA_00AF_AB_U00___spa_f._steam_rm.">#REF!</definedName>
    <definedName name="AREA_IA_00AF_AB_U00___spa_m._hallway">#REF!</definedName>
    <definedName name="AREA_IA_00AF_AB_U00___spa_m._heater_rm.">#REF!</definedName>
    <definedName name="AREA_IA_00AF_AB_U00___spa_m._lobby">#REF!</definedName>
    <definedName name="AREA_IA_00AF_AB_U00___spa_m._lockers">#REF!</definedName>
    <definedName name="AREA_IA_00AF_AB_U00___spa_m._massage_rm.">#REF!</definedName>
    <definedName name="AREA_IA_00AF_AB_U00___spa_m._rec.">#REF!</definedName>
    <definedName name="AREA_IA_00AF_AB_U00___spa_m._sauna">#REF!</definedName>
    <definedName name="AREA_IA_00AF_AB_U00___spa_m._shaft">#REF!</definedName>
    <definedName name="AREA_IA_00AF_AB_U00___spa_m._shower_toilet">#REF!</definedName>
    <definedName name="AREA_IA_00AF_AB_U00___spa_m._steam_rm.">#REF!</definedName>
    <definedName name="AREA_IA_00AF_AC_U00___electrical_rm.">#REF!</definedName>
    <definedName name="AREA_IA_00AF_AC_U00___f.e._stair">#REF!</definedName>
    <definedName name="AREA_IA_00AF_AC_U00___fhc">#REF!</definedName>
    <definedName name="AREA_IA_00AF_AC_U00___garbage_rm.">#REF!</definedName>
    <definedName name="AREA_IA_00AF_AC_U00___shaft">#REF!</definedName>
    <definedName name="AREA_IA_00AF_AC_U00___stair_3">#REF!</definedName>
    <definedName name="AREA_IA_00AF_AC_U00___store_rm.">#REF!</definedName>
    <definedName name="AREA_IA_00AF_AC_U00___telephone_rm.">#REF!</definedName>
    <definedName name="AREA_IA_00B1F_BD_B_U00___double_volume">#REF!</definedName>
    <definedName name="AREA_IA_00B1F_BD_B_U00___f.e._stairs">#REF!</definedName>
    <definedName name="AREA_IA_00B1F_BD_B_U00___f.h.c.">#REF!</definedName>
    <definedName name="AREA_IA_00B1F_BD_B_U00___fire_pump_rm.">#REF!</definedName>
    <definedName name="AREA_IA_00B1F_BD_B_U00___lobby_rm.">#REF!</definedName>
    <definedName name="AREA_IA_00B1F_BD_B_U00___lobby_rm._ent.">#REF!</definedName>
    <definedName name="AREA_IA_00B1F_BD_B_U00___shaft">#REF!</definedName>
    <definedName name="AREA_IA_00B1F_BD_B_U00___stair_3">#REF!</definedName>
    <definedName name="AREA_IA_00B1F_BD_B_U00___tech._rm.">#REF!</definedName>
    <definedName name="AREA_IA_00B1F_BD_C_U00___double_volume">#REF!</definedName>
    <definedName name="AREA_IA_00B1F_BD_C_U00___driveway">#REF!</definedName>
    <definedName name="AREA_IA_00B1F_BD_C_U00___driveway_ramp_1">#REF!</definedName>
    <definedName name="AREA_IA_00B1F_BD_C_U00___driveway_zebra_lines">#REF!</definedName>
    <definedName name="AREA_IA_00B1F_BD_C_U00___parking_bay">#REF!</definedName>
    <definedName name="AREA_IA_00B1F_BD_C_U00___sidewalk">#REF!</definedName>
    <definedName name="AREA_IA_00B1F_BD_C_U00___sidewalk_ramp">#REF!</definedName>
    <definedName name="AREA_IA_00B1iF_BD_A_U00___lift_lobby">#REF!</definedName>
    <definedName name="AREA_IA_00B1iF_BD_A_U00___lift_shaft">#REF!</definedName>
    <definedName name="AREA_IA_00B1iF_BD_B_U00___electrical_rm.">#REF!</definedName>
    <definedName name="AREA_IA_00B1iF_BD_B_U00___f.e._stairs">#REF!</definedName>
    <definedName name="AREA_IA_00B1iF_BD_B_U00___f.h.c.">#REF!</definedName>
    <definedName name="AREA_IA_00B1iF_BD_B_U00___l.v._rm.">#REF!</definedName>
    <definedName name="AREA_IA_00B1iF_BD_B_U00___main_tel._rm.">#REF!</definedName>
    <definedName name="AREA_IA_00B1iF_BD_B_U00___shaft">#REF!</definedName>
    <definedName name="AREA_IA_00B1iF_BD_B_U00___stair_4">#REF!</definedName>
    <definedName name="AREA_IA_00B1iF_BD_B_U00___storage_1">#REF!</definedName>
    <definedName name="AREA_IA_00B1iF_BD_B_U00___tech._rm.1">#REF!</definedName>
    <definedName name="AREA_IA_00B1iF_BD_B_U00___tech._rm.2">#REF!</definedName>
    <definedName name="AREA_IA_00B1iF_BD_B_U00___tech._rm.3">#REF!</definedName>
    <definedName name="AREA_IA_00B1iF_BD_B_U00___water_tank_1_double_volume">#REF!</definedName>
    <definedName name="AREA_IA_00B1iF_BD_B_U00___water_tank_2_double_volume">#REF!</definedName>
    <definedName name="AREA_IA_00B1iF_BD_B_U00___water_tank_3_double_volume">#REF!</definedName>
    <definedName name="AREA_IA_00B1iF_BD_B_U00___water_tank_4_double_volume">#REF!</definedName>
    <definedName name="AREA_IA_00B1iF_BD_C_U00___driveway">#REF!</definedName>
    <definedName name="AREA_IA_00B1iF_BD_C_U00___driveway_zebra_lines">#REF!</definedName>
    <definedName name="AREA_IA_00B1iF_BD_C_U00___parking_bay">#REF!</definedName>
    <definedName name="AREA_IA_00B1iF_BD_C_U00___sidewalk">#REF!</definedName>
    <definedName name="AREA_IA_00B2F_BD_A_U00___lift_lobby">#REF!</definedName>
    <definedName name="AREA_IA_00B2F_BD_A_U00___lift_shaft">#REF!</definedName>
    <definedName name="AREA_IA_00B2F_BD_B_U00___electrical_rm.">#REF!</definedName>
    <definedName name="AREA_IA_00B2F_BD_B_U00___f.e._stair">#REF!</definedName>
    <definedName name="AREA_IA_00B2F_BD_B_U00___f.h.c.">#REF!</definedName>
    <definedName name="AREA_IA_00B2F_BD_B_U00___mechanical_rm.1">#REF!</definedName>
    <definedName name="AREA_IA_00B2F_BD_B_U00___pump_rm.">#REF!</definedName>
    <definedName name="AREA_IA_00B2F_BD_B_U00___pump_rm._2">#REF!</definedName>
    <definedName name="AREA_IA_00B2F_BD_B_U00___shaft">#REF!</definedName>
    <definedName name="AREA_IA_00B2F_BD_B_U00___stair_4">#REF!</definedName>
    <definedName name="AREA_IA_00B2F_BD_B_U00___store_rm.1">#REF!</definedName>
    <definedName name="AREA_IA_00B2F_BD_B_U00___store_rm.2">#REF!</definedName>
    <definedName name="AREA_IA_00B2F_BD_B_U00___store_rm.3">#REF!</definedName>
    <definedName name="AREA_IA_00B2F_BD_B_U00___store_rm.4">#REF!</definedName>
    <definedName name="AREA_IA_00B2F_BD_B_U00___store_rm.5">#REF!</definedName>
    <definedName name="AREA_IA_00B2F_BD_B_U00___tech_rm.1">#REF!</definedName>
    <definedName name="AREA_IA_00B2F_BD_B_U00___tech_rm.2">#REF!</definedName>
    <definedName name="AREA_IA_00B2F_BD_B_U00___tech_rm.3">#REF!</definedName>
    <definedName name="AREA_IA_00B2F_BD_B_U00___water_tank__1">#REF!</definedName>
    <definedName name="AREA_IA_00B2F_BD_B_U00___water_tank__2">#REF!</definedName>
    <definedName name="AREA_IA_00B2F_BD_B_U00___water_tank__3">#REF!</definedName>
    <definedName name="AREA_IA_00B2F_BD_B_U00___water_tank__4">#REF!</definedName>
    <definedName name="AREA_IA_00B2F_BD_C_U00___driveway_1">#REF!</definedName>
    <definedName name="AREA_IA_00B2F_BD_C_U00___driveway_1___zebra_line">#REF!</definedName>
    <definedName name="AREA_IA_00B2F_BD_C_U00___parking_bay_1">#REF!</definedName>
    <definedName name="AREA_IA_00B2F_BD_C_U00___sidewalk_1">#REF!</definedName>
    <definedName name="AREA_IA_00BF_BC_A_U00___entrance_lobby">#REF!</definedName>
    <definedName name="AREA_IA_00BF_BC_A_U00___lift_lobby">#REF!</definedName>
    <definedName name="AREA_IA_00BF_BC_A_U00___lift_shaft">#REF!</definedName>
    <definedName name="AREA_IA_00BF_BC_A_U00___main_entrance">#REF!</definedName>
    <definedName name="AREA_IA_00BF_BC_B_U00___b.m.s._rm.">#REF!</definedName>
    <definedName name="AREA_IA_00BF_BC_B_U00___e.t.s_rm.">#REF!</definedName>
    <definedName name="AREA_IA_00BF_BC_B_U00___e.t.s_rm._hallway">#REF!</definedName>
    <definedName name="AREA_IA_00BF_BC_B_U00___e.t.s_rm.1">#REF!</definedName>
    <definedName name="AREA_IA_00BF_BC_B_U00___elect._rm">#REF!</definedName>
    <definedName name="AREA_IA_00BF_BC_B_U00___elect._rm_1">#REF!</definedName>
    <definedName name="AREA_IA_00BF_BC_B_U00___f.e._stair">#REF!</definedName>
    <definedName name="AREA_IA_00BF_BC_B_U00___f.e._stair_corridor">#REF!</definedName>
    <definedName name="AREA_IA_00BF_BC_B_U00___f.e._stair_corridor_lobby">#REF!</definedName>
    <definedName name="AREA_IA_00BF_BC_B_U00___f.h.c.">#REF!</definedName>
    <definedName name="AREA_IA_00BF_BC_B_U00___g.s.m._rm.">#REF!</definedName>
    <definedName name="AREA_IA_00BF_BC_B_U00___garbage_rm.">#REF!</definedName>
    <definedName name="AREA_IA_00BF_BC_B_U00___garbage_rm._ramp">#REF!</definedName>
    <definedName name="AREA_IA_00BF_BC_B_U00___generator_rm.">#REF!</definedName>
    <definedName name="AREA_IA_00BF_BC_B_U00___guard_rm.">#REF!</definedName>
    <definedName name="AREA_IA_00BF_BC_B_U00___guard_rm._toilet">#REF!</definedName>
    <definedName name="AREA_IA_00BF_BC_B_U00___h.v._rm.">#REF!</definedName>
    <definedName name="AREA_IA_00BF_BC_B_U00___platform">#REF!</definedName>
    <definedName name="AREA_IA_00BF_BC_B_U00___shaft">#REF!</definedName>
    <definedName name="AREA_IA_00BF_BC_B_U00___stairs_3">#REF!</definedName>
    <definedName name="AREA_IA_00BF_BC_B_U00___tech._area_1">#REF!</definedName>
    <definedName name="AREA_IA_00BF_BC_B_U00___tech._area_2">#REF!</definedName>
    <definedName name="AREA_IA_00BF_BC_B_U00___tech._area_3">#REF!</definedName>
    <definedName name="AREA_IA_00BF_BC_B_U00___tech._area_3_lobby">#REF!</definedName>
    <definedName name="AREA_IA_00BF_BC_B_U00___tel_rm.">#REF!</definedName>
    <definedName name="AREA_IA_00BF_BC_B_U00___toilet">#REF!</definedName>
    <definedName name="AREA_IA_00BF_BC_B_U00___toilet_female">#REF!</definedName>
    <definedName name="AREA_IA_00BF_BC_B_U00___toilet_lobby">#REF!</definedName>
    <definedName name="AREA_IA_00BF_BC_B_U00___toilet_male">#REF!</definedName>
    <definedName name="AREA_IA_00BF_BC_B_U00___transformer_rm.">#REF!</definedName>
    <definedName name="AREA_IA_00BF_BC_C_U00___double_volume">#REF!</definedName>
    <definedName name="AREA_IA_00BF_BC_C_U00___driveway_1">#REF!</definedName>
    <definedName name="AREA_IA_00BF_BC_C_U00___driveway_ramp">#REF!</definedName>
    <definedName name="AREA_IA_00BF_BC_C_U00___driveway_zebra_line">#REF!</definedName>
    <definedName name="AREA_IA_00BF_BC_C_U00___sidewalk_1">#REF!</definedName>
    <definedName name="AREA_IA_00BF_BC_C_U00___sidewalk_1_ramp">#REF!</definedName>
    <definedName name="AREA_IA_00BF_BC_C_U00___void">#REF!</definedName>
    <definedName name="AREA_IA_01F_AA_U01___BR1_lobby">#REF!</definedName>
    <definedName name="AREA_IA_01F_AA_U01___BR1_rm.">#REF!</definedName>
    <definedName name="AREA_IA_01F_AA_U01___BR1_t_b">#REF!</definedName>
    <definedName name="AREA_IA_01F_AA_U01___BR2_dresser">#REF!</definedName>
    <definedName name="AREA_IA_01F_AA_U01___BR2_lobby">#REF!</definedName>
    <definedName name="AREA_IA_01F_AA_U01___BR2_rm.">#REF!</definedName>
    <definedName name="AREA_IA_01F_AA_U01___BR2_t_b">#REF!</definedName>
    <definedName name="AREA_IA_01F_AA_U01___corridor">#REF!</definedName>
    <definedName name="AREA_IA_01F_AA_U01___foyer">#REF!</definedName>
    <definedName name="AREA_IA_01F_AA_U01___kitchen">#REF!</definedName>
    <definedName name="AREA_IA_01F_AA_U01___living_dining">#REF!</definedName>
    <definedName name="AREA_IA_01F_AA_U01___maids_rm.">#REF!</definedName>
    <definedName name="AREA_IA_01F_AA_U01___maids_toi.">#REF!</definedName>
    <definedName name="AREA_IA_01F_AA_U01___shaft">#REF!</definedName>
    <definedName name="AREA_IA_01F_AA_U01___toilet">#REF!</definedName>
    <definedName name="AREA_IA_01F_AA_U01___utility_rm.">#REF!</definedName>
    <definedName name="AREA_IA_01F_AA_U01___void">#REF!</definedName>
    <definedName name="AREA_IA_01F_AA_U02___BR1_dresser">#REF!</definedName>
    <definedName name="AREA_IA_01F_AA_U02___BR1_rm.">#REF!</definedName>
    <definedName name="AREA_IA_01F_AA_U02___BR1_t_b">#REF!</definedName>
    <definedName name="AREA_IA_01F_AA_U02___BR2_lobby">#REF!</definedName>
    <definedName name="AREA_IA_01F_AA_U02___BR2_rm.">#REF!</definedName>
    <definedName name="AREA_IA_01F_AA_U02___BR2_t_b">#REF!</definedName>
    <definedName name="AREA_IA_01F_AA_U02___corridor">#REF!</definedName>
    <definedName name="AREA_IA_01F_AA_U02___foyer">#REF!</definedName>
    <definedName name="AREA_IA_01F_AA_U02___kitchen">#REF!</definedName>
    <definedName name="AREA_IA_01F_AA_U02___living_dining">#REF!</definedName>
    <definedName name="AREA_IA_01F_AA_U02___maids_rm.">#REF!</definedName>
    <definedName name="AREA_IA_01F_AA_U02___maids_toi.">#REF!</definedName>
    <definedName name="AREA_IA_01F_AA_U02___shaft">#REF!</definedName>
    <definedName name="AREA_IA_01F_AA_U02___toilet">#REF!</definedName>
    <definedName name="AREA_IA_01F_AA_U02___utility_rm.">#REF!</definedName>
    <definedName name="AREA_IA_01F_AA_U02___void">#REF!</definedName>
    <definedName name="AREA_IA_01F_AA_U03___BR1_dresser">#REF!</definedName>
    <definedName name="AREA_IA_01F_AA_U03___BR1_lobby">#REF!</definedName>
    <definedName name="AREA_IA_01F_AA_U03___BR1_rm.">#REF!</definedName>
    <definedName name="AREA_IA_01F_AA_U03___BR1_store">#REF!</definedName>
    <definedName name="AREA_IA_01F_AA_U03___BR1_t_b">#REF!</definedName>
    <definedName name="AREA_IA_01F_AA_U03___foyer">#REF!</definedName>
    <definedName name="AREA_IA_01F_AA_U03___kitchen">#REF!</definedName>
    <definedName name="AREA_IA_01F_AA_U03___living_dining">#REF!</definedName>
    <definedName name="AREA_IA_01F_AA_U03___shaft">#REF!</definedName>
    <definedName name="AREA_IA_01F_AA_U03___storage">#REF!</definedName>
    <definedName name="AREA_IA_01F_AA_U03___toilet">#REF!</definedName>
    <definedName name="AREA_IA_01F_AA_U03___utility_rm.">#REF!</definedName>
    <definedName name="AREA_IA_01F_AA_U03___void">#REF!</definedName>
    <definedName name="AREA_IA_01F_AA_U04___BR1_dresser">#REF!</definedName>
    <definedName name="AREA_IA_01F_AA_U04___BR1_lobby">#REF!</definedName>
    <definedName name="AREA_IA_01F_AA_U04___BR1_rm.">#REF!</definedName>
    <definedName name="AREA_IA_01F_AA_U04___BR1_store">#REF!</definedName>
    <definedName name="AREA_IA_01F_AA_U04___BR1_t_b">#REF!</definedName>
    <definedName name="AREA_IA_01F_AA_U04___foyer">#REF!</definedName>
    <definedName name="AREA_IA_01F_AA_U04___kitchen">#REF!</definedName>
    <definedName name="AREA_IA_01F_AA_U04___living_dining">#REF!</definedName>
    <definedName name="AREA_IA_01F_AA_U04___shaft">#REF!</definedName>
    <definedName name="AREA_IA_01F_AA_U04___storage">#REF!</definedName>
    <definedName name="AREA_IA_01F_AA_U04___toilet">#REF!</definedName>
    <definedName name="AREA_IA_01F_AA_U04___utility_rm.">#REF!</definedName>
    <definedName name="AREA_IA_01F_AA_U04___void">#REF!</definedName>
    <definedName name="AREA_IA_01F_AA_U05___corridor">#REF!</definedName>
    <definedName name="AREA_IA_01F_AA_U05___foyer">#REF!</definedName>
    <definedName name="AREA_IA_01F_AA_U05___kitchen">#REF!</definedName>
    <definedName name="AREA_IA_01F_AA_U05___living_dining">#REF!</definedName>
    <definedName name="AREA_IA_01F_AA_U05___maids_lobby">#REF!</definedName>
    <definedName name="AREA_IA_01F_AA_U05___maids_rm.">#REF!</definedName>
    <definedName name="AREA_IA_01F_AA_U05___maids_toi.">#REF!</definedName>
    <definedName name="AREA_IA_01F_AA_U05___shaft">#REF!</definedName>
    <definedName name="AREA_IA_01F_AA_U05___stairs">#REF!</definedName>
    <definedName name="AREA_IA_01F_AA_U05___toilet">#REF!</definedName>
    <definedName name="AREA_IA_01F_AA_U05___utility_rm.">#REF!</definedName>
    <definedName name="AREA_IA_01F_AA_U06___BR1_lobby">#REF!</definedName>
    <definedName name="AREA_IA_01F_AA_U06___BR1_rm.">#REF!</definedName>
    <definedName name="AREA_IA_01F_AA_U06___BR1_t_b">#REF!</definedName>
    <definedName name="AREA_IA_01F_AA_U06___BR2_dresser">#REF!</definedName>
    <definedName name="AREA_IA_01F_AA_U06___BR2_lobby">#REF!</definedName>
    <definedName name="AREA_IA_01F_AA_U06___BR2_rm.">#REF!</definedName>
    <definedName name="AREA_IA_01F_AA_U06___BR2_t_b">#REF!</definedName>
    <definedName name="AREA_IA_01F_AA_U06___BR3_dresser">#REF!</definedName>
    <definedName name="AREA_IA_01F_AA_U06___BR3_lobby">#REF!</definedName>
    <definedName name="AREA_IA_01F_AA_U06___BR3_rm.">#REF!</definedName>
    <definedName name="AREA_IA_01F_AA_U06___BR3_t_b">#REF!</definedName>
    <definedName name="AREA_IA_01F_AA_U06___corridor">#REF!</definedName>
    <definedName name="AREA_IA_01F_AA_U06___foyer">#REF!</definedName>
    <definedName name="AREA_IA_01F_AA_U06___kitchen">#REF!</definedName>
    <definedName name="AREA_IA_01F_AA_U06___living_dining">#REF!</definedName>
    <definedName name="AREA_IA_01F_AA_U06___maids_rm.">#REF!</definedName>
    <definedName name="AREA_IA_01F_AA_U06___maids_toi.">#REF!</definedName>
    <definedName name="AREA_IA_01F_AA_U06___shaft">#REF!</definedName>
    <definedName name="AREA_IA_01F_AA_U06___toilet">#REF!</definedName>
    <definedName name="AREA_IA_01F_AA_U06___utility_rm.">#REF!</definedName>
    <definedName name="AREA_IA_01F_AB_U00___corridor">#REF!</definedName>
    <definedName name="AREA_IA_01F_AB_U00___lift_lobby">#REF!</definedName>
    <definedName name="AREA_IA_01F_AB_U00___lift_shaft">#REF!</definedName>
    <definedName name="AREA_IA_01F_AC_U00___electrical_rm.">#REF!</definedName>
    <definedName name="AREA_IA_01F_AC_U00___f.e._stair">#REF!</definedName>
    <definedName name="AREA_IA_01F_AC_U00___f.h.c.">#REF!</definedName>
    <definedName name="AREA_IA_01F_AC_U00___garbage_rm.">#REF!</definedName>
    <definedName name="AREA_IA_01F_AC_U00___shaft">#REF!</definedName>
    <definedName name="AREA_IA_01F_AC_U00___telephone_rm.">#REF!</definedName>
    <definedName name="AREA_IA_02F_AA_U01___BR1_lobby">#REF!</definedName>
    <definedName name="AREA_IA_02F_AA_U01___BR1_rm.">#REF!</definedName>
    <definedName name="AREA_IA_02F_AA_U01___BR1_t_b">#REF!</definedName>
    <definedName name="AREA_IA_02F_AA_U01___BR2_dresser">#REF!</definedName>
    <definedName name="AREA_IA_02F_AA_U01___BR2_lobby">#REF!</definedName>
    <definedName name="AREA_IA_02F_AA_U01___BR2_rm.">#REF!</definedName>
    <definedName name="AREA_IA_02F_AA_U01___BR2_t_b">#REF!</definedName>
    <definedName name="AREA_IA_02F_AA_U01___corridor">#REF!</definedName>
    <definedName name="AREA_IA_02F_AA_U01___foyer">#REF!</definedName>
    <definedName name="AREA_IA_02F_AA_U01___kitchen">#REF!</definedName>
    <definedName name="AREA_IA_02F_AA_U01___living_dining">#REF!</definedName>
    <definedName name="AREA_IA_02F_AA_U01___maids_rm.">#REF!</definedName>
    <definedName name="AREA_IA_02F_AA_U01___maids_toi.">#REF!</definedName>
    <definedName name="AREA_IA_02F_AA_U01___shaft">#REF!</definedName>
    <definedName name="AREA_IA_02F_AA_U01___toilet">#REF!</definedName>
    <definedName name="AREA_IA_02F_AA_U01___utility_rm.">#REF!</definedName>
    <definedName name="AREA_IA_02F_AA_U01___void">#REF!</definedName>
    <definedName name="AREA_IA_02F_AA_U02___BR1_dresser">#REF!</definedName>
    <definedName name="AREA_IA_02F_AA_U02___BR1_rm.">#REF!</definedName>
    <definedName name="AREA_IA_02F_AA_U02___BR1_t_b">#REF!</definedName>
    <definedName name="AREA_IA_02F_AA_U02___BR2_lobby">#REF!</definedName>
    <definedName name="AREA_IA_02F_AA_U02___BR2_rm.">#REF!</definedName>
    <definedName name="AREA_IA_02F_AA_U02___BR2_t_b">#REF!</definedName>
    <definedName name="AREA_IA_02F_AA_U02___corridor">#REF!</definedName>
    <definedName name="AREA_IA_02F_AA_U02___foyer">#REF!</definedName>
    <definedName name="AREA_IA_02F_AA_U02___kitchen">#REF!</definedName>
    <definedName name="AREA_IA_02F_AA_U02___living_dining">#REF!</definedName>
    <definedName name="AREA_IA_02F_AA_U02___maids_rm.">#REF!</definedName>
    <definedName name="AREA_IA_02F_AA_U02___maids_toi.">#REF!</definedName>
    <definedName name="AREA_IA_02F_AA_U02___shaft">#REF!</definedName>
    <definedName name="AREA_IA_02F_AA_U02___toilet">#REF!</definedName>
    <definedName name="AREA_IA_02F_AA_U02___utility_rm.">#REF!</definedName>
    <definedName name="AREA_IA_02F_AA_U02___void">#REF!</definedName>
    <definedName name="AREA_IA_02F_AA_U05___BR1_rm.">#REF!</definedName>
    <definedName name="AREA_IA_02F_AA_U05___BR1_t_b">#REF!</definedName>
    <definedName name="AREA_IA_02F_AA_U05___BR2_lobby">#REF!</definedName>
    <definedName name="AREA_IA_02F_AA_U05___BR2_rm.">#REF!</definedName>
    <definedName name="AREA_IA_02F_AA_U05___BR2_t_b">#REF!</definedName>
    <definedName name="AREA_IA_02F_AA_U05___double_vol.">#REF!</definedName>
    <definedName name="AREA_IA_02F_AA_U05___foyer">#REF!</definedName>
    <definedName name="AREA_IA_02F_AA_U05___living_rm.">#REF!</definedName>
    <definedName name="AREA_IA_02F_AA_U05___shaft">#REF!</definedName>
    <definedName name="AREA_IA_02F_AA_U05___stairs">#REF!</definedName>
    <definedName name="AREA_IA_02F_AA_U05___void">#REF!</definedName>
    <definedName name="AREA_IA_02F_AA_U06___BR1_lobby">#REF!</definedName>
    <definedName name="AREA_IA_02F_AA_U06___BR1_rm.">#REF!</definedName>
    <definedName name="AREA_IA_02F_AA_U06___BR1_t_b">#REF!</definedName>
    <definedName name="AREA_IA_02F_AA_U06___BR2_dresser">#REF!</definedName>
    <definedName name="AREA_IA_02F_AA_U06___BR2_lobby">#REF!</definedName>
    <definedName name="AREA_IA_02F_AA_U06___BR2_rm.">#REF!</definedName>
    <definedName name="AREA_IA_02F_AA_U06___BR2_t_b">#REF!</definedName>
    <definedName name="AREA_IA_02F_AA_U06___BR3_dresser">#REF!</definedName>
    <definedName name="AREA_IA_02F_AA_U06___BR3_lobby">#REF!</definedName>
    <definedName name="AREA_IA_02F_AA_U06___BR3_rm.">#REF!</definedName>
    <definedName name="AREA_IA_02F_AA_U06___BR3_t_b">#REF!</definedName>
    <definedName name="AREA_IA_02F_AA_U06___corridor">#REF!</definedName>
    <definedName name="AREA_IA_02F_AA_U06___foyer">#REF!</definedName>
    <definedName name="AREA_IA_02F_AA_U06___kitchen">#REF!</definedName>
    <definedName name="AREA_IA_02F_AA_U06___living_dining">#REF!</definedName>
    <definedName name="AREA_IA_02F_AA_U06___maids_rm.">#REF!</definedName>
    <definedName name="AREA_IA_02F_AA_U06___maids_toi.">#REF!</definedName>
    <definedName name="AREA_IA_02F_AA_U06___shaft">#REF!</definedName>
    <definedName name="AREA_IA_02F_AA_U06___toilet">#REF!</definedName>
    <definedName name="AREA_IA_02F_AA_U06___utility_rm.">#REF!</definedName>
    <definedName name="AREA_IA_03F_AA_U05___corridor">#REF!</definedName>
    <definedName name="AREA_IA_03F_AA_U05___foyer">#REF!</definedName>
    <definedName name="AREA_IA_03F_AA_U05___kitchen">#REF!</definedName>
    <definedName name="AREA_IA_03F_AA_U05___living_dining">#REF!</definedName>
    <definedName name="AREA_IA_03F_AA_U05___maids_lobby">#REF!</definedName>
    <definedName name="AREA_IA_03F_AA_U05___maids_rm.">#REF!</definedName>
    <definedName name="AREA_IA_03F_AA_U05___maids_toi.">#REF!</definedName>
    <definedName name="AREA_IA_03F_AA_U05___shaft">#REF!</definedName>
    <definedName name="AREA_IA_03F_AA_U05___stairs">#REF!</definedName>
    <definedName name="AREA_IA_03F_AA_U05___toilet">#REF!</definedName>
    <definedName name="AREA_IA_03F_AA_U05___utility_rm.">#REF!</definedName>
    <definedName name="AREA_IA_05F_AA_U01___BR1_lobby">#REF!</definedName>
    <definedName name="AREA_IA_05F_AA_U01___BR1_rm.">#REF!</definedName>
    <definedName name="AREA_IA_05F_AA_U01___BR1_t_b">#REF!</definedName>
    <definedName name="AREA_IA_05F_AA_U01___BR2_dresser">#REF!</definedName>
    <definedName name="AREA_IA_05F_AA_U01___BR2_lobby">#REF!</definedName>
    <definedName name="AREA_IA_05F_AA_U01___BR2_rm.">#REF!</definedName>
    <definedName name="AREA_IA_05F_AA_U01___BR2_t_b">#REF!</definedName>
    <definedName name="AREA_IA_05F_AA_U01___corridor">#REF!</definedName>
    <definedName name="AREA_IA_05F_AA_U01___foyer">#REF!</definedName>
    <definedName name="AREA_IA_05F_AA_U01___kitchen">#REF!</definedName>
    <definedName name="AREA_IA_05F_AA_U01___living_dining">#REF!</definedName>
    <definedName name="AREA_IA_05F_AA_U01___maids_rm.">#REF!</definedName>
    <definedName name="AREA_IA_05F_AA_U01___maids_toi.">#REF!</definedName>
    <definedName name="AREA_IA_05F_AA_U01___shaft">#REF!</definedName>
    <definedName name="AREA_IA_05F_AA_U01___toilet">#REF!</definedName>
    <definedName name="AREA_IA_05F_AA_U01___utility_rm.">#REF!</definedName>
    <definedName name="AREA_IA_05F_AA_U01___void">#REF!</definedName>
    <definedName name="AREA_IA_05F_AA_U02___BR1_dresser">#REF!</definedName>
    <definedName name="AREA_IA_05F_AA_U02___BR1_rm.">#REF!</definedName>
    <definedName name="AREA_IA_05F_AA_U02___BR1_t_b">#REF!</definedName>
    <definedName name="AREA_IA_05F_AA_U02___BR2_lobby">#REF!</definedName>
    <definedName name="AREA_IA_05F_AA_U02___BR2_rm.">#REF!</definedName>
    <definedName name="AREA_IA_05F_AA_U02___BR2_t_b">#REF!</definedName>
    <definedName name="AREA_IA_05F_AA_U02___corridor">#REF!</definedName>
    <definedName name="AREA_IA_05F_AA_U02___foyer">#REF!</definedName>
    <definedName name="AREA_IA_05F_AA_U02___kitchen">#REF!</definedName>
    <definedName name="AREA_IA_05F_AA_U02___living_dining">#REF!</definedName>
    <definedName name="AREA_IA_05F_AA_U02___maids_rm.">#REF!</definedName>
    <definedName name="AREA_IA_05F_AA_U02___maids_toi.">#REF!</definedName>
    <definedName name="AREA_IA_05F_AA_U02___shaft">#REF!</definedName>
    <definedName name="AREA_IA_05F_AA_U02___toilet">#REF!</definedName>
    <definedName name="AREA_IA_05F_AA_U02___utility_rm.">#REF!</definedName>
    <definedName name="AREA_IA_05F_AA_U02___void">#REF!</definedName>
    <definedName name="AREA_IA_05F_AA_U05___corridor">#REF!</definedName>
    <definedName name="AREA_IA_05F_AA_U05___foyer">#REF!</definedName>
    <definedName name="AREA_IA_05F_AA_U05___kitchen">#REF!</definedName>
    <definedName name="AREA_IA_05F_AA_U05___living_dining">#REF!</definedName>
    <definedName name="AREA_IA_05F_AA_U05___maids_lobby">#REF!</definedName>
    <definedName name="AREA_IA_05F_AA_U05___maids_rm.">#REF!</definedName>
    <definedName name="AREA_IA_05F_AA_U05___maids_toi.">#REF!</definedName>
    <definedName name="AREA_IA_05F_AA_U05___shaft">#REF!</definedName>
    <definedName name="AREA_IA_05F_AA_U05___stairs">#REF!</definedName>
    <definedName name="AREA_IA_05F_AA_U05___toilet">#REF!</definedName>
    <definedName name="AREA_IA_05F_AA_U05___utility_rm.">#REF!</definedName>
    <definedName name="AREA_IA_05F_AA_U06___BR1_lobby">#REF!</definedName>
    <definedName name="AREA_IA_05F_AA_U06___BR1_rm.">#REF!</definedName>
    <definedName name="AREA_IA_05F_AA_U06___BR1_t_b">#REF!</definedName>
    <definedName name="AREA_IA_05F_AA_U06___BR2_dresser">#REF!</definedName>
    <definedName name="AREA_IA_05F_AA_U06___BR2_lobby">#REF!</definedName>
    <definedName name="AREA_IA_05F_AA_U06___BR2_rm.">#REF!</definedName>
    <definedName name="AREA_IA_05F_AA_U06___BR2_t_b">#REF!</definedName>
    <definedName name="AREA_IA_05F_AA_U06___BR3_dresser">#REF!</definedName>
    <definedName name="AREA_IA_05F_AA_U06___BR3_lobby">#REF!</definedName>
    <definedName name="AREA_IA_05F_AA_U06___BR3_rm.">#REF!</definedName>
    <definedName name="AREA_IA_05F_AA_U06___BR3_t_b">#REF!</definedName>
    <definedName name="AREA_IA_05F_AA_U06___corridor">#REF!</definedName>
    <definedName name="AREA_IA_05F_AA_U06___foyer">#REF!</definedName>
    <definedName name="AREA_IA_05F_AA_U06___kitchen">#REF!</definedName>
    <definedName name="AREA_IA_05F_AA_U06___living_dining">#REF!</definedName>
    <definedName name="AREA_IA_05F_AA_U06___maids_rm.">#REF!</definedName>
    <definedName name="AREA_IA_05F_AA_U06___maids_toi.">#REF!</definedName>
    <definedName name="AREA_IA_05F_AA_U06___shaft">#REF!</definedName>
    <definedName name="AREA_IA_05F_AA_U06___toilet">#REF!</definedName>
    <definedName name="AREA_IA_05F_AA_U06___utility_rm.">#REF!</definedName>
    <definedName name="AREA_IA_06F_AA_U05___BR1_rm.">#REF!</definedName>
    <definedName name="AREA_IA_06F_AA_U05___BR1_t_b">#REF!</definedName>
    <definedName name="AREA_IA_06F_AA_U05___BR2_lobby">#REF!</definedName>
    <definedName name="AREA_IA_06F_AA_U05___BR2_rm.">#REF!</definedName>
    <definedName name="AREA_IA_06F_AA_U05___BR2_t_b">#REF!</definedName>
    <definedName name="AREA_IA_06F_AA_U05___double_vol.">#REF!</definedName>
    <definedName name="AREA_IA_06F_AA_U05___foyer">#REF!</definedName>
    <definedName name="AREA_IA_06F_AA_U05___living_rm.">#REF!</definedName>
    <definedName name="AREA_IA_06F_AA_U05___shaft">#REF!</definedName>
    <definedName name="AREA_IA_06F_AA_U05___stairs">#REF!</definedName>
    <definedName name="AREA_IA_06F_AA_U05___void">#REF!</definedName>
    <definedName name="AREA_IA_06F_AA_U06___BR1_lobby">#REF!</definedName>
    <definedName name="AREA_IA_06F_AA_U06___BR1_rm.">#REF!</definedName>
    <definedName name="AREA_IA_06F_AA_U06___BR1_t_b">#REF!</definedName>
    <definedName name="AREA_IA_06F_AA_U06___BR2_dresser">#REF!</definedName>
    <definedName name="AREA_IA_06F_AA_U06___BR2_lobby">#REF!</definedName>
    <definedName name="AREA_IA_06F_AA_U06___BR2_rm.">#REF!</definedName>
    <definedName name="AREA_IA_06F_AA_U06___BR2_t_b">#REF!</definedName>
    <definedName name="AREA_IA_06F_AA_U06___BR3_dresser">#REF!</definedName>
    <definedName name="AREA_IA_06F_AA_U06___BR3_lobby">#REF!</definedName>
    <definedName name="AREA_IA_06F_AA_U06___BR3_rm.">#REF!</definedName>
    <definedName name="AREA_IA_06F_AA_U06___BR3_t_b">#REF!</definedName>
    <definedName name="AREA_IA_06F_AA_U06___corridor">#REF!</definedName>
    <definedName name="AREA_IA_06F_AA_U06___foyer">#REF!</definedName>
    <definedName name="AREA_IA_06F_AA_U06___kitchen">#REF!</definedName>
    <definedName name="AREA_IA_06F_AA_U06___living_dining">#REF!</definedName>
    <definedName name="AREA_IA_06F_AA_U06___maids_rm.">#REF!</definedName>
    <definedName name="AREA_IA_06F_AA_U06___maids_toi.">#REF!</definedName>
    <definedName name="AREA_IA_06F_AA_U06___shaft">#REF!</definedName>
    <definedName name="AREA_IA_06F_AA_U06___toilet">#REF!</definedName>
    <definedName name="AREA_IA_06F_AA_U06___utility_rm.">#REF!</definedName>
    <definedName name="AREA_IA_07F_AA_U03___BR1_dresser">#REF!</definedName>
    <definedName name="AREA_IA_07F_AA_U03___BR1_lobby">#REF!</definedName>
    <definedName name="AREA_IA_07F_AA_U03___BR1_rm.">#REF!</definedName>
    <definedName name="AREA_IA_07F_AA_U03___BR1_store">#REF!</definedName>
    <definedName name="AREA_IA_07F_AA_U03___BR1_t_b">#REF!</definedName>
    <definedName name="AREA_IA_07F_AA_U03___foyer">#REF!</definedName>
    <definedName name="AREA_IA_07F_AA_U03___kitchen">#REF!</definedName>
    <definedName name="AREA_IA_07F_AA_U03___living_dining">#REF!</definedName>
    <definedName name="AREA_IA_07F_AA_U03___shaft">#REF!</definedName>
    <definedName name="AREA_IA_07F_AA_U03___storage">#REF!</definedName>
    <definedName name="AREA_IA_07F_AA_U03___toilet">#REF!</definedName>
    <definedName name="AREA_IA_07F_AA_U03___utility_rm.">#REF!</definedName>
    <definedName name="AREA_IA_07F_AA_U03___void">#REF!</definedName>
    <definedName name="AREA_IA_07F_AA_U04___BR1_dresser">#REF!</definedName>
    <definedName name="AREA_IA_07F_AA_U04___BR1_lobby">#REF!</definedName>
    <definedName name="AREA_IA_07F_AA_U04___BR1_rm.">#REF!</definedName>
    <definedName name="AREA_IA_07F_AA_U04___BR1_store">#REF!</definedName>
    <definedName name="AREA_IA_07F_AA_U04___BR1_t_b">#REF!</definedName>
    <definedName name="AREA_IA_07F_AA_U04___foyer">#REF!</definedName>
    <definedName name="AREA_IA_07F_AA_U04___kitchen">#REF!</definedName>
    <definedName name="AREA_IA_07F_AA_U04___living_dining">#REF!</definedName>
    <definedName name="AREA_IA_07F_AA_U04___shaft">#REF!</definedName>
    <definedName name="AREA_IA_07F_AA_U04___storage">#REF!</definedName>
    <definedName name="AREA_IA_07F_AA_U04___toilet">#REF!</definedName>
    <definedName name="AREA_IA_07F_AA_U04___utility_rm.">#REF!</definedName>
    <definedName name="AREA_IA_07F_AA_U04___void">#REF!</definedName>
    <definedName name="AREA_IA_07F_AA_U06___BR1_lobby">#REF!</definedName>
    <definedName name="AREA_IA_07F_AA_U06___BR1_rm.">#REF!</definedName>
    <definedName name="AREA_IA_07F_AA_U06___BR1_t_b">#REF!</definedName>
    <definedName name="AREA_IA_07F_AA_U06___BR2_dresser">#REF!</definedName>
    <definedName name="AREA_IA_07F_AA_U06___BR2_lobby">#REF!</definedName>
    <definedName name="AREA_IA_07F_AA_U06___BR2_rm.">#REF!</definedName>
    <definedName name="AREA_IA_07F_AA_U06___BR2_t_b">#REF!</definedName>
    <definedName name="AREA_IA_07F_AA_U06___BR3_dresser">#REF!</definedName>
    <definedName name="AREA_IA_07F_AA_U06___BR3_lobby">#REF!</definedName>
    <definedName name="AREA_IA_07F_AA_U06___BR3_rm.">#REF!</definedName>
    <definedName name="AREA_IA_07F_AA_U06___BR3_t_b">#REF!</definedName>
    <definedName name="AREA_IA_07F_AA_U06___corridor">#REF!</definedName>
    <definedName name="AREA_IA_07F_AA_U06___foyer">#REF!</definedName>
    <definedName name="AREA_IA_07F_AA_U06___kitchen">#REF!</definedName>
    <definedName name="AREA_IA_07F_AA_U06___living_dining">#REF!</definedName>
    <definedName name="AREA_IA_07F_AA_U06___maids_rm.">#REF!</definedName>
    <definedName name="AREA_IA_07F_AA_U06___maids_toi.">#REF!</definedName>
    <definedName name="AREA_IA_07F_AA_U06___shaft">#REF!</definedName>
    <definedName name="AREA_IA_07F_AA_U06___toilet">#REF!</definedName>
    <definedName name="AREA_IA_07F_AA_U06___utility_rm.">#REF!</definedName>
    <definedName name="AREA_IA_08F_AA_U03___BR1_dresser">#REF!</definedName>
    <definedName name="AREA_IA_08F_AA_U03___BR1_lobby">#REF!</definedName>
    <definedName name="AREA_IA_08F_AA_U03___BR1_rm.">#REF!</definedName>
    <definedName name="AREA_IA_08F_AA_U03___BR1_t_b">#REF!</definedName>
    <definedName name="AREA_IA_08F_AA_U03___foyer">#REF!</definedName>
    <definedName name="AREA_IA_08F_AA_U03___kitchen">#REF!</definedName>
    <definedName name="AREA_IA_08F_AA_U03___living_dining">#REF!</definedName>
    <definedName name="AREA_IA_08F_AA_U03___shaft">#REF!</definedName>
    <definedName name="AREA_IA_08F_AA_U03___storage">#REF!</definedName>
    <definedName name="AREA_IA_08F_AA_U03___toilet">#REF!</definedName>
    <definedName name="AREA_IA_08F_AA_U03___utility_rm.">#REF!</definedName>
    <definedName name="AREA_IA_08F_AA_U04___BR1_dresser">#REF!</definedName>
    <definedName name="AREA_IA_08F_AA_U04___BR1_lobby">#REF!</definedName>
    <definedName name="AREA_IA_08F_AA_U04___BR1_rm.">#REF!</definedName>
    <definedName name="AREA_IA_08F_AA_U04___BR1_t_b">#REF!</definedName>
    <definedName name="AREA_IA_08F_AA_U04___foyer">#REF!</definedName>
    <definedName name="AREA_IA_08F_AA_U04___kitchen">#REF!</definedName>
    <definedName name="AREA_IA_08F_AA_U04___living_dining">#REF!</definedName>
    <definedName name="AREA_IA_08F_AA_U04___shaft">#REF!</definedName>
    <definedName name="AREA_IA_08F_AA_U04___storage">#REF!</definedName>
    <definedName name="AREA_IA_08F_AA_U04___toilet">#REF!</definedName>
    <definedName name="AREA_IA_08F_AA_U04___utility_rm.">#REF!</definedName>
    <definedName name="AREA_IA_08F_AA_U06___BR1_lobby">#REF!</definedName>
    <definedName name="AREA_IA_08F_AA_U06___BR1_rm.">#REF!</definedName>
    <definedName name="AREA_IA_08F_AA_U06___BR1_t_b">#REF!</definedName>
    <definedName name="AREA_IA_08F_AA_U06___BR2_dresser">#REF!</definedName>
    <definedName name="AREA_IA_08F_AA_U06___BR2_lobby">#REF!</definedName>
    <definedName name="AREA_IA_08F_AA_U06___BR2_rm.">#REF!</definedName>
    <definedName name="AREA_IA_08F_AA_U06___BR2_t_b">#REF!</definedName>
    <definedName name="AREA_IA_08F_AA_U06___BR3_dresser">#REF!</definedName>
    <definedName name="AREA_IA_08F_AA_U06___BR3_lobby">#REF!</definedName>
    <definedName name="AREA_IA_08F_AA_U06___BR3_rm.">#REF!</definedName>
    <definedName name="AREA_IA_08F_AA_U06___BR3_t_b">#REF!</definedName>
    <definedName name="AREA_IA_08F_AA_U06___corridor">#REF!</definedName>
    <definedName name="AREA_IA_08F_AA_U06___foyer">#REF!</definedName>
    <definedName name="AREA_IA_08F_AA_U06___kitchen">#REF!</definedName>
    <definedName name="AREA_IA_08F_AA_U06___living_dining">#REF!</definedName>
    <definedName name="AREA_IA_08F_AA_U06___maids_rm.">#REF!</definedName>
    <definedName name="AREA_IA_08F_AA_U06___maids_toi.">#REF!</definedName>
    <definedName name="AREA_IA_08F_AA_U06___shaft">#REF!</definedName>
    <definedName name="AREA_IA_08F_AA_U06___toilet">#REF!</definedName>
    <definedName name="AREA_IA_08F_AA_U06___utility_rm.">#REF!</definedName>
    <definedName name="AREA_IA_09F_AA_U06___BR1_lobby">#REF!</definedName>
    <definedName name="AREA_IA_09F_AA_U06___BR1_rm.">#REF!</definedName>
    <definedName name="AREA_IA_09F_AA_U06___BR1_t_b">#REF!</definedName>
    <definedName name="AREA_IA_09F_AA_U06___BR2_dresser">#REF!</definedName>
    <definedName name="AREA_IA_09F_AA_U06___BR2_lobby">#REF!</definedName>
    <definedName name="AREA_IA_09F_AA_U06___BR2_rm.">#REF!</definedName>
    <definedName name="AREA_IA_09F_AA_U06___BR2_t_b">#REF!</definedName>
    <definedName name="AREA_IA_09F_AA_U06___BR3_dresser">#REF!</definedName>
    <definedName name="AREA_IA_09F_AA_U06___BR3_lobby">#REF!</definedName>
    <definedName name="AREA_IA_09F_AA_U06___BR3_rm.">#REF!</definedName>
    <definedName name="AREA_IA_09F_AA_U06___BR3_t_b">#REF!</definedName>
    <definedName name="AREA_IA_09F_AA_U06___corridor">#REF!</definedName>
    <definedName name="AREA_IA_09F_AA_U06___foyer">#REF!</definedName>
    <definedName name="AREA_IA_09F_AA_U06___kitchen">#REF!</definedName>
    <definedName name="AREA_IA_09F_AA_U06___living_dining">#REF!</definedName>
    <definedName name="AREA_IA_09F_AA_U06___maids_rm.">#REF!</definedName>
    <definedName name="AREA_IA_09F_AA_U06___maids_toi.">#REF!</definedName>
    <definedName name="AREA_IA_09F_AA_U06___shaft">#REF!</definedName>
    <definedName name="AREA_IA_09F_AA_U06___toilet">#REF!</definedName>
    <definedName name="AREA_IA_09F_AA_U06___utility_rm.">#REF!</definedName>
    <definedName name="AREA_IA_11F_AA_U01___BR1_lobby">#REF!</definedName>
    <definedName name="AREA_IA_11F_AA_U01___BR1_rm.">#REF!</definedName>
    <definedName name="AREA_IA_11F_AA_U01___BR1_t_b">#REF!</definedName>
    <definedName name="AREA_IA_11F_AA_U01___BR2_dresser">#REF!</definedName>
    <definedName name="AREA_IA_11F_AA_U01___BR2_lobby">#REF!</definedName>
    <definedName name="AREA_IA_11F_AA_U01___BR2_rm.">#REF!</definedName>
    <definedName name="AREA_IA_11F_AA_U01___BR2_t_b">#REF!</definedName>
    <definedName name="AREA_IA_11F_AA_U01___corridor">#REF!</definedName>
    <definedName name="AREA_IA_11F_AA_U01___foyer">#REF!</definedName>
    <definedName name="AREA_IA_11F_AA_U01___kitchen">#REF!</definedName>
    <definedName name="AREA_IA_11F_AA_U01___living_dining">#REF!</definedName>
    <definedName name="AREA_IA_11F_AA_U01___maids_rm.">#REF!</definedName>
    <definedName name="AREA_IA_11F_AA_U01___maids_toi.">#REF!</definedName>
    <definedName name="AREA_IA_11F_AA_U01___shaft">#REF!</definedName>
    <definedName name="AREA_IA_11F_AA_U01___toilet">#REF!</definedName>
    <definedName name="AREA_IA_11F_AA_U01___utility_rm.">#REF!</definedName>
    <definedName name="AREA_IA_11F_AA_U01___void">#REF!</definedName>
    <definedName name="AREA_IA_11F_AA_U02___BR1_dresser">#REF!</definedName>
    <definedName name="AREA_IA_11F_AA_U02___BR1_rm.">#REF!</definedName>
    <definedName name="AREA_IA_11F_AA_U02___BR1_t_b">#REF!</definedName>
    <definedName name="AREA_IA_11F_AA_U02___BR2_lobby">#REF!</definedName>
    <definedName name="AREA_IA_11F_AA_U02___BR2_rm.">#REF!</definedName>
    <definedName name="AREA_IA_11F_AA_U02___BR2_t_b">#REF!</definedName>
    <definedName name="AREA_IA_11F_AA_U02___corridor">#REF!</definedName>
    <definedName name="AREA_IA_11F_AA_U02___foyer">#REF!</definedName>
    <definedName name="AREA_IA_11F_AA_U02___kitchen">#REF!</definedName>
    <definedName name="AREA_IA_11F_AA_U02___living_dining">#REF!</definedName>
    <definedName name="AREA_IA_11F_AA_U02___maids_rm.">#REF!</definedName>
    <definedName name="AREA_IA_11F_AA_U02___maids_toi.">#REF!</definedName>
    <definedName name="AREA_IA_11F_AA_U02___shaft">#REF!</definedName>
    <definedName name="AREA_IA_11F_AA_U02___toilet">#REF!</definedName>
    <definedName name="AREA_IA_11F_AA_U02___utility_rm.">#REF!</definedName>
    <definedName name="AREA_IA_11F_AA_U02___void">#REF!</definedName>
    <definedName name="AREA_IA_11F_AA_U03___BR1_dresser">#REF!</definedName>
    <definedName name="AREA_IA_11F_AA_U03___BR1_lobby">#REF!</definedName>
    <definedName name="AREA_IA_11F_AA_U03___BR1_rm.">#REF!</definedName>
    <definedName name="AREA_IA_11F_AA_U03___BR1_t_b">#REF!</definedName>
    <definedName name="AREA_IA_11F_AA_U03___foyer">#REF!</definedName>
    <definedName name="AREA_IA_11F_AA_U03___kitchen">#REF!</definedName>
    <definedName name="AREA_IA_11F_AA_U03___living_dining">#REF!</definedName>
    <definedName name="AREA_IA_11F_AA_U03___shaft">#REF!</definedName>
    <definedName name="AREA_IA_11F_AA_U03___storage">#REF!</definedName>
    <definedName name="AREA_IA_11F_AA_U03___toilet">#REF!</definedName>
    <definedName name="AREA_IA_11F_AA_U03___utility_rm.">#REF!</definedName>
    <definedName name="AREA_IA_11F_AA_U04___BR1_dresser">#REF!</definedName>
    <definedName name="AREA_IA_11F_AA_U04___BR1_lobby">#REF!</definedName>
    <definedName name="AREA_IA_11F_AA_U04___BR1_rm.">#REF!</definedName>
    <definedName name="AREA_IA_11F_AA_U04___BR1_t_b">#REF!</definedName>
    <definedName name="AREA_IA_11F_AA_U04___foyer">#REF!</definedName>
    <definedName name="AREA_IA_11F_AA_U04___kitchen">#REF!</definedName>
    <definedName name="AREA_IA_11F_AA_U04___living_dining">#REF!</definedName>
    <definedName name="AREA_IA_11F_AA_U04___shaft">#REF!</definedName>
    <definedName name="AREA_IA_11F_AA_U04___storage">#REF!</definedName>
    <definedName name="AREA_IA_11F_AA_U04___toilet">#REF!</definedName>
    <definedName name="AREA_IA_11F_AA_U04___utility_rm.">#REF!</definedName>
    <definedName name="AREA_IA_11F_AA_U06___BR1_lobby">#REF!</definedName>
    <definedName name="AREA_IA_11F_AA_U06___BR1_rm.">#REF!</definedName>
    <definedName name="AREA_IA_11F_AA_U06___BR1_t_b">#REF!</definedName>
    <definedName name="AREA_IA_11F_AA_U06___BR2_dresser">#REF!</definedName>
    <definedName name="AREA_IA_11F_AA_U06___BR2_lobby">#REF!</definedName>
    <definedName name="AREA_IA_11F_AA_U06___BR2_rm.">#REF!</definedName>
    <definedName name="AREA_IA_11F_AA_U06___BR2_t_b">#REF!</definedName>
    <definedName name="AREA_IA_11F_AA_U06___BR3_dresser">#REF!</definedName>
    <definedName name="AREA_IA_11F_AA_U06___BR3_lobby">#REF!</definedName>
    <definedName name="AREA_IA_11F_AA_U06___BR3_rm.">#REF!</definedName>
    <definedName name="AREA_IA_11F_AA_U06___BR3_t_b">#REF!</definedName>
    <definedName name="AREA_IA_11F_AA_U06___corridor">#REF!</definedName>
    <definedName name="AREA_IA_11F_AA_U06___foyer">#REF!</definedName>
    <definedName name="AREA_IA_11F_AA_U06___kitchen">#REF!</definedName>
    <definedName name="AREA_IA_11F_AA_U06___living_dining">#REF!</definedName>
    <definedName name="AREA_IA_11F_AA_U06___maids_rm.">#REF!</definedName>
    <definedName name="AREA_IA_11F_AA_U06___maids_toi.">#REF!</definedName>
    <definedName name="AREA_IA_11F_AA_U06___shaft">#REF!</definedName>
    <definedName name="AREA_IA_11F_AA_U06___toilet">#REF!</definedName>
    <definedName name="AREA_IA_11F_AA_U06___utility_rm.">#REF!</definedName>
    <definedName name="AREA_IA_11F_AB_U00___corridor">#REF!</definedName>
    <definedName name="AREA_IA_11F_AB_U00___lift_lobby">#REF!</definedName>
    <definedName name="AREA_IA_11F_AB_U00___lift_shaft">#REF!</definedName>
    <definedName name="AREA_IA_11F_AC_U00___electrical_rm.">#REF!</definedName>
    <definedName name="AREA_IA_11F_AC_U00___f.e._stair">#REF!</definedName>
    <definedName name="AREA_IA_11F_AC_U00___f.h.c.">#REF!</definedName>
    <definedName name="AREA_IA_11F_AC_U00___garbage_rm.">#REF!</definedName>
    <definedName name="AREA_IA_11F_AC_U00___shaft">#REF!</definedName>
    <definedName name="AREA_IA_11F_AC_U00___telephone_rm.">#REF!</definedName>
    <definedName name="AREA_IA_31F_AA_U01___BR1_lobby">#REF!</definedName>
    <definedName name="AREA_IA_31F_AA_U01___BR1_rm.">#REF!</definedName>
    <definedName name="AREA_IA_31F_AA_U01___BR1_t_b">#REF!</definedName>
    <definedName name="AREA_IA_31F_AA_U01___BR2_dresser">#REF!</definedName>
    <definedName name="AREA_IA_31F_AA_U01___BR2_lobby">#REF!</definedName>
    <definedName name="AREA_IA_31F_AA_U01___BR2_rm.">#REF!</definedName>
    <definedName name="AREA_IA_31F_AA_U01___BR2_t_b">#REF!</definedName>
    <definedName name="AREA_IA_31F_AA_U01___corridor">#REF!</definedName>
    <definedName name="AREA_IA_31F_AA_U01___foyer">#REF!</definedName>
    <definedName name="AREA_IA_31F_AA_U01___kitchen">#REF!</definedName>
    <definedName name="AREA_IA_31F_AA_U01___living_dining">#REF!</definedName>
    <definedName name="AREA_IA_31F_AA_U01___maids_rm.">#REF!</definedName>
    <definedName name="AREA_IA_31F_AA_U01___maids_toi.">#REF!</definedName>
    <definedName name="AREA_IA_31F_AA_U01___shaft">#REF!</definedName>
    <definedName name="AREA_IA_31F_AA_U01___toilet">#REF!</definedName>
    <definedName name="AREA_IA_31F_AA_U01___utility_rm.">#REF!</definedName>
    <definedName name="AREA_IA_31F_AA_U01___void">#REF!</definedName>
    <definedName name="AREA_IA_31F_AA_U02___BR1_dresser">#REF!</definedName>
    <definedName name="AREA_IA_31F_AA_U02___BR1_rm.">#REF!</definedName>
    <definedName name="AREA_IA_31F_AA_U02___BR1_t_b">#REF!</definedName>
    <definedName name="AREA_IA_31F_AA_U02___BR2_lobby">#REF!</definedName>
    <definedName name="AREA_IA_31F_AA_U02___BR2_rm.">#REF!</definedName>
    <definedName name="AREA_IA_31F_AA_U02___BR2_t_b">#REF!</definedName>
    <definedName name="AREA_IA_31F_AA_U02___corridor">#REF!</definedName>
    <definedName name="AREA_IA_31F_AA_U02___foyer">#REF!</definedName>
    <definedName name="AREA_IA_31F_AA_U02___kitchen">#REF!</definedName>
    <definedName name="AREA_IA_31F_AA_U02___living_dining">#REF!</definedName>
    <definedName name="AREA_IA_31F_AA_U02___maids_rm.">#REF!</definedName>
    <definedName name="AREA_IA_31F_AA_U02___maids_toi.">#REF!</definedName>
    <definedName name="AREA_IA_31F_AA_U02___shaft">#REF!</definedName>
    <definedName name="AREA_IA_31F_AA_U02___toilet">#REF!</definedName>
    <definedName name="AREA_IA_31F_AA_U02___utility_rm.">#REF!</definedName>
    <definedName name="AREA_IA_31F_AA_U02___void">#REF!</definedName>
    <definedName name="AREA_IA_31F_AA_U03___BR1_dresser">#REF!</definedName>
    <definedName name="AREA_IA_31F_AA_U03___BR1_lobby">#REF!</definedName>
    <definedName name="AREA_IA_31F_AA_U03___BR1_rm.">#REF!</definedName>
    <definedName name="AREA_IA_31F_AA_U03___BR1_t_b">#REF!</definedName>
    <definedName name="AREA_IA_31F_AA_U03___foyer">#REF!</definedName>
    <definedName name="AREA_IA_31F_AA_U03___kitchen">#REF!</definedName>
    <definedName name="AREA_IA_31F_AA_U03___living_dining">#REF!</definedName>
    <definedName name="AREA_IA_31F_AA_U03___shaft">#REF!</definedName>
    <definedName name="AREA_IA_31F_AA_U03___storage">#REF!</definedName>
    <definedName name="AREA_IA_31F_AA_U03___toilet">#REF!</definedName>
    <definedName name="AREA_IA_31F_AA_U03___utility_rm.">#REF!</definedName>
    <definedName name="AREA_IA_31F_AA_U04___BR1_dresser">#REF!</definedName>
    <definedName name="AREA_IA_31F_AA_U04___BR1_lobby">#REF!</definedName>
    <definedName name="AREA_IA_31F_AA_U04___BR1_rm.">#REF!</definedName>
    <definedName name="AREA_IA_31F_AA_U04___BR1_t_b">#REF!</definedName>
    <definedName name="AREA_IA_31F_AA_U04___foyer">#REF!</definedName>
    <definedName name="AREA_IA_31F_AA_U04___kitchen">#REF!</definedName>
    <definedName name="AREA_IA_31F_AA_U04___living_dining">#REF!</definedName>
    <definedName name="AREA_IA_31F_AA_U04___shaft">#REF!</definedName>
    <definedName name="AREA_IA_31F_AA_U04___storage">#REF!</definedName>
    <definedName name="AREA_IA_31F_AA_U04___toilet">#REF!</definedName>
    <definedName name="AREA_IA_31F_AA_U04___utility_rm.">#REF!</definedName>
    <definedName name="AREA_IA_31F_AA_U05___corridor">#REF!</definedName>
    <definedName name="AREA_IA_31F_AA_U05___foyer">#REF!</definedName>
    <definedName name="AREA_IA_31F_AA_U05___kitchen">#REF!</definedName>
    <definedName name="AREA_IA_31F_AA_U05___living_dining">#REF!</definedName>
    <definedName name="AREA_IA_31F_AA_U05___maids_lobby">#REF!</definedName>
    <definedName name="AREA_IA_31F_AA_U05___maids_rm.">#REF!</definedName>
    <definedName name="AREA_IA_31F_AA_U05___maids_toi.">#REF!</definedName>
    <definedName name="AREA_IA_31F_AA_U05___shaft">#REF!</definedName>
    <definedName name="AREA_IA_31F_AA_U05___stairs">#REF!</definedName>
    <definedName name="AREA_IA_31F_AA_U05___toilet">#REF!</definedName>
    <definedName name="AREA_IA_31F_AA_U05___utility_rm.">#REF!</definedName>
    <definedName name="AREA_IA_31F_AA_U06___BR1_lobby">#REF!</definedName>
    <definedName name="AREA_IA_31F_AA_U06___BR1_rm.">#REF!</definedName>
    <definedName name="AREA_IA_31F_AA_U06___BR1_t_b">#REF!</definedName>
    <definedName name="AREA_IA_31F_AA_U06___BR2_dresser">#REF!</definedName>
    <definedName name="AREA_IA_31F_AA_U06___BR2_lobby">#REF!</definedName>
    <definedName name="AREA_IA_31F_AA_U06___BR2_rm.">#REF!</definedName>
    <definedName name="AREA_IA_31F_AA_U06___BR2_t_b">#REF!</definedName>
    <definedName name="AREA_IA_31F_AA_U06___corridor">#REF!</definedName>
    <definedName name="AREA_IA_31F_AA_U06___foyer">#REF!</definedName>
    <definedName name="AREA_IA_31F_AA_U06___kitchen">#REF!</definedName>
    <definedName name="AREA_IA_31F_AA_U06___living_dining">#REF!</definedName>
    <definedName name="AREA_IA_31F_AA_U06___maids_rm.">#REF!</definedName>
    <definedName name="AREA_IA_31F_AA_U06___maids_toi.">#REF!</definedName>
    <definedName name="AREA_IA_31F_AA_U06___shaft">#REF!</definedName>
    <definedName name="AREA_IA_31F_AA_U06___solaria">#REF!</definedName>
    <definedName name="AREA_IA_31F_AA_U06___stair">#REF!</definedName>
    <definedName name="AREA_IA_31F_AA_U06___toilet">#REF!</definedName>
    <definedName name="AREA_IA_31F_AA_U06___utility_rm.">#REF!</definedName>
    <definedName name="AREA_IA_31F_AA_U06___void">#REF!</definedName>
    <definedName name="AREA_IA_31F_AB_U00___corridor">#REF!</definedName>
    <definedName name="AREA_IA_31F_AB_U00___lift_lobby">#REF!</definedName>
    <definedName name="AREA_IA_31F_AB_U00___lift_shaft">#REF!</definedName>
    <definedName name="AREA_IA_31F_AC_U00___electrical_rm.">#REF!</definedName>
    <definedName name="AREA_IA_31F_AC_U00___f.e._stair">#REF!</definedName>
    <definedName name="AREA_IA_31F_AC_U00___f.h.c.">#REF!</definedName>
    <definedName name="AREA_IA_31F_AC_U00___garbage_rm.">#REF!</definedName>
    <definedName name="AREA_IA_31F_AC_U00___shaft">#REF!</definedName>
    <definedName name="AREA_IA_31F_AC_U00___telephone_rm.">#REF!</definedName>
    <definedName name="AREA_IA_32F_AA_U05___BR1_rm.">#REF!</definedName>
    <definedName name="AREA_IA_32F_AA_U05___BR1_t_b">#REF!</definedName>
    <definedName name="AREA_IA_32F_AA_U05___BR2_lobby">#REF!</definedName>
    <definedName name="AREA_IA_32F_AA_U05___BR2_rm.">#REF!</definedName>
    <definedName name="AREA_IA_32F_AA_U05___BR2_t_b">#REF!</definedName>
    <definedName name="AREA_IA_32F_AA_U05___double_vol.">#REF!</definedName>
    <definedName name="AREA_IA_32F_AA_U05___foyer">#REF!</definedName>
    <definedName name="AREA_IA_32F_AA_U05___living_rm.">#REF!</definedName>
    <definedName name="AREA_IA_32F_AA_U05___shaft">#REF!</definedName>
    <definedName name="AREA_IA_32F_AA_U05___stairs">#REF!</definedName>
    <definedName name="AREA_IA_32F_AA_U05___void">#REF!</definedName>
    <definedName name="AREA_IA_32F_AA_U06___BR1_lobby">#REF!</definedName>
    <definedName name="AREA_IA_32F_AA_U06___BR1_rm.">#REF!</definedName>
    <definedName name="AREA_IA_32F_AA_U06___BR1_t_b">#REF!</definedName>
    <definedName name="AREA_IA_32F_AA_U06___BR2_dresser">#REF!</definedName>
    <definedName name="AREA_IA_32F_AA_U06___BR2_lobby">#REF!</definedName>
    <definedName name="AREA_IA_32F_AA_U06___BR2_rm.">#REF!</definedName>
    <definedName name="AREA_IA_32F_AA_U06___BR2_t_b">#REF!</definedName>
    <definedName name="AREA_IA_32F_AA_U06___corridor">#REF!</definedName>
    <definedName name="AREA_IA_32F_AA_U06___double_vol.">#REF!</definedName>
    <definedName name="AREA_IA_32F_AA_U06___jacuzzi_area">#REF!</definedName>
    <definedName name="AREA_IA_32F_AA_U06___living_foyer">#REF!</definedName>
    <definedName name="AREA_IA_32F_AA_U06___pantry">#REF!</definedName>
    <definedName name="AREA_IA_32F_AA_U06___shaft">#REF!</definedName>
    <definedName name="AREA_IA_32F_AA_U06___stair">#REF!</definedName>
    <definedName name="AREA_IA_32F_AA_U06___study">#REF!</definedName>
    <definedName name="AREA_IA_33RF_AC_U00___electrical_rm.">#REF!</definedName>
    <definedName name="AREA_IA_33RF_AC_U00___f.e._stair">#REF!</definedName>
    <definedName name="AREA_IA_33RF_AC_U00___g.s.m._rm.">#REF!</definedName>
    <definedName name="AREA_IA_33RF_AC_U00___lift_shaft">#REF!</definedName>
    <definedName name="AREA_IA_33RF_AC_U00___shaft">#REF!</definedName>
    <definedName name="AREA_IA_33RF_AC_U00___tech._rm.">#REF!</definedName>
    <definedName name="AREA_IA_33RF_AC_U00___telephone_rm.">#REF!</definedName>
    <definedName name="AREA_IA_33RF_AC_U00___water_tank">#REF!</definedName>
    <definedName name="AREA_IA_34uRF_AC_U00___machine_rm.">#REF!</definedName>
    <definedName name="AREA_IA_34uRF_AC_U00___machine_rm._lobby">#REF!</definedName>
    <definedName name="AREA_IA_34uRF_AC_U00___pump_rm.">#REF!</definedName>
    <definedName name="AREA_IA_34uRF_AC_U00___r.c._water_tank">#REF!</definedName>
    <definedName name="AREA_IA_34uRF_AC_U00___shaft">#REF!</definedName>
    <definedName name="AREA_Intelligent_Water_Meter_by_DEWA">#REF!</definedName>
    <definedName name="AREA_Internal_Ceiling_Finishes__Bulkhead">#REF!</definedName>
    <definedName name="AREA_Internal_Ceiling_Finishes__PF01">#REF!</definedName>
    <definedName name="AREA_Internal_Ceiling_Finishes__PF02">#REF!</definedName>
    <definedName name="AREA_Internal_Ceiling_Finishes__PH01">#REF!</definedName>
    <definedName name="AREA_Internal_Doors__D_02">#REF!</definedName>
    <definedName name="AREA_Internal_Doors__D_03">#REF!</definedName>
    <definedName name="AREA_Internal_Doors__D_04">#REF!</definedName>
    <definedName name="AREA_Internal_Doors__D_06">#REF!</definedName>
    <definedName name="AREA_Internal_Floor_Finishes__FF01">#REF!</definedName>
    <definedName name="AREA_Internal_Floor_Finishes__FF03">#REF!</definedName>
    <definedName name="AREA_Internal_Floor_Finishes__FF05">#REF!</definedName>
    <definedName name="AREA_Internal_Floor_Finishes__Wet_Areas">#REF!</definedName>
    <definedName name="AREA_Internal_Wall__Blockwork___BW_1">#REF!</definedName>
    <definedName name="AREA_Internal_Wall__Blockwork___BW_2">#REF!</definedName>
    <definedName name="AREA_Internal_Wall__Blockwork___BW_3">#REF!</definedName>
    <definedName name="AREA_Internal_Wall__Threshold">#REF!</definedName>
    <definedName name="AREA_Internal_Wall_Finishes__PF03">#REF!</definedName>
    <definedName name="AREA_Internal_Wall_Finishes__PF04">#REF!</definedName>
    <definedName name="AREA_Internal_Wall_Finishes__Render">#REF!</definedName>
    <definedName name="AREA_Internal_Wall_Finishes__W01">#REF!</definedName>
    <definedName name="AREA_Internal_Wall_Finishes__W03">#REF!</definedName>
    <definedName name="AREA_Internal_Wall_Finishes__WF05">#REF!</definedName>
    <definedName name="AREA_Internal_Wall_Finishes__WF07">#REF!</definedName>
    <definedName name="AREA_Isolation_Valve">#REF!</definedName>
    <definedName name="AREA_L0__TW1_250">#REF!</definedName>
    <definedName name="AREA_L0__TW2_200">#REF!</definedName>
    <definedName name="AREA_L0__TW3_300">#REF!</definedName>
    <definedName name="AREA_L0__TW3_400">#REF!</definedName>
    <definedName name="AREA_L0__TW4_500">#REF!</definedName>
    <definedName name="AREA_L0__TW4_600">#REF!</definedName>
    <definedName name="AREA_L0__W1__300">#REF!</definedName>
    <definedName name="AREA_L0__W1_300_Door_Overhead">#REF!</definedName>
    <definedName name="AREA_L0_Beams">#REF!</definedName>
    <definedName name="AREA_L0_DP1_3000x3000x350">#REF!</definedName>
    <definedName name="AREA_L0_DP2_3000x1750x350">#REF!</definedName>
    <definedName name="AREA_L0_DP5_3000x3000x400">#REF!</definedName>
    <definedName name="AREA_L0_DP6_6500x4000x550">#REF!</definedName>
    <definedName name="AREA_L0_DP7_3500x1900x400">#REF!</definedName>
    <definedName name="AREA_L0_Ramp">#REF!</definedName>
    <definedName name="AREA_L0_Slab_200">#REF!</definedName>
    <definedName name="AREA_L0_Slab_220">#REF!</definedName>
    <definedName name="AREA_L0_Slab_240">#REF!</definedName>
    <definedName name="AREA_L0_Slab_250">#REF!</definedName>
    <definedName name="AREA_L0_Slab_260">#REF!</definedName>
    <definedName name="AREA_L0_Slab_400">#REF!</definedName>
    <definedName name="AREA_L0_Slab_450">#REF!</definedName>
    <definedName name="AREA_L00__Column_C1">#REF!</definedName>
    <definedName name="AREA_L00__Column_C10">#REF!</definedName>
    <definedName name="AREA_L00__Column_C11">#REF!</definedName>
    <definedName name="AREA_L00__Column_C12">#REF!</definedName>
    <definedName name="AREA_L00__Column_C2">#REF!</definedName>
    <definedName name="AREA_L00__Column_C3">#REF!</definedName>
    <definedName name="AREA_L00__Column_C4">#REF!</definedName>
    <definedName name="AREA_L00__Column_C5">#REF!</definedName>
    <definedName name="AREA_L00__Column_C6">#REF!</definedName>
    <definedName name="AREA_L00__Column_C7">#REF!</definedName>
    <definedName name="AREA_L00__Column_C8">#REF!</definedName>
    <definedName name="AREA_L00__Column_C9">#REF!</definedName>
    <definedName name="AREA_L00__Column_FC1">#REF!</definedName>
    <definedName name="AREA_L00__Column_TC1">#REF!</definedName>
    <definedName name="AREA_L00__Column_TC2">#REF!</definedName>
    <definedName name="AREA_L00__Column_TC3">#REF!</definedName>
    <definedName name="AREA_L00__Column_TC4">#REF!</definedName>
    <definedName name="AREA_L00__Column_TC5">#REF!</definedName>
    <definedName name="AREA_L01__Column_C10">#REF!</definedName>
    <definedName name="AREA_L01__Column_C6">#REF!</definedName>
    <definedName name="AREA_L01__Column_C7">#REF!</definedName>
    <definedName name="AREA_L01__Column_TC1">#REF!</definedName>
    <definedName name="AREA_L01__Column_TC2">#REF!</definedName>
    <definedName name="AREA_L01__Column_TC3">#REF!</definedName>
    <definedName name="AREA_L01__Column_TC4">#REF!</definedName>
    <definedName name="AREA_L01__Column_TC5">#REF!</definedName>
    <definedName name="AREA_L02__Column_TC1">#REF!</definedName>
    <definedName name="AREA_L02__Column_TC2">#REF!</definedName>
    <definedName name="AREA_L02__Column_TC3">#REF!</definedName>
    <definedName name="AREA_L02__Column_TC4">#REF!</definedName>
    <definedName name="AREA_L02__Column_TC5">#REF!</definedName>
    <definedName name="AREA_L02_to_L03__CORE_Typical">#REF!</definedName>
    <definedName name="AREA_L03_to_L05__CORE_TYPICAL">#REF!</definedName>
    <definedName name="AREA_L03_to_L05__Opening">#REF!</definedName>
    <definedName name="AREA_L05_to_L14__CORE_Typical">#REF!</definedName>
    <definedName name="AREA_L1__TW1_250">#REF!</definedName>
    <definedName name="AREA_L1__TW2_200">#REF!</definedName>
    <definedName name="AREA_L1__TW3_300">#REF!</definedName>
    <definedName name="AREA_L1__TW4_600">#REF!</definedName>
    <definedName name="AREA_L1__TW5_300">#REF!</definedName>
    <definedName name="AREA_L1_Beams">#REF!</definedName>
    <definedName name="AREA_L1_DP">#REF!</definedName>
    <definedName name="AREA_L1_DP1_3000x3000x350">#REF!</definedName>
    <definedName name="AREA_L1_DP11_3250x1750x350">#REF!</definedName>
    <definedName name="AREA_L1_DP13_3250x1750x600">#REF!</definedName>
    <definedName name="AREA_L1_DP14_3000x3000x600">#REF!</definedName>
    <definedName name="AREA_L1_DP15_3500x3500x600">#REF!</definedName>
    <definedName name="AREA_L1_DP3_3500x1900x350">#REF!</definedName>
    <definedName name="AREA_L1_DP4_3500x3500x400">#REF!</definedName>
    <definedName name="AREA_L1_DP8_8000x5500x600">#REF!</definedName>
    <definedName name="AREA_L1_Slab_200">#REF!</definedName>
    <definedName name="AREA_L1_Slab_240">#REF!</definedName>
    <definedName name="AREA_L1_Slab_280">#REF!</definedName>
    <definedName name="AREA_L1_Slab_360">#REF!</definedName>
    <definedName name="AREA_L14__COMFLOR_100">#REF!</definedName>
    <definedName name="AREA_L14__CONC_SLAB">#REF!</definedName>
    <definedName name="AREA_L14__RC_CORE_VOIDS">#REF!</definedName>
    <definedName name="AREA_L15__COMFLOR_100">#REF!</definedName>
    <definedName name="AREA_L15__HEA_320">#REF!</definedName>
    <definedName name="AREA_L15__HEB_160">#REF!</definedName>
    <definedName name="AREA_L15__HEM_180">#REF!</definedName>
    <definedName name="AREA_L15__RHS_400x200x16">#REF!</definedName>
    <definedName name="AREA_L15__TW1_250">#REF!</definedName>
    <definedName name="AREA_L15__TW2_200">#REF!</definedName>
    <definedName name="AREA_L15__TW3_300">#REF!</definedName>
    <definedName name="AREA_L15__TW4_600">#REF!</definedName>
    <definedName name="AREA_L15__TW5_300">#REF!</definedName>
    <definedName name="AREA_L15_Beams">#REF!</definedName>
    <definedName name="AREA_L15_Slab_250">#REF!</definedName>
    <definedName name="AREA_L15_Slab_400">#REF!</definedName>
    <definedName name="AREA_L15_to_L16__CONC_SLAB">#REF!</definedName>
    <definedName name="AREA_L16__COMFLOR_100">#REF!</definedName>
    <definedName name="AREA_L16__HEA_320">#REF!</definedName>
    <definedName name="AREA_L16__HEB_160">#REF!</definedName>
    <definedName name="AREA_L16__HEM_180">#REF!</definedName>
    <definedName name="AREA_L16__RHS_400x200x16">#REF!</definedName>
    <definedName name="AREA_L16__TW1_250">#REF!</definedName>
    <definedName name="AREA_L16__TW2_200">#REF!</definedName>
    <definedName name="AREA_L16__TW3_300">#REF!</definedName>
    <definedName name="AREA_L16__TW4_600">#REF!</definedName>
    <definedName name="AREA_L16_Beams">#REF!</definedName>
    <definedName name="AREA_L16_Slab_200">#REF!</definedName>
    <definedName name="AREA_L16_Slab_240">#REF!</definedName>
    <definedName name="AREA_L16_Slab_280">#REF!</definedName>
    <definedName name="AREA_L17__COMFLOR_100">#REF!</definedName>
    <definedName name="AREA_L17__HEA_320">#REF!</definedName>
    <definedName name="AREA_L17__HEB_160">#REF!</definedName>
    <definedName name="AREA_L17__HEM_180">#REF!</definedName>
    <definedName name="AREA_L17__RHS_400x200x16">#REF!</definedName>
    <definedName name="AREA_L17__TW1_250">#REF!</definedName>
    <definedName name="AREA_L17__TW2_200">#REF!</definedName>
    <definedName name="AREA_L17__TW3_300">#REF!</definedName>
    <definedName name="AREA_L17__TW4_600">#REF!</definedName>
    <definedName name="AREA_L17_Beams">#REF!</definedName>
    <definedName name="AREA_L17_Slab_200">#REF!</definedName>
    <definedName name="AREA_L17_Slab_240">#REF!</definedName>
    <definedName name="AREA_L17_Slab_280">#REF!</definedName>
    <definedName name="AREA_L17_to_L35__CONC_SLAB">#REF!</definedName>
    <definedName name="AREA_L18__COMFLOR_100">#REF!</definedName>
    <definedName name="AREA_L18__HEA_320">#REF!</definedName>
    <definedName name="AREA_L18__HEB_160">#REF!</definedName>
    <definedName name="AREA_L18__HEM_180">#REF!</definedName>
    <definedName name="AREA_L18__RC_CORE_VOIDS">#REF!</definedName>
    <definedName name="AREA_L18__RHS_400x200x16">#REF!</definedName>
    <definedName name="AREA_L19__COMFLOR_100">#REF!</definedName>
    <definedName name="AREA_L19__HEA_320">#REF!</definedName>
    <definedName name="AREA_L19__HEB_160">#REF!</definedName>
    <definedName name="AREA_L19__HEM_180">#REF!</definedName>
    <definedName name="AREA_L19__RHS_400x200x16">#REF!</definedName>
    <definedName name="AREA_L2___1000x1500mm">#REF!</definedName>
    <definedName name="AREA_L2___1000x1500mm_curved">#REF!</definedName>
    <definedName name="AREA_L2___1200x1200x1500mm">#REF!</definedName>
    <definedName name="AREA_L2___1200x1500mm">#REF!</definedName>
    <definedName name="AREA_L2___1200x3000x1500mm">#REF!</definedName>
    <definedName name="AREA_L2___1500x1500x1500mm">#REF!</definedName>
    <definedName name="AREA_L2___1800x1800x1500mm">#REF!</definedName>
    <definedName name="AREA_L2___1800x4500x1500mm">#REF!</definedName>
    <definedName name="AREA_L2___400mm_raft_slab">#REF!</definedName>
    <definedName name="AREA_L2___400mm_Retaining_wall">#REF!</definedName>
    <definedName name="AREA_L2___400mm_Retaining_wall_curved">#REF!</definedName>
    <definedName name="AREA_L2___400x1500mm">#REF!</definedName>
    <definedName name="AREA_L2___500mm_Retaining_wall">#REF!</definedName>
    <definedName name="AREA_L2___500mm_Retaining_wall_curved">#REF!</definedName>
    <definedName name="AREA_L2___600mm_diameter">#REF!</definedName>
    <definedName name="AREA_L2___750mm_diameter">#REF!</definedName>
    <definedName name="AREA_L2___800x1500mm">#REF!</definedName>
    <definedName name="AREA_L2___900mm_diameter">#REF!</definedName>
    <definedName name="AREA_L2___Pilecaps">#REF!</definedName>
    <definedName name="AREA_L2__Column__550dia__assumed_size_as_per_plan_">#REF!</definedName>
    <definedName name="AREA_L2__TW1_250">#REF!</definedName>
    <definedName name="AREA_L2__TW2_200">#REF!</definedName>
    <definedName name="AREA_L2__TW3_300">#REF!</definedName>
    <definedName name="AREA_L2__TW4_600">#REF!</definedName>
    <definedName name="AREA_L2__TW5_300">#REF!</definedName>
    <definedName name="AREA_L2__Wall__250__assumed_">#REF!</definedName>
    <definedName name="AREA_L2__Wall__250_curved__assumed_">#REF!</definedName>
    <definedName name="AREA_L2_Beams">#REF!</definedName>
    <definedName name="AREA_L2_Slab_200">#REF!</definedName>
    <definedName name="AREA_L2_Slab_240">#REF!</definedName>
    <definedName name="AREA_L2_Slab_280">#REF!</definedName>
    <definedName name="AREA_L20__COMFLOR_100">#REF!</definedName>
    <definedName name="AREA_L20__HEA_320">#REF!</definedName>
    <definedName name="AREA_L20__HEB_160">#REF!</definedName>
    <definedName name="AREA_L20__HEM_180">#REF!</definedName>
    <definedName name="AREA_L20__RHS_400x400x16">#REF!</definedName>
    <definedName name="AREA_L21__COMFLOR_100">#REF!</definedName>
    <definedName name="AREA_L21__HEA_320">#REF!</definedName>
    <definedName name="AREA_L21__HEB_160">#REF!</definedName>
    <definedName name="AREA_L21__HEM_180">#REF!</definedName>
    <definedName name="AREA_L21__RHS_400x400x16">#REF!</definedName>
    <definedName name="AREA_L22__COMFLOR_100">#REF!</definedName>
    <definedName name="AREA_L22__HEA_320">#REF!</definedName>
    <definedName name="AREA_L22__HEB_160">#REF!</definedName>
    <definedName name="AREA_L22__HEM_180">#REF!</definedName>
    <definedName name="AREA_L22__RHS_400x400x16">#REF!</definedName>
    <definedName name="AREA_L23__COMFLOR_100">#REF!</definedName>
    <definedName name="AREA_L23__HEA_320">#REF!</definedName>
    <definedName name="AREA_L23__HEB_160">#REF!</definedName>
    <definedName name="AREA_L23__HEM_180">#REF!</definedName>
    <definedName name="AREA_L23__RHS_400x400x16">#REF!</definedName>
    <definedName name="AREA_L24__COMFLOR_100">#REF!</definedName>
    <definedName name="AREA_L24__HEA_320">#REF!</definedName>
    <definedName name="AREA_L24__HEB_160">#REF!</definedName>
    <definedName name="AREA_L24__HEM_180">#REF!</definedName>
    <definedName name="AREA_L24__RHS_400x400x16">#REF!</definedName>
    <definedName name="AREA_L25__COMFLOR_100">#REF!</definedName>
    <definedName name="AREA_L25__HEA_320">#REF!</definedName>
    <definedName name="AREA_L25__HEB_160">#REF!</definedName>
    <definedName name="AREA_L25__HEM_180">#REF!</definedName>
    <definedName name="AREA_L25__RHS_400x200x16">#REF!</definedName>
    <definedName name="AREA_L26__COMFLOR_100">#REF!</definedName>
    <definedName name="AREA_L26__HEA_320">#REF!</definedName>
    <definedName name="AREA_L26__HEB_160">#REF!</definedName>
    <definedName name="AREA_L26__HEM_180">#REF!</definedName>
    <definedName name="AREA_L26__RC_CORE_VOIDS">#REF!</definedName>
    <definedName name="AREA_L26__RHS_400x200x16">#REF!</definedName>
    <definedName name="AREA_L27__COMFLOR_100">#REF!</definedName>
    <definedName name="AREA_L27__HEA_320">#REF!</definedName>
    <definedName name="AREA_L27__HEB_160">#REF!</definedName>
    <definedName name="AREA_L27__HEM_180">#REF!</definedName>
    <definedName name="AREA_L27__RHS_400x200x16">#REF!</definedName>
    <definedName name="AREA_L28__COMFLOR_100">#REF!</definedName>
    <definedName name="AREA_L28__HEA_320">#REF!</definedName>
    <definedName name="AREA_L28__HEB_160">#REF!</definedName>
    <definedName name="AREA_L28__HEM_180">#REF!</definedName>
    <definedName name="AREA_L28__rHS_400x200x16">#REF!</definedName>
    <definedName name="AREA_L29__COMFLOR_100">#REF!</definedName>
    <definedName name="AREA_L29__HEA_320">#REF!</definedName>
    <definedName name="AREA_L29__HEB_160">#REF!</definedName>
    <definedName name="AREA_L29__HEM_180">#REF!</definedName>
    <definedName name="AREA_L29__RHS_400x200x16">#REF!</definedName>
    <definedName name="AREA_L3___1000x1500mm">#REF!</definedName>
    <definedName name="AREA_L3___1200x1200x1500mm">#REF!</definedName>
    <definedName name="AREA_L3___1200x3000x1500mm">#REF!</definedName>
    <definedName name="AREA_L3___1500x1500mm">#REF!</definedName>
    <definedName name="AREA_L3___1500x3000x1500mm">#REF!</definedName>
    <definedName name="AREA_L3___1800x1800x1500mm">#REF!</definedName>
    <definedName name="AREA_L3___1800x4500x1500mm">#REF!</definedName>
    <definedName name="AREA_L3___400mm_Retaining_wall">#REF!</definedName>
    <definedName name="AREA_L3___400mm_Retaining_wall_curved">#REF!</definedName>
    <definedName name="AREA_L3___500mm_thick_W3_curved">#REF!</definedName>
    <definedName name="AREA_L3___600mm_diameter">#REF!</definedName>
    <definedName name="AREA_L3___650mm_thick_W4_curved">#REF!</definedName>
    <definedName name="AREA_L3___700x1500mm">#REF!</definedName>
    <definedName name="AREA_L3___700x1500mm_curved">#REF!</definedName>
    <definedName name="AREA_L3___800x1500mm">#REF!</definedName>
    <definedName name="AREA_L3___800x1500mm_curved">#REF!</definedName>
    <definedName name="AREA_L3___900mm_diameter">#REF!</definedName>
    <definedName name="AREA_L3___Pilecaps">#REF!</definedName>
    <definedName name="AREA_L3__Beam__1000x800__assumed_">#REF!</definedName>
    <definedName name="AREA_L3__Beam__1100x800__assumed_">#REF!</definedName>
    <definedName name="AREA_L3__Beam__1300x800__assumed_">#REF!</definedName>
    <definedName name="AREA_L3__Beam__700x800__assumed_">#REF!</definedName>
    <definedName name="AREA_L3__Beam__800x800__assumed_">#REF!</definedName>
    <definedName name="AREA_L3__C1__800x800">#REF!</definedName>
    <definedName name="AREA_L3__C10__400x1000">#REF!</definedName>
    <definedName name="AREA_L3__C2__600x1200__assumed_size_as_per_plan_">#REF!</definedName>
    <definedName name="AREA_L3__C2__800x800">#REF!</definedName>
    <definedName name="AREA_L3__C3__800dia">#REF!</definedName>
    <definedName name="AREA_L3__C4__600x600">#REF!</definedName>
    <definedName name="AREA_L3__C5__400x400">#REF!</definedName>
    <definedName name="AREA_L3__C6__600x1200">#REF!</definedName>
    <definedName name="AREA_L3__C7__600x800">#REF!</definedName>
    <definedName name="AREA_L3__C8__550dia">#REF!</definedName>
    <definedName name="AREA_L3__C9__600dia">#REF!</definedName>
    <definedName name="AREA_L3__Column_Head__3000x3000x400">#REF!</definedName>
    <definedName name="AREA_L3__TW1_250">#REF!</definedName>
    <definedName name="AREA_L3__TW2_200">#REF!</definedName>
    <definedName name="AREA_L3__TW3_300">#REF!</definedName>
    <definedName name="AREA_L3__TW4_600">#REF!</definedName>
    <definedName name="AREA_L3__TW5_300">#REF!</definedName>
    <definedName name="AREA_L3__W1__250">#REF!</definedName>
    <definedName name="AREA_L3__W1__250_curved">#REF!</definedName>
    <definedName name="AREA_L3_Beams">#REF!</definedName>
    <definedName name="AREA_L3_Slab_200">#REF!</definedName>
    <definedName name="AREA_L3_Slab_240">#REF!</definedName>
    <definedName name="AREA_L3_Slab_280">#REF!</definedName>
    <definedName name="AREA_L30__COMFLOR_100">#REF!</definedName>
    <definedName name="AREA_L30__HEA_320">#REF!</definedName>
    <definedName name="AREA_L30__HEB_160">#REF!</definedName>
    <definedName name="AREA_L30__HEM_180">#REF!</definedName>
    <definedName name="AREA_L30__RHS_400x200x16">#REF!</definedName>
    <definedName name="AREA_L30__TW1_250">#REF!</definedName>
    <definedName name="AREA_L30__TW2_200">#REF!</definedName>
    <definedName name="AREA_L30__TW3_300">#REF!</definedName>
    <definedName name="AREA_L30__TW4_600">#REF!</definedName>
    <definedName name="AREA_L30_Beams">#REF!</definedName>
    <definedName name="AREA_L30_Slab_200">#REF!</definedName>
    <definedName name="AREA_L30_Slab_240">#REF!</definedName>
    <definedName name="AREA_L30_Slab_280">#REF!</definedName>
    <definedName name="AREA_L31__COMFLOR_100">#REF!</definedName>
    <definedName name="AREA_L31__HEA_320">#REF!</definedName>
    <definedName name="AREA_L31__HEB_160">#REF!</definedName>
    <definedName name="AREA_L31__HEM_180">#REF!</definedName>
    <definedName name="AREA_L31__RHS_400x200x16">#REF!</definedName>
    <definedName name="AREA_L31__TW1_250">#REF!</definedName>
    <definedName name="AREA_L31__TW2_200">#REF!</definedName>
    <definedName name="AREA_L31__TW3_300">#REF!</definedName>
    <definedName name="AREA_L31__TW4_600">#REF!</definedName>
    <definedName name="AREA_L31__TW5_300">#REF!</definedName>
    <definedName name="AREA_L31_Beams">#REF!</definedName>
    <definedName name="AREA_L31_Slab_200">#REF!</definedName>
    <definedName name="AREA_L31_Slab_240">#REF!</definedName>
    <definedName name="AREA_L31_Slab_280">#REF!</definedName>
    <definedName name="AREA_L32__RC_SLAB_500mm_THICK">#REF!</definedName>
    <definedName name="AREA_L33__COMFLOR_100">#REF!</definedName>
    <definedName name="AREA_L33__HEA_320">#REF!</definedName>
    <definedName name="AREA_L33__HEB_160">#REF!</definedName>
    <definedName name="AREA_L33__HEM_180">#REF!</definedName>
    <definedName name="AREA_L33__RHS_400x200x16">#REF!</definedName>
    <definedName name="AREA_L34__COMFLOR_100">#REF!</definedName>
    <definedName name="AREA_L34__HEA_320">#REF!</definedName>
    <definedName name="AREA_L34__HEB_160">#REF!</definedName>
    <definedName name="AREA_L34__HEM_180">#REF!</definedName>
    <definedName name="AREA_L34__RHS_400x200x16">#REF!</definedName>
    <definedName name="AREA_L35__COMFLOR_100">#REF!</definedName>
    <definedName name="AREA_L35__HEA_320">#REF!</definedName>
    <definedName name="AREA_L35__HEB_160">#REF!</definedName>
    <definedName name="AREA_L35__HEM_180">#REF!</definedName>
    <definedName name="AREA_L35__RHS_400x200x16">#REF!</definedName>
    <definedName name="AREA_L36__COMFLOR_100">#REF!</definedName>
    <definedName name="AREA_L36__CONC_SLAB">#REF!</definedName>
    <definedName name="AREA_L36__HEA_320">#REF!</definedName>
    <definedName name="AREA_L36__HEB_160">#REF!</definedName>
    <definedName name="AREA_L36__HEM_180">#REF!</definedName>
    <definedName name="AREA_L36__RHS_400x200x16">#REF!</definedName>
    <definedName name="AREA_L36__TW1_250">#REF!</definedName>
    <definedName name="AREA_L36__TW2_200">#REF!</definedName>
    <definedName name="AREA_L36__TW3_300">#REF!</definedName>
    <definedName name="AREA_L36__TW5_300">#REF!</definedName>
    <definedName name="AREA_L36_Beams">#REF!</definedName>
    <definedName name="AREA_L36_Slab_200">#REF!</definedName>
    <definedName name="AREA_L36_Slab_240">#REF!</definedName>
    <definedName name="AREA_L36_Slab_280">#REF!</definedName>
    <definedName name="AREA_L36_Slab_500">#REF!</definedName>
    <definedName name="AREA_L37__COMFLOR_100">#REF!</definedName>
    <definedName name="AREA_L37__HEA_320">#REF!</definedName>
    <definedName name="AREA_L37__HEB_160">#REF!</definedName>
    <definedName name="AREA_L37__HEM_180">#REF!</definedName>
    <definedName name="AREA_L37__RHS_400x200x16">#REF!</definedName>
    <definedName name="AREA_L37__TW1_250">#REF!</definedName>
    <definedName name="AREA_L37__TW2_200">#REF!</definedName>
    <definedName name="AREA_L37__TW3_300">#REF!</definedName>
    <definedName name="AREA_L37__TW5_300">#REF!</definedName>
    <definedName name="AREA_L37_Beams">#REF!</definedName>
    <definedName name="AREA_L37_Slab_200">#REF!</definedName>
    <definedName name="AREA_L37_Slab_350">#REF!</definedName>
    <definedName name="AREA_L38__Bracing_Elemnt_Passing_Lift_Over_Run">#REF!</definedName>
    <definedName name="AREA_L38__COMFLOR_100">#REF!</definedName>
    <definedName name="AREA_L38__HEA_320">#REF!</definedName>
    <definedName name="AREA_L38__HEB_160">#REF!</definedName>
    <definedName name="AREA_L38__HEM_180">#REF!</definedName>
    <definedName name="AREA_L38__RHS_400x200x16">#REF!</definedName>
    <definedName name="AREA_L38__TW1_250">#REF!</definedName>
    <definedName name="AREA_L38__TW2_200">#REF!</definedName>
    <definedName name="AREA_L38__TW3_300">#REF!</definedName>
    <definedName name="AREA_L38__TW5_300">#REF!</definedName>
    <definedName name="AREA_L38_Beams">#REF!</definedName>
    <definedName name="AREA_L38_Slab_200">#REF!</definedName>
    <definedName name="AREA_L38_Slab_350">#REF!</definedName>
    <definedName name="AREA_L39__2nd_Layer__HEA_320">#REF!</definedName>
    <definedName name="AREA_L39__2nd_Layer__HEB_160">#REF!</definedName>
    <definedName name="AREA_L39__2nd_Layer__HEM_180">#REF!</definedName>
    <definedName name="AREA_L39__2nd_Layer__RHS_400x200x16">#REF!</definedName>
    <definedName name="AREA_L39__Bracing_Elemnt_Passing_Lift_Over_Run">#REF!</definedName>
    <definedName name="AREA_L39__COMFLOR_100">#REF!</definedName>
    <definedName name="AREA_L39__HEA_320">#REF!</definedName>
    <definedName name="AREA_L39__HEB_160">#REF!</definedName>
    <definedName name="AREA_L39__HEM_180">#REF!</definedName>
    <definedName name="AREA_L39__RHS_400x200x16">#REF!</definedName>
    <definedName name="AREA_L4___1000x1500mm_curved">#REF!</definedName>
    <definedName name="AREA_L4___1500x1500x1500mm">#REF!</definedName>
    <definedName name="AREA_L4___600mm_diameter">#REF!</definedName>
    <definedName name="AREA_L4___750mm_diameter">#REF!</definedName>
    <definedName name="AREA_L4___800x1500mm">#REF!</definedName>
    <definedName name="AREA_L4___800x1500mm_curved">#REF!</definedName>
    <definedName name="AREA_L4__B1__800x600">#REF!</definedName>
    <definedName name="AREA_L4__B1__800x600_curved">#REF!</definedName>
    <definedName name="AREA_L4__B2__800x1000">#REF!</definedName>
    <definedName name="AREA_L4__B2__800x1000_curved">#REF!</definedName>
    <definedName name="AREA_L4__B3__800x1300">#REF!</definedName>
    <definedName name="AREA_L4__B3__800x1300_curved">#REF!</definedName>
    <definedName name="AREA_L4__B4__1500x1600_curved">#REF!</definedName>
    <definedName name="AREA_L4__Beam__300x600__assumed_">#REF!</definedName>
    <definedName name="AREA_L4__C3__800dia">#REF!</definedName>
    <definedName name="AREA_L4__C6__550dia__assumed_size_as_per_plan_">#REF!</definedName>
    <definedName name="AREA_L4__C9__600dia">#REF!</definedName>
    <definedName name="AREA_L4__Column_Head__4000x4000x400">#REF!</definedName>
    <definedName name="AREA_L4__W1__250">#REF!</definedName>
    <definedName name="AREA_L4__W1__250_curved">#REF!</definedName>
    <definedName name="AREA_L4__W2__350">#REF!</definedName>
    <definedName name="AREA_L4__W2__350_curved">#REF!</definedName>
    <definedName name="AREA_L40__2nd_Layer__RHS_400x200x16">#REF!</definedName>
    <definedName name="AREA_L40__Bracing_Elemnt_Passing_Lift_Over_Run">#REF!</definedName>
    <definedName name="AREA_L40__COMFLOR_100">#REF!</definedName>
    <definedName name="AREA_L40__HEB_320">#REF!</definedName>
    <definedName name="AREA_L40__RHS_400x200x16">#REF!</definedName>
    <definedName name="AREA_L40__RHS_450x450x25">#REF!</definedName>
    <definedName name="AREA_L40__RHS_500x300x20">#REF!</definedName>
    <definedName name="AREA_L40__Trussing_spanning_column_restrai">#REF!</definedName>
    <definedName name="AREA_L41__2nd_Layer__RHS_400x200x16">#REF!</definedName>
    <definedName name="AREA_L41__Bracing_Elemnt_Passing_Lift_Over_Run">#REF!</definedName>
    <definedName name="AREA_L41__COMFLOR_100">#REF!</definedName>
    <definedName name="AREA_L41__Flying_Strut">#REF!</definedName>
    <definedName name="AREA_L41__HEB_320">#REF!</definedName>
    <definedName name="AREA_L41__RHS_400x200x16">#REF!</definedName>
    <definedName name="AREA_L41__RHS_450x450x25">#REF!</definedName>
    <definedName name="AREA_L41__RHS_500x300x20">#REF!</definedName>
    <definedName name="AREA_L42__2nd_Layer__RHS_400x200x16">#REF!</definedName>
    <definedName name="AREA_L42__COMFLOR_100">#REF!</definedName>
    <definedName name="AREA_L42__HEB_320">#REF!</definedName>
    <definedName name="AREA_L42__RHS_400x420x16">#REF!</definedName>
    <definedName name="AREA_L42__RHS_450x450x25">#REF!</definedName>
    <definedName name="AREA_L42__RHS_500x300x20">#REF!</definedName>
    <definedName name="AREA_L43__COMFLOR_100">#REF!</definedName>
    <definedName name="AREA_L43__HE_320">#REF!</definedName>
    <definedName name="AREA_L44__COMFLOR_100">#REF!</definedName>
    <definedName name="AREA_L44__HEA_320">#REF!</definedName>
    <definedName name="AREA_L45__COMFLOR_100">#REF!</definedName>
    <definedName name="AREA_L46__COMFLOR_100">#REF!</definedName>
    <definedName name="AREA_L47__COMFLOR_100">#REF!</definedName>
    <definedName name="AREA_L48__RC_SLAB_350mm_THICK">#REF!</definedName>
    <definedName name="AREA_L49__COMFLOR_100">#REF!</definedName>
    <definedName name="AREA_L49__HEB_260">#REF!</definedName>
    <definedName name="AREA_L5___Slab_on_grade">#REF!</definedName>
    <definedName name="AREA_L5__B1__500x1300_curved">#REF!</definedName>
    <definedName name="AREA_L5__B2__800x1300">#REF!</definedName>
    <definedName name="AREA_L5__B2__800x1300_curved">#REF!</definedName>
    <definedName name="AREA_L5__B3__800x1100">#REF!</definedName>
    <definedName name="AREA_L5__B3__800x1100_curved">#REF!</definedName>
    <definedName name="AREA_L5__B4__800x1600">#REF!</definedName>
    <definedName name="AREA_L5__B5__400x800">#REF!</definedName>
    <definedName name="AREA_L5__B6__600x1250">#REF!</definedName>
    <definedName name="AREA_L5__B6__600x1250_curved">#REF!</definedName>
    <definedName name="AREA_L5__B7__800x1250">#REF!</definedName>
    <definedName name="AREA_L5__B7__800x1250_curved">#REF!</definedName>
    <definedName name="AREA_L5__B8__1400x1250_curved">#REF!</definedName>
    <definedName name="AREA_L5__B9__1800x1250">#REF!</definedName>
    <definedName name="AREA_L5__B9__1800x1250_curved">#REF!</definedName>
    <definedName name="AREA_L5__Beam__800x1600_curved__assumed_">#REF!</definedName>
    <definedName name="AREA_L50__COMFLOR_100">#REF!</definedName>
    <definedName name="AREA_L50__HEB_260">#REF!</definedName>
    <definedName name="AREA_L51__COMFLOR_100">#REF!</definedName>
    <definedName name="AREA_Land_Area">#REF!</definedName>
    <definedName name="AREA_Lettable_Area__lvl_3_">#REF!</definedName>
    <definedName name="AREA_Lettable_areas__lvl_2_">#REF!</definedName>
    <definedName name="AREA_Level_3_balcony_handrails">#REF!</definedName>
    <definedName name="AREA_Lift_voids__GF_">#REF!</definedName>
    <definedName name="AREA_Lift_voids__lvl_1_">#REF!</definedName>
    <definedName name="AREA_Lift_voids__lvl_2_">#REF!</definedName>
    <definedName name="AREA_Lift_voids__lvl_3_">#REF!</definedName>
    <definedName name="AREA_Lift_voids__Podium_1_">#REF!</definedName>
    <definedName name="AREA_Lift_Voids__Podium_2_">#REF!</definedName>
    <definedName name="AREA_Lift_voids__Roof_">#REF!</definedName>
    <definedName name="AREA_Louver_1A">#REF!</definedName>
    <definedName name="AREA_lvl_1__BOH_">#REF!</definedName>
    <definedName name="AREA_lvl_1__Car_Park_">#REF!</definedName>
    <definedName name="AREA_lvl_1__Externals_">#REF!</definedName>
    <definedName name="AREA_lvl_1__FOH_Areas_">#REF!</definedName>
    <definedName name="AREA_lvl_1__FOH_Circulation_">#REF!</definedName>
    <definedName name="AREA_lvl_1__GFA_">#REF!</definedName>
    <definedName name="AREA_lvl_1__GIFA_">#REF!</definedName>
    <definedName name="AREA_lvl_1__offices_">#REF!</definedName>
    <definedName name="AREA_lvl_1__Stairs_">#REF!</definedName>
    <definedName name="AREA_lvl_1__vertical_storage_">#REF!</definedName>
    <definedName name="AREA_lvl_1__Voids_">#REF!</definedName>
    <definedName name="AREA_lvl_1__WCs_">#REF!</definedName>
    <definedName name="AREA_lvl_1_BOH">#REF!</definedName>
    <definedName name="AREA_lvl_1_Doors_Internal_Double__FOH_">#REF!</definedName>
    <definedName name="AREA_lvl_1_Doors_Internal_Single__BOH_">#REF!</definedName>
    <definedName name="AREA_lvl_1_Doors_Internal_Single__FOH_">#REF!</definedName>
    <definedName name="AREA_lvl_1_External_Double_door__FOH_">#REF!</definedName>
    <definedName name="AREA_lvl_1_External_double_doors__FOH_">#REF!</definedName>
    <definedName name="AREA_lvl_1_FOH">#REF!</definedName>
    <definedName name="AREA_lvl_1_GFA">#REF!</definedName>
    <definedName name="AREA_lvl_1_GIFA">#REF!</definedName>
    <definedName name="AREA_lvl_1_Internal_Double_doors__BOH_">#REF!</definedName>
    <definedName name="AREA_lvl_1_Internal_double_doors__FOH_">#REF!</definedName>
    <definedName name="AREA_lvl_1_Internal_single_doors__BOH_">#REF!</definedName>
    <definedName name="AREA_lvl_1_Internal_single_doors__FOH_">#REF!</definedName>
    <definedName name="AREA_lvl_1_Internal_single_doors__Stairs_">#REF!</definedName>
    <definedName name="AREA_lvl_1_Offices">#REF!</definedName>
    <definedName name="AREA_lvl_1_Stairs">#REF!</definedName>
    <definedName name="AREA_lvl_1_Store">#REF!</definedName>
    <definedName name="AREA_lvl_1_Voids">#REF!</definedName>
    <definedName name="AREA_lvl_2__Apartments_">#REF!</definedName>
    <definedName name="AREA_lvl_2__BOH_">#REF!</definedName>
    <definedName name="AREA_lvl_2__FOH_Circulation_">#REF!</definedName>
    <definedName name="AREA_lvl_2__GFA_">#REF!</definedName>
    <definedName name="AREA_lvl_2__GIFA_">#REF!</definedName>
    <definedName name="AREA_lvl_2__Stairs_">#REF!</definedName>
    <definedName name="AREA_lvl_2__Voids_">#REF!</definedName>
    <definedName name="AREA_lvl_2_External_dble_doors__FOH_">#REF!</definedName>
    <definedName name="AREA_lvl_2_Internal_dble_doors__Aprt_">#REF!</definedName>
    <definedName name="AREA_lvl_2_Internal_double_doors__BOH_">#REF!</definedName>
    <definedName name="AREA_lvl_2_Internal_Single_doors__Apartments_">#REF!</definedName>
    <definedName name="AREA_lvl_2_Internal_Single_doors__Apartments_Entrances_">#REF!</definedName>
    <definedName name="AREA_lvl_2_Internal_single_doors__Aprt_">#REF!</definedName>
    <definedName name="AREA_lvl_2_Internal_single_doors__Aprt_Entrance_">#REF!</definedName>
    <definedName name="AREA_lvl_2_Internal_Single_doors__BOH_">#REF!</definedName>
    <definedName name="AREA_lvl_2_Internal_Sliding_doors__Apartments_">#REF!</definedName>
    <definedName name="AREA_lvl_2_Internal_sliding_doors__Aprt_">#REF!</definedName>
    <definedName name="AREA_lvl_3__Apartments_">#REF!</definedName>
    <definedName name="AREA_lvl_3__BOH_">#REF!</definedName>
    <definedName name="AREA_lvl_3__Car_Park_">#REF!</definedName>
    <definedName name="AREA_lvl_3__FOH_Circulation_">#REF!</definedName>
    <definedName name="AREA_lvl_3__GFA_">#REF!</definedName>
    <definedName name="AREA_lvl_3__GIFA_">#REF!</definedName>
    <definedName name="AREA_lvl_3__Stairs_">#REF!</definedName>
    <definedName name="AREA_lvl_3__voids_">#REF!</definedName>
    <definedName name="AREA_lvl_3_External_balcony_doors__Aprt_">#REF!</definedName>
    <definedName name="AREA_lvl_3_Internal_dble_doors__Aprt_">#REF!</definedName>
    <definedName name="AREA_lvl_3_Internal_Double_doors__BOH_">#REF!</definedName>
    <definedName name="AREA_lvl_3_Internal_Single_doors__Apartment_">#REF!</definedName>
    <definedName name="AREA_lvl_3_Internal_Single_doors__Apartment_entrances_">#REF!</definedName>
    <definedName name="AREA_lvl_3_Internal_single_doors__Aprt_">#REF!</definedName>
    <definedName name="AREA_lvl_3_Internal_single_doors__Aprt_entrance_">#REF!</definedName>
    <definedName name="AREA_lvl_3_Internal_Single_doors__BOH_">#REF!</definedName>
    <definedName name="AREA_lvl_3_Internal_Single_doors__FOH_">#REF!</definedName>
    <definedName name="AREA_lvl_3_Internal_Sliding_doors__Apartment_">#REF!</definedName>
    <definedName name="AREA_lvl_3_Internal_sliding_doors__Aprt_">#REF!</definedName>
    <definedName name="AREA_lvl_5__BOH_">#REF!</definedName>
    <definedName name="AREA_lvl_5__Externals_">#REF!</definedName>
    <definedName name="AREA_lvl_5__GFA_">#REF!</definedName>
    <definedName name="AREA_lvl_5__GIFA_">#REF!</definedName>
    <definedName name="AREA_lvl_5__Stairs_">#REF!</definedName>
    <definedName name="AREA_lvl_5__voids_">#REF!</definedName>
    <definedName name="AREA_lvl_5_External_Single_Door__BOH_">#REF!</definedName>
    <definedName name="AREA_lvl_6__BOH_">#REF!</definedName>
    <definedName name="AREA_lvl_6__Externals_">#REF!</definedName>
    <definedName name="AREA_lvl_6__FOH_amenities_">#REF!</definedName>
    <definedName name="AREA_lvl_6__FOH_Circulation_">#REF!</definedName>
    <definedName name="AREA_lvl_6__GFA_">#REF!</definedName>
    <definedName name="AREA_lvl_6__GIFA_">#REF!</definedName>
    <definedName name="AREA_lvl_6__Pool_">#REF!</definedName>
    <definedName name="AREA_lvl_6__Roof___Pool_deck_">#REF!</definedName>
    <definedName name="AREA_lvl_6__Stairs_">#REF!</definedName>
    <definedName name="AREA_lvl_6__Voids_">#REF!</definedName>
    <definedName name="AREA_lvl_6_External_double_doors__BOH_">#REF!</definedName>
    <definedName name="AREA_lvl_6_External_double_doors__FOH_">#REF!</definedName>
    <definedName name="AREA_lvl_6_External_single_doors__BOH_">#REF!</definedName>
    <definedName name="AREA_lvl_6_Internal_Single_doors__BOH_">#REF!</definedName>
    <definedName name="AREA_lvl_6_Internal_Single_doors__FOH_">#REF!</definedName>
    <definedName name="AREA_M01__Column_C1">#REF!</definedName>
    <definedName name="AREA_M01__Column_C10">#REF!</definedName>
    <definedName name="AREA_M01__Column_C11">#REF!</definedName>
    <definedName name="AREA_M01__Column_C12">#REF!</definedName>
    <definedName name="AREA_M01__Column_C2">#REF!</definedName>
    <definedName name="AREA_M01__Column_C3">#REF!</definedName>
    <definedName name="AREA_M01__Column_C4">#REF!</definedName>
    <definedName name="AREA_M01__Column_C5">#REF!</definedName>
    <definedName name="AREA_M01__Column_C6">#REF!</definedName>
    <definedName name="AREA_M01__Column_C7">#REF!</definedName>
    <definedName name="AREA_M01__Column_C8">#REF!</definedName>
    <definedName name="AREA_M01__Column_C9">#REF!</definedName>
    <definedName name="AREA_M01__Column_FC1">#REF!</definedName>
    <definedName name="AREA_M01__Column_TC1">#REF!</definedName>
    <definedName name="AREA_M01__Column_TC2">#REF!</definedName>
    <definedName name="AREA_M01__Column_TC3">#REF!</definedName>
    <definedName name="AREA_M01__Column_TC4">#REF!</definedName>
    <definedName name="AREA_M01__Column_TC5">#REF!</definedName>
    <definedName name="AREA_M1__TW1_250">#REF!</definedName>
    <definedName name="AREA_M1__TW2_200">#REF!</definedName>
    <definedName name="AREA_M1__TW3_300">#REF!</definedName>
    <definedName name="AREA_M1__TW3_400">#REF!</definedName>
    <definedName name="AREA_M1__TW4_500">#REF!</definedName>
    <definedName name="AREA_M1__TW4_600">#REF!</definedName>
    <definedName name="AREA_M1__TW5_300">#REF!</definedName>
    <definedName name="AREA_M1_Beams">#REF!</definedName>
    <definedName name="AREA_M1_DP">#REF!</definedName>
    <definedName name="AREA_M1_DP1">#REF!</definedName>
    <definedName name="AREA_M1_DP10">#REF!</definedName>
    <definedName name="AREA_M1_DP2">#REF!</definedName>
    <definedName name="AREA_M1_DP3">#REF!</definedName>
    <definedName name="AREA_M1_DP4">#REF!</definedName>
    <definedName name="AREA_M1_DP7">#REF!</definedName>
    <definedName name="AREA_M1_DP8">#REF!</definedName>
    <definedName name="AREA_M1_DP9">#REF!</definedName>
    <definedName name="AREA_M1_Ramp">#REF!</definedName>
    <definedName name="AREA_M1_Slab_200">#REF!</definedName>
    <definedName name="AREA_M1_Slab_220">#REF!</definedName>
    <definedName name="AREA_M1_Slab_250">#REF!</definedName>
    <definedName name="AREA_M1_Slab_280">#REF!</definedName>
    <definedName name="AREA_Mezz">#REF!</definedName>
    <definedName name="AREA_Mezzanine___BOH___Admin_Support">#REF!</definedName>
    <definedName name="AREA_Mezzanine___BOH___Administration_Offices">#REF!</definedName>
    <definedName name="AREA_Mezzanine___BOH___Administration_Offices_Toilet">#REF!</definedName>
    <definedName name="AREA_Mezzanine___BOH___Conference___Meeting">#REF!</definedName>
    <definedName name="AREA_Mezzanine___BOH___Event_Center_Core">#REF!</definedName>
    <definedName name="AREA_Mezzanine___BOH___Event_Center_Core_lift_shafts">#REF!</definedName>
    <definedName name="AREA_Mezzanine___BOH___Event_Center_Pantry___Service">#REF!</definedName>
    <definedName name="AREA_Mezzanine___BOH___Event_Center_Service">#REF!</definedName>
    <definedName name="AREA_Mezzanine___BOH___Finance___Accounting">#REF!</definedName>
    <definedName name="AREA_Mezzanine___BOH___Fire_Escape_Stairs">#REF!</definedName>
    <definedName name="AREA_Mezzanine___BOH___Guest_Core">#REF!</definedName>
    <definedName name="AREA_Mezzanine___BOH___Guest_Core_lift_shafts">#REF!</definedName>
    <definedName name="AREA_Mezzanine___BOH___Reservation___PABX">#REF!</definedName>
    <definedName name="AREA_Mezzanine___BOH___Service_Core">#REF!</definedName>
    <definedName name="AREA_Mezzanine___BOH___Service_Core_ducts">#REF!</definedName>
    <definedName name="AREA_Mezzanine___BOH___Service_Core_lift_shafts">#REF!</definedName>
    <definedName name="AREA_Mezzanine___BOH___Staff_Core">#REF!</definedName>
    <definedName name="AREA_Mezzanine___BOH___Staff_Core_lift_shafts">#REF!</definedName>
    <definedName name="AREA_Mezzanine___Double_Volume__Conference___Meeting_">#REF!</definedName>
    <definedName name="AREA_Mezzanine___Double_Volume__Lobby_Bar_">#REF!</definedName>
    <definedName name="AREA_Mezzanine___Double_Volume__Reception_Lobby_">#REF!</definedName>
    <definedName name="AREA_Mezzanine___FOH___Ball_Room">#REF!</definedName>
    <definedName name="AREA_Mezzanine___FOH___Ball_Room_Pre_Function">#REF!</definedName>
    <definedName name="AREA_Mezzanine___FOH___Circulation">#REF!</definedName>
    <definedName name="AREA_Mezzanine___FOH___Guestroom_Terrace">#REF!</definedName>
    <definedName name="AREA_Mezzanine___FOH___Guestrooms">#REF!</definedName>
    <definedName name="AREA_MF_Admin._Offices_area">#REF!</definedName>
    <definedName name="AREA_MF_BOH_Service_and_Utility_area">#REF!</definedName>
    <definedName name="AREA_MF_BOH_Staircase">#REF!</definedName>
    <definedName name="AREA_MF_Circulation_Corr._to_Admin._Offices">#REF!</definedName>
    <definedName name="AREA_MF_Guest_Core">#REF!</definedName>
    <definedName name="AREA_MF_Guestrooms">#REF!</definedName>
    <definedName name="AREA_MF_HGR_BOH">#REF!</definedName>
    <definedName name="AREA_MF_HGR_Circulation">#REF!</definedName>
    <definedName name="AREA_MF_HGR_Covered_Balcony">#REF!</definedName>
    <definedName name="AREA_MF_HGR_Fire_Staircase">#REF!</definedName>
    <definedName name="AREA_MF_Lift_Shaft">#REF!</definedName>
    <definedName name="AREA_MF_Roof_of_MEP_area">#REF!</definedName>
    <definedName name="AREA_MF_Services_Core">#REF!</definedName>
    <definedName name="AREA_MF_Voids___Dead_space">#REF!</definedName>
    <definedName name="AREA_Non_return_valve">#REF!</definedName>
    <definedName name="AREA_Open_Terrace___2F">#REF!</definedName>
    <definedName name="AREA_Open_Terrace___3F">#REF!</definedName>
    <definedName name="AREA_Open_Terrace___4F">#REF!</definedName>
    <definedName name="AREA_Parapet_capping">#REF!</definedName>
    <definedName name="AREA_Parapet_capping_1CRF">#REF!</definedName>
    <definedName name="AREA_Parapet_capping1BRF">#REF!</definedName>
    <definedName name="AREA_Pedestrian_Access">#REF!</definedName>
    <definedName name="AREA_PLATE___1F">#REF!</definedName>
    <definedName name="AREA_PLATE___2F">#REF!</definedName>
    <definedName name="AREA_PLATE___3F">#REF!</definedName>
    <definedName name="AREA_PLATE___4F">#REF!</definedName>
    <definedName name="AREA_PLATE___5F">#REF!</definedName>
    <definedName name="AREA_PLATE___B1">#REF!</definedName>
    <definedName name="AREA_PLATE___B2">#REF!</definedName>
    <definedName name="AREA_PLATE___GF">#REF!</definedName>
    <definedName name="AREA_PLATE___MF">#REF!</definedName>
    <definedName name="AREA_Plot_Area">#REF!</definedName>
    <definedName name="AREA_Pod_1_Internal_single_doors__BOH_">#REF!</definedName>
    <definedName name="AREA_Pod_1_Internal_single_doors__FOH_">#REF!</definedName>
    <definedName name="AREA_Pod_2___Internal_single_doors__BOH_">#REF!</definedName>
    <definedName name="AREA_Pod_2___Internal_single_doors__FOH_">#REF!</definedName>
    <definedName name="AREA_Pond">#REF!</definedName>
    <definedName name="AREA_Public_Toilets__GF_">#REF!</definedName>
    <definedName name="AREA_Raft___13800mm_thick_raft">#REF!</definedName>
    <definedName name="AREA_Rainwater_Drain">#REF!</definedName>
    <definedName name="AREA_Rainwater_Drain_GF">#REF!</definedName>
    <definedName name="AREA_Rainwater_Drain_Pipe">#REF!</definedName>
    <definedName name="AREA_RF__Isolation_Valve">#REF!</definedName>
    <definedName name="AREA_Roof__Canopies">#REF!</definedName>
    <definedName name="AREA_Roof__Suspened_Roof">#REF!</definedName>
    <definedName name="AREA_Roof_External_single_doors__FOH_">#REF!</definedName>
    <definedName name="AREA_Roof_Internal_Single_doors__BOH_">#REF!</definedName>
    <definedName name="AREA_Roof_Internal_single_doors__FOH_">#REF!</definedName>
    <definedName name="AREA_Roof_Terrace___3F">#REF!</definedName>
    <definedName name="AREA_Roof_Terrace___4F">#REF!</definedName>
    <definedName name="AREA_Roof_Terrace___5F">#REF!</definedName>
    <definedName name="AREA_RWO">#REF!</definedName>
    <definedName name="AREA_Sellable">#REF!</definedName>
    <definedName name="AREA_Shops__GF_">#REF!</definedName>
    <definedName name="AREA_Stairs__GF_">#REF!</definedName>
    <definedName name="AREA_Stairs__lvl_1_">#REF!</definedName>
    <definedName name="AREA_Stairs__lvl_2_">#REF!</definedName>
    <definedName name="AREA_Stairs__lvl_3_">#REF!</definedName>
    <definedName name="AREA_Stairs__Podium_1_">#REF!</definedName>
    <definedName name="AREA_Stairs__Podium_2_">#REF!</definedName>
    <definedName name="AREA_Stairs__riser___Ceramic_floor_tile_ff05">#REF!</definedName>
    <definedName name="AREA_Stairs__Risers_150mm___Ceramic_Floor_tile_FF05___Copy">#REF!</definedName>
    <definedName name="AREA_stairs__Roof_">#REF!</definedName>
    <definedName name="AREA_Stairs__Skirting">#REF!</definedName>
    <definedName name="AREA_Stairs__step_200mm___Ceramic_Floor_tile_FF05">#REF!</definedName>
    <definedName name="AREA_STRUT_RAFT">#REF!</definedName>
    <definedName name="AREA_Studio_2_burner_hob">#REF!</definedName>
    <definedName name="AREA_Studio_balcony">#REF!</definedName>
    <definedName name="AREA_Studio_bath_tub">#REF!</definedName>
    <definedName name="AREA_Studio_bath_tub_mixer">#REF!</definedName>
    <definedName name="AREA_Studio_Bathroom">#REF!</definedName>
    <definedName name="AREA_Studio_Bedroom">#REF!</definedName>
    <definedName name="AREA_Studio_kitchen_sink">#REF!</definedName>
    <definedName name="AREA_Studio_kitchen_sink_mixer">#REF!</definedName>
    <definedName name="AREA_studio_kitchen_units">#REF!</definedName>
    <definedName name="AREA_Studio_mirror">#REF!</definedName>
    <definedName name="AREA_Studio_NIA">#REF!</definedName>
    <definedName name="AREA_Studio_vanitys">#REF!</definedName>
    <definedName name="AREA_Studio_wardrobe">#REF!</definedName>
    <definedName name="AREA_Studio_Wash_basin">#REF!</definedName>
    <definedName name="AREA_Studio_Wash_basin_mixer">#REF!</definedName>
    <definedName name="AREA_Studio_Washing_machine">#REF!</definedName>
    <definedName name="AREA_Studio_WC">#REF!</definedName>
    <definedName name="AREA_T.C._A_01AF">#REF!</definedName>
    <definedName name="AREA_T.C._A_01F___U01">#REF!</definedName>
    <definedName name="AREA_T.C._A_01F___U02">#REF!</definedName>
    <definedName name="AREA_T.C._A_01F___U03">#REF!</definedName>
    <definedName name="AREA_T.C._A_01F___U04">#REF!</definedName>
    <definedName name="AREA_T.C._A_01F___U05">#REF!</definedName>
    <definedName name="AREA_T.C._A_01F___U06">#REF!</definedName>
    <definedName name="AREA_T.C._A_02F___04F___U01">#REF!</definedName>
    <definedName name="AREA_T.C._A_02F___04F___U02">#REF!</definedName>
    <definedName name="AREA_T.C._A_02F___04F___U03">#REF!</definedName>
    <definedName name="AREA_T.C._A_02F___04F___U04">#REF!</definedName>
    <definedName name="AREA_T.C._A_02F___04F___U06">#REF!</definedName>
    <definedName name="AREA_T.C._A_03F___U01">#REF!</definedName>
    <definedName name="AREA_T.C._A_03F___U02">#REF!</definedName>
    <definedName name="AREA_T.C._A_03F___U03">#REF!</definedName>
    <definedName name="AREA_T.C._A_03F___U04">#REF!</definedName>
    <definedName name="AREA_T.C._A_03F___U05">#REF!</definedName>
    <definedName name="AREA_T.C._A_03F___U06">#REF!</definedName>
    <definedName name="AREA_T.C._A_05F___U01">#REF!</definedName>
    <definedName name="AREA_T.C._A_05F___U02">#REF!</definedName>
    <definedName name="AREA_T.C._A_05F___U03">#REF!</definedName>
    <definedName name="AREA_T.C._A_05F___U04">#REF!</definedName>
    <definedName name="AREA_T.C._A_05F___U05">#REF!</definedName>
    <definedName name="AREA_T.C._A_05F___U06">#REF!</definedName>
    <definedName name="AREA_T.C._A_06F___U01">#REF!</definedName>
    <definedName name="AREA_T.C._A_06F___U02">#REF!</definedName>
    <definedName name="AREA_T.C._A_06F___U03">#REF!</definedName>
    <definedName name="AREA_T.C._A_06F___U04">#REF!</definedName>
    <definedName name="AREA_T.C._A_06F___U06">#REF!</definedName>
    <definedName name="AREA_T.C._A_07F___U01">#REF!</definedName>
    <definedName name="AREA_T.C._A_07F___U02">#REF!</definedName>
    <definedName name="AREA_T.C._A_07F___U03">#REF!</definedName>
    <definedName name="AREA_T.C._A_07F___U04">#REF!</definedName>
    <definedName name="AREA_T.C._A_07F___U05">#REF!</definedName>
    <definedName name="AREA_T.C._A_07F___U06">#REF!</definedName>
    <definedName name="AREA_T.C._A_08f___10F___U01">#REF!</definedName>
    <definedName name="AREA_T.C._A_08f___10F___U02">#REF!</definedName>
    <definedName name="AREA_T.C._A_08f___10F___U03">#REF!</definedName>
    <definedName name="AREA_T.C._A_08f___10F___U04">#REF!</definedName>
    <definedName name="AREA_T.C._A_08f___10F___U06">#REF!</definedName>
    <definedName name="AREA_T.C._A_09F___U01">#REF!</definedName>
    <definedName name="AREA_T.C._A_09F___U02">#REF!</definedName>
    <definedName name="AREA_T.C._A_09F___U03">#REF!</definedName>
    <definedName name="AREA_T.C._A_09F___U04">#REF!</definedName>
    <definedName name="AREA_T.C._A_09F___U05">#REF!</definedName>
    <definedName name="AREA_T.C._A_09F___U06">#REF!</definedName>
    <definedName name="AREA_T.C._A_11F___U01">#REF!</definedName>
    <definedName name="AREA_T.C._A_11F___U02">#REF!</definedName>
    <definedName name="AREA_T.C._A_11F___U03">#REF!</definedName>
    <definedName name="AREA_T.C._A_11F___U04">#REF!</definedName>
    <definedName name="AREA_T.C._A_11F___U05">#REF!</definedName>
    <definedName name="AREA_T.C._A_11F___U06">#REF!</definedName>
    <definedName name="AREA_T.C._A_12F___U01">#REF!</definedName>
    <definedName name="AREA_T.C._A_12F___U02">#REF!</definedName>
    <definedName name="AREA_T.C._A_12F___U03">#REF!</definedName>
    <definedName name="AREA_T.C._A_12F___U04">#REF!</definedName>
    <definedName name="AREA_T.C._A_12F___U06">#REF!</definedName>
    <definedName name="AREA_T.C._A_31F___U01">#REF!</definedName>
    <definedName name="AREA_T.C._A_31F___U02">#REF!</definedName>
    <definedName name="AREA_T.C._A_31F___U03">#REF!</definedName>
    <definedName name="AREA_T.C._A_31F___U04">#REF!</definedName>
    <definedName name="AREA_T.C._B_GF___main_entrance">#REF!</definedName>
    <definedName name="AREA_T.C._B_GF___near_escape_corridor">#REF!</definedName>
    <definedName name="AREA_T.C._B_GF___near_ramp">#REF!</definedName>
    <definedName name="AREA_T.C._B_GF___near_tech._area">#REF!</definedName>
    <definedName name="AREA_T.C._B_GF___stair_3">#REF!</definedName>
    <definedName name="AREA_T.U._A_01AF">#REF!</definedName>
    <definedName name="AREA_T.U._A_01AF___swimming_pool">#REF!</definedName>
    <definedName name="AREA_T.U._A_07F___U03">#REF!</definedName>
    <definedName name="AREA_T.U._A_07F___U04">#REF!</definedName>
    <definedName name="AREA_T.U._A_31F___U02">#REF!</definedName>
    <definedName name="AREA_T.U._A_31F___U05">#REF!</definedName>
    <definedName name="AREA_T.U._A_32F___U01">#REF!</definedName>
    <definedName name="AREA_T.U._A_32F___U02">#REF!</definedName>
    <definedName name="AREA_T.U._A_32F___U03">#REF!</definedName>
    <definedName name="AREA_T.U._A_32F___U04">#REF!</definedName>
    <definedName name="AREA_T.U._A_33F__">#REF!</definedName>
    <definedName name="AREA_T.U._A_35uRF__">#REF!</definedName>
    <definedName name="AREA_T.U._B_GF___external_double_volume">#REF!</definedName>
    <definedName name="AREA_T.U._B_GF___external_driveway">#REF!</definedName>
    <definedName name="AREA_T.U._B_GF___external_ramp">#REF!</definedName>
    <definedName name="AREA_T.U._B_GF___external_sidewalk">#REF!</definedName>
    <definedName name="AREA_T.U._B_GF___external_stair">#REF!</definedName>
    <definedName name="AREA_T.U._B_GF___external_stair___ramp">#REF!</definedName>
    <definedName name="AREA_T.U._B_P2F__waterfall">#REF!</definedName>
    <definedName name="AREA_Test_Length">#REF!</definedName>
    <definedName name="AREA_TH__L02__Column_500_x_1000">#REF!</definedName>
    <definedName name="AREA_TH__L02__Column_500_x_1100">#REF!</definedName>
    <definedName name="AREA_TH__L02__Column_500_x_1200">#REF!</definedName>
    <definedName name="AREA_TH__L02__TW1_250">#REF!</definedName>
    <definedName name="AREA_TH__L03__Column_500_x_1000">#REF!</definedName>
    <definedName name="AREA_TH__L03__Column_500_x_1100">#REF!</definedName>
    <definedName name="AREA_TH__L03__Column_500_x_1200">#REF!</definedName>
    <definedName name="AREA_TH__L03__TW1_250">#REF!</definedName>
    <definedName name="AREA_TH_L02_Beams">#REF!</definedName>
    <definedName name="AREA_TH_L02_Slab_200">#REF!</definedName>
    <definedName name="AREA_TH_L02_Slab_250">#REF!</definedName>
    <definedName name="AREA_TH_L02_Slab_300">#REF!</definedName>
    <definedName name="AREA_TH_L03_Beams">#REF!</definedName>
    <definedName name="AREA_TH_L03_Slab_250">#REF!</definedName>
    <definedName name="AREA_TH2_V2__Shared_Unit_1_2____1000g_Polystyrene_Sheet_to_Footing">#REF!</definedName>
    <definedName name="AREA_TH2_V2__Shared_Unit_1_2____200mm_thk_Suitable_Well_Graded_Compacted_Materiall_90__to_footing">#REF!</definedName>
    <definedName name="AREA_TH2_V2__Shared_Unit_1_2____50mm_thk_PCC_to_Footing">#REF!</definedName>
    <definedName name="AREA_TH2_V2__Shared_Unit_1_2____Excavation_to_Footing">#REF!</definedName>
    <definedName name="AREA_TH2_V2__Shared_Unit_1_2____Soil_Compaction_to_Footing">#REF!</definedName>
    <definedName name="AREA_TH2_V2__Shared_Unit_1_2___Concrete_to_Beams__FF">#REF!</definedName>
    <definedName name="AREA_TH2_V2__Shared_Unit_1_2___Concrete_to_Beams_GF">#REF!</definedName>
    <definedName name="AREA_TH2_V2__Shared_Unit_1_2___Concrete_to_Colum_FF">#REF!</definedName>
    <definedName name="AREA_TH2_V2__Shared_Unit_1_2___Concrete_to_Column_below_grade">#REF!</definedName>
    <definedName name="AREA_TH2_V2__Shared_Unit_1_2___Concrete_to_Column_GF">#REF!</definedName>
    <definedName name="AREA_TH2_V2__Shared_Unit_1_2___Concrete_to_Column_RF">#REF!</definedName>
    <definedName name="AREA_TH2_V2__Shared_Unit_1_2___Concrete_to_Footing">#REF!</definedName>
    <definedName name="AREA_TH2_V2__Shared_Unit_1_2___Concrete_to_Grade_Beam">#REF!</definedName>
    <definedName name="AREA_TH2_V2__Shared_Unit_1_2___Concrete_to_ST_Beams">#REF!</definedName>
    <definedName name="AREA_TH2_V2__Shared_Unit_1_2___Excavation_to_ST_Beam">#REF!</definedName>
    <definedName name="AREA_TH2_V2__Shared_Unit_1_2___Formworks_to_Sides_of_Beams_FF">#REF!</definedName>
    <definedName name="AREA_TH2_V2__Shared_Unit_1_2___Formworks_to_Sides_of_Beams_GF">#REF!</definedName>
    <definedName name="AREA_TH2_V2__Shared_Unit_1_2___Formworks_to_Sides_of_Colum___Copy">#REF!</definedName>
    <definedName name="AREA_TH2_V2__Shared_Unit_1_2___Formworks_to_Sides_of_Column_GF">#REF!</definedName>
    <definedName name="AREA_TH2_V2__Shared_Unit_1_2___Formworks_to_Sides_of_Column_RF">#REF!</definedName>
    <definedName name="AREA_TH2_V2__Shared_Unit_1_2___Formworks_to_Sides_of_Columns">#REF!</definedName>
    <definedName name="AREA_TH2_V2__Shared_Unit_1_2___Formworks_to_Sides_of_Grade_Beams">#REF!</definedName>
    <definedName name="AREA_TH2_V2__Shared_Unit_1_2___Formworks_to_Soffit_of_Beams_FF">#REF!</definedName>
    <definedName name="AREA_TH2_V2__Shared_Unit_1_2___Formworks_to_Soffit_of_Beams_GF">#REF!</definedName>
    <definedName name="AREA_TH2_V2__Shared_Unit_1_2___Formworks_to_Soffit_of_Grade_Beams">#REF!</definedName>
    <definedName name="AREA_TH2_V2__Shared_Unit_1_2___Reinforcement_to_Column">#REF!</definedName>
    <definedName name="AREA_TH2_V2__Shared_Unit_1_2___Reinforcement_to_Footing">#REF!</definedName>
    <definedName name="AREA_TH2_V2__Unit_1____1000g_polystyrene_Sheet_to_footing">#REF!</definedName>
    <definedName name="AREA_TH2_V2__Unit_1____200_thk._Suitable_Well_Graded_Compacted_Materials_to_Footing">#REF!</definedName>
    <definedName name="AREA_TH2_V2__Unit_1____50_mm_thk_PCC_to_footing">#REF!</definedName>
    <definedName name="AREA_TH2_V2__Unit_1____Excavation_to_Footing">#REF!</definedName>
    <definedName name="AREA_TH2_V2__Unit_1____Soil_Compaction_to_Footing">#REF!</definedName>
    <definedName name="AREA_TH2_V2__Unit_1___Compacted_Soil_95__ready_to_receive_pavers">#REF!</definedName>
    <definedName name="AREA_TH2_V2__Unit_1___Concrete_to_Beams_FF">#REF!</definedName>
    <definedName name="AREA_TH2_V2__Unit_1___Concrete_to_Beams_GF">#REF!</definedName>
    <definedName name="AREA_TH2_V2__Unit_1___Concrete_to_Column_below_grade">#REF!</definedName>
    <definedName name="AREA_TH2_V2__Unit_1___Concrete_to_Column_FF">#REF!</definedName>
    <definedName name="AREA_TH2_V2__Unit_1___Concrete_to_Column_GF">#REF!</definedName>
    <definedName name="AREA_TH2_V2__Unit_1___Concrete_to_Column_RF">#REF!</definedName>
    <definedName name="AREA_TH2_V2__Unit_1___Concrete_to_entry_slabs">#REF!</definedName>
    <definedName name="AREA_TH2_V2__Unit_1___Concrete_to_Footing">#REF!</definedName>
    <definedName name="AREA_TH2_V2__Unit_1___Concrete_to_Grade_Beams">#REF!</definedName>
    <definedName name="AREA_TH2_V2__Unit_1___Concrete_to_Grade_Slab">#REF!</definedName>
    <definedName name="AREA_TH2_V2__Unit_1___Concrete_to_Roof">#REF!</definedName>
    <definedName name="AREA_TH2_V2__Unit_1___Concrete_to_Roof_Slab_GF">#REF!</definedName>
    <definedName name="AREA_TH2_V2__Unit_1___Concrete_to_ST_Beams">#REF!</definedName>
    <definedName name="AREA_TH2_V2__Unit_1___Concrete_to_steps">#REF!</definedName>
    <definedName name="AREA_TH2_V2__Unit_1___Concrete_to_Suspended_Slab_GF">#REF!</definedName>
    <definedName name="AREA_TH2_V2__Unit_1___Concrete_to_Suspended_Slabs_FF">#REF!</definedName>
    <definedName name="AREA_TH2_V2__Unit_1___Concrete_to_terrace_slabs">#REF!</definedName>
    <definedName name="AREA_TH2_V2__Unit_1___Excavation_to_Footing">#REF!</definedName>
    <definedName name="AREA_TH2_V2__Unit_1___Excavation_to_ST_Beams">#REF!</definedName>
    <definedName name="AREA_TH2_V2__Unit_1___Formworks_to_Roof">#REF!</definedName>
    <definedName name="AREA_TH2_V2__Unit_1___Formworks_to_Roof_Slab_GF">#REF!</definedName>
    <definedName name="AREA_TH2_V2__Unit_1___Formworks_to_Sides_Beams_FF">#REF!</definedName>
    <definedName name="AREA_TH2_V2__Unit_1___Formworks_to_Sides_of_Beams_GF">#REF!</definedName>
    <definedName name="AREA_TH2_V2__Unit_1___Formworks_to_Sides_of_Column">#REF!</definedName>
    <definedName name="AREA_TH2_V2__Unit_1___Formworks_to_Sides_of_Column_FF___Copy">#REF!</definedName>
    <definedName name="AREA_TH2_V2__Unit_1___Formworks_to_Sides_of_Column_RF">#REF!</definedName>
    <definedName name="AREA_TH2_V2__Unit_1___Formworks_to_Sides_of_Columns_GF">#REF!</definedName>
    <definedName name="AREA_TH2_V2__Unit_1___Formworks_to_Sides_of_Grade_Beams">#REF!</definedName>
    <definedName name="AREA_TH2_V2__Unit_1___Formworks_to_Soffit_of_Beams_FF">#REF!</definedName>
    <definedName name="AREA_TH2_V2__Unit_1___Formworks_to_Soffit_of_Beams_GF">#REF!</definedName>
    <definedName name="AREA_TH2_V2__Unit_1___Formworks_to_Soffit_of_Grade_Beams">#REF!</definedName>
    <definedName name="AREA_TH2_V2__Unit_1___Formworks_to_Suspended_Slab__FF">#REF!</definedName>
    <definedName name="AREA_TH2_V2__Unit_1___Formworks_to_Suspended_Slab_GF">#REF!</definedName>
    <definedName name="AREA_TH2_V2__Unit_1___Reinforcement_to_Column_below_grade">#REF!</definedName>
    <definedName name="AREA_TH2_V2__Unit_1___Reinforcement_to_Footing">#REF!</definedName>
    <definedName name="AREA_TH2_V2__Unit_1___Reinforcement_to_ST_Beams">#REF!</definedName>
    <definedName name="AREA_TH2_V2__Unit_2____1000g_Polystyrene_to_Footing">#REF!</definedName>
    <definedName name="AREA_TH2_V2__Unit_2____200_mm_thk_Suitable_Well_Graded_Compacted_Materials_to_Footing">#REF!</definedName>
    <definedName name="AREA_TH2_V2__Unit_2____50_mm_thk_PCC_to_Footing">#REF!</definedName>
    <definedName name="AREA_TH2_V2__Unit_2____Excavation_to_Footing">#REF!</definedName>
    <definedName name="AREA_TH2_V2__Unit_2____Soil_Compaction_to_Footing">#REF!</definedName>
    <definedName name="AREA_TH2_V2__Unit_2___Compacted_Soil_95__ready_t_o_receive_pavers">#REF!</definedName>
    <definedName name="AREA_TH2_V2__Unit_2___Concrete_to_Beams_FF">#REF!</definedName>
    <definedName name="AREA_TH2_V2__Unit_2___Concrete_to_Beams_GF">#REF!</definedName>
    <definedName name="AREA_TH2_V2__Unit_2___Concrete_to_Column_below_grade">#REF!</definedName>
    <definedName name="AREA_TH2_V2__Unit_2___Concrete_to_Column_FF">#REF!</definedName>
    <definedName name="AREA_TH2_V2__Unit_2___Concrete_to_Column_RF">#REF!</definedName>
    <definedName name="AREA_TH2_V2__Unit_2___Concrete_to_Columns_GF">#REF!</definedName>
    <definedName name="AREA_TH2_V2__Unit_2___Concrete_to_entry_slabs">#REF!</definedName>
    <definedName name="AREA_TH2_V2__Unit_2___Concrete_to_Footing">#REF!</definedName>
    <definedName name="AREA_TH2_V2__UNit_2___Concrete_to_Grade_Beam">#REF!</definedName>
    <definedName name="AREA_TH2_V2__Unit_2___Concrete_to_Grade_Slab">#REF!</definedName>
    <definedName name="AREA_TH2_V2__Unit_2___Concrete_to_Roof">#REF!</definedName>
    <definedName name="AREA_TH2_V2__Unit_2___Concrete_to_Roof_Slab_GF">#REF!</definedName>
    <definedName name="AREA_TH2_V2__Unit_2___Concrete_to_ST_Beams">#REF!</definedName>
    <definedName name="AREA_TH2_V2__Unit_2___Concrete_to_steps">#REF!</definedName>
    <definedName name="AREA_TH2_V2__Unit_2___Concrete_to_Suspended_Slab__FF">#REF!</definedName>
    <definedName name="AREA_TH2_V2__Unit_2___Concrete_to_Suspended_Slab_GF">#REF!</definedName>
    <definedName name="AREA_TH2_V2__Unit_2___Concrete_to_terrace_slabs">#REF!</definedName>
    <definedName name="AREA_TH2_V2__Unit_2___Excavation_to_Footing">#REF!</definedName>
    <definedName name="AREA_TH2_V2__Unit_2___Excavation_to_ST_Beams">#REF!</definedName>
    <definedName name="AREA_TH2_V2__Unit_2___Formworks_to_Roof">#REF!</definedName>
    <definedName name="AREA_TH2_V2__Unit_2___Formworks_to_Roof_Slab_GF">#REF!</definedName>
    <definedName name="AREA_TH2_V2__Unit_2___Formworks_to_Sides_of_Beams_FF">#REF!</definedName>
    <definedName name="AREA_TH2_V2__Unit_2___Formworks_to_Sides_of_Beams_GF">#REF!</definedName>
    <definedName name="AREA_TH2_V2__Unit_2___Formworks_to_Sides_of_Column">#REF!</definedName>
    <definedName name="AREA_TH2_V2__Unit_2___Formworks_to_Sides_of_Column_FF___Copy">#REF!</definedName>
    <definedName name="AREA_TH2_V2__Unit_2___Formworks_to_Sides_of_Column_RF">#REF!</definedName>
    <definedName name="AREA_TH2_V2__Unit_2___Formworks_to_Sides_of_Columns_GF">#REF!</definedName>
    <definedName name="AREA_TH2_V2__UNit_2___Formworks_to_Sides_of_Grade_Beam">#REF!</definedName>
    <definedName name="AREA_TH2_V2__Unit_2___Formworks_to_Soffit_of_Beam_FF">#REF!</definedName>
    <definedName name="AREA_TH2_V2__Unit_2___Formworks_to_Soffit_of_Beams_GF">#REF!</definedName>
    <definedName name="AREA_TH2_V2__UNit_2___Formworks_to_Soffit_of_Grade_Beam">#REF!</definedName>
    <definedName name="AREA_TH2_V2__Unit_2___Formworks_to_Suspended_Slab_FF">#REF!</definedName>
    <definedName name="AREA_TH2_V2__Unit_2___Formworks_to_Suspended_Slab_GF">#REF!</definedName>
    <definedName name="AREA_TH2_V2__Unit_2___Reinforcement_to_Column_below_grade">#REF!</definedName>
    <definedName name="AREA_TH2_V2__Unit_2___Reinforcement_to_Footing">#REF!</definedName>
    <definedName name="AREA_TH2_V2__Unit_2__Reinforcement_to_ST_Beams">#REF!</definedName>
    <definedName name="AREA_TH2_V2__units_1___Blockworks_100mm_thick">#REF!</definedName>
    <definedName name="AREA_TH2_V2__units_1___Blockworks_BW_1">#REF!</definedName>
    <definedName name="AREA_TH2_V2__units_1___Blockworks_BW_2">#REF!</definedName>
    <definedName name="AREA_TH2_V2__units_1___Blockworks_BW_3">#REF!</definedName>
    <definedName name="AREA_TH2_V2__units_1___Blockworks_BW_3_External">#REF!</definedName>
    <definedName name="AREA_TH2_V2__units_1___Blockworks_BW_4">#REF!</definedName>
    <definedName name="AREA_TH2_V2__units_1___Ceiling_Finishes__390mm_high_BH">#REF!</definedName>
    <definedName name="AREA_TH2_V2__units_1___Ceiling_Finishes__450mm_high_BH">#REF!</definedName>
    <definedName name="AREA_TH2_V2__units_1___Ceiling_Finishes__460mm_high_BH">#REF!</definedName>
    <definedName name="AREA_TH2_V2__units_1___Ceiling_Finishes__490mm_high_BH">#REF!</definedName>
    <definedName name="AREA_TH2_V2__units_1___Ceiling_Finishes__560mm_high_BH">#REF!</definedName>
    <definedName name="AREA_TH2_V2__units_1___Ceiling_Finishes_Plaster_w__Paint__Moisture_">#REF!</definedName>
    <definedName name="AREA_TH2_V2__units_1___Ceiling_Finishes_Plaster_w__Paint_PF01">#REF!</definedName>
    <definedName name="AREA_TH2_V2__units_1___Ceiling_Finishes_Plasterboard_w__Paint_PF01">#REF!</definedName>
    <definedName name="AREA_TH2_V2__units_1___Ceiling_Finishes_Plasterboard_w__Paint_PF02">#REF!</definedName>
    <definedName name="AREA_TH2_V2__units_1___Floor_Finishes_Ceramic_Tiles">#REF!</definedName>
    <definedName name="AREA_TH2_V2__units_1___Floor_Finishes_FF01">#REF!</definedName>
    <definedName name="AREA_TH2_V2__units_1___Floor_Finishes_FF03">#REF!</definedName>
    <definedName name="AREA_TH2_V2__units_1___Floor_Finishes_Interlock">#REF!</definedName>
    <definedName name="AREA_TH2_V2__units_1___Floor_Finishes_Pavers">#REF!</definedName>
    <definedName name="AREA_TH2_V2__units_1___Floor_Finishes_Pavers_Kerbs">#REF!</definedName>
    <definedName name="AREA_TH2_V2__units_1___Floor_Finishes_Screed_only">#REF!</definedName>
    <definedName name="AREA_TH2_V2__units_1___Handrail__1100mm_high">#REF!</definedName>
    <definedName name="AREA_TH2_V2__units_1___Roof_Finishes_Precast_Concrete">#REF!</definedName>
    <definedName name="AREA_TH2_V2__units_1___Roof_Finishes_Waterproofing_w__Paint">#REF!</definedName>
    <definedName name="AREA_TH2_V2__units_1___Skirting_External">#REF!</definedName>
    <definedName name="AREA_TH2_V2__units_1___Skirting_FF01">#REF!</definedName>
    <definedName name="AREA_TH2_V2__units_1___Staircase_Finishes_FF05">#REF!</definedName>
    <definedName name="AREA_TH2_V2__units_1___Type_AL_01__1000_x_2100mm_high">#REF!</definedName>
    <definedName name="AREA_TH2_V2__units_1___Type_AL_02__600_x_1350mm_high">#REF!</definedName>
    <definedName name="AREA_TH2_V2__units_1___Type_AL_03__350_x_1350mm_high">#REF!</definedName>
    <definedName name="AREA_TH2_V2__units_1___Type_AL_04__800_x_1350mm_high">#REF!</definedName>
    <definedName name="AREA_TH2_V2__units_1___Type_D_01__1100_x_2400mm_high">#REF!</definedName>
    <definedName name="AREA_TH2_V2__units_1___Type_D_02__900_x_2200mm_high">#REF!</definedName>
    <definedName name="AREA_TH2_V2__units_1___Type_D_03__850_x_2200mm_high">#REF!</definedName>
    <definedName name="AREA_TH2_V2__units_1___Type_D_03__850_x_2200mm_high_Internal">#REF!</definedName>
    <definedName name="AREA_TH2_V2__units_1___Type_D_04__900_x_2200mm_high">#REF!</definedName>
    <definedName name="AREA_TH2_V2__units_1___Type_GL_01__750_x_1250mm_high">#REF!</definedName>
    <definedName name="AREA_TH2_V2__units_1___Type_GL_02__600_x_1250mm_high">#REF!</definedName>
    <definedName name="AREA_TH2_V2__units_1___Type_GL_03__2225_x_3750mm_high__corner">#REF!</definedName>
    <definedName name="AREA_TH2_V2__units_1___Type_GL_04__2200_x_2700mm_high">#REF!</definedName>
    <definedName name="AREA_TH2_V2__units_1___Type_GL_05__2700_x_2550mm_high__corner">#REF!</definedName>
    <definedName name="AREA_TH2_V2__units_1___Type_GL_06__1400_x_1250mm_high">#REF!</definedName>
    <definedName name="AREA_TH2_V2__units_1___Type_GL_16__2400_x_2400mm_high__corner">#REF!</definedName>
    <definedName name="AREA_TH2_V2__units_1___Type_GL_17__750_x_2550mm_high">#REF!</definedName>
    <definedName name="AREA_TH2_V2__units_1___Type_GL_18__750_x_2100mm_high">#REF!</definedName>
    <definedName name="AREA_TH2_V2__units_1___Type_GL_19__700_x_1250mm_high">#REF!</definedName>
    <definedName name="AREA_TH2_V2__units_1___Type_GL_20__2850_x_2400mm_high">#REF!</definedName>
    <definedName name="AREA_TH2_V2__units_1___Type_GL_21__1400_x_2400mm_high">#REF!</definedName>
    <definedName name="AREA_TH2_V2__units_1___Type_GL_22__900_x_2200mm_high">#REF!</definedName>
    <definedName name="AREA_TH2_V2__units_1___Type_GL_23__1900_x_2700mm_high">#REF!</definedName>
    <definedName name="AREA_TH2_V2__units_1___Wall_Finishes_PF03">#REF!</definedName>
    <definedName name="AREA_TH2_V2__units_1___Wall_Finishes_PF04">#REF!</definedName>
    <definedName name="AREA_TH2_V2__units_1___Wall_Finishes_Plaster_w__paint">#REF!</definedName>
    <definedName name="AREA_TH2_V2__units_1___Wall_Finishes_Plaster_w__paint__dark_">#REF!</definedName>
    <definedName name="AREA_TH2_V2__units_1___Wall_Finishes_SS">#REF!</definedName>
    <definedName name="AREA_TH2_V2__units_1___Wall_Finishes_WF01">#REF!</definedName>
    <definedName name="AREA_TH2_V2__units_1___Wall_Finishes_WF02">#REF!</definedName>
    <definedName name="AREA_TH2_V2__units_1___Wall_Finishes_WF03">#REF!</definedName>
    <definedName name="AREA_TH2_V2__units_1___Wall_Finishes_WF04">#REF!</definedName>
    <definedName name="AREA_TH2_V2__units_1___Wall_Finishes_WF05">#REF!</definedName>
    <definedName name="AREA_TH2_V2__units_1___Wall_Finishes_WF06">#REF!</definedName>
    <definedName name="AREA_TH2_V2__units_1___Wall_Finishes_WF07">#REF!</definedName>
    <definedName name="AREA_TH2_V2__units_1___Wall_Finishes_WF08">#REF!</definedName>
    <definedName name="AREA_TH2_V2__units_1___Wall_Insulation">#REF!</definedName>
    <definedName name="AREA_TH2_V2__units_1___Waterproofing_to_walls">#REF!</definedName>
    <definedName name="AREA_TH2_V2__units_1___Waterproofing_to_wet_areas">#REF!</definedName>
    <definedName name="AREA_Trees___Around_Perimeter">#REF!</definedName>
    <definedName name="AREA_Trees___Inside_Plot">#REF!</definedName>
    <definedName name="AREA_TYPICAL__ADDL_SLAB">#REF!</definedName>
    <definedName name="AREA_TYPICAL__HEB_100">#REF!</definedName>
    <definedName name="AREA_TYPICAL__HEB_160">#REF!</definedName>
    <definedName name="AREA_TYPICAL__L_150x150x15">#REF!</definedName>
    <definedName name="AREA_TYPICAL__MEP_FLOOR">#REF!</definedName>
    <definedName name="AREA_Unallocated_Rooms">#REF!</definedName>
    <definedName name="AREA_uPVC_Sewage_Pipe_1F">#REF!</definedName>
    <definedName name="AREA_uPVC_Sewage_Pipe_GF">#REF!</definedName>
    <definedName name="AREA_uPVC_Waste_Pipe_1F">#REF!</definedName>
    <definedName name="AREA_uPVC_Waste_Pipe_1F_collection">#REF!</definedName>
    <definedName name="AREA_uPVC_Waste_Pipe_GF">#REF!</definedName>
    <definedName name="AREA_uPVC_Waste_Pipe_GF_Collection">#REF!</definedName>
    <definedName name="AREA_Water_Feature">#REF!</definedName>
    <definedName name="AREA_Water_Hammer_Arrestor">#REF!</definedName>
    <definedName name="AREA_Water_jets">#REF!</definedName>
    <definedName name="area1">#REF!</definedName>
    <definedName name="area2">#REF!</definedName>
    <definedName name="areabroad" localSheetId="1">#REF!</definedName>
    <definedName name="areabroad">#REF!</definedName>
    <definedName name="areaC">#REF!</definedName>
    <definedName name="areacentral" localSheetId="1">#REF!</definedName>
    <definedName name="areacentral">#REF!</definedName>
    <definedName name="AREAEC" localSheetId="1">#REF!</definedName>
    <definedName name="AREAEC">#REF!</definedName>
    <definedName name="areaencentre" localSheetId="1">#REF!</definedName>
    <definedName name="areaencentre">#REF!</definedName>
    <definedName name="areafins">#REF!</definedName>
    <definedName name="areaM">#REF!</definedName>
    <definedName name="areas" localSheetId="1">#REF!</definedName>
    <definedName name="areas">#REF!</definedName>
    <definedName name="AREAS_1">"#REF!"</definedName>
    <definedName name="AREAS_2">"#REF!"</definedName>
    <definedName name="AREAS_3">"#REF!"</definedName>
    <definedName name="AREAS_4">"#REF!"</definedName>
    <definedName name="AREAS_CA_CANOPY__WAREHOUSE">#REF!</definedName>
    <definedName name="AREAS_CB_Canteen_Building" localSheetId="1">#REF!</definedName>
    <definedName name="AREAS_CB_Canteen_Building">#REF!</definedName>
    <definedName name="AREAS_CIPT_Tanker_CIP_Shed" localSheetId="1">#REF!</definedName>
    <definedName name="AREAS_CIPT_Tanker_CIP_Shed">#REF!</definedName>
    <definedName name="AREAS_CLRR_Contract_Labour_Rest_Room">#REF!</definedName>
    <definedName name="AREAS_CS_Chemical_Store">#REF!</definedName>
    <definedName name="AREAS_ETPC_ETP_Civil_Works">#REF!</definedName>
    <definedName name="AREAS_EX_EXTERNAL_WORKS">#REF!</definedName>
    <definedName name="AREAS_FC_Farmer_s_Conference">#REF!</definedName>
    <definedName name="AREAS_FU_Fumigation">#REF!</definedName>
    <definedName name="AREAS_GA_General_Area___Overall">#REF!</definedName>
    <definedName name="AREAS_GP_Guard_Posts">#REF!</definedName>
    <definedName name="AREAS_LS_LubeOil_Stores">#REF!</definedName>
    <definedName name="AREAS_MR_TB_Milk_Reception_Tanker_s_Bay">#REF!</definedName>
    <definedName name="AREAS_MTF_Milk_Tank_Foundations">#REF!</definedName>
    <definedName name="AREAS_PB_PROCESS_BUILDING">#REF!</definedName>
    <definedName name="AREAS_PR_Pipe_Racks">#REF!</definedName>
    <definedName name="AREAS_SR_2_Security_Room___2">#REF!</definedName>
    <definedName name="AREAS_SR_3_Store_Room">#REF!</definedName>
    <definedName name="AREAS_ST_Stacks_near_Utility_Buildings">#REF!</definedName>
    <definedName name="AREAS_SY_Scrap_Yard">#REF!</definedName>
    <definedName name="AREAS_TWW_Truck_Wheel_Wash">#REF!</definedName>
    <definedName name="AREAS_TY_Transformer_Yard">#REF!</definedName>
    <definedName name="AREAS_UB_UTILITY_BLOCK">#REF!</definedName>
    <definedName name="AREAS_WH_Ware_House_Area">#REF!</definedName>
    <definedName name="AREAS1">#REF!</definedName>
    <definedName name="Areas2">#REF!</definedName>
    <definedName name="areas2_1">NA()</definedName>
    <definedName name="areas2_2">NA()</definedName>
    <definedName name="AREASCASINO">#REF!</definedName>
    <definedName name="AREASCASINOWIDE" localSheetId="1">#REF!</definedName>
    <definedName name="AREASCASINOWIDE">#REF!</definedName>
    <definedName name="AreaSplit">#REF!</definedName>
    <definedName name="areastampa" localSheetId="1">#REF!,#REF!,#REF!</definedName>
    <definedName name="areastampa">#REF!,#REF!,#REF!</definedName>
    <definedName name="areatop2" localSheetId="1">#REF!</definedName>
    <definedName name="areatop2">#REF!</definedName>
    <definedName name="areawc2" localSheetId="1">#REF!</definedName>
    <definedName name="areawc2">#REF!</definedName>
    <definedName name="areawc3">#REF!</definedName>
    <definedName name="arf">#N/A</definedName>
    <definedName name="arif" localSheetId="1">#REF!</definedName>
    <definedName name="arif">#REF!</definedName>
    <definedName name="ariseew" localSheetId="1" hidden="1">#REF!</definedName>
    <definedName name="ariseew" hidden="1">#REF!</definedName>
    <definedName name="Arm_H_BK" localSheetId="1">#REF!</definedName>
    <definedName name="Arm_H_BK">#REF!</definedName>
    <definedName name="array">#REF!</definedName>
    <definedName name="Arshad">#REF!</definedName>
    <definedName name="Arshad1">#REF!</definedName>
    <definedName name="Arshad123">#REF!</definedName>
    <definedName name="arshad1234">#REF!</definedName>
    <definedName name="Arshad123456789">#REF!</definedName>
    <definedName name="Arshad567">#REF!</definedName>
    <definedName name="ARTJNHBGVF">#REF!</definedName>
    <definedName name="aruna">#REF!</definedName>
    <definedName name="Arup_Gulf_Ltd" localSheetId="1">#REF!</definedName>
    <definedName name="Arup_Gulf_Ltd">#REF!</definedName>
    <definedName name="arvind" localSheetId="1" hidden="1">{#N/A,#N/A,FALSE,"VARIATIONS";#N/A,#N/A,FALSE,"BUDGET";#N/A,#N/A,FALSE,"CIVIL QNTY VAR";#N/A,#N/A,FALSE,"SUMMARY";#N/A,#N/A,FALSE,"MATERIAL VAR"}</definedName>
    <definedName name="arvind" hidden="1">{#N/A,#N/A,FALSE,"VARIATIONS";#N/A,#N/A,FALSE,"BUDGET";#N/A,#N/A,FALSE,"CIVIL QNTY VAR";#N/A,#N/A,FALSE,"SUMMARY";#N/A,#N/A,FALSE,"MATERIAL VAR"}</definedName>
    <definedName name="a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4">"$#REF!.$#REF!$#REF!"</definedName>
    <definedName name="AS_PER_TALLY_31_09_04_ONYX_List1">#REF!</definedName>
    <definedName name="AS2DocOpenMode">"AS2DocumentEdit"</definedName>
    <definedName name="AS2HasNoAutoHeaderFooter" hidden="1">" "</definedName>
    <definedName name="asa" localSheetId="1" hidden="1">{#N/A,#N/A,FALSE,"COVER1.XLS ";#N/A,#N/A,FALSE,"RACT1.XLS";#N/A,#N/A,FALSE,"RACT2.XLS";#N/A,#N/A,FALSE,"ECCMP";#N/A,#N/A,FALSE,"WELDER.XLS"}</definedName>
    <definedName name="asa">#REF!</definedName>
    <definedName name="asad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ad" localSheetId="1" hidden="1">{#N/A,#N/A,TRUE,"Cover";#N/A,#N/A,TRUE,"Conts";#N/A,#N/A,TRUE,"VOS";#N/A,#N/A,TRUE,"Warrington";#N/A,#N/A,TRUE,"Widnes"}</definedName>
    <definedName name="asadad" hidden="1">{#N/A,#N/A,TRUE,"Cover";#N/A,#N/A,TRUE,"Conts";#N/A,#N/A,TRUE,"VOS";#N/A,#N/A,TRUE,"Warrington";#N/A,#N/A,TRUE,"Widnes"}</definedName>
    <definedName name="asadad_1" localSheetId="1" hidden="1">{#N/A,#N/A,TRUE,"Cover";#N/A,#N/A,TRUE,"Conts";#N/A,#N/A,TRUE,"VOS";#N/A,#N/A,TRUE,"Warrington";#N/A,#N/A,TRUE,"Widnes"}</definedName>
    <definedName name="asadad_1" hidden="1">{#N/A,#N/A,TRUE,"Cover";#N/A,#N/A,TRUE,"Conts";#N/A,#N/A,TRUE,"VOS";#N/A,#N/A,TRUE,"Warrington";#N/A,#N/A,TRUE,"Widnes"}</definedName>
    <definedName name="ASADKHAN">#REF!</definedName>
    <definedName name="ASADKHAN123" localSheetId="1">#REF!</definedName>
    <definedName name="ASADKHAN123">#REF!</definedName>
    <definedName name="ASANI">#N/A</definedName>
    <definedName name="ASAQWSQW">#N/A</definedName>
    <definedName name="asas" localSheetId="1" hidden="1">{"'VO'!$P$64:$S$69"}</definedName>
    <definedName name="asas" hidden="1">{"'VO'!$P$64:$S$69"}</definedName>
    <definedName name="asasas" hidden="1">#REF!</definedName>
    <definedName name="ASASASA">#N/A</definedName>
    <definedName name="asasasas" localSheetId="1" hidden="1">{#N/A,#N/A,FALSE,"MARCH"}</definedName>
    <definedName name="asasasas" hidden="1">{#N/A,#N/A,FALSE,"MARCH"}</definedName>
    <definedName name="asasasda">"#REF!"</definedName>
    <definedName name="ascz" localSheetId="1">#REF!</definedName>
    <definedName name="ascz">#REF!</definedName>
    <definedName name="asd" localSheetId="1" hidden="1">{#N/A,#N/A,TRUE,"Cover";#N/A,#N/A,TRUE,"Conts";#N/A,#N/A,TRUE,"VOS";#N/A,#N/A,TRUE,"Warrington";#N/A,#N/A,TRUE,"Widnes"}</definedName>
    <definedName name="asd" hidden="1">{#N/A,#N/A,TRUE,"Cover";#N/A,#N/A,TRUE,"Conts";#N/A,#N/A,TRUE,"VOS";#N/A,#N/A,TRUE,"Warrington";#N/A,#N/A,TRUE,"Widnes"}</definedName>
    <definedName name="asd123asd">#REF!</definedName>
    <definedName name="asdad">#REF!</definedName>
    <definedName name="asdads" localSheetId="1">#REF!</definedName>
    <definedName name="asdads">#REF!</definedName>
    <definedName name="asdas" localSheetId="1" hidden="1">{#N/A,#N/A,FALSE,"11-NSC"}</definedName>
    <definedName name="asdas" hidden="1">{#N/A,#N/A,FALSE,"11-NSC"}</definedName>
    <definedName name="asdasd">#REF!</definedName>
    <definedName name="asdc" localSheetId="1">#REF!</definedName>
    <definedName name="asdc">#REF!</definedName>
    <definedName name="asde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asde">IF(ISNA(MATCH(ROW(),RowAfterpgbrk,1)),1,MATCH(ROW(),RowAfterpgbrk,1)+1)&lt;&gt;IF(ISNA(MATCH(ROW()-1,RowAfterpgbrk,1)),1,MATCH(ROW()-1,RowAfterpgbrk,1)+1)</definedName>
    <definedName name="asdeere" localSheetId="1">#REF!</definedName>
    <definedName name="asdeere">#REF!</definedName>
    <definedName name="asder" localSheetId="1" hidden="1">#REF!</definedName>
    <definedName name="asder" hidden="1">#REF!</definedName>
    <definedName name="asdf">#REF!</definedName>
    <definedName name="asdfa">#REF!</definedName>
    <definedName name="ASDFASDF" localSheetId="1" hidden="1">{#N/A,#N/A,FALSE,"CAM-G7";#N/A,#N/A,FALSE,"SPL";#N/A,#N/A,FALSE,"butt-in G7";#N/A,#N/A,FALSE,"dia-in G7";#N/A,#N/A,FALSE,"추가-STA G7"}</definedName>
    <definedName name="ASDFASDF" hidden="1">{#N/A,#N/A,FALSE,"CAM-G7";#N/A,#N/A,FALSE,"SPL";#N/A,#N/A,FALSE,"butt-in G7";#N/A,#N/A,FALSE,"dia-in G7";#N/A,#N/A,FALSE,"추가-STA G7"}</definedName>
    <definedName name="asdfgh">#REF!</definedName>
    <definedName name="Asdfghjk" localSheetId="1">#REF!</definedName>
    <definedName name="Asdfghjk">#REF!</definedName>
    <definedName name="ASDFGHJKLMNOP" localSheetId="1">#REF!</definedName>
    <definedName name="ASDFGHJKLMNOP">#REF!</definedName>
    <definedName name="ASDFGTRY">#REF!</definedName>
    <definedName name="asdflkjh" hidden="1">#REF!</definedName>
    <definedName name="asdfs" hidden="1">#REF!</definedName>
    <definedName name="asdgy">#REF!</definedName>
    <definedName name="asdrgg" localSheetId="1">"Page "&amp;IF(ISNA(MATCH(ROW(),[1]!COUNT_TH2_V2__units_1___Type_D_04__900_x_2200mm_high,1)),1,MATCH(ROW(),[1]!COUNT_TH2_V2__units_1___Type_D_04__900_x_2200mm_high,1)+1)&amp;" of " &amp; [1]!CUSTOM1_Shops__GF_ + 0*NOW()</definedName>
    <definedName name="asdrgg">"Page "&amp;IF(ISNA(MATCH(ROW(),RowAfterpgbrk,1)),1,MATCH(ROW(),RowAfterpgbrk,1)+1)&amp;" of " &amp; TotPageCount + 0*NOW()</definedName>
    <definedName name="asdsa">#REF!</definedName>
    <definedName name="asdsdas" localSheetId="1">#REF!</definedName>
    <definedName name="asdsdas">#REF!</definedName>
    <definedName name="asdsdfsda" localSheetId="1">#REF!</definedName>
    <definedName name="asdsdfsda">#REF!</definedName>
    <definedName name="asdsf">#REF!</definedName>
    <definedName name="asdsfE" localSheetId="1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asdsfE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asdwwwwwwwwwwwwwwwwwwwww" hidden="1">#REF!</definedName>
    <definedName name="ase" localSheetId="1">#REF!</definedName>
    <definedName name="ase">#REF!</definedName>
    <definedName name="asf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asf">IF(ISNA(MATCH(ROW(),RowAfterpgbrk,1)),1,MATCH(ROW(),RowAfterpgbrk,1)+1)&lt;&gt;IF(ISNA(MATCH(ROW()-1,RowAfterpgbrk,1)),1,MATCH(ROW()-1,RowAfterpgbrk,1)+1)</definedName>
    <definedName name="asfasca" localSheetId="1">#REF!</definedName>
    <definedName name="asfasca">#REF!</definedName>
    <definedName name="asfasde" localSheetId="1" hidden="1">{#N/A,#N/A,FALSE,"Header P";#N/A,#N/A,FALSE,"Summary";#N/A,#N/A,FALSE,"CONTRACT WORKS";#N/A,#N/A,FALSE,"Variations";#N/A,#N/A,FALSE,"Dwk"}</definedName>
    <definedName name="asfasde" hidden="1">{#N/A,#N/A,FALSE,"Header P";#N/A,#N/A,FALSE,"Summary";#N/A,#N/A,FALSE,"CONTRACT WORKS";#N/A,#N/A,FALSE,"Variations";#N/A,#N/A,FALSE,"Dwk"}</definedName>
    <definedName name="asfd">#N/A</definedName>
    <definedName name="asfe5wyr6" localSheetId="1">#REF!</definedName>
    <definedName name="asfe5wyr6">#REF!</definedName>
    <definedName name="asfef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asfef">IF(ISNA(MATCH(ROW(),RowAfterpgbrk,1)),1,MATCH(ROW(),RowAfterpgbrk,1)+1)&lt;&gt;IF(ISNA(MATCH(ROW()-1,RowAfterpgbrk,1)),1,MATCH(ROW()-1,RowAfterpgbrk,1)+1)</definedName>
    <definedName name="asfghjklmn" localSheetId="1">#REF!</definedName>
    <definedName name="asfghjklmn">#REF!</definedName>
    <definedName name="asfs" localSheetId="1">#REF!</definedName>
    <definedName name="asfs">#REF!</definedName>
    <definedName name="ASGC" localSheetId="1" hidden="1">#REF!</definedName>
    <definedName name="ASGC" hidden="1">#REF!</definedName>
    <definedName name="asgseg" localSheetId="1" hidden="1">{#N/A,#N/A,TRUE,"Cover";#N/A,#N/A,TRUE,"Conts";#N/A,#N/A,TRUE,"VOS";#N/A,#N/A,TRUE,"Warrington";#N/A,#N/A,TRUE,"Widnes"}</definedName>
    <definedName name="asgseg" hidden="1">{#N/A,#N/A,TRUE,"Cover";#N/A,#N/A,TRUE,"Conts";#N/A,#N/A,TRUE,"VOS";#N/A,#N/A,TRUE,"Warrington";#N/A,#N/A,TRUE,"Widnes"}</definedName>
    <definedName name="asgseg_1" localSheetId="1" hidden="1">{#N/A,#N/A,TRUE,"Cover";#N/A,#N/A,TRUE,"Conts";#N/A,#N/A,TRUE,"VOS";#N/A,#N/A,TRUE,"Warrington";#N/A,#N/A,TRUE,"Widnes"}</definedName>
    <definedName name="asgseg_1" hidden="1">{#N/A,#N/A,TRUE,"Cover";#N/A,#N/A,TRUE,"Conts";#N/A,#N/A,TRUE,"VOS";#N/A,#N/A,TRUE,"Warrington";#N/A,#N/A,TRUE,"Widnes"}</definedName>
    <definedName name="asha" localSheetId="1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asha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ASHOKA">#REF!</definedName>
    <definedName name="AshrafMahan" localSheetId="1">#REF!</definedName>
    <definedName name="AshrafMahan">#REF!</definedName>
    <definedName name="asifiqbal" localSheetId="1">#REF!</definedName>
    <definedName name="asifiqbal">#REF!</definedName>
    <definedName name="asifkhan1">#REF!</definedName>
    <definedName name="Asph">#REF!</definedName>
    <definedName name="AsphalticBaseCourse">#REF!</definedName>
    <definedName name="asrasnrjutu" localSheetId="1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rasnrjutu_1" localSheetId="1" hidden="1">{#N/A,#N/A,TRUE,"Cover";#N/A,#N/A,TRUE,"Conts";#N/A,#N/A,TRUE,"VOS";#N/A,#N/A,TRUE,"Warrington";#N/A,#N/A,TRUE,"Widnes"}</definedName>
    <definedName name="asrasnrjutu_1" hidden="1">{#N/A,#N/A,TRUE,"Cover";#N/A,#N/A,TRUE,"Conts";#N/A,#N/A,TRUE,"VOS";#N/A,#N/A,TRUE,"Warrington";#N/A,#N/A,TRUE,"Widnes"}</definedName>
    <definedName name="asrhgdn">#REF!</definedName>
    <definedName name="ass" localSheetId="1">#REF!</definedName>
    <definedName name="ass">#REF!</definedName>
    <definedName name="ass_cc">#REF!</definedName>
    <definedName name="Ass_Int">#REF!</definedName>
    <definedName name="ASSA" localSheetId="1" hidden="1">{#N/A,#N/A,TRUE,"Cover";#N/A,#N/A,TRUE,"Conts";#N/A,#N/A,TRUE,"VOS";#N/A,#N/A,TRUE,"Warrington";#N/A,#N/A,TRUE,"Widnes"}</definedName>
    <definedName name="ASSA" hidden="1">{#N/A,#N/A,TRUE,"Cover";#N/A,#N/A,TRUE,"Conts";#N/A,#N/A,TRUE,"VOS";#N/A,#N/A,TRUE,"Warrington";#N/A,#N/A,TRUE,"Widnes"}</definedName>
    <definedName name="ASSA_1" localSheetId="1" hidden="1">{#N/A,#N/A,TRUE,"Cover";#N/A,#N/A,TRUE,"Conts";#N/A,#N/A,TRUE,"VOS";#N/A,#N/A,TRUE,"Warrington";#N/A,#N/A,TRUE,"Widnes"}</definedName>
    <definedName name="ASSA_1" hidden="1">{#N/A,#N/A,TRUE,"Cover";#N/A,#N/A,TRUE,"Conts";#N/A,#N/A,TRUE,"VOS";#N/A,#N/A,TRUE,"Warrington";#N/A,#N/A,TRUE,"Widnes"}</definedName>
    <definedName name="assal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D">#REF!</definedName>
    <definedName name="assdddddddddda" localSheetId="1" hidden="1">{#N/A,#N/A,FALSE,"DI 2 YEAR MASTER SCHEDULE"}</definedName>
    <definedName name="assdddddddddda" hidden="1">{#N/A,#N/A,FALSE,"DI 2 YEAR MASTER SCHEDULE"}</definedName>
    <definedName name="assddgh" localSheetId="1">BlankMacro1</definedName>
    <definedName name="assddgh">BlankMacro1</definedName>
    <definedName name="assdffsd" localSheetId="1">#REF!</definedName>
    <definedName name="assdffsd">#REF!</definedName>
    <definedName name="assemble_progress">#REF!</definedName>
    <definedName name="assembly_details">#REF!</definedName>
    <definedName name="assembly_progress">#REF!</definedName>
    <definedName name="assembly_staffing">#REF!</definedName>
    <definedName name="ASSET" localSheetId="1">#REF!</definedName>
    <definedName name="ASSET">#REF!</definedName>
    <definedName name="Asset_lookup">#REF!</definedName>
    <definedName name="Asset_Ratios">#REF!</definedName>
    <definedName name="Asset_Split">#REF!</definedName>
    <definedName name="Asset_Split_Ratio">#REF!</definedName>
    <definedName name="Asset_type">#REF!</definedName>
    <definedName name="AssetRatios">#REF!</definedName>
    <definedName name="Assets" localSheetId="1">#REF!</definedName>
    <definedName name="Assets">#REF!</definedName>
    <definedName name="asss" localSheetId="1" hidden="1">{#N/A,#N/A,TRUE,"Cover";#N/A,#N/A,TRUE,"Conts";#N/A,#N/A,TRUE,"VOS";#N/A,#N/A,TRUE,"Warrington";#N/A,#N/A,TRUE,"Widnes"}</definedName>
    <definedName name="asss" hidden="1">{#N/A,#N/A,TRUE,"Cover";#N/A,#N/A,TRUE,"Conts";#N/A,#N/A,TRUE,"VOS";#N/A,#N/A,TRUE,"Warrington";#N/A,#N/A,TRUE,"Widnes"}</definedName>
    <definedName name="asss_1" localSheetId="1" hidden="1">{#N/A,#N/A,TRUE,"Cover";#N/A,#N/A,TRUE,"Conts";#N/A,#N/A,TRUE,"VOS";#N/A,#N/A,TRUE,"Warrington";#N/A,#N/A,TRUE,"Widnes"}</definedName>
    <definedName name="asss_1" hidden="1">{#N/A,#N/A,TRUE,"Cover";#N/A,#N/A,TRUE,"Conts";#N/A,#N/A,TRUE,"VOS";#N/A,#N/A,TRUE,"Warrington";#N/A,#N/A,TRUE,"Widnes"}</definedName>
    <definedName name="ASSSS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ASSSS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astat1">#REF!</definedName>
    <definedName name="ASUMF" localSheetId="1">#REF!</definedName>
    <definedName name="ASUMF">#REF!</definedName>
    <definedName name="asvrehtuymjnhbtgv" localSheetId="1">#REF!</definedName>
    <definedName name="asvrehtuymjnhbtgv">#REF!</definedName>
    <definedName name="ASVVF" localSheetId="1" hidden="1">{#N/A,#N/A,FALSE,"Header P";#N/A,#N/A,FALSE,"Summary";#N/A,#N/A,FALSE,"CONTRACT WORKS";#N/A,#N/A,FALSE,"Variations";#N/A,#N/A,FALSE,"Dwk"}</definedName>
    <definedName name="ASVVF" hidden="1">{#N/A,#N/A,FALSE,"Header P";#N/A,#N/A,FALSE,"Summary";#N/A,#N/A,FALSE,"CONTRACT WORKS";#N/A,#N/A,FALSE,"Variations";#N/A,#N/A,FALSE,"Dwk"}</definedName>
    <definedName name="ASWWER" localSheetId="1" hidden="1">{#N/A,#N/A,TRUE,"Cover";#N/A,#N/A,TRUE,"Conts";#N/A,#N/A,TRUE,"VOS";#N/A,#N/A,TRUE,"Warrington";#N/A,#N/A,TRUE,"Widnes"}</definedName>
    <definedName name="ASWWER" hidden="1">{#N/A,#N/A,TRUE,"Cover";#N/A,#N/A,TRUE,"Conts";#N/A,#N/A,TRUE,"VOS";#N/A,#N/A,TRUE,"Warrington";#N/A,#N/A,TRUE,"Widnes"}</definedName>
    <definedName name="asz" localSheetId="1" hidden="1">{#N/A,#N/A,FALSE,"VARIATIONS";#N/A,#N/A,FALSE,"BUDGET";#N/A,#N/A,FALSE,"CIVIL QNTY VAR";#N/A,#N/A,FALSE,"SUMMARY";#N/A,#N/A,FALSE,"MATERIAL VAR"}</definedName>
    <definedName name="asz" hidden="1">{#N/A,#N/A,FALSE,"VARIATIONS";#N/A,#N/A,FALSE,"BUDGET";#N/A,#N/A,FALSE,"CIVIL QNTY VAR";#N/A,#N/A,FALSE,"SUMMARY";#N/A,#N/A,FALSE,"MATERIAL VAR"}</definedName>
    <definedName name="at" localSheetId="1">#REF!</definedName>
    <definedName name="at">#REF!</definedName>
    <definedName name="at_1">0</definedName>
    <definedName name="At_risk">#REF!</definedName>
    <definedName name="ATD_1">#REF!</definedName>
    <definedName name="ATD_2">#REF!</definedName>
    <definedName name="Atlas_Turf_International_Ltd." localSheetId="1">#REF!</definedName>
    <definedName name="Atlas_Turf_International_Ltd.">#REF!</definedName>
    <definedName name="atosf">43560</definedName>
    <definedName name="atrisk_total_net_rent_for_cashflow">#REF!</definedName>
    <definedName name="atrr" hidden="1">#REF!</definedName>
    <definedName name="ATT" localSheetId="1">#REF!</definedName>
    <definedName name="ATT">#REF!</definedName>
    <definedName name="attendance" localSheetId="1">#REF!</definedName>
    <definedName name="attendance">#REF!</definedName>
    <definedName name="attendance1" localSheetId="1">#REF!</definedName>
    <definedName name="attendance1">#REF!</definedName>
    <definedName name="ATTSC" localSheetId="1">#REF!</definedName>
    <definedName name="ATTSC">#REF!</definedName>
    <definedName name="AU">#REF!</definedName>
    <definedName name="AUD" localSheetId="1">#REF!</definedName>
    <definedName name="AUD">#REF!</definedName>
    <definedName name="AUDCAD" localSheetId="1">#REF!</definedName>
    <definedName name="AUDCAD">#REF!</definedName>
    <definedName name="audd" localSheetId="1">#REF!</definedName>
    <definedName name="audd">#REF!</definedName>
    <definedName name="auds" localSheetId="1">#REF!</definedName>
    <definedName name="auds">#REF!</definedName>
    <definedName name="auel" localSheetId="1">#REF!</definedName>
    <definedName name="auel">#REF!</definedName>
    <definedName name="aues">#REF!</definedName>
    <definedName name="AUG">#REF!</definedName>
    <definedName name="aujs">#REF!</definedName>
    <definedName name="auki">#REF!</definedName>
    <definedName name="aurs">#REF!</definedName>
    <definedName name="AuthMI">#REF!</definedName>
    <definedName name="Auto_backwash_system" localSheetId="1">#REF!</definedName>
    <definedName name="Auto_backwash_system">#REF!</definedName>
    <definedName name="autonum">#REF!</definedName>
    <definedName name="autw">#REF!</definedName>
    <definedName name="aux">#REF!</definedName>
    <definedName name="AUX_CONT_PNLS">#REF!</definedName>
    <definedName name="auxlp">#REF!</definedName>
    <definedName name="av">#REF!</definedName>
    <definedName name="Available_Bandwitdh_perCamerServer">#REF!</definedName>
    <definedName name="Available_for_Distribution_before_Clawback">#REF!</definedName>
    <definedName name="avethk" localSheetId="1">#REF!</definedName>
    <definedName name="avethk">#REF!</definedName>
    <definedName name="avewid">#REF!</definedName>
    <definedName name="avfgdhbbvfdc">#REF!</definedName>
    <definedName name="avi">#REF!</definedName>
    <definedName name="AVSHRGVFDC">#REF!</definedName>
    <definedName name="aw" localSheetId="1" hidden="1">{"'Break down'!$A$4"}</definedName>
    <definedName name="aw" hidden="1">{"'Break down'!$A$4"}</definedName>
    <definedName name="AWAWWWWAA">#REF!</definedName>
    <definedName name="awcevrghbtjny">#REF!</definedName>
    <definedName name="AWGQE">#REF!</definedName>
    <definedName name="AWQ">#N/A</definedName>
    <definedName name="aws">#REF!</definedName>
    <definedName name="awt" localSheetId="1" hidden="1">{#N/A,#N/A,TRUE,"Cover";#N/A,#N/A,TRUE,"Conts";#N/A,#N/A,TRUE,"VOS";#N/A,#N/A,TRUE,"Warrington";#N/A,#N/A,TRUE,"Widnes"}</definedName>
    <definedName name="awt" hidden="1">{#N/A,#N/A,TRUE,"Cover";#N/A,#N/A,TRUE,"Conts";#N/A,#N/A,TRUE,"VOS";#N/A,#N/A,TRUE,"Warrington";#N/A,#N/A,TRUE,"Widnes"}</definedName>
    <definedName name="awt_1" localSheetId="1" hidden="1">{#N/A,#N/A,TRUE,"Cover";#N/A,#N/A,TRUE,"Conts";#N/A,#N/A,TRUE,"VOS";#N/A,#N/A,TRUE,"Warrington";#N/A,#N/A,TRUE,"Widnes"}</definedName>
    <definedName name="awt_1" hidden="1">{#N/A,#N/A,TRUE,"Cover";#N/A,#N/A,TRUE,"Conts";#N/A,#N/A,TRUE,"VOS";#N/A,#N/A,TRUE,"Warrington";#N/A,#N/A,TRUE,"Widnes"}</definedName>
    <definedName name="awyawghh" localSheetId="1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wyawghh_1" localSheetId="1" hidden="1">{#N/A,#N/A,TRUE,"Cover";#N/A,#N/A,TRUE,"Conts";#N/A,#N/A,TRUE,"VOS";#N/A,#N/A,TRUE,"Warrington";#N/A,#N/A,TRUE,"Widnes"}</definedName>
    <definedName name="awyawghh_1" hidden="1">{#N/A,#N/A,TRUE,"Cover";#N/A,#N/A,TRUE,"Conts";#N/A,#N/A,TRUE,"VOS";#N/A,#N/A,TRUE,"Warrington";#N/A,#N/A,TRUE,"Widnes"}</definedName>
    <definedName name="AX">#REF!</definedName>
    <definedName name="AXIOM">#REF!</definedName>
    <definedName name="AZ" localSheetId="1">#REF!</definedName>
    <definedName name="AZ">#REF!</definedName>
    <definedName name="aziz">#REF!</definedName>
    <definedName name="b" localSheetId="1">{"'Break down'!$A$4"}</definedName>
    <definedName name="b">{"'Break down'!$A$4"}</definedName>
    <definedName name="b___0">#REF!</definedName>
    <definedName name="b___0___0">"$#REF!.$#REF!$#REF!"</definedName>
    <definedName name="b___0___3">"$#REF!.$#REF!$#REF!"</definedName>
    <definedName name="b___0___4">"$#REF!.$#REF!$#REF!"</definedName>
    <definedName name="B___13">#REF!</definedName>
    <definedName name="b___2" localSheetId="1">#REF!</definedName>
    <definedName name="b___2">#REF!</definedName>
    <definedName name="b___2___0">"$#REF!.$#REF!$#REF!"</definedName>
    <definedName name="b___2___3">"$#REF!.$#REF!$#REF!"</definedName>
    <definedName name="b___3">#REF!</definedName>
    <definedName name="b___3___0">"$#REF!.$#REF!$#REF!"</definedName>
    <definedName name="b___3___3">"$#REF!.$#REF!$#REF!"</definedName>
    <definedName name="b___3___4">"$#REF!.$#REF!$#REF!"</definedName>
    <definedName name="b___4">#REF!</definedName>
    <definedName name="b___4___0">"$#REF!.$#REF!$#REF!"</definedName>
    <definedName name="b___4___3">"$#REF!.$#REF!$#REF!"</definedName>
    <definedName name="b___7">"$#REF!.$#REF!$#REF!"</definedName>
    <definedName name="b_1" localSheetId="1">{"'Break down'!$A$4"}</definedName>
    <definedName name="b_1">{"'Break down'!$A$4"}</definedName>
    <definedName name="b_2">NA()</definedName>
    <definedName name="B_22">#REF!</definedName>
    <definedName name="b_3">NA()</definedName>
    <definedName name="b_4">NA()</definedName>
    <definedName name="B_5A">#REF!</definedName>
    <definedName name="B_5B" localSheetId="1">#REF!</definedName>
    <definedName name="B_5B">#REF!</definedName>
    <definedName name="B_5C" localSheetId="1">#REF!</definedName>
    <definedName name="B_5C">#REF!</definedName>
    <definedName name="B_5D">#REF!</definedName>
    <definedName name="B_5E">#REF!</definedName>
    <definedName name="B_5F">#REF!</definedName>
    <definedName name="B_5G">#REF!</definedName>
    <definedName name="B_5H">#REF!</definedName>
    <definedName name="B_5I">#REF!</definedName>
    <definedName name="B_5J">#REF!</definedName>
    <definedName name="B_5K">#REF!</definedName>
    <definedName name="B_5L">#REF!</definedName>
    <definedName name="B_5M">#REF!</definedName>
    <definedName name="B_Alterations">#REF!</definedName>
    <definedName name="B_FLG">#REF!</definedName>
    <definedName name="b_rod">#REF!</definedName>
    <definedName name="B_STATUS_DRGS">#REF!</definedName>
    <definedName name="B_STATUS_NO">#REF!</definedName>
    <definedName name="B_STATUS_NUMBER">#REF!</definedName>
    <definedName name="B10SOTTOF_PAVIM_RIVEST">#REF!</definedName>
    <definedName name="B11CONTROSOFFITTI">#REF!</definedName>
    <definedName name="B12OP_FABBRO">#REF!</definedName>
    <definedName name="B13OP_VETRAIO">#REF!</definedName>
    <definedName name="B14OP_LATTONIERE">#REF!</definedName>
    <definedName name="B15ISOLATERM_IMPERMEABIL">#REF!</definedName>
    <definedName name="B16OP_IMBIANCHINO">#REF!</definedName>
    <definedName name="B17ASSISTENZE">#REF!</definedName>
    <definedName name="B18OP_ESTERNE">#REF!</definedName>
    <definedName name="B19VARIE">#REF!</definedName>
    <definedName name="B1Length">#REF!</definedName>
    <definedName name="B1T">#REF!</definedName>
    <definedName name="B2_Area" localSheetId="1">#REF!</definedName>
    <definedName name="B2_Area">#REF!</definedName>
    <definedName name="b275." localSheetId="1">#REF!</definedName>
    <definedName name="b275.">#REF!</definedName>
    <definedName name="B2Length" localSheetId="1">#REF!</definedName>
    <definedName name="B2Length">#REF!</definedName>
    <definedName name="B2T">#REF!</definedName>
    <definedName name="B3_Area" localSheetId="1">#REF!</definedName>
    <definedName name="B3_Area">#REF!</definedName>
    <definedName name="B3FINISHES" localSheetId="1">#REF!</definedName>
    <definedName name="B3FINISHES">#REF!</definedName>
    <definedName name="B3Length" localSheetId="1">#REF!</definedName>
    <definedName name="B3Length">#REF!</definedName>
    <definedName name="B3T">#REF!</definedName>
    <definedName name="B4_area" localSheetId="1">#REF!</definedName>
    <definedName name="B4_area">#REF!</definedName>
    <definedName name="B4_area1" localSheetId="1">#REF!</definedName>
    <definedName name="B4_area1">#REF!</definedName>
    <definedName name="B4a" localSheetId="1">#REF!</definedName>
    <definedName name="B4a">#REF!</definedName>
    <definedName name="B4㎝이하">#REF!</definedName>
    <definedName name="B4T">#REF!</definedName>
    <definedName name="B5Length" localSheetId="1">#REF!</definedName>
    <definedName name="B5Length">#REF!</definedName>
    <definedName name="B5T">#REF!</definedName>
    <definedName name="B6T" localSheetId="1">#REF!</definedName>
    <definedName name="B6T">#REF!</definedName>
    <definedName name="B7T">#REF!</definedName>
    <definedName name="B8Length" localSheetId="1">#REF!</definedName>
    <definedName name="B8Length">#REF!</definedName>
    <definedName name="b9960." localSheetId="1">#REF!</definedName>
    <definedName name="b9960.">#REF!</definedName>
    <definedName name="BA">#REF!</definedName>
    <definedName name="Babita">#REF!</definedName>
    <definedName name="BABITAKAPOOR">#REF!</definedName>
    <definedName name="bacc">#REF!</definedName>
    <definedName name="back" localSheetId="1" hidden="1">{#N/A,#N/A,TRUE,"Cover";#N/A,#N/A,TRUE,"Conts";#N/A,#N/A,TRUE,"VOS";#N/A,#N/A,TRUE,"Warrington";#N/A,#N/A,TRUE,"Widnes"}</definedName>
    <definedName name="back" hidden="1">{#N/A,#N/A,TRUE,"Cover";#N/A,#N/A,TRUE,"Conts";#N/A,#N/A,TRUE,"VOS";#N/A,#N/A,TRUE,"Warrington";#N/A,#N/A,TRUE,"Widnes"}</definedName>
    <definedName name="Back_cover" localSheetId="1" hidden="1">{#N/A,#N/A,TRUE,"Cover";#N/A,#N/A,TRUE,"Conts";#N/A,#N/A,TRUE,"VOS";#N/A,#N/A,TRUE,"Warrington";#N/A,#N/A,TRUE,"Widnes"}</definedName>
    <definedName name="Back_cover" hidden="1">{#N/A,#N/A,TRUE,"Cover";#N/A,#N/A,TRUE,"Conts";#N/A,#N/A,TRUE,"VOS";#N/A,#N/A,TRUE,"Warrington";#N/A,#N/A,TRUE,"Widnes"}</definedName>
    <definedName name="back_cover1" localSheetId="1" hidden="1">{#N/A,#N/A,TRUE,"Cover";#N/A,#N/A,TRUE,"Conts";#N/A,#N/A,TRUE,"VOS";#N/A,#N/A,TRUE,"Warrington";#N/A,#N/A,TRUE,"Widnes"}</definedName>
    <definedName name="back_cover1" hidden="1">{#N/A,#N/A,TRUE,"Cover";#N/A,#N/A,TRUE,"Conts";#N/A,#N/A,TRUE,"VOS";#N/A,#N/A,TRUE,"Warrington";#N/A,#N/A,TRUE,"Widnes"}</definedName>
    <definedName name="back_pressure" localSheetId="1">#REF!</definedName>
    <definedName name="back_pressure">#REF!</definedName>
    <definedName name="back1" localSheetId="1" hidden="1">{#N/A,#N/A,TRUE,"Cover";#N/A,#N/A,TRUE,"Conts";#N/A,#N/A,TRUE,"VOS";#N/A,#N/A,TRUE,"Warrington";#N/A,#N/A,TRUE,"Widnes"}</definedName>
    <definedName name="back1" hidden="1">{#N/A,#N/A,TRUE,"Cover";#N/A,#N/A,TRUE,"Conts";#N/A,#N/A,TRUE,"VOS";#N/A,#N/A,TRUE,"Warrington";#N/A,#N/A,TRUE,"Widnes"}</definedName>
    <definedName name="Backfill" localSheetId="1" hidden="1">#REF!</definedName>
    <definedName name="backfill">#REF!</definedName>
    <definedName name="Badia" localSheetId="1">#REF!</definedName>
    <definedName name="Badia">#REF!</definedName>
    <definedName name="BadLink" localSheetId="1" hidden="1">#REF!</definedName>
    <definedName name="BadLink" hidden="1">#REF!</definedName>
    <definedName name="BADWE" localSheetId="1" hidden="1">{#N/A,#N/A,FALSE,"mpph1";#N/A,#N/A,FALSE,"mpmseb";#N/A,#N/A,FALSE,"mpph2"}</definedName>
    <definedName name="BADWE" hidden="1">{#N/A,#N/A,FALSE,"mpph1";#N/A,#N/A,FALSE,"mpmseb";#N/A,#N/A,FALSE,"mpph2"}</definedName>
    <definedName name="bagheri">#REF!</definedName>
    <definedName name="Baghmare" localSheetId="1">#REF!</definedName>
    <definedName name="Baghmare">#REF!</definedName>
    <definedName name="bagnaa" localSheetId="1">#REF!</definedName>
    <definedName name="bagnaa">#REF!</definedName>
    <definedName name="baicstr">#REF!</definedName>
    <definedName name="bal">#REF!</definedName>
    <definedName name="ball" localSheetId="1">#REF!</definedName>
    <definedName name="ball">#REF!</definedName>
    <definedName name="BALUST">#REF!</definedName>
    <definedName name="bandwidth">#REF!</definedName>
    <definedName name="BandwidthResults">#REF!</definedName>
    <definedName name="BANKS">#REF!</definedName>
    <definedName name="Banquet">#REF!</definedName>
    <definedName name="bar">#REF!</definedName>
    <definedName name="Bar_Frige">#REF!</definedName>
    <definedName name="BARBICAN" localSheetId="1">#REF!</definedName>
    <definedName name="BARBICAN">#REF!</definedName>
    <definedName name="BARCHART.BARCHART">#REF!</definedName>
    <definedName name="BARCOUNTER">#REF!</definedName>
    <definedName name="bargroup1" hidden="1">OR(#REF!=0,#REF!=1,#REF!=99)</definedName>
    <definedName name="bargroup2" hidden="1">OR(#REF!=11,#REF!=75,#REF!=47,#REF!=51,#REF!=63)</definedName>
    <definedName name="bargroup3" hidden="1">OR(#REF!=13,#REF!=14,#REF!=15,#REF!=21,#REF!=23,#REF!=33)</definedName>
    <definedName name="bargroup4" hidden="1">OR(#REF!=22,#REF!=24,#REF!=26,#REF!=27,#REF!=28,#REF!=29,#REF!=31,#REF!=32,#REF!=98)</definedName>
    <definedName name="bargroup5" hidden="1">OR(#REF!=25,#REF!=34,#REF!=35,#REF!=36,#REF!=41,#REF!=44,#REF!=46,#REF!=56,#REF!=64)</definedName>
    <definedName name="bargroup6" hidden="1">#REF!=67</definedName>
    <definedName name="bargroup7" hidden="1">#REF!=12</definedName>
    <definedName name="bargroup8" hidden="1">#REF!=77</definedName>
    <definedName name="barstool" localSheetId="1">#REF!</definedName>
    <definedName name="barstool">#REF!</definedName>
    <definedName name="BASA">#N/A</definedName>
    <definedName name="BASE" localSheetId="1">#REF!</definedName>
    <definedName name="BASE">#REF!</definedName>
    <definedName name="Base_drains_ABS">#REF!</definedName>
    <definedName name="Base_drains_SS">#REF!</definedName>
    <definedName name="Base_Qty_DB" localSheetId="1">IF(VLOOKUP(#REF!,#REF!,9,FALSE)=0,0,VLOOKUP(#REF!,#REF!,9,FALSE))</definedName>
    <definedName name="Base_Qty_DB">IF(VLOOKUP(#REF!,#REF!,9,FALSE)=0,0,VLOOKUP(#REF!,#REF!,9,FALSE))</definedName>
    <definedName name="BASE_Summary">#REF!</definedName>
    <definedName name="BASE_Summary1">#REF!</definedName>
    <definedName name="BASE_Summary2">#REF!</definedName>
    <definedName name="base1">#REF!</definedName>
    <definedName name="base1.5">#REF!</definedName>
    <definedName name="base3.0">#REF!</definedName>
    <definedName name="BASEAREAS" localSheetId="1">#REF!</definedName>
    <definedName name="BASEAREAS">#REF!</definedName>
    <definedName name="BASEAREAS_1">0</definedName>
    <definedName name="BaseD" localSheetId="1">#REF!</definedName>
    <definedName name="BaseD">#REF!</definedName>
    <definedName name="BaseDate" localSheetId="1">#REF!</definedName>
    <definedName name="BaseDate">#REF!</definedName>
    <definedName name="BaseDay">#REF!</definedName>
    <definedName name="baseer">#REF!</definedName>
    <definedName name="baseHistOps" localSheetId="1">OFFSET(#REF!,0,0,1,cMthRef)</definedName>
    <definedName name="baseHistOps">OFFSET(#REF!,0,0,1,cMthRef)</definedName>
    <definedName name="baseHistStaff" localSheetId="1">OFFSET(#REF!,0,0,1,cMthRef)</definedName>
    <definedName name="baseHistStaff">OFFSET(#REF!,0,0,1,cMthRef)</definedName>
    <definedName name="BaseM" localSheetId="1">#REF!</definedName>
    <definedName name="BaseM">#REF!</definedName>
    <definedName name="BASEMENT" localSheetId="1">#REF!</definedName>
    <definedName name="BASEMENT">#REF!</definedName>
    <definedName name="Basement_Walls" localSheetId="1">#REF!</definedName>
    <definedName name="Basement_Walls">#REF!</definedName>
    <definedName name="BaseMonth" localSheetId="1">#REF!</definedName>
    <definedName name="BaseMonth">#REF!</definedName>
    <definedName name="BaseYear" localSheetId="1">#REF!</definedName>
    <definedName name="BaseYear">#REF!</definedName>
    <definedName name="basf" localSheetId="1">#REF!</definedName>
    <definedName name="basf">#REF!</definedName>
    <definedName name="basi">#REF!</definedName>
    <definedName name="Basic">#REF!</definedName>
    <definedName name="Basic_amount">#REF!</definedName>
    <definedName name="Basic_data">#REF!</definedName>
    <definedName name="Basic_Tower_A">#REF!</definedName>
    <definedName name="Basic5fini">#REF!</definedName>
    <definedName name="Basic5str">#REF!</definedName>
    <definedName name="Basic6fini">#REF!</definedName>
    <definedName name="Basic6str">#REF!</definedName>
    <definedName name="basicfin">#REF!</definedName>
    <definedName name="Basicoverall">#REF!</definedName>
    <definedName name="BasicSharesOutstandingR">#REF!</definedName>
    <definedName name="BASIS" localSheetId="1">#REF!</definedName>
    <definedName name="BASIS">#REF!</definedName>
    <definedName name="BASIS_1">"#REF!"</definedName>
    <definedName name="BASIS_2">"#REF!"</definedName>
    <definedName name="BASIS_3">"#REF!"</definedName>
    <definedName name="BASIS_4">"#REF!"</definedName>
    <definedName name="BASIS1" localSheetId="1">#REF!</definedName>
    <definedName name="BASIS1">#REF!</definedName>
    <definedName name="BASIS1_1">"#REF!"</definedName>
    <definedName name="BASIS1_2">"#REF!"</definedName>
    <definedName name="BASIS1_3">"#REF!"</definedName>
    <definedName name="BASIS1_4">"#REF!"</definedName>
    <definedName name="basistr">#REF!</definedName>
    <definedName name="Baspace" localSheetId="1">#REF!</definedName>
    <definedName name="Baspace">#REF!</definedName>
    <definedName name="bat" localSheetId="1">#REF!</definedName>
    <definedName name="bat">#REF!</definedName>
    <definedName name="bats" localSheetId="1">#REF!</definedName>
    <definedName name="bats">#REF!</definedName>
    <definedName name="Bau">#REF!</definedName>
    <definedName name="Bau_nr" localSheetId="1">#REF!</definedName>
    <definedName name="Bau_nr">#REF!</definedName>
    <definedName name="Bay">#REF!</definedName>
    <definedName name="BayK_EP" localSheetId="1">#REF!</definedName>
    <definedName name="BayK_EP">#REF!</definedName>
    <definedName name="bazfvs">#REF!</definedName>
    <definedName name="BB" localSheetId="1">#REF!</definedName>
    <definedName name="BB">#REF!</definedName>
    <definedName name="BB_1">0</definedName>
    <definedName name="BB_22" localSheetId="1">#REF!</definedName>
    <definedName name="BB_22">#REF!</definedName>
    <definedName name="BBB" localSheetId="1">#REF!</definedName>
    <definedName name="bbb">#REF!</definedName>
    <definedName name="BBBB" localSheetId="1">#REF!</definedName>
    <definedName name="BBBB">#REF!</definedName>
    <definedName name="bbbbb" localSheetId="1" hidden="1">{"year1",#N/A,FALSE,"IZT";"year2",#N/A,FALSE,"IZT"}</definedName>
    <definedName name="BBBBB">#REF!</definedName>
    <definedName name="bbbbbb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BBBBB">#REF!</definedName>
    <definedName name="bbbbbbb" localSheetId="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bbbbb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bbbbbbbb">#REF!</definedName>
    <definedName name="bbbbbbbbbb" localSheetId="1" hidden="1">#REF!</definedName>
    <definedName name="bbbbbbbbbb" hidden="1">#REF!</definedName>
    <definedName name="bbbbbbbbbbbbbbbbbb" localSheetId="1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bbbbbbbbbbbbbbbbbb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BBBBBBBBBBBBBBBBBBBBBB">#REF!</definedName>
    <definedName name="bbbbbbbbbbbbbbbbbbbbbbbv" hidden="1">#REF!</definedName>
    <definedName name="Bbdia" localSheetId="1">#REF!</definedName>
    <definedName name="Bbdia">#REF!</definedName>
    <definedName name="Bbspace" localSheetId="1">#REF!</definedName>
    <definedName name="Bbspace">#REF!</definedName>
    <definedName name="bbvbvbvbvv" localSheetId="1" hidden="1">#REF!</definedName>
    <definedName name="bbvbvbvbvv" hidden="1">#REF!</definedName>
    <definedName name="bbvv" localSheetId="1" hidden="1">{#N/A,#N/A,FALSE,"MARCH"}</definedName>
    <definedName name="bbvv" hidden="1">{#N/A,#N/A,FALSE,"MARCH"}</definedName>
    <definedName name="BC">#REF!</definedName>
    <definedName name="bcd">"#REF!"</definedName>
    <definedName name="Bcdia">#REF!</definedName>
    <definedName name="BCGHCF" localSheetId="1" hidden="1">{#N/A,#N/A,TRUE,"Cover";#N/A,#N/A,TRUE,"Conts";#N/A,#N/A,TRUE,"VOS";#N/A,#N/A,TRUE,"Warrington";#N/A,#N/A,TRUE,"Widnes"}</definedName>
    <definedName name="BCGHCF" hidden="1">{#N/A,#N/A,TRUE,"Cover";#N/A,#N/A,TRUE,"Conts";#N/A,#N/A,TRUE,"VOS";#N/A,#N/A,TRUE,"Warrington";#N/A,#N/A,TRUE,"Widnes"}</definedName>
    <definedName name="BCIS" localSheetId="1">{#N/A,#N/A,TRUE,"Cover";#N/A,#N/A,TRUE,"Conts";#N/A,#N/A,TRUE,"VOS";#N/A,#N/A,TRUE,"Warrington";#N/A,#N/A,TRUE,"Widnes"}</definedName>
    <definedName name="BCIS">{#N/A,#N/A,TRUE,"Cover";#N/A,#N/A,TRUE,"Conts";#N/A,#N/A,TRUE,"VOS";#N/A,#N/A,TRUE,"Warrington";#N/A,#N/A,TRUE,"Widnes"}</definedName>
    <definedName name="BCIS1">#REF!</definedName>
    <definedName name="bcmb" localSheetId="1">BlankMacro1</definedName>
    <definedName name="bcmb">BlankMacro1</definedName>
    <definedName name="BCOL">#REF!</definedName>
    <definedName name="Bcspace" localSheetId="1">#REF!</definedName>
    <definedName name="Bcspace">#REF!</definedName>
    <definedName name="BD" localSheetId="1" hidden="1">#REF!</definedName>
    <definedName name="BD" hidden="1">#REF!</definedName>
    <definedName name="BDCA" localSheetId="1">#REF!</definedName>
    <definedName name="BDCA">#REF!</definedName>
    <definedName name="Bddia" localSheetId="1">#REF!</definedName>
    <definedName name="Bddia">#REF!</definedName>
    <definedName name="BDEF" localSheetId="1" hidden="1">{#N/A,#N/A,FALSE,"CAM-G7";#N/A,#N/A,FALSE,"SPL";#N/A,#N/A,FALSE,"butt-in G7";#N/A,#N/A,FALSE,"dia-in G7";#N/A,#N/A,FALSE,"추가-STA G7"}</definedName>
    <definedName name="BDEF" hidden="1">{#N/A,#N/A,FALSE,"CAM-G7";#N/A,#N/A,FALSE,"SPL";#N/A,#N/A,FALSE,"butt-in G7";#N/A,#N/A,FALSE,"dia-in G7";#N/A,#N/A,FALSE,"추가-STA G7"}</definedName>
    <definedName name="BDR" localSheetId="1">#REF!</definedName>
    <definedName name="BDR">#REF!</definedName>
    <definedName name="BDRBLD">#REF!</definedName>
    <definedName name="Bdspace">#REF!</definedName>
    <definedName name="be" localSheetId="1">{"'Break down'!$A$4"}</definedName>
    <definedName name="be">{"'Break down'!$A$4"}</definedName>
    <definedName name="be_1" localSheetId="1">{"'Break down'!$A$4"}</definedName>
    <definedName name="be_1">{"'Break down'!$A$4"}</definedName>
    <definedName name="beam">#REF!</definedName>
    <definedName name="BeamLength">#REF!</definedName>
    <definedName name="bear" localSheetId="1" hidden="1">{#N/A,#N/A,TRUE,"Cover";#N/A,#N/A,TRUE,"Conts";#N/A,#N/A,TRUE,"VOS";#N/A,#N/A,TRUE,"Warrington";#N/A,#N/A,TRUE,"Widnes"}</definedName>
    <definedName name="bear" hidden="1">{#N/A,#N/A,TRUE,"Cover";#N/A,#N/A,TRUE,"Conts";#N/A,#N/A,TRUE,"VOS";#N/A,#N/A,TRUE,"Warrington";#N/A,#N/A,TRUE,"Widnes"}</definedName>
    <definedName name="BearbFeld_OK_Klick" localSheetId="1">'City Walk - Comparison'!BearbFeld_OK_Klick</definedName>
    <definedName name="BearbFeld_OK_Klick">[1]!BearbFeld_OK_Klick</definedName>
    <definedName name="bebl" localSheetId="1" hidden="1">{#N/A,#N/A,FALSE,"VARIATIONS";#N/A,#N/A,FALSE,"BUDGET";#N/A,#N/A,FALSE,"CIVIL QNTY VAR";#N/A,#N/A,FALSE,"SUMMARY";#N/A,#N/A,FALSE,"MATERIAL VAR"}</definedName>
    <definedName name="bebl" hidden="1">{#N/A,#N/A,FALSE,"VARIATIONS";#N/A,#N/A,FALSE,"BUDGET";#N/A,#N/A,FALSE,"CIVIL QNTY VAR";#N/A,#N/A,FALSE,"SUMMARY";#N/A,#N/A,FALSE,"MATERIAL VAR"}</definedName>
    <definedName name="BED">#REF!</definedName>
    <definedName name="BED_WALL" localSheetId="1">#REF!</definedName>
    <definedName name="BED_WALL">#REF!</definedName>
    <definedName name="Bedia" localSheetId="1">#REF!</definedName>
    <definedName name="Bedia">#REF!</definedName>
    <definedName name="bef">1</definedName>
    <definedName name="BEFORE_MP" localSheetId="1">#REF!</definedName>
    <definedName name="BEFORE_MP">#REF!</definedName>
    <definedName name="Beg_Bal" localSheetId="1">#REF!</definedName>
    <definedName name="Beg_Bal">#REF!</definedName>
    <definedName name="BeginBorder">#REF!</definedName>
    <definedName name="Beginning_Balance">"#N/A"</definedName>
    <definedName name="Beh_Mischung_1" localSheetId="1">#REF!,#REF!,#REF!,#REF!,#REF!,#REF!,#REF!,#REF!,#REF!,#REF!,#REF!,#REF!,#REF!,#REF!,#REF!,#REF!,#REF!,#REF!,#REF!,#REF!,#REF!,#REF!,#REF!,#REF!,#REF!,#REF!,#REF!,#REF!,#REF!</definedName>
    <definedName name="Beh_Mischung_1">#REF!,#REF!,#REF!,#REF!,#REF!,#REF!,#REF!,#REF!,#REF!,#REF!,#REF!,#REF!,#REF!,#REF!,#REF!,#REF!,#REF!,#REF!,#REF!,#REF!,#REF!,#REF!,#REF!,#REF!,#REF!,#REF!,#REF!,#REF!,#REF!</definedName>
    <definedName name="Beh_St">#REF!,#REF!,#REF!,#REF!,#REF!,#REF!,#REF!,#REF!,#REF!,#REF!</definedName>
    <definedName name="BEIRUT" localSheetId="1">#REF!</definedName>
    <definedName name="BEIRUT">#REF!</definedName>
    <definedName name="Belau_Meranti_Balustrading" localSheetId="1">#REF!</definedName>
    <definedName name="Belau_Meranti_Balustrading">#REF!</definedName>
    <definedName name="BELL__Polarised" localSheetId="1">#REF!</definedName>
    <definedName name="BELL__Polarised">#REF!</definedName>
    <definedName name="bench">#REF!</definedName>
    <definedName name="beq">#REF!</definedName>
    <definedName name="BERGER">#REF!</definedName>
    <definedName name="Bespace">#REF!</definedName>
    <definedName name="beta">#REF!</definedName>
    <definedName name="Bez_Bau_Nr">#REF!</definedName>
    <definedName name="Bez_Kost_Ing">#REF!</definedName>
    <definedName name="Bez_KSP">#REF!</definedName>
    <definedName name="Bez_Mont_Ing">#REF!</definedName>
    <definedName name="Bez_Proj_Ing">#REF!</definedName>
    <definedName name="Bez_Rohr_Ing">#REF!</definedName>
    <definedName name="Bez_Standort">#REF!</definedName>
    <definedName name="Bez_Status">#REF!</definedName>
    <definedName name="Bez_Teilanl">#REF!</definedName>
    <definedName name="Bez_Telefon">#REF!</definedName>
    <definedName name="Bez_Titel">#REF!</definedName>
    <definedName name="Bf" localSheetId="1">#REF!</definedName>
    <definedName name="Bf">#REF!</definedName>
    <definedName name="bfbf" hidden="1">#REF!</definedName>
    <definedName name="bfgg">#N/A</definedName>
    <definedName name="bfhtdh">#N/A</definedName>
    <definedName name="BFT" localSheetId="1">MATCH(0.01,[1]!End_Bal,-1)+1</definedName>
    <definedName name="BFT">MATCH(0.01,End_Bal,-1)+1</definedName>
    <definedName name="bg">IF(#REF!*#REF!*#REF!*#REF!&gt;0,1,0)</definedName>
    <definedName name="bgbghghg">#N/A</definedName>
    <definedName name="BGF">#N/A</definedName>
    <definedName name="BGFA" localSheetId="1">#REF!</definedName>
    <definedName name="BGFA">#REF!</definedName>
    <definedName name="BGFD" localSheetId="1">#REF!</definedName>
    <definedName name="BGFD">#REF!</definedName>
    <definedName name="BGFGR" localSheetId="1">IF('City Walk - Comparison'!Loan_Amount*[1]!Interest_Rate*[1]!Loan_Years*'City Walk - Comparison'!Loan_Start&gt;0,1,0)</definedName>
    <definedName name="BGFGR">IF(Loan_Amount*Interest_Rate*Loan_Years*Loan_Start&gt;0,1,0)</definedName>
    <definedName name="BGG" localSheetId="1" hidden="1">#REF!</definedName>
    <definedName name="BGG" hidden="1">#REF!</definedName>
    <definedName name="bghjh" localSheetId="1" hidden="1">{#N/A,#N/A,TRUE,"Cover";#N/A,#N/A,TRUE,"Conts";#N/A,#N/A,TRUE,"VOS";#N/A,#N/A,TRUE,"Warrington";#N/A,#N/A,TRUE,"Widnes"}</definedName>
    <definedName name="bghjh" hidden="1">{#N/A,#N/A,TRUE,"Cover";#N/A,#N/A,TRUE,"Conts";#N/A,#N/A,TRUE,"VOS";#N/A,#N/A,TRUE,"Warrington";#N/A,#N/A,TRUE,"Widnes"}</definedName>
    <definedName name="bgthhg">#N/A</definedName>
    <definedName name="bgtyu" localSheetId="1" hidden="1">{"'Break down'!$A$4"}</definedName>
    <definedName name="bgtyu" hidden="1">{"'Break down'!$A$4"}</definedName>
    <definedName name="bgyuio" localSheetId="1" hidden="1">{"'Break down'!$A$4"}</definedName>
    <definedName name="bgyuio" hidden="1">{"'Break down'!$A$4"}</definedName>
    <definedName name="BH" hidden="1">#REF!</definedName>
    <definedName name="bhasoodee">#REF!</definedName>
    <definedName name="bhb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h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hg" localSheetId="1" hidden="1">{#N/A,#N/A,FALSE,"MARCH"}</definedName>
    <definedName name="bhg" hidden="1">{#N/A,#N/A,FALSE,"MARCH"}</definedName>
    <definedName name="bhgf" localSheetId="1">BlankMacro1</definedName>
    <definedName name="bhgf">BlankMacro1</definedName>
    <definedName name="bhjbh" localSheetId="1">#REF!</definedName>
    <definedName name="bhjbh">#REF!</definedName>
    <definedName name="bianchi" localSheetId="1">#REF!</definedName>
    <definedName name="bianchi">#REF!</definedName>
    <definedName name="BIBI" localSheetId="1" hidden="1">{"'PRODUCTIONCOST SHEET'!$B$3:$G$48"}</definedName>
    <definedName name="BIBI" hidden="1">{"'PRODUCTIONCOST SHEET'!$B$3:$G$48"}</definedName>
    <definedName name="BidClass">#REF!</definedName>
    <definedName name="BidClass_4">#REF!</definedName>
    <definedName name="BidClass_4_1">#REF!</definedName>
    <definedName name="BidClass_6">#REF!</definedName>
    <definedName name="BidClass_Text">#REF!</definedName>
    <definedName name="BidClass_Text_4">#REF!</definedName>
    <definedName name="BidClass_Text_4_1">#REF!</definedName>
    <definedName name="BidClass_Text_6">#REF!</definedName>
    <definedName name="Bidder">#REF!</definedName>
    <definedName name="bigvit">#REF!</definedName>
    <definedName name="biiiiiiiii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jalpur2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alpur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k">#REF!</definedName>
    <definedName name="Bill" localSheetId="1">#REF!</definedName>
    <definedName name="Bill">#REF!</definedName>
    <definedName name="BILL___0">#REF!</definedName>
    <definedName name="BILL___0___0">"$#REF!.$#REF!$#REF!:$#REF!$#REF!"</definedName>
    <definedName name="BILL___0___3">"$#REF!.$#REF!$#REF!:$#REF!$#REF!"</definedName>
    <definedName name="BILL___0___4">"$#REF!.$#REF!$#REF!:$#REF!$#REF!"</definedName>
    <definedName name="BILL___2">#REF!</definedName>
    <definedName name="BILL___2___0">"$#REF!.$#REF!$#REF!:$#REF!$#REF!"</definedName>
    <definedName name="BILL___2___3">"$#REF!.$#REF!$#REF!:$#REF!$#REF!"</definedName>
    <definedName name="BILL___3">#REF!</definedName>
    <definedName name="BILL___3___0">"$#REF!.$#REF!$#REF!:$#REF!$#REF!"</definedName>
    <definedName name="BILL___3___3">"$#REF!.$#REF!$#REF!:$#REF!$#REF!"</definedName>
    <definedName name="BILL___3___4">"$#REF!.$#REF!$#REF!:$#REF!$#REF!"</definedName>
    <definedName name="BILL___4">#REF!</definedName>
    <definedName name="BILL___4___0">"$#REF!.$#REF!$#REF!:$#REF!$#REF!"</definedName>
    <definedName name="BILL___4___3">"$#REF!.$#REF!$#REF!:$#REF!$#REF!"</definedName>
    <definedName name="BILL___7">"$#REF!.$#REF!$#REF!:$#REF!$#REF!"</definedName>
    <definedName name="BILL_10.2___LANDSCAPING">#REF!</definedName>
    <definedName name="BILL_10.3___SUNSHADES" localSheetId="1">#REF!</definedName>
    <definedName name="BILL_10.3___SUNSHADES">#REF!</definedName>
    <definedName name="bill_2_heading">"#REF!"</definedName>
    <definedName name="BILL_2.1___SITE_CLEARANCE___PREPARATION___EARTHWORKS" localSheetId="1">#REF!</definedName>
    <definedName name="BILL_2.1___SITE_CLEARANCE___PREPARATION___EARTHWORKS">#REF!</definedName>
    <definedName name="BILL_2.2___PILING_AND_PILE_TESTING">#REF!</definedName>
    <definedName name="BILL_3.1___EQUIPMENT_FOUNDATIONS__DESALINATION_ISLAND">#REF!</definedName>
    <definedName name="BILL_3.2___LAMELLAE_FILTER" localSheetId="1">#REF!</definedName>
    <definedName name="BILL_3.2___LAMELLAE_FILTER">#REF!</definedName>
    <definedName name="BILL_3.3___EQUIPMENT_FOUNDATIONS__PRE_TREATMENT" localSheetId="1">#REF!</definedName>
    <definedName name="BILL_3.3___EQUIPMENT_FOUNDATIONS__PRE_TREATMENT">#REF!</definedName>
    <definedName name="BILL_3.4___PRODUCT_WATER_TANK_FOUNDATIONS">#REF!</definedName>
    <definedName name="BILL_4.1___REVERSE_OSMOSIS__MAIN_PLANT_BUILDING">#REF!</definedName>
    <definedName name="BILL_4.2___ADMIN___UTILITIES_BUILDING">#REF!</definedName>
    <definedName name="BILL_4.3___SUBSTATION_BUILDING">#REF!</definedName>
    <definedName name="BILL_4.5___CHLORINATION_BUILDING">#REF!</definedName>
    <definedName name="BILL_4.6___WORKSHOP___STORES_BUILDING">#REF!</definedName>
    <definedName name="BILL_4.7___SEA_WATER_PUMPHOUSE">#REF!</definedName>
    <definedName name="BILL_5.1a___MAIN_TRANSFORMER_COMPOUNDS">#REF!</definedName>
    <definedName name="BILL_5.1b___AUXILIARY_TRANSFORMER_COMPOUNDS">#REF!</definedName>
    <definedName name="BILL_5.2___ACID___CAUSTIC_STORAGE_BUND">#REF!</definedName>
    <definedName name="BILL_5.3___NEUTRALISATION_TANK">#REF!</definedName>
    <definedName name="BILL_6.1___SEA_WATER_INTAKE_STRUCTURE">#REF!</definedName>
    <definedName name="BILL_6.2___SUBMERGED_SEA_WATER_INTAKE_PIPE">#REF!</definedName>
    <definedName name="BILL_7.1___SITE_ACCESS_ROADS___HARDSTANDING___LAYDOWN_AREAS">#REF!</definedName>
    <definedName name="BILL_7.2___ACCESS_ROAD___PLOT_TO_SW_PUMPHOUSE">#REF!</definedName>
    <definedName name="BILL_8.1___R_C_TRENCHING">#REF!</definedName>
    <definedName name="BILL_8.1b___R_C_DRAIN_CHANNEL">#REF!</definedName>
    <definedName name="BILL_8.2___P_V_C_DUCTING___DRAW_PITS">#REF!</definedName>
    <definedName name="BILL_8.3___CIVIL_WORKS_FOR_DIRECT_BURIED_PIPEWORK">#REF!</definedName>
    <definedName name="BILL_8.4___CIVIL_WORKS_FOR_DIRECT_BURIED_CABLES">#REF!</definedName>
    <definedName name="BILL_8.5___CIVIL_WORKS_FOR_SITE_LIGHTING_SYSTEM">#REF!</definedName>
    <definedName name="BILL_8.6___CIVIL_WORKS_FOR_ABOVE_GROUND_PIPE_SUPPORTS">#REF!</definedName>
    <definedName name="BILL_9.1___SURFACE_WATER_DRAINAGE_SYSTEM">#REF!</definedName>
    <definedName name="BILL_9.2___FOUL_WATER_DRAINAGE_SYSTEM">#REF!</definedName>
    <definedName name="Bill_Rec">#REF!</definedName>
    <definedName name="Bill_Refs">#REF!,#REF!</definedName>
    <definedName name="bill1" localSheetId="1">#REF!</definedName>
    <definedName name="bill1">#REF!</definedName>
    <definedName name="bill2" localSheetId="1">#REF!</definedName>
    <definedName name="bill2">#REF!</definedName>
    <definedName name="Bill3Page1" localSheetId="1">#REF!</definedName>
    <definedName name="Bill3Page1">#REF!</definedName>
    <definedName name="Bill3Page10">#REF!</definedName>
    <definedName name="Bill3Page11">#REF!</definedName>
    <definedName name="Bill3Page12">#REF!</definedName>
    <definedName name="Bill3Page13">#REF!</definedName>
    <definedName name="Bill3Page14">#REF!</definedName>
    <definedName name="Bill3page15">#REF!</definedName>
    <definedName name="Bill3Page16">#REF!</definedName>
    <definedName name="Bill3Page2">#REF!</definedName>
    <definedName name="Bill3Page3">#REF!</definedName>
    <definedName name="Bill3Page4">#REF!</definedName>
    <definedName name="Bill3Page5">#REF!</definedName>
    <definedName name="Bill3Page6">#REF!</definedName>
    <definedName name="Bill3Page7">#REF!</definedName>
    <definedName name="Bill3Page8">#REF!</definedName>
    <definedName name="Bill3Page9">#REF!</definedName>
    <definedName name="bill4">#REF!</definedName>
    <definedName name="Bill4Page1">#REF!</definedName>
    <definedName name="Bill4Page10">#REF!</definedName>
    <definedName name="Bill4Page11">#REF!</definedName>
    <definedName name="Bill4Page12">#REF!</definedName>
    <definedName name="Bill4Page2">#REF!</definedName>
    <definedName name="Bill4Page3">#REF!</definedName>
    <definedName name="Bill4Page4">#REF!</definedName>
    <definedName name="Bill4Page5">#REF!</definedName>
    <definedName name="Bill4Page6">#REF!</definedName>
    <definedName name="Bill4Page7">#REF!</definedName>
    <definedName name="Bill4Page8">#REF!</definedName>
    <definedName name="Bill4Page9">#REF!</definedName>
    <definedName name="bill5">#REF!</definedName>
    <definedName name="Bill5Page1">#REF!</definedName>
    <definedName name="Bill5Page10">#REF!</definedName>
    <definedName name="Bill5Page2">#REF!</definedName>
    <definedName name="Bill5Page3">#REF!</definedName>
    <definedName name="Bill5Page4">#REF!</definedName>
    <definedName name="Bill5Page5">#REF!</definedName>
    <definedName name="Bill5Page6">#REF!</definedName>
    <definedName name="Bill5Page7">#REF!</definedName>
    <definedName name="Bill5Page8">#REF!</definedName>
    <definedName name="Bill5Page9">#REF!</definedName>
    <definedName name="bill6">#REF!</definedName>
    <definedName name="Bill6Page1">#REF!</definedName>
    <definedName name="Bill6Page10">#REF!</definedName>
    <definedName name="Bill6Page11">#REF!</definedName>
    <definedName name="Bill6Page12">#REF!</definedName>
    <definedName name="Bill6Page13">#REF!</definedName>
    <definedName name="Bill6Page14">#REF!</definedName>
    <definedName name="Bill6Page15">#REF!</definedName>
    <definedName name="Bill6Page16">#REF!</definedName>
    <definedName name="Bill6Page17">#REF!</definedName>
    <definedName name="Bill6Page18">#REF!</definedName>
    <definedName name="Bill6page19">#REF!</definedName>
    <definedName name="Bill6Page2">#REF!</definedName>
    <definedName name="Bill6Page20">#REF!</definedName>
    <definedName name="Bill6Page21">#REF!</definedName>
    <definedName name="Bill6Page22">#REF!</definedName>
    <definedName name="Bill6Page23">#REF!</definedName>
    <definedName name="Bill6Page24">#REF!</definedName>
    <definedName name="Bill6Page25">#REF!</definedName>
    <definedName name="Bill6Page26">#REF!</definedName>
    <definedName name="Bill6Page27">#REF!</definedName>
    <definedName name="Bill6Page3">#REF!</definedName>
    <definedName name="Bill6Page4">#REF!</definedName>
    <definedName name="Bill6Page5">#REF!</definedName>
    <definedName name="Bill6Page6">#REF!</definedName>
    <definedName name="Bill6Page7">#REF!</definedName>
    <definedName name="Bill6Page8">#REF!</definedName>
    <definedName name="Bill6Page9">#REF!</definedName>
    <definedName name="billed_received">#REF!</definedName>
    <definedName name="BillingFreq">#REF!</definedName>
    <definedName name="BillingFreq_4">#REF!</definedName>
    <definedName name="BillingFreq_4_1">#REF!</definedName>
    <definedName name="BillingFreq_6">#REF!</definedName>
    <definedName name="BillingTiming">#REF!</definedName>
    <definedName name="BillingTiming_4">#REF!</definedName>
    <definedName name="BillingTiming_4_1">#REF!</definedName>
    <definedName name="BillingTiming_6">#REF!</definedName>
    <definedName name="billname1">#REF!</definedName>
    <definedName name="billname2">#REF!</definedName>
    <definedName name="billname3">#REF!</definedName>
    <definedName name="BIN">#REF!</definedName>
    <definedName name="Bin_Touq_Transport_LLC">#REF!</definedName>
    <definedName name="BINDWIREPR">#REF!</definedName>
    <definedName name="BINDWIRERATE">#REF!</definedName>
    <definedName name="BINDWIRES">#REF!</definedName>
    <definedName name="biss">#REF!</definedName>
    <definedName name="bit" localSheetId="1">#REF!</definedName>
    <definedName name="bit">#REF!</definedName>
    <definedName name="Bitm" localSheetId="1">#REF!</definedName>
    <definedName name="Bitm">#REF!</definedName>
    <definedName name="Bitumen">#REF!</definedName>
    <definedName name="BJ" hidden="1">#REF!</definedName>
    <definedName name="bjfhier" localSheetId="1">BlankMacro1</definedName>
    <definedName name="bjfhier">BlankMacro1</definedName>
    <definedName name="bjh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j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jlc" localSheetId="1">#REF!</definedName>
    <definedName name="bjlc">#REF!</definedName>
    <definedName name="bkfull1" localSheetId="1">#REF!</definedName>
    <definedName name="bkfull1">#REF!</definedName>
    <definedName name="bkgol">#N/A</definedName>
    <definedName name="bkhalf1" localSheetId="1">#REF!</definedName>
    <definedName name="bkhalf1">#REF!</definedName>
    <definedName name="bkwall250">#REF!</definedName>
    <definedName name="bkwalls150">#REF!</definedName>
    <definedName name="blah" localSheetId="1">#REF!</definedName>
    <definedName name="blah">#REF!</definedName>
    <definedName name="BLANK" localSheetId="1">#REF!</definedName>
    <definedName name="BLANK">#REF!</definedName>
    <definedName name="blankline">#REF!</definedName>
    <definedName name="blast">#REF!</definedName>
    <definedName name="Bld_type">#REF!</definedName>
    <definedName name="BldArea" localSheetId="1">#REF!</definedName>
    <definedName name="BldArea">#REF!</definedName>
    <definedName name="BLDG">#REF!</definedName>
    <definedName name="Bldg_Infra">#REF!</definedName>
    <definedName name="BLDG1" localSheetId="1">#REF!</definedName>
    <definedName name="BLDG1">#REF!</definedName>
    <definedName name="BldRatio">#REF!</definedName>
    <definedName name="blhor1">#REF!</definedName>
    <definedName name="Blinding" localSheetId="1">#REF!</definedName>
    <definedName name="Blinding">#REF!</definedName>
    <definedName name="Blinding_Allow">0.11</definedName>
    <definedName name="Blinding_Thk">0.1</definedName>
    <definedName name="BlindingInsitu" localSheetId="1">#REF!</definedName>
    <definedName name="BlindingInsitu">#REF!</definedName>
    <definedName name="blk">#REF!</definedName>
    <definedName name="blk_1">0</definedName>
    <definedName name="blkhead">#REF!</definedName>
    <definedName name="blkhead1">#REF!</definedName>
    <definedName name="BLOC">#N/A</definedName>
    <definedName name="block01" localSheetId="1">#REF!</definedName>
    <definedName name="block01">#REF!</definedName>
    <definedName name="Block02" localSheetId="1">#REF!</definedName>
    <definedName name="Block02">#REF!</definedName>
    <definedName name="Block03" localSheetId="1">#REF!</definedName>
    <definedName name="Block03">#REF!</definedName>
    <definedName name="Block04">#REF!</definedName>
    <definedName name="Block05">#REF!</definedName>
    <definedName name="Block06">#REF!</definedName>
    <definedName name="Block07">#REF!</definedName>
    <definedName name="BLPH3" hidden="1">#REF!</definedName>
    <definedName name="blrol1">#REF!</definedName>
    <definedName name="blue" localSheetId="1">#REF!</definedName>
    <definedName name="Blue">#REF!</definedName>
    <definedName name="blver1">#REF!</definedName>
    <definedName name="bm" localSheetId="1">#REF!</definedName>
    <definedName name="bm">#REF!</definedName>
    <definedName name="bmnbm" localSheetId="1">#REF!</definedName>
    <definedName name="bmnbm">#REF!</definedName>
    <definedName name="bn" localSheetId="1">#REF!</definedName>
    <definedName name="bn">#REF!</definedName>
    <definedName name="BN56TG" localSheetId="1" hidden="1">{"'Break down'!$A$4"}</definedName>
    <definedName name="BN56TG" hidden="1">{"'Break down'!$A$4"}</definedName>
    <definedName name="bnb" localSheetId="1">BlankMacro1</definedName>
    <definedName name="bnb">BlankMacro1</definedName>
    <definedName name="bnd">#REF!</definedName>
    <definedName name="BNGT5643" localSheetId="1" hidden="1">{"'Break down'!$A$4"}</definedName>
    <definedName name="BNGT5643" hidden="1">{"'Break down'!$A$4"}</definedName>
    <definedName name="BNHJ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HJ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hyu" localSheetId="1" hidden="1">{"'Break down'!$A$4"}</definedName>
    <definedName name="bnhyu" hidden="1">{"'Break down'!$A$4"}</definedName>
    <definedName name="bnm" localSheetId="1">IF(ISNA(MATCH(ROW(),[1]!COUNT_TH2_V2__units_1___Type_D_04__900_x_2200mm_high,1)),1,MATCH(ROW(),[1]!COUNT_TH2_V2__units_1___Type_D_04__900_x_2200mm_high,1)+1)</definedName>
    <definedName name="bnm">IF(ISNA(MATCH(ROW(),RowAfterpgbrk,1)),1,MATCH(ROW(),RowAfterpgbrk,1)+1)</definedName>
    <definedName name="bnmbm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nmbm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O">#REF!</definedName>
    <definedName name="bob" localSheetId="1">#REF!</definedName>
    <definedName name="bob">#REF!</definedName>
    <definedName name="BOBBY" localSheetId="1">#REF!</definedName>
    <definedName name="BOBBY">#REF!</definedName>
    <definedName name="bofc">#REF!</definedName>
    <definedName name="bofc_low">#REF!</definedName>
    <definedName name="BOGROLLS" localSheetId="1">#REF!</definedName>
    <definedName name="BOGROLLS">#REF!</definedName>
    <definedName name="BOILER" localSheetId="1">#REF!</definedName>
    <definedName name="BOILER">#REF!</definedName>
    <definedName name="bol">#REF!</definedName>
    <definedName name="BOLT">#REF!</definedName>
    <definedName name="boml">#REF!</definedName>
    <definedName name="boml1">#REF!</definedName>
    <definedName name="Bond" localSheetId="1">#REF!</definedName>
    <definedName name="Bond">#REF!</definedName>
    <definedName name="Bond_Amount" localSheetId="1">#REF!</definedName>
    <definedName name="Bond_Amount">#REF!</definedName>
    <definedName name="bondeck" localSheetId="1">#REF!</definedName>
    <definedName name="bondeck">#REF!</definedName>
    <definedName name="BONDEK">#REF!</definedName>
    <definedName name="bone" localSheetId="1" hidden="1">{#N/A,#N/A,FALSE,"intag";#N/A,#N/A,FALSE,"budg";#N/A,#N/A,FALSE,"samtl"}</definedName>
    <definedName name="bone" hidden="1">{#N/A,#N/A,FALSE,"intag";#N/A,#N/A,FALSE,"budg";#N/A,#N/A,FALSE,"samtl"}</definedName>
    <definedName name="BOOA2" localSheetId="1" hidden="1">{#N/A,#N/A,FALSE,"估價單  (3)"}</definedName>
    <definedName name="BOOA2" hidden="1">{#N/A,#N/A,FALSE,"估價單  (3)"}</definedName>
    <definedName name="BOOK">#REF!</definedName>
    <definedName name="BOOK4" localSheetId="1">#REF!</definedName>
    <definedName name="BOOK4">#REF!</definedName>
    <definedName name="boolean" localSheetId="1">#REF!</definedName>
    <definedName name="boolean">#REF!</definedName>
    <definedName name="boop" localSheetId="1" hidden="1">{"'Break down'!$A$4"}</definedName>
    <definedName name="boop" hidden="1">{"'Break down'!$A$4"}</definedName>
    <definedName name="BOP_INS" localSheetId="1">IF(#REF!="INS",VLOOKUP(#REF!,InsB,HLOOKUP(#REF!,BOP,2)+1,FALSE),0)</definedName>
    <definedName name="BOP_INS">IF(#REF!="INS",VLOOKUP(#REF!,InsB,HLOOKUP(#REF!,BOP,2)+1,FALSE),0)</definedName>
    <definedName name="BOP_LAB" localSheetId="1">VLOOKUP(#REF!,BOPLAB,HLOOKUP(#REF!,BOP,2),FALSE)+(VLOOKUP(#REF!,BOPLAB,HLOOKUP(#REF!,BOP,2)+1,FALSE)-VLOOKUP(#REF!,BOPLAB,HLOOKUP(#REF!,BOP,2),FALSE))*(#REF!-HLOOKUP(#REF!,BOP,1))/(HLOOKUP(#REF!+2,BOP,1)-HLOOKUP(#REF!,BOP,1))</definedName>
    <definedName name="BOP_LAB">VLOOKUP(#REF!,BOPLAB,HLOOKUP(#REF!,BOP,2),FALSE)+(VLOOKUP(#REF!,BOPLAB,HLOOKUP(#REF!,BOP,2)+1,FALSE)-VLOOKUP(#REF!,BOPLAB,HLOOKUP(#REF!,BOP,2),FALSE))*(#REF!-HLOOKUP(#REF!,BOP,1))/(HLOOKUP(#REF!+2,BOP,1)-HLOOKUP(#REF!,BOP,1))</definedName>
    <definedName name="BOP_MAT" localSheetId="1">VLOOKUP(#REF!,BOPMAT,HLOOKUP(#REF!,BOP,2)+1,FALSE)+(VLOOKUP(#REF!,BOPMAT,HLOOKUP(#REF!,BOP,2)+1+1,FALSE)-VLOOKUP(#REF!,BOPMAT,HLOOKUP(#REF!,BOP,2)+1,FALSE))*(#REF!-HLOOKUP(#REF!,BOP,1))</definedName>
    <definedName name="BOP_MAT">VLOOKUP(#REF!,BOPMAT,HLOOKUP(#REF!,BOP,2)+1,FALSE)+(VLOOKUP(#REF!,BOPMAT,HLOOKUP(#REF!,BOP,2)+1+1,FALSE)-VLOOKUP(#REF!,BOPMAT,HLOOKUP(#REF!,BOP,2)+1,FALSE))*(#REF!-HLOOKUP(#REF!,BOP,1))</definedName>
    <definedName name="BOP40_CITY">#REF!</definedName>
    <definedName name="BOP40_ESC">#REF!</definedName>
    <definedName name="BOP40_OLD_CITY">#REF!</definedName>
    <definedName name="BOP40_OLD_ESC">#REF!</definedName>
    <definedName name="BOP40_OLD_PROD">#REF!</definedName>
    <definedName name="BOP40_OLD_WAGE">#REF!</definedName>
    <definedName name="BOP40_PROD">#REF!</definedName>
    <definedName name="BOP40_WAGE">#REF!</definedName>
    <definedName name="BOQ">#REF!</definedName>
    <definedName name="BOQ_CLUSTERL" localSheetId="1">#REF!</definedName>
    <definedName name="BOQ_CLUSTERL">#REF!</definedName>
    <definedName name="boq_d" localSheetId="1">#REF!</definedName>
    <definedName name="boq_d">#REF!</definedName>
    <definedName name="boq_d1">#REF!</definedName>
    <definedName name="BOQ.." localSheetId="1" hidden="1">#REF!</definedName>
    <definedName name="BOQ.." hidden="1">#REF!</definedName>
    <definedName name="boqdata">#REF!</definedName>
    <definedName name="boqformat">#REF!</definedName>
    <definedName name="BOQLTOWER" localSheetId="1">#REF!</definedName>
    <definedName name="BOQLTOWER">#REF!</definedName>
    <definedName name="BOQM123" localSheetId="1">#REF!</definedName>
    <definedName name="BOQM123">#REF!</definedName>
    <definedName name="borabt">#REF!</definedName>
    <definedName name="BORDER">"#REF!"</definedName>
    <definedName name="Border1">#N/A</definedName>
    <definedName name="Bored_60" localSheetId="1">#REF!</definedName>
    <definedName name="Bored_60">#REF!</definedName>
    <definedName name="borlen1">#REF!</definedName>
    <definedName name="borlen2">#REF!</definedName>
    <definedName name="borlen3">#REF!</definedName>
    <definedName name="bos">#REF!</definedName>
    <definedName name="bose" localSheetId="1">#REF!</definedName>
    <definedName name="bose">#REF!</definedName>
    <definedName name="BOSS">#REF!</definedName>
    <definedName name="BOSSINI">#REF!</definedName>
    <definedName name="botl">#REF!</definedName>
    <definedName name="botl1">#REF!</definedName>
    <definedName name="botn">#REF!</definedName>
    <definedName name="Bottom_T32_RF_Factor">#REF!</definedName>
    <definedName name="BOX_RA02">#REF!</definedName>
    <definedName name="BOX_RB02">#REF!</definedName>
    <definedName name="box_speaker">#REF!</definedName>
    <definedName name="boxes">#REF!</definedName>
    <definedName name="Boxvol">#REF!</definedName>
    <definedName name="BOYCUTHAIR">#REF!</definedName>
    <definedName name="BQ">#REF!</definedName>
    <definedName name="BQ_items">#REF!</definedName>
    <definedName name="br" localSheetId="1">#REF!</definedName>
    <definedName name="br">#REF!</definedName>
    <definedName name="BRC">#REF!</definedName>
    <definedName name="brc_a10">#REF!</definedName>
    <definedName name="brc_a6">#REF!</definedName>
    <definedName name="brc_a7">#REF!</definedName>
    <definedName name="brc_b10">#REF!</definedName>
    <definedName name="brc_b11">#REF!</definedName>
    <definedName name="brc_b12">#REF!</definedName>
    <definedName name="brc_b13">#REF!</definedName>
    <definedName name="brc_b6">#REF!</definedName>
    <definedName name="brc_b7">#REF!</definedName>
    <definedName name="brc_b8">#REF!</definedName>
    <definedName name="brc_b9">#REF!</definedName>
    <definedName name="brc_d10">#REF!</definedName>
    <definedName name="brc_d12">#REF!</definedName>
    <definedName name="brc_d6">#REF!</definedName>
    <definedName name="brc_d7">#REF!</definedName>
    <definedName name="brc_d8">#REF!</definedName>
    <definedName name="brc_d9">#REF!</definedName>
    <definedName name="break" localSheetId="1" hidden="1">{#N/A,#N/A,TRUE,"Cover Memo";"Ride Estimate",#N/A,TRUE,"Change Summary";"Ride Estimate",#N/A,TRUE,"Estimate Summary";"Ride Estimate",#N/A,TRUE,"Dept. Summary";"Ride Estimate",#N/A,TRUE,"DOW Detail"}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reak_area">#REF!</definedName>
    <definedName name="Break_Counter">#REF!</definedName>
    <definedName name="Breaker_Frame_Ratings">#REF!</definedName>
    <definedName name="Breaker_Size">#REF!</definedName>
    <definedName name="BreakerRatings">#REF!</definedName>
    <definedName name="Breaks" localSheetId="1">#REF!</definedName>
    <definedName name="Breaks">#REF!</definedName>
    <definedName name="breaktab">#REF!</definedName>
    <definedName name="BRG" localSheetId="1">IF('City Walk - Comparison'!Loan_Amount*[1]!Interest_Rate*[1]!Loan_Years*'City Walk - Comparison'!Loan_Start&gt;0,1,0)</definedName>
    <definedName name="BRG">IF(Loan_Amount*Interest_Rate*Loan_Years*Loan_Start&gt;0,1,0)</definedName>
    <definedName name="Brgname" localSheetId="1">#REF!</definedName>
    <definedName name="Brgname">#REF!</definedName>
    <definedName name="Brick">#REF!</definedName>
    <definedName name="brick_half">#REF!</definedName>
    <definedName name="brick_one">#REF!</definedName>
    <definedName name="Bridge_to_Spa">#REF!</definedName>
    <definedName name="bRKRKRKRKRTDK" localSheetId="1">#REF!</definedName>
    <definedName name="bRKRKRKRKRTDK">#REF!</definedName>
    <definedName name="Brname" localSheetId="1">#REF!</definedName>
    <definedName name="Brname">#REF!</definedName>
    <definedName name="brokerage">#REF!</definedName>
    <definedName name="brokerageexp">#REF!</definedName>
    <definedName name="BROW">#REF!</definedName>
    <definedName name="Brown">#REF!</definedName>
    <definedName name="brrw">#N/A</definedName>
    <definedName name="brtb" localSheetId="1" hidden="1">{#N/A,#N/A,FALSE,"Header P";#N/A,#N/A,FALSE,"Summary";#N/A,#N/A,FALSE,"CONTRACT WORKS";#N/A,#N/A,FALSE,"Variations";#N/A,#N/A,FALSE,"Dwk"}</definedName>
    <definedName name="brtb" hidden="1">{#N/A,#N/A,FALSE,"Header P";#N/A,#N/A,FALSE,"Summary";#N/A,#N/A,FALSE,"CONTRACT WORKS";#N/A,#N/A,FALSE,"Variations";#N/A,#N/A,FALSE,"Dwk"}</definedName>
    <definedName name="BS" localSheetId="1">#REF!</definedName>
    <definedName name="BS">#REF!</definedName>
    <definedName name="BS_1">0</definedName>
    <definedName name="BS_2006_p_country">#REF!</definedName>
    <definedName name="BSAF401">#REF!</definedName>
    <definedName name="BSAF425">#REF!</definedName>
    <definedName name="BSDF" localSheetId="1" hidden="1">{#N/A,#N/A,FALSE,"CAM-G7";#N/A,#N/A,FALSE,"SPL";#N/A,#N/A,FALSE,"butt-in G7";#N/A,#N/A,FALSE,"dia-in G7";#N/A,#N/A,FALSE,"추가-STA G7"}</definedName>
    <definedName name="BSDF" hidden="1">{#N/A,#N/A,FALSE,"CAM-G7";#N/A,#N/A,FALSE,"SPL";#N/A,#N/A,FALSE,"butt-in G7";#N/A,#N/A,FALSE,"dia-in G7";#N/A,#N/A,FALSE,"추가-STA G7"}</definedName>
    <definedName name="BSIPbPageSetupChartSize">1</definedName>
    <definedName name="BSIPbPageSetupChartSize_0">-2146826246</definedName>
    <definedName name="BSIPbPageSetupDraftQuality">1</definedName>
    <definedName name="BSIPbPageSetupDraftQuality_0">0</definedName>
    <definedName name="BSIPbPageSetupDrawingColor">1</definedName>
    <definedName name="BSIPbPageSetupDrawingColor_0">0</definedName>
    <definedName name="BSIPbPageSetupFitToPagesTall">1</definedName>
    <definedName name="BSIPbPageSetupFitToPagesTall_0">1</definedName>
    <definedName name="BSIPbPageSetupFitToPagesWide">1</definedName>
    <definedName name="BSIPbPageSetupFitToPagesWide_0">1</definedName>
    <definedName name="BSIPbPageSetupMediaName">1</definedName>
    <definedName name="BSIPbPageSetupMediaName_0">"ISO_A4_(210.00_x_297.00_MM)"</definedName>
    <definedName name="BSIPbPageSetupPageOrientation">1</definedName>
    <definedName name="BSIPbPageSetupPageOrientation_0">2</definedName>
    <definedName name="BSIPbPageSetupPaperHeight">1</definedName>
    <definedName name="BSIPbPageSetupPaperHeight_0">842.00031496063</definedName>
    <definedName name="BSIPbPageSetupPaperMarginBottom">1</definedName>
    <definedName name="BSIPbPageSetupPaperMarginBottom_0">36</definedName>
    <definedName name="BSIPbPageSetupPaperMarginFooter">1</definedName>
    <definedName name="BSIPbPageSetupPaperMarginFooter_0">21.6</definedName>
    <definedName name="BSIPbPageSetupPaperMarginHeader">1</definedName>
    <definedName name="BSIPbPageSetupPaperMarginHeader_0">21.6</definedName>
    <definedName name="BSIPbPageSetupPaperMarginLeft">1</definedName>
    <definedName name="BSIPbPageSetupPaperMarginLeft_0">18</definedName>
    <definedName name="BSIPbPageSetupPaperMarginRight">1</definedName>
    <definedName name="BSIPbPageSetupPaperMarginRight_0">18</definedName>
    <definedName name="BSIPbPageSetupPaperMarginTop">1</definedName>
    <definedName name="BSIPbPageSetupPaperMarginTop_0">36</definedName>
    <definedName name="BSIPbPageSetupPaperWidth">1</definedName>
    <definedName name="BSIPbPageSetupPaperWidth_0">595.218897637795</definedName>
    <definedName name="BSIPbPageSetupPlotSizeType">1</definedName>
    <definedName name="BSIPbPageSetupPlotSizeType_0">1</definedName>
    <definedName name="BSIPbPageSetupPrintCellErrors">1</definedName>
    <definedName name="BSIPbPageSetupPrintCellErrors_0">0</definedName>
    <definedName name="BSIPbPageSetupPrintComments">1</definedName>
    <definedName name="BSIPbPageSetupPrintComments_0">-4142</definedName>
    <definedName name="BSIPbPageSetupPrintGridlines">1</definedName>
    <definedName name="BSIPbPageSetupPrintGridlines_0">0</definedName>
    <definedName name="BSIPbPageSetupUseStandardMargins">1</definedName>
    <definedName name="BSIPbPageSetupUseStandardMargins_0">1</definedName>
    <definedName name="BSIPbPageSetupUseZoom">1</definedName>
    <definedName name="BSIPbPageSetupUseZoom_0">1</definedName>
    <definedName name="BSIPbPageSetupZoom">1</definedName>
    <definedName name="BSIPbPageSetupZoom_0">100</definedName>
    <definedName name="BSIWhichPageSetup">1</definedName>
    <definedName name="BSIWhichPageSetup_0">"1þ"</definedName>
    <definedName name="bsss" localSheetId="1" hidden="1">{"'M'!$C$12:$D$12"}</definedName>
    <definedName name="bsss" hidden="1">{"'M'!$C$12:$D$12"}</definedName>
    <definedName name="BSUMF">#REF!</definedName>
    <definedName name="bt">#REF!</definedName>
    <definedName name="btg" localSheetId="1">"Page "&amp;IF(ISNA(MATCH(ROW(),[1]!COUNT_TH2_V2__units_1___Type_D_04__900_x_2200mm_high,1)),1,MATCH(ROW(),[1]!COUNT_TH2_V2__units_1___Type_D_04__900_x_2200mm_high,1)+1)&amp;" of " &amp; [1]!CUSTOM1_Shops__GF_ + 0*NOW()</definedName>
    <definedName name="btg">"Page "&amp;IF(ISNA(MATCH(ROW(),RowAfterpgbrk,1)),1,MATCH(ROW(),RowAfterpgbrk,1)+1)&amp;" of " &amp; TotPageCount + 0*NOW()</definedName>
    <definedName name="BTS_Core">#REF!</definedName>
    <definedName name="BTS_Sizes">#REF!</definedName>
    <definedName name="bua" localSheetId="1">#REF!</definedName>
    <definedName name="bua">#REF!</definedName>
    <definedName name="BUAAA" localSheetId="1">#REF!</definedName>
    <definedName name="BUAAA">#REF!</definedName>
    <definedName name="bud_autho.org">#REF!</definedName>
    <definedName name="bud_autho.trf">#REF!</definedName>
    <definedName name="bud_ccu.org">#REF!</definedName>
    <definedName name="bud_ccu.trf">#REF!</definedName>
    <definedName name="bud_com.org">#REF!</definedName>
    <definedName name="bud_com.trf">#REF!</definedName>
    <definedName name="bud_dax.con">#REF!</definedName>
    <definedName name="bud_dax.con.org">#REF!</definedName>
    <definedName name="bud_dax.con.trf">#REF!</definedName>
    <definedName name="bud_dax.org">#REF!</definedName>
    <definedName name="bud_dax.rev">#REF!</definedName>
    <definedName name="bud_dax.trf">#REF!</definedName>
    <definedName name="bud_dem.org">#REF!</definedName>
    <definedName name="bud_dem.trf">#REF!</definedName>
    <definedName name="bud_fee.org">#REF!</definedName>
    <definedName name="bud_fee.trf">#REF!</definedName>
    <definedName name="bud_furn.org">#REF!</definedName>
    <definedName name="bud_furn.trf">#REF!</definedName>
    <definedName name="bud_icu.org">#REF!</definedName>
    <definedName name="bud_icu.trf">#REF!</definedName>
    <definedName name="bud_pcon.org">#REF!</definedName>
    <definedName name="bud_pcon.trf">#REF!</definedName>
    <definedName name="bud_sun.org">#REF!</definedName>
    <definedName name="bud_sun.trf">#REF!</definedName>
    <definedName name="BUDDHA">#REF!</definedName>
    <definedName name="Budget" localSheetId="1" hidden="1">{#N/A,#N/A,FALSE,"Scenario B";#N/A,#N/A,FALSE,"Budget";#N/A,#N/A,FALSE,"Land";#N/A,#N/A,FALSE,"Proceeds";#N/A,#N/A,FALSE,"Assumptions";#N/A,#N/A,FALSE,"Ground Rent"}</definedName>
    <definedName name="Budget" hidden="1">{#N/A,#N/A,FALSE,"Scenario B";#N/A,#N/A,FALSE,"Budget";#N/A,#N/A,FALSE,"Land";#N/A,#N/A,FALSE,"Proceeds";#N/A,#N/A,FALSE,"Assumptions";#N/A,#N/A,FALSE,"Ground Rent"}</definedName>
    <definedName name="Budget_1">#REF!</definedName>
    <definedName name="Budget_March_2001_to_Feb_2002_RENTALS_List" localSheetId="1">#REF!</definedName>
    <definedName name="Budget_March_2001_to_Feb_2002_RENTALS_List">#REF!</definedName>
    <definedName name="budgetsource">#REF!</definedName>
    <definedName name="build_up" localSheetId="1">#REF!</definedName>
    <definedName name="build_up">#REF!</definedName>
    <definedName name="BUILDER_S__PROFIT__AND__ATTENDANCE" localSheetId="1">#REF!</definedName>
    <definedName name="BUILDER_S__PROFIT__AND__ATTENDANCE">#REF!</definedName>
    <definedName name="BUILDER_S__WORK__IN_CONNECTION" localSheetId="1">#REF!</definedName>
    <definedName name="BUILDER_S__WORK__IN_CONNECTION">#REF!</definedName>
    <definedName name="BUILDERSWORK" localSheetId="1">#REF!</definedName>
    <definedName name="BUILDERSWORK">#REF!</definedName>
    <definedName name="BUILDING">#REF!</definedName>
    <definedName name="building___0">#REF!</definedName>
    <definedName name="building___11">#REF!</definedName>
    <definedName name="building___12">#REF!</definedName>
    <definedName name="BUILDING_No.10">#REF!</definedName>
    <definedName name="BUILDING_No.2">#REF!</definedName>
    <definedName name="BUILDING_No.3a">#REF!</definedName>
    <definedName name="BUILDING_No.3b">#REF!</definedName>
    <definedName name="BUILDING_No.3c">#REF!</definedName>
    <definedName name="BUILDING_No.4A">#REF!</definedName>
    <definedName name="builtin_Print">#REF!</definedName>
    <definedName name="BuiltIn_Print_Area" localSheetId="1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Titles">#REF!</definedName>
    <definedName name="BuiltIn_Print_Titles___0">NA()</definedName>
    <definedName name="BuiltIn_Print_Titles___0___0">NA()</definedName>
    <definedName name="BULK_EARTHWORKS">"#REF!"</definedName>
    <definedName name="bulk_material_table" localSheetId="1">#REF!</definedName>
    <definedName name="bulk_material_table">#REF!</definedName>
    <definedName name="bulkhead">#REF!</definedName>
    <definedName name="BULKMATERIAL_UNIT_COST">#REF!,#REF!,#REF!,#REF!,#REF!,#REF!,#REF!</definedName>
    <definedName name="BULKS80_CITY" localSheetId="1">#REF!</definedName>
    <definedName name="BULKS80_CITY">#REF!</definedName>
    <definedName name="BULKS80_ESC">#REF!</definedName>
    <definedName name="BULKS80_HRS">#REF!</definedName>
    <definedName name="BULKS80_LAB">#REF!</definedName>
    <definedName name="BULKS80_MAT">#REF!</definedName>
    <definedName name="BULKS80_OLD_CITY">#REF!</definedName>
    <definedName name="BULKS80_OLD_ESC">#REF!</definedName>
    <definedName name="BULKS80_OLD_PROD">#REF!</definedName>
    <definedName name="BULKS80_OLD_WAGE">#REF!</definedName>
    <definedName name="BULKS80_PROD">#REF!</definedName>
    <definedName name="BULKS80_SC">#REF!</definedName>
    <definedName name="BULKS80_SCHRS">#REF!</definedName>
    <definedName name="BULKS80_TOT">#REF!</definedName>
    <definedName name="BULKS80_WAGE">#REF!</definedName>
    <definedName name="BULKS81_QTY">#REF!</definedName>
    <definedName name="BULKS82_QTY">#REF!</definedName>
    <definedName name="BULKS84_ACL">#REF!</definedName>
    <definedName name="BULKS84_CKTS">#REF!</definedName>
    <definedName name="BULKS84_QTY">#REF!</definedName>
    <definedName name="BULKS85_QTY">#REF!</definedName>
    <definedName name="BULLSHIT">#REF!</definedName>
    <definedName name="Bureau_Veritas">#REF!</definedName>
    <definedName name="burn" localSheetId="1" hidden="1">{#N/A,#N/A,TRUE,"Cover";#N/A,#N/A,TRUE,"Conts";#N/A,#N/A,TRUE,"VOS";#N/A,#N/A,TRUE,"Warrington";#N/A,#N/A,TRUE,"Widnes"}</definedName>
    <definedName name="burn" hidden="1">{#N/A,#N/A,TRUE,"Cover";#N/A,#N/A,TRUE,"Conts";#N/A,#N/A,TRUE,"VOS";#N/A,#N/A,TRUE,"Warrington";#N/A,#N/A,TRUE,"Widnes"}</definedName>
    <definedName name="BUS" localSheetId="1">#REF!</definedName>
    <definedName name="BUS">#REF!</definedName>
    <definedName name="BUS_22" localSheetId="1">#REF!</definedName>
    <definedName name="BUS_22">#REF!</definedName>
    <definedName name="Business_Travel_Rates">#REF!</definedName>
    <definedName name="BusinessFee">#REF!</definedName>
    <definedName name="BusType">#REF!</definedName>
    <definedName name="BusType_4">#REF!</definedName>
    <definedName name="BusType_4_1">#REF!</definedName>
    <definedName name="BusType_6">#REF!</definedName>
    <definedName name="BusType_Text">#REF!</definedName>
    <definedName name="BusType_Text_4">#REF!</definedName>
    <definedName name="BusType_Text_4_1">#REF!</definedName>
    <definedName name="BusType_Text_6">#REF!</definedName>
    <definedName name="butterfly">#REF!</definedName>
    <definedName name="Button_1">"MCS8299_A_List"</definedName>
    <definedName name="Button_118">"D4914__5_tsk_List"</definedName>
    <definedName name="Button_2">"Submittals_Status_Drawing__2__List"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utton_area_1">#REF!</definedName>
    <definedName name="BUY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U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">#REF!</definedName>
    <definedName name="bvbvvb">#N/A</definedName>
    <definedName name="bvc" localSheetId="1">IF(ISNA(MATCH(ROW(),[1]!COUNT_TH2_V2__units_1___Type_D_04__900_x_2200mm_high,1)),1,MATCH(ROW(),[1]!COUNT_TH2_V2__units_1___Type_D_04__900_x_2200mm_high,1)+1)</definedName>
    <definedName name="bvc">IF(ISNA(MATCH(ROW(),RowAfterpgbrk,1)),1,MATCH(ROW(),RowAfterpgbrk,1)+1)</definedName>
    <definedName name="bvcc" localSheetId="1">BlankMacro1</definedName>
    <definedName name="bvcc">BlankMacro1</definedName>
    <definedName name="BVCISUMMARY" localSheetId="1">#REF!</definedName>
    <definedName name="BVCISUMMARY">#REF!</definedName>
    <definedName name="bvcvhcv" localSheetId="1">#REF!</definedName>
    <definedName name="bvcvhcv">#REF!</definedName>
    <definedName name="bvcxb" localSheetId="1" hidden="1">{#N/A,#N/A,FALSE,"估價單  (3)"}</definedName>
    <definedName name="bvcxb" hidden="1">{#N/A,#N/A,FALSE,"估價單  (3)"}</definedName>
    <definedName name="BVF45RDF" localSheetId="1" hidden="1">{"'Break down'!$A$4"}</definedName>
    <definedName name="BVF45RDF" hidden="1">{"'Break down'!$A$4"}</definedName>
    <definedName name="BVG" localSheetId="1" hidden="1">{"'Break down'!$A$4"}</definedName>
    <definedName name="BVG" hidden="1">{"'Break down'!$A$4"}</definedName>
    <definedName name="bvgfg">#N/A</definedName>
    <definedName name="BVSA">#REF!</definedName>
    <definedName name="bvvd" localSheetId="1">#REF!</definedName>
    <definedName name="bvvd">#REF!</definedName>
    <definedName name="bvxc" localSheetId="1" hidden="1">{#N/A,#N/A,TRUE,"Cover";#N/A,#N/A,TRUE,"Conts";#N/A,#N/A,TRUE,"VOS";#N/A,#N/A,TRUE,"Warrington";#N/A,#N/A,TRUE,"Widnes"}</definedName>
    <definedName name="bvxc" hidden="1">{#N/A,#N/A,TRUE,"Cover";#N/A,#N/A,TRUE,"Conts";#N/A,#N/A,TRUE,"VOS";#N/A,#N/A,TRUE,"Warrington";#N/A,#N/A,TRUE,"Widnes"}</definedName>
    <definedName name="bw" localSheetId="1">#REF!</definedName>
    <definedName name="bw">#REF!</definedName>
    <definedName name="bw_1">0</definedName>
    <definedName name="bw4_">#REF!</definedName>
    <definedName name="bw4__1">0</definedName>
    <definedName name="bw4a">#REF!</definedName>
    <definedName name="bw4a_1">0</definedName>
    <definedName name="Bx">#REF!</definedName>
    <definedName name="Bx___0">#REF!</definedName>
    <definedName name="Bx___13">#REF!</definedName>
    <definedName name="BX89FG45SD" localSheetId="1" hidden="1">{"'Break down'!$A$4"}</definedName>
    <definedName name="BX89FG45SD" hidden="1">{"'Break down'!$A$4"}</definedName>
    <definedName name="bxnvxnd">#REF!</definedName>
    <definedName name="BXVCJHBDHVBC">#REF!</definedName>
    <definedName name="BY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_">#N/A</definedName>
    <definedName name="C_010" localSheetId="1">#REF!</definedName>
    <definedName name="C_010">#REF!</definedName>
    <definedName name="C_010_100" localSheetId="1">#REF!</definedName>
    <definedName name="C_010_100">#REF!</definedName>
    <definedName name="C_010_100_1001" localSheetId="1">#REF!</definedName>
    <definedName name="C_010_100_1001">#REF!</definedName>
    <definedName name="C_010_100_1002">#REF!</definedName>
    <definedName name="C_010_100_1003">#REF!</definedName>
    <definedName name="C_010_100_1004">#REF!</definedName>
    <definedName name="C_010_100_1005">#REF!</definedName>
    <definedName name="C_020">#REF!</definedName>
    <definedName name="C_020_201_2010">#REF!</definedName>
    <definedName name="C_020_205_2050">#REF!</definedName>
    <definedName name="C_020_210">#REF!</definedName>
    <definedName name="C_020_210_2101">#REF!</definedName>
    <definedName name="C_020_210_2103">#REF!</definedName>
    <definedName name="C_020_210_2115">#REF!</definedName>
    <definedName name="C_020_215_2150">#REF!</definedName>
    <definedName name="C_020_220_2200">#REF!</definedName>
    <definedName name="C_020_225">#REF!</definedName>
    <definedName name="C_020_225_2251">#REF!</definedName>
    <definedName name="C_020_225_2252">#REF!</definedName>
    <definedName name="C_020_225_2253">#REF!</definedName>
    <definedName name="C_020_225_2254">#REF!</definedName>
    <definedName name="C_020_225_2255">#REF!</definedName>
    <definedName name="C_020_230">#REF!</definedName>
    <definedName name="C_020_230_2301">#REF!</definedName>
    <definedName name="C_020_230_2302">#REF!</definedName>
    <definedName name="C_020_230_2303">#REF!</definedName>
    <definedName name="C_020_235">#REF!</definedName>
    <definedName name="C_020_235_2351">#REF!</definedName>
    <definedName name="C_020_235_2352">#REF!</definedName>
    <definedName name="C_020_235_2354">#REF!</definedName>
    <definedName name="C_020_235_2355">#REF!</definedName>
    <definedName name="C_020_235_2356">#REF!</definedName>
    <definedName name="C_020_235_2357">#REF!</definedName>
    <definedName name="C_020_235_2358">#REF!</definedName>
    <definedName name="C_020_235_2359">#REF!</definedName>
    <definedName name="C_020_235_2361">#REF!</definedName>
    <definedName name="C_020_235_2362">#REF!</definedName>
    <definedName name="C_020_235_2363">#REF!</definedName>
    <definedName name="C_020_235_2364">#REF!</definedName>
    <definedName name="C_020_235_2371">#REF!</definedName>
    <definedName name="C_020_240">#REF!</definedName>
    <definedName name="C_020_240_2401">#REF!</definedName>
    <definedName name="C_020_240_2402">#REF!</definedName>
    <definedName name="C_020_240_2403">#REF!</definedName>
    <definedName name="C_020_240_2404">#REF!</definedName>
    <definedName name="C_020_240_2409">#REF!</definedName>
    <definedName name="C_020_245">#REF!</definedName>
    <definedName name="C_020_245_2451">#REF!</definedName>
    <definedName name="C_020_245_2452">#REF!</definedName>
    <definedName name="C_020_245_2453">#REF!</definedName>
    <definedName name="C_020_250">#REF!</definedName>
    <definedName name="C_020_250_2503">#REF!</definedName>
    <definedName name="C_020_250_2504">#REF!</definedName>
    <definedName name="C_020_250_2505">#REF!</definedName>
    <definedName name="C_020_250_2506">#REF!</definedName>
    <definedName name="C_020_250_2507">#REF!</definedName>
    <definedName name="C_020_255">#REF!</definedName>
    <definedName name="C_020_255_2553">#REF!</definedName>
    <definedName name="C_020_255_2554">#REF!</definedName>
    <definedName name="C_020_255_2555">#REF!</definedName>
    <definedName name="C_020_255_2556">#REF!</definedName>
    <definedName name="C_020_255_2557">#REF!</definedName>
    <definedName name="C_020_255_2558">#REF!</definedName>
    <definedName name="C_020_255_2559">#REF!</definedName>
    <definedName name="C_020_255_2561">#REF!</definedName>
    <definedName name="C_020_255_2562">#REF!</definedName>
    <definedName name="C_020_260">#REF!</definedName>
    <definedName name="C_020_260_2603">#REF!</definedName>
    <definedName name="C_020_260_2606">#REF!</definedName>
    <definedName name="C_020_260_2609">#REF!</definedName>
    <definedName name="C_020_260_2612">#REF!</definedName>
    <definedName name="C_020_260_2615">#REF!</definedName>
    <definedName name="C_020_260_2618">#REF!</definedName>
    <definedName name="C_020_260_2621">#REF!</definedName>
    <definedName name="C_020_260_2624">#REF!</definedName>
    <definedName name="C_020_260_2627">#REF!</definedName>
    <definedName name="C_020_260_2631">#REF!</definedName>
    <definedName name="C_020_260_2634">#REF!</definedName>
    <definedName name="C_020_265">#REF!</definedName>
    <definedName name="C_020_265_2653">#REF!</definedName>
    <definedName name="C_020_265_2656">#REF!</definedName>
    <definedName name="C_020_270_2700">#REF!</definedName>
    <definedName name="C_020_275_2750">#REF!</definedName>
    <definedName name="C_020_T">#REF!</definedName>
    <definedName name="C_030">#REF!</definedName>
    <definedName name="C_030_300_3000">#REF!</definedName>
    <definedName name="C_030_310_3100">#REF!</definedName>
    <definedName name="C_030_320_3200">#REF!</definedName>
    <definedName name="C_030_330_3300">#REF!</definedName>
    <definedName name="C_030_T">#REF!</definedName>
    <definedName name="C_040_400">#REF!</definedName>
    <definedName name="C_040_400_4000">#REF!</definedName>
    <definedName name="C_040_450_4500">#REF!</definedName>
    <definedName name="C_050_500_5000">#REF!</definedName>
    <definedName name="C_060_600_6000">#REF!</definedName>
    <definedName name="C_070_700_7000">#REF!</definedName>
    <definedName name="C_Amt">#REF!</definedName>
    <definedName name="C_Earthworks" localSheetId="1">#REF!</definedName>
    <definedName name="C_Earthworks">#REF!</definedName>
    <definedName name="C_F">#REF!</definedName>
    <definedName name="C_FA">#REF!</definedName>
    <definedName name="C_FS">#REF!</definedName>
    <definedName name="C_Install_1C_A_G">#REF!</definedName>
    <definedName name="C_Install_1C_UA_A35_G">#REF!</definedName>
    <definedName name="C_Install_1C_UA_B35_G">#REF!</definedName>
    <definedName name="C_Install_4C_G">#REF!</definedName>
    <definedName name="C_Install_BTS_G">#REF!</definedName>
    <definedName name="c_mortar" localSheetId="1">#REF!</definedName>
    <definedName name="c_mortar">#REF!</definedName>
    <definedName name="C_P">#REF!</definedName>
    <definedName name="C_PA">#REF!</definedName>
    <definedName name="C_PS">#REF!</definedName>
    <definedName name="C_STATUS_DRGS" localSheetId="1">#REF!</definedName>
    <definedName name="C_STATUS_DRGS">#REF!</definedName>
    <definedName name="C_STATUS_NO" localSheetId="1">#REF!</definedName>
    <definedName name="C_STATUS_NO">#REF!</definedName>
    <definedName name="C_STATUS_NUMBER" localSheetId="1">#REF!</definedName>
    <definedName name="C_STATUS_NUMBER">#REF!</definedName>
    <definedName name="c_stm1e">#REF!</definedName>
    <definedName name="C_X">#REF!</definedName>
    <definedName name="C_XA">#REF!</definedName>
    <definedName name="C_XS">#REF!</definedName>
    <definedName name="C.1.1..Phat_tuyen">#REF!</definedName>
    <definedName name="C.1.10..VC_Thu_cong_CG" localSheetId="1">#REF!</definedName>
    <definedName name="C.1.10..VC_Thu_cong_CG">#REF!</definedName>
    <definedName name="C.1.2..Chat_cay_thu_cong" localSheetId="1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">#N/A</definedName>
    <definedName name="C.3.1..Dao_dat_mong_cot" localSheetId="1">#REF!</definedName>
    <definedName name="C.3.1..Dao_dat_mong_cot">#REF!</definedName>
    <definedName name="C.3.2..Dao_dat_de_dap" localSheetId="1">#REF!</definedName>
    <definedName name="C.3.2..Dao_dat_de_dap">#REF!</definedName>
    <definedName name="C.3.3..Dap_dat_mong" localSheetId="1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D">#N/A</definedName>
    <definedName name="C.D.">#N/A</definedName>
    <definedName name="CA" localSheetId="1" hidden="1">{"'Break down'!$A$4"}</definedName>
    <definedName name="CA" hidden="1">{"'Break down'!$A$4"}</definedName>
    <definedName name="ca1boq">#REF!</definedName>
    <definedName name="cab">#REF!</definedName>
    <definedName name="cab21.5tp">#REF!</definedName>
    <definedName name="cab21.5tp_4">#REF!</definedName>
    <definedName name="cab21.5tp_4_1">#REF!</definedName>
    <definedName name="cab21.5tp_6">#REF!</definedName>
    <definedName name="cab21s">#REF!</definedName>
    <definedName name="cab21s_4">#REF!</definedName>
    <definedName name="cab21s_4_1">#REF!</definedName>
    <definedName name="cab21s_6">#REF!</definedName>
    <definedName name="cab21us">#REF!</definedName>
    <definedName name="cab21us_4">#REF!</definedName>
    <definedName name="cab21us_4_1">#REF!</definedName>
    <definedName name="cab21us_6">#REF!</definedName>
    <definedName name="cab31s">#REF!</definedName>
    <definedName name="cab31s_4">#REF!</definedName>
    <definedName name="cab31s_4_1">#REF!</definedName>
    <definedName name="cab31s_6">#REF!</definedName>
    <definedName name="cab31us">#REF!</definedName>
    <definedName name="cab31us_4">#REF!</definedName>
    <definedName name="cab31us_4_1">#REF!</definedName>
    <definedName name="cab31us_6">#REF!</definedName>
    <definedName name="cab41s">#REF!</definedName>
    <definedName name="cab41s_4">#REF!</definedName>
    <definedName name="cab41s_4_1">#REF!</definedName>
    <definedName name="cab41s_6">#REF!</definedName>
    <definedName name="cab41us">#REF!</definedName>
    <definedName name="cab41us_4">#REF!</definedName>
    <definedName name="cab41us_4_1">#REF!</definedName>
    <definedName name="cab41us_6">#REF!</definedName>
    <definedName name="cabf">#REF!</definedName>
    <definedName name="cabf_4">#REF!</definedName>
    <definedName name="cabf_4_1">#REF!</definedName>
    <definedName name="cabf_6">#REF!</definedName>
    <definedName name="cabinet">#REF!</definedName>
    <definedName name="CABLE">#REF!</definedName>
    <definedName name="CABLE_1" localSheetId="1">#REF!</definedName>
    <definedName name="CABLE_1">#REF!</definedName>
    <definedName name="CABLE_2" localSheetId="1">#REF!</definedName>
    <definedName name="CABLE_2">#REF!</definedName>
    <definedName name="CABLE_4" localSheetId="1">#REF!</definedName>
    <definedName name="CABLE_4">#REF!</definedName>
    <definedName name="CABLE_4_1">#REF!</definedName>
    <definedName name="CABLE_5KV">#REF!</definedName>
    <definedName name="CABLE_6">#REF!</definedName>
    <definedName name="CABLE_600V">#REF!</definedName>
    <definedName name="Cable_Core">#REF!</definedName>
    <definedName name="CABLE_PRICING" localSheetId="1">#REF!</definedName>
    <definedName name="CABLE_PRICING">#REF!</definedName>
    <definedName name="Cable_Run">#REF!</definedName>
    <definedName name="Cable_Run_BTS">#REF!</definedName>
    <definedName name="Cable_Tag" localSheetId="1">#REF!</definedName>
    <definedName name="Cable_Tag">#REF!</definedName>
    <definedName name="Cable_TagM" localSheetId="1">#REF!</definedName>
    <definedName name="Cable_TagM">#REF!</definedName>
    <definedName name="Cable_TagmF" localSheetId="1">#REF!</definedName>
    <definedName name="Cable_TagmF">#REF!</definedName>
    <definedName name="Cable_TagmX">#REF!</definedName>
    <definedName name="CABLE_TYPE_15KV">#REF!</definedName>
    <definedName name="CABLE_TYPE_5KV">#REF!</definedName>
    <definedName name="cable2">#N/A</definedName>
    <definedName name="cableimpedance" localSheetId="1">#REF!</definedName>
    <definedName name="cableimpedance">#REF!</definedName>
    <definedName name="Cables_boards" localSheetId="1">#REF!,#REF!,#REF!,#REF!,#REF!,#REF!,#REF!,#REF!,#REF!,#REF!,#REF!,#REF!,#REF!,#REF!,#REF!,#REF!,#REF!,#REF!,#REF!,#REF!,#REF!,#REF!,#REF!,#REF!,#REF!,#REF!,#REF!,#REF!,#REF!,#REF!,#REF!,#REF!,#REF!,#REF!</definedName>
    <definedName name="Cables_boards">#REF!,#REF!,#REF!,#REF!,#REF!,#REF!,#REF!,#REF!,#REF!,#REF!,#REF!,#REF!,#REF!,#REF!,#REF!,#REF!,#REF!,#REF!,#REF!,#REF!,#REF!,#REF!,#REF!,#REF!,#REF!,#REF!,#REF!,#REF!,#REF!,#REF!,#REF!,#REF!,#REF!,#REF!</definedName>
    <definedName name="CableSizes">#REF!</definedName>
    <definedName name="CableSizes_1C_A">#REF!</definedName>
    <definedName name="CableSizes_4C">#REF!</definedName>
    <definedName name="CACAU">298161</definedName>
    <definedName name="CAD">#REF!</definedName>
    <definedName name="Cadmesure">#REF!</definedName>
    <definedName name="cafechairs">#REF!</definedName>
    <definedName name="cafgsfvd" localSheetId="1">#REF!</definedName>
    <definedName name="cafgsfvd">#REF!</definedName>
    <definedName name="cal_row" localSheetId="1">#N/A</definedName>
    <definedName name="cal_row">[1]!range(#REF!,ROW())</definedName>
    <definedName name="calc" localSheetId="1">#REF!</definedName>
    <definedName name="calc">#REF!</definedName>
    <definedName name="Calc_Error">#REF!</definedName>
    <definedName name="Calc_OK">#REF!</definedName>
    <definedName name="calc_show">#REF!</definedName>
    <definedName name="CALf" localSheetId="1">#REF!</definedName>
    <definedName name="CALf">#REF!</definedName>
    <definedName name="CALf_4" localSheetId="1">#REF!</definedName>
    <definedName name="CALf_4">#REF!</definedName>
    <definedName name="CALf_4_1" localSheetId="1">#REF!</definedName>
    <definedName name="CALf_4_1">#REF!</definedName>
    <definedName name="CALf_6">#REF!</definedName>
    <definedName name="Calorex_Heat_pumps">#REF!</definedName>
    <definedName name="Cambio_dollaro">1.08</definedName>
    <definedName name="camdisc">0.9</definedName>
    <definedName name="CAMP">#REF!</definedName>
    <definedName name="camproad" localSheetId="1" hidden="1">{#N/A,#N/A,FALSE,"MARCH"}</definedName>
    <definedName name="camproad" hidden="1">{#N/A,#N/A,FALSE,"MARCH"}</definedName>
    <definedName name="CAMPX">#REF!</definedName>
    <definedName name="Can" localSheetId="1">#REF!</definedName>
    <definedName name="Can">#REF!</definedName>
    <definedName name="Cancel">#REF!</definedName>
    <definedName name="cant">#REF!</definedName>
    <definedName name="CAP" localSheetId="1">#REF!</definedName>
    <definedName name="CAP">#REF!</definedName>
    <definedName name="Cap.1.2.1">#REF!</definedName>
    <definedName name="Cap.1.2.2">#REF!</definedName>
    <definedName name="Cap.1.7.1">#REF!</definedName>
    <definedName name="Cap.2.1.11">#REF!</definedName>
    <definedName name="cap.5">#REF!</definedName>
    <definedName name="CAPCOST">#REF!</definedName>
    <definedName name="CAPEX" localSheetId="1" hidden="1">{"'Break down'!$A$4"}</definedName>
    <definedName name="CAPEX" hidden="1">{"'Break down'!$A$4"}</definedName>
    <definedName name="Capex_Input" localSheetId="1">#REF!,#REF!,#REF!,#REF!,#REF!,#REF!,#REF!,#REF!,#REF!,#REF!,#REF!,#REF!</definedName>
    <definedName name="Capex_Input">#REF!,#REF!,#REF!,#REF!,#REF!,#REF!,#REF!,#REF!,#REF!,#REF!,#REF!,#REF!</definedName>
    <definedName name="capex05_14">"'file:///F:/Documents and Settings/eltan/My Documents/mancom-file Official/opex variance analysis/WINDOWS/TEMP/D.Data.Notes/2004Budget-MEZ2(RecastMay2004)copy-ed 2.xls'#$cf_var.$#REF!$#REF!"</definedName>
    <definedName name="capex05_20">"'file:///C:/WINDOWS/TEMP/D.Data.Notes/2004Budget-MEZ2(RecastMay2004)copy-ed 2.xls'#$cf_var.$#REF!$#REF!"</definedName>
    <definedName name="CAPEXCOMM" localSheetId="1" hidden="1">{"'Break down'!$A$4"}</definedName>
    <definedName name="CAPEXCOMM" hidden="1">{"'Break down'!$A$4"}</definedName>
    <definedName name="CapexIn1">#REF!</definedName>
    <definedName name="CapexIn10">#REF!</definedName>
    <definedName name="CapexIn11">#REF!</definedName>
    <definedName name="CapexIn12">#REF!</definedName>
    <definedName name="CapexIn2">#REF!</definedName>
    <definedName name="CapexIn3">#REF!</definedName>
    <definedName name="CapexIn4">#REF!</definedName>
    <definedName name="CapexIn5">#REF!</definedName>
    <definedName name="CapexIn6">#REF!</definedName>
    <definedName name="CapexIn7">#REF!</definedName>
    <definedName name="CapexIn8">#REF!</definedName>
    <definedName name="CapexIn9">#REF!</definedName>
    <definedName name="CapexInRepair">#REF!</definedName>
    <definedName name="CAPITAL">#REF!</definedName>
    <definedName name="Capital_gain">#REF!</definedName>
    <definedName name="CAPSUM">#REF!</definedName>
    <definedName name="Car">#REF!</definedName>
    <definedName name="car_park_cash_flow">#REF!</definedName>
    <definedName name="CARBOLINE" localSheetId="1">#REF!</definedName>
    <definedName name="CARBOLINE">#REF!</definedName>
    <definedName name="carp1">#REF!</definedName>
    <definedName name="carp2">#REF!</definedName>
    <definedName name="Carpark_basis">#REF!</definedName>
    <definedName name="Carpark_extra">#REF!</definedName>
    <definedName name="Carpark_MSCP">#REF!</definedName>
    <definedName name="CARPCOLRATE" localSheetId="1">#REF!</definedName>
    <definedName name="CARPCOLRATE">#REF!</definedName>
    <definedName name="CARPDBEAMSRATE" localSheetId="1">#REF!</definedName>
    <definedName name="CARPDBEAMSRATE">#REF!</definedName>
    <definedName name="Carpet" localSheetId="1">#REF!</definedName>
    <definedName name="Carpet">#REF!</definedName>
    <definedName name="carpet___0">#REF!</definedName>
    <definedName name="carpet___11">#REF!</definedName>
    <definedName name="carpet___12">#REF!</definedName>
    <definedName name="carpet_area_sft">#REF!</definedName>
    <definedName name="carpet_sft" localSheetId="1">#REF!</definedName>
    <definedName name="carpet_sft">#REF!</definedName>
    <definedName name="carpet_sqm" localSheetId="1">#REF!</definedName>
    <definedName name="carpet_sqm">#REF!</definedName>
    <definedName name="CARPET1" localSheetId="1">#REF!</definedName>
    <definedName name="CARPET1">#REF!</definedName>
    <definedName name="CARPETING" localSheetId="1">#REF!</definedName>
    <definedName name="CARPETING">#REF!</definedName>
    <definedName name="CARPFOOTRATE">#REF!</definedName>
    <definedName name="CARPLEADER">#REF!</definedName>
    <definedName name="CARPPRCOL">#REF!</definedName>
    <definedName name="CARPPRDBEAMS">#REF!</definedName>
    <definedName name="CARPPRFOOT">#REF!</definedName>
    <definedName name="CARPPRRW1">#REF!</definedName>
    <definedName name="CARPPRRW2">#REF!</definedName>
    <definedName name="CARPPRSLABS">#REF!</definedName>
    <definedName name="CARPPRSTAIRS">#REF!</definedName>
    <definedName name="CARPPRTB">#REF!</definedName>
    <definedName name="CARPPRUPSTAND">#REF!</definedName>
    <definedName name="CARPPRWALL">#REF!</definedName>
    <definedName name="carprfoot">#REF!</definedName>
    <definedName name="CARPRW1RATE">#REF!</definedName>
    <definedName name="CARPRW2RATE">#REF!</definedName>
    <definedName name="CARPSGRATE">#REF!</definedName>
    <definedName name="CARPSGRPR">#REF!</definedName>
    <definedName name="CARPSLABRATE">#REF!</definedName>
    <definedName name="CARPSTAIRRATE">#REF!</definedName>
    <definedName name="CARPTBRATE">#REF!</definedName>
    <definedName name="CARPUPSTANDRATE">#REF!</definedName>
    <definedName name="CARPWALLRATE">#REF!</definedName>
    <definedName name="Carried_to_Collection" localSheetId="1">#REF!</definedName>
    <definedName name="Carried_to_Collection">#REF!</definedName>
    <definedName name="carrot" localSheetId="1">#REF!</definedName>
    <definedName name="carrot">#REF!</definedName>
    <definedName name="CAS">#REF!</definedName>
    <definedName name="CASBAHTV" localSheetId="1">#REF!</definedName>
    <definedName name="CASBAHTV">#REF!</definedName>
    <definedName name="casd" localSheetId="1">IF(ISNA(MATCH(ROW(),[1]!COUNT_TH2_V2__units_1___Type_D_04__900_x_2200mm_high,1)),1,MATCH(ROW(),[1]!COUNT_TH2_V2__units_1___Type_D_04__900_x_2200mm_high,1)+1)</definedName>
    <definedName name="casd">IF(ISNA(MATCH(ROW(),RowAfterpgbrk,1)),1,MATCH(ROW(),RowAfterpgbrk,1)+1)</definedName>
    <definedName name="Case_100" localSheetId="1">#REF!</definedName>
    <definedName name="Case_100">#REF!</definedName>
    <definedName name="Case_80">#REF!</definedName>
    <definedName name="CASEQ">#REF!</definedName>
    <definedName name="cash">#REF!</definedName>
    <definedName name="cash_bank">#REF!</definedName>
    <definedName name="CASH_DATA">#REF!</definedName>
    <definedName name="cash_flow_data" localSheetId="1">#REF!</definedName>
    <definedName name="cash_flow_data">#REF!</definedName>
    <definedName name="CASH_OUT">#REF!</definedName>
    <definedName name="cash_position">#REF!</definedName>
    <definedName name="cashfl" localSheetId="1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ashfl_1" localSheetId="1" hidden="1">{#N/A,#N/A,TRUE,"Cover";#N/A,#N/A,TRUE,"Conts";#N/A,#N/A,TRUE,"VOS";#N/A,#N/A,TRUE,"Warrington";#N/A,#N/A,TRUE,"Widnes"}</definedName>
    <definedName name="cashfl_1" hidden="1">{#N/A,#N/A,TRUE,"Cover";#N/A,#N/A,TRUE,"Conts";#N/A,#N/A,TRUE,"VOS";#N/A,#N/A,TRUE,"Warrington";#N/A,#N/A,TRUE,"Widnes"}</definedName>
    <definedName name="cashfl_2">NA()</definedName>
    <definedName name="cashfl_3">NA()</definedName>
    <definedName name="cashfl_4">NA()</definedName>
    <definedName name="CashFlow">#REF!</definedName>
    <definedName name="CASHFLOW_1">#REF!</definedName>
    <definedName name="cashflow_3" localSheetId="1">#REF!</definedName>
    <definedName name="cashflow_3">#REF!</definedName>
    <definedName name="CASHFLOW_4" localSheetId="1">#REF!</definedName>
    <definedName name="CASHFLOW_4">#REF!</definedName>
    <definedName name="cashflow_table_1" localSheetId="1">#REF!</definedName>
    <definedName name="cashflow_table_1">#REF!</definedName>
    <definedName name="cashflow1" localSheetId="1">#REF!</definedName>
    <definedName name="cashflow1">#REF!</definedName>
    <definedName name="CashFlowData" localSheetId="1">#REF!</definedName>
    <definedName name="CashFlowData">#REF!</definedName>
    <definedName name="CashFlowHeadings" localSheetId="1">#REF!</definedName>
    <definedName name="CashFlowHeadings">#REF!</definedName>
    <definedName name="Casino">#REF!</definedName>
    <definedName name="Cast_Alum" localSheetId="1">{"'Break down'!$A$4"}</definedName>
    <definedName name="Cast_Alum">{"'Break down'!$A$4"}</definedName>
    <definedName name="Cat">#REF!</definedName>
    <definedName name="CatA" localSheetId="1">#REF!</definedName>
    <definedName name="CatA">#REF!</definedName>
    <definedName name="Catalogue">#REF!</definedName>
    <definedName name="Catalysts" localSheetId="1">'City Walk - Comparison'!Catalysts</definedName>
    <definedName name="Catalysts">[1]!Catalysts</definedName>
    <definedName name="CatANo" localSheetId="1">#REF!</definedName>
    <definedName name="CatANo">#REF!</definedName>
    <definedName name="CatANo1">#REF!</definedName>
    <definedName name="CatB" localSheetId="1">#REF!</definedName>
    <definedName name="CatB">#REF!</definedName>
    <definedName name="CatB1">#REF!</definedName>
    <definedName name="CatBNo" localSheetId="1">#REF!</definedName>
    <definedName name="CatBNo">#REF!</definedName>
    <definedName name="CatBNo1">#REF!</definedName>
    <definedName name="category" localSheetId="1">#REF!</definedName>
    <definedName name="category">#REF!</definedName>
    <definedName name="Category_All" localSheetId="1">#REF!</definedName>
    <definedName name="Category_All">#REF!</definedName>
    <definedName name="category1">#REF!</definedName>
    <definedName name="CategoryLookup">OFFSET(#REF!,0,0,COUNTA(#REF!),2)</definedName>
    <definedName name="CATER" localSheetId="1">#REF!</definedName>
    <definedName name="CATER">#REF!</definedName>
    <definedName name="CatEyes">#REF!</definedName>
    <definedName name="Cathodic_Protection" localSheetId="1">#REF!</definedName>
    <definedName name="Cathodic_Protection">#REF!</definedName>
    <definedName name="CATIN">#N/A</definedName>
    <definedName name="CATJYOU">#N/A</definedName>
    <definedName name="CATREC">#N/A</definedName>
    <definedName name="CATSYU">#N/A</definedName>
    <definedName name="Caveman_Construction_LLC" localSheetId="1">#REF!</definedName>
    <definedName name="Caveman_Construction_LLC">#REF!</definedName>
    <definedName name="CAVFDNS">#REF!</definedName>
    <definedName name="Caw">0.45-0.11</definedName>
    <definedName name="CAWAY">#REF!</definedName>
    <definedName name="CB_VST" localSheetId="1" hidden="1">{#N/A,#N/A,FALSE,"CAM-G7";#N/A,#N/A,FALSE,"SPL";#N/A,#N/A,FALSE,"butt-in G7";#N/A,#N/A,FALSE,"dia-in G7";#N/A,#N/A,FALSE,"추가-STA G7"}</definedName>
    <definedName name="CB_VST" hidden="1">{#N/A,#N/A,FALSE,"CAM-G7";#N/A,#N/A,FALSE,"SPL";#N/A,#N/A,FALSE,"butt-in G7";#N/A,#N/A,FALSE,"dia-in G7";#N/A,#N/A,FALSE,"추가-STA G7"}</definedName>
    <definedName name="cbg">#REF!</definedName>
    <definedName name="cbgl1" localSheetId="1">#REF!</definedName>
    <definedName name="cbgl1">#REF!</definedName>
    <definedName name="cbgl2">#REF!</definedName>
    <definedName name="cbgl3">#REF!</definedName>
    <definedName name="cbgl4">#REF!</definedName>
    <definedName name="CBIL1">#REF!</definedName>
    <definedName name="CBIL2">#REF!</definedName>
    <definedName name="CBIL3">#REF!</definedName>
    <definedName name="CBIL4">#REF!</definedName>
    <definedName name="cbsb" localSheetId="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cbs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Cbw">0.45/2-0.11</definedName>
    <definedName name="CBWorkbookPriority" hidden="1">-797077507</definedName>
    <definedName name="CC" localSheetId="1">#REF!</definedName>
    <definedName name="CC">#REF!</definedName>
    <definedName name="cc___0" localSheetId="1">#REF!</definedName>
    <definedName name="cc___0">#REF!</definedName>
    <definedName name="cc___0___0">"$#REF!.$#REF!$#REF!"</definedName>
    <definedName name="cc___0___3">"$#REF!.$#REF!$#REF!"</definedName>
    <definedName name="cc___0___4">"$#REF!.$#REF!$#REF!"</definedName>
    <definedName name="cc___2">#REF!</definedName>
    <definedName name="cc___2___0">"$#REF!.$#REF!$#REF!"</definedName>
    <definedName name="cc___2___3">"$#REF!.$#REF!$#REF!"</definedName>
    <definedName name="cc___3">#REF!</definedName>
    <definedName name="cc___3___0">"$#REF!.$#REF!$#REF!"</definedName>
    <definedName name="cc___3___3">"$#REF!.$#REF!$#REF!"</definedName>
    <definedName name="cc___3___4">"$#REF!.$#REF!$#REF!"</definedName>
    <definedName name="cc___4">#REF!</definedName>
    <definedName name="cc___4___0">"$#REF!.$#REF!$#REF!"</definedName>
    <definedName name="cc___4___3">"$#REF!.$#REF!$#REF!"</definedName>
    <definedName name="cc___7">"$#REF!.$#REF!$#REF!"</definedName>
    <definedName name="CC_1">0</definedName>
    <definedName name="CC_22">#REF!</definedName>
    <definedName name="CC_Commissions" localSheetId="1">#REF!</definedName>
    <definedName name="CC_Commissions">#REF!</definedName>
    <definedName name="CC_DOM_DG_PROP" localSheetId="1">#REF!</definedName>
    <definedName name="CC_DOM_DG_PROP">#REF!</definedName>
    <definedName name="CC_DOM_MA_PROP_GESAMT" localSheetId="1">#REF!</definedName>
    <definedName name="CC_DOM_MA_PROP_GESAMT">#REF!</definedName>
    <definedName name="CC_DOM_MA_PROP_VERROHRT" localSheetId="1">#REF!</definedName>
    <definedName name="CC_DOM_MA_PROP_VERROHRT">#REF!</definedName>
    <definedName name="CC_DOM_N_AG_EX" localSheetId="1">#REF!</definedName>
    <definedName name="CC_DOM_N_AG_EX">#REF!</definedName>
    <definedName name="CC_DOM_N_AG_LU" localSheetId="1">#REF!</definedName>
    <definedName name="CC_DOM_N_AG_LU">#REF!</definedName>
    <definedName name="CC_DOM_N_CON">#REF!</definedName>
    <definedName name="CC_DOM_N_IMT">#REF!</definedName>
    <definedName name="CC_Exchange_rate">#REF!</definedName>
    <definedName name="CC_IMP_A">#REF!</definedName>
    <definedName name="CC_IMP_B">#REF!</definedName>
    <definedName name="CC_IMP_B_BESCHICHT">#REF!</definedName>
    <definedName name="CC_IMP_B_DÄMM">#REF!</definedName>
    <definedName name="CC_IMP_B_FF">#REF!</definedName>
    <definedName name="CC_IMP_B_HVAC_BUIL">#REF!</definedName>
    <definedName name="CC_IMP_B_HVAC_PLANTS">#REF!</definedName>
    <definedName name="CC_IMP_B_LABOR">#REF!</definedName>
    <definedName name="CC_IMP_C">#REF!</definedName>
    <definedName name="CC_IMP_CAT">#REF!</definedName>
    <definedName name="CC_IMP_DG">#REF!</definedName>
    <definedName name="CC_IMP_DG_NPROP">#REF!</definedName>
    <definedName name="CC_IMP_DG_PROP">#REF!</definedName>
    <definedName name="CC_IMP_H">#REF!</definedName>
    <definedName name="CC_IMP_K">#REF!</definedName>
    <definedName name="CC_IMP_L">#REF!</definedName>
    <definedName name="CC_IMP_M">#REF!</definedName>
    <definedName name="CC_IMP_M1">#REF!</definedName>
    <definedName name="CC_IMP_M2">#REF!</definedName>
    <definedName name="CC_IMP_MA_NPROP_GESAMT">#REF!</definedName>
    <definedName name="CC_IMP_MA_NPROP_VERROHRT">#REF!</definedName>
    <definedName name="CC_IMP_MA_PROP_GESAMT">#REF!</definedName>
    <definedName name="CC_IMP_MA_PROP_VERROHRT">#REF!</definedName>
    <definedName name="CC_IMP_MONTAGE">#REF!</definedName>
    <definedName name="CC_IMP_N">#REF!</definedName>
    <definedName name="CC_IMP_N_AG_EX">#REF!</definedName>
    <definedName name="CC_IMP_N_AG_LU">#REF!</definedName>
    <definedName name="CC_IMP_N_CON">#REF!</definedName>
    <definedName name="CC_IMP_N_IMT">#REF!</definedName>
    <definedName name="CC_IMP_O">#REF!</definedName>
    <definedName name="CC_IMP_SP_DG">#REF!</definedName>
    <definedName name="CC_IMP_SP_H">#REF!</definedName>
    <definedName name="CC_IMP_SP_L">#REF!</definedName>
    <definedName name="CC_IMP_T">#REF!</definedName>
    <definedName name="CC_IMP_TOTAL">#REF!</definedName>
    <definedName name="CC_IMP_U">#REF!</definedName>
    <definedName name="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C_A_PVC_AIR">#REF!</definedName>
    <definedName name="CCC_1C_A_PVC_AIR_LR">#REF!</definedName>
    <definedName name="CCC_1C_A_PVC_AIR_LV">#REF!</definedName>
    <definedName name="CCC_1C_A_PVC_Ground">#REF!</definedName>
    <definedName name="CCC_1C_A_PVC_GROUND_LR">#REF!</definedName>
    <definedName name="CCC_1C_A_PVC_GROUND_LV">#REF!</definedName>
    <definedName name="CCC_1C_A_XLPE_AIR">#REF!</definedName>
    <definedName name="CCC_1C_A_XLPE_AIR_LR">#REF!</definedName>
    <definedName name="CCC_1C_A_XLPE_AIR_LV">#REF!</definedName>
    <definedName name="CCC_1C_A_XLPE_Ground">#REF!</definedName>
    <definedName name="CCC_1C_A_XLPE_GROUND_LR">#REF!</definedName>
    <definedName name="CCC_1C_A_XLPE_GROUND_LV">#REF!</definedName>
    <definedName name="CCC_1C_UA_PVC_AIR">#REF!</definedName>
    <definedName name="CCC_1C_UA_PVC_AIR_LR">#REF!</definedName>
    <definedName name="CCC_1C_UA_PVC_AIR_LV">#REF!</definedName>
    <definedName name="CCC_1C_UA_XLPE_AIR">#REF!</definedName>
    <definedName name="CCC_1C_UA_XLPE_AIR_LR">#REF!</definedName>
    <definedName name="CCC_1C_UA_XLPE_AIR_LV">#REF!</definedName>
    <definedName name="CCC_4C_PVC_AIR">#REF!</definedName>
    <definedName name="CCC_4C_PVC_AIR_LR">#REF!</definedName>
    <definedName name="CCC_4C_PVC_AIR_LV">#REF!</definedName>
    <definedName name="CCC_4C_PVC_Duct">#REF!</definedName>
    <definedName name="CCC_4C_PVC_DUCT_LR">#REF!</definedName>
    <definedName name="CCC_4C_PVC_DUCT_LV">#REF!</definedName>
    <definedName name="CCC_4C_PVC_Ground">#REF!</definedName>
    <definedName name="CCC_4C_PVC_GROUND_LR">#REF!</definedName>
    <definedName name="CCC_4C_PVC_GROUND_LV">#REF!</definedName>
    <definedName name="CCC_4C_XLPE_AIR">#REF!</definedName>
    <definedName name="CCC_4C_XLPE_AIR_LR">#REF!</definedName>
    <definedName name="CCC_4C_XLPE_AIR_LV">#REF!</definedName>
    <definedName name="CCC_4C_XLPE_Duct">#REF!</definedName>
    <definedName name="CCC_4C_XLPE_DUCT_LR">#REF!</definedName>
    <definedName name="CCC_4C_XLPE_DUCT_LV">#REF!</definedName>
    <definedName name="CCC_4C_XLPE_Ground">#REF!</definedName>
    <definedName name="CCC_4C_XLPE_GROUND_LR">#REF!</definedName>
    <definedName name="CCC_4C_XLPE_GROUND_LV">#REF!</definedName>
    <definedName name="CCC_BTS">#REF!</definedName>
    <definedName name="CCCC" localSheetId="1">OFFSET('City Walk - Comparison'!Full_Print,0,0,'City Walk - Comparison'!AREA_3.1__External_Walls)</definedName>
    <definedName name="CCCC">OFFSET(Full_Print,0,0,[1]!Last_Row)</definedName>
    <definedName name="ccccc" localSheetId="1" hidden="1">{#N/A,#N/A,FALSE,"mpph1";#N/A,#N/A,FALSE,"mpmseb";#N/A,#N/A,FALSE,"mpph2"}</definedName>
    <definedName name="CCCCC">#REF!</definedName>
    <definedName name="CCCCCC" localSheetId="1">#REF!</definedName>
    <definedName name="CCCCCC">#REF!</definedName>
    <definedName name="CCCCCCC">#REF!</definedName>
    <definedName name="CCCCCCCC">#REF!</definedName>
    <definedName name="CCCCCCCCC">#REF!</definedName>
    <definedName name="CCCCCCCCCC">#REF!</definedName>
    <definedName name="ccccccccccccccccccccccccccccccccccccc" hidden="1">#REF!</definedName>
    <definedName name="ccd" localSheetId="1" hidden="1">{#N/A,#N/A,TRUE,"Title";#N/A,#N/A,TRUE,"Index";#N/A,#N/A,TRUE,"Assumptions";#N/A,#N/A,TRUE,"Summary";#N/A,#N/A,TRUE,"CashFlow";#N/A,#N/A,TRUE,"Marina";#N/A,#N/A,TRUE,"Revenue";#N/A,#N/A,TRUE,"Costs";#N/A,#N/A,TRUE,"Areas"}</definedName>
    <definedName name="ccd" hidden="1">{#N/A,#N/A,TRUE,"Title";#N/A,#N/A,TRUE,"Index";#N/A,#N/A,TRUE,"Assumptions";#N/A,#N/A,TRUE,"Summary";#N/A,#N/A,TRUE,"CashFlow";#N/A,#N/A,TRUE,"Marina";#N/A,#N/A,TRUE,"Revenue";#N/A,#N/A,TRUE,"Costs";#N/A,#N/A,TRUE,"Areas"}</definedName>
    <definedName name="CCE">OFFSET(#REF!,1,0,COUNTA(#REF!)-(#REF!+2))</definedName>
    <definedName name="ccl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cl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colagl" localSheetId="1">#REF!</definedName>
    <definedName name="ccolagl">#REF!</definedName>
    <definedName name="ccPC" localSheetId="1">#REF!</definedName>
    <definedName name="ccPC">#REF!</definedName>
    <definedName name="CCR" localSheetId="1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R_1" localSheetId="1" hidden="1">{#N/A,#N/A,TRUE,"Cover";#N/A,#N/A,TRUE,"Conts";#N/A,#N/A,TRUE,"VOS";#N/A,#N/A,TRUE,"Warrington";#N/A,#N/A,TRUE,"Widnes"}</definedName>
    <definedName name="CCR_1" hidden="1">{#N/A,#N/A,TRUE,"Cover";#N/A,#N/A,TRUE,"Conts";#N/A,#N/A,TRUE,"VOS";#N/A,#N/A,TRUE,"Warrington";#N/A,#N/A,TRUE,"Widnes"}</definedName>
    <definedName name="CCR_2">NA()</definedName>
    <definedName name="CCR_3">NA()</definedName>
    <definedName name="CCR_4">NA()</definedName>
    <definedName name="CCS">#N/A</definedName>
    <definedName name="CCT">#REF!</definedName>
    <definedName name="CCTR" localSheetId="1">#REF!</definedName>
    <definedName name="CCTR">#REF!</definedName>
    <definedName name="ccv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xcxcx">#N/A</definedName>
    <definedName name="ccyjytyxtyx">#N/A</definedName>
    <definedName name="CCYYXY">#N/A</definedName>
    <definedName name="c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D" hidden="1">#REF!</definedName>
    <definedName name="CD_AC">#REF!</definedName>
    <definedName name="CD_BREscore">#REF!</definedName>
    <definedName name="CD_Fee" localSheetId="1">#REF!</definedName>
    <definedName name="CD_Fee">#REF!</definedName>
    <definedName name="CD_Height">#REF!</definedName>
    <definedName name="CD_LEEDscore">#REF!</definedName>
    <definedName name="CD_Prefab">#REF!</definedName>
    <definedName name="CD_renewable">#REF!</definedName>
    <definedName name="CD_Susrating">#REF!</definedName>
    <definedName name="Cdata">#REF!</definedName>
    <definedName name="cdds">#REF!</definedName>
    <definedName name="CDEDRTG" localSheetId="1" hidden="1">{#N/A,#N/A,TRUE,"Cover";#N/A,#N/A,TRUE,"Conts";#N/A,#N/A,TRUE,"VOS";#N/A,#N/A,TRUE,"Warrington";#N/A,#N/A,TRUE,"Widnes"}</definedName>
    <definedName name="CDEDRTG" hidden="1">{#N/A,#N/A,TRUE,"Cover";#N/A,#N/A,TRUE,"Conts";#N/A,#N/A,TRUE,"VOS";#N/A,#N/A,TRUE,"Warrington";#N/A,#N/A,TRUE,"Widnes"}</definedName>
    <definedName name="cdf">#REF!</definedName>
    <definedName name="cdfg" localSheetId="1" hidden="1">{#N/A,#N/A,TRUE,"Cover";#N/A,#N/A,TRUE,"Conts";#N/A,#N/A,TRUE,"VOS";#N/A,#N/A,TRUE,"Warrington";#N/A,#N/A,TRUE,"Widnes"}</definedName>
    <definedName name="cdfg" hidden="1">{#N/A,#N/A,TRUE,"Cover";#N/A,#N/A,TRUE,"Conts";#N/A,#N/A,TRUE,"VOS";#N/A,#N/A,TRUE,"Warrington";#N/A,#N/A,TRUE,"Widnes"}</definedName>
    <definedName name="CDSDS">#N/A</definedName>
    <definedName name="cdu" localSheetId="1" hidden="1">{#N/A,#N/A,FALSE,"COVER.XLS";#N/A,#N/A,FALSE,"RACT1.XLS";#N/A,#N/A,FALSE,"RACT2.XLS";#N/A,#N/A,FALSE,"ECCMP";#N/A,#N/A,FALSE,"WELDER.XLS"}</definedName>
    <definedName name="cdu" hidden="1">{#N/A,#N/A,FALSE,"COVER.XLS";#N/A,#N/A,FALSE,"RACT1.XLS";#N/A,#N/A,FALSE,"RACT2.XLS";#N/A,#N/A,FALSE,"ECCMP";#N/A,#N/A,FALSE,"WELDER.XLS"}</definedName>
    <definedName name="cdyi">#REF!</definedName>
    <definedName name="Cecilia_Clason_Interiors_FZE" localSheetId="1">#REF!</definedName>
    <definedName name="Cecilia_Clason_Interiors_FZE">#REF!</definedName>
    <definedName name="ced" localSheetId="1">#REF!</definedName>
    <definedName name="ced">#REF!</definedName>
    <definedName name="Ceil">#REF!</definedName>
    <definedName name="ceil_plaster">#REF!</definedName>
    <definedName name="ceiling">#REF!</definedName>
    <definedName name="CEILING__FINISHES">#REF!</definedName>
    <definedName name="Ceiling_Fin">#REF!</definedName>
    <definedName name="Ceiling_Finish">#REF!</definedName>
    <definedName name="CEILING_FINISHES" localSheetId="1">#REF!</definedName>
    <definedName name="CEILING_FINISHES">#REF!</definedName>
    <definedName name="Ceiling_Painting" localSheetId="1">#REF!</definedName>
    <definedName name="Ceiling_Painting">#REF!</definedName>
    <definedName name="Ceiling_Plaster" localSheetId="1">#REF!</definedName>
    <definedName name="Ceiling_Plaster">#REF!</definedName>
    <definedName name="Ceiling_speaker">#REF!</definedName>
    <definedName name="Ceiling_Speaker_Unsupervised">#REF!</definedName>
    <definedName name="CEILINGS_AND_BU">#N/A</definedName>
    <definedName name="CELINGS" localSheetId="1">#REF!</definedName>
    <definedName name="CELINGS">#REF!</definedName>
    <definedName name="Cell_Length_X">#REF!</definedName>
    <definedName name="Cell_length_Y">#REF!</definedName>
    <definedName name="cellper">#REF!</definedName>
    <definedName name="celltips_area">#REF!</definedName>
    <definedName name="cem_bag">#REF!</definedName>
    <definedName name="cem_new">#N/A</definedName>
    <definedName name="Cement" localSheetId="1">#REF!</definedName>
    <definedName name="Cement">#REF!</definedName>
    <definedName name="CEMS_SYS" localSheetId="1">#REF!</definedName>
    <definedName name="CEMS_SYS">#REF!</definedName>
    <definedName name="Central_Services">#REF!</definedName>
    <definedName name="Centralize_system" localSheetId="1">#REF!</definedName>
    <definedName name="Centralize_system">#REF!</definedName>
    <definedName name="CEPEX">#REF!</definedName>
    <definedName name="CEPEX_2010">#REF!</definedName>
    <definedName name="CEquip">"#REF!*#REF!"</definedName>
    <definedName name="Cert">OFFSET(#REF!,1,0,COUNTA(#REF!)-(#REF!+2))</definedName>
    <definedName name="Cert2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ti_unitprice" localSheetId="1">#REF!</definedName>
    <definedName name="Certi_unitprice">#REF!</definedName>
    <definedName name="Certi_unitprice_h">#REF!</definedName>
    <definedName name="Certi_unitprice_u">#REF!</definedName>
    <definedName name="cf" localSheetId="1">#REF!</definedName>
    <definedName name="cf">#REF!</definedName>
    <definedName name="cf_1">0</definedName>
    <definedName name="CF_ManualRows">#REF!,#REF!,#REF!,#REF!,#REF!,#REF!,#REF!,#REF!,#REF!,#REF!,#REF!,#REF!,#REF!</definedName>
    <definedName name="CFA" localSheetId="1">#REF!</definedName>
    <definedName name="CFA">#REF!</definedName>
    <definedName name="CFA_ET">#N/A</definedName>
    <definedName name="CFAC" localSheetId="1">#REF!</definedName>
    <definedName name="CFAC">#REF!</definedName>
    <definedName name="CFAN" localSheetId="1">#REF!</definedName>
    <definedName name="CFAN">#REF!</definedName>
    <definedName name="cfb">#REF!</definedName>
    <definedName name="cfbeams">#REF!</definedName>
    <definedName name="CFDate">#REF!</definedName>
    <definedName name="CFEnd">#REF!</definedName>
    <definedName name="CFLOW">#REF!</definedName>
    <definedName name="cfrt" localSheetId="1" hidden="1">{"'Break down'!$A$4"}</definedName>
    <definedName name="cfrt" hidden="1">{"'Break down'!$A$4"}</definedName>
    <definedName name="cfrty" localSheetId="1" hidden="1">{"'Break down'!$A$4"}</definedName>
    <definedName name="cfrty" hidden="1">{"'Break down'!$A$4"}</definedName>
    <definedName name="CFS" localSheetId="1" hidden="1">{#N/A,#N/A,TRUE,"Cover";#N/A,#N/A,TRUE,"Conts";#N/A,#N/A,TRUE,"VOS";#N/A,#N/A,TRUE,"Warrington";#N/A,#N/A,TRUE,"Widnes"}</definedName>
    <definedName name="CFS" hidden="1">{#N/A,#N/A,TRUE,"Cover";#N/A,#N/A,TRUE,"Conts";#N/A,#N/A,TRUE,"VOS";#N/A,#N/A,TRUE,"Warrington";#N/A,#N/A,TRUE,"Widnes"}</definedName>
    <definedName name="cfsalb" localSheetId="1">#REF!</definedName>
    <definedName name="cfsalb">#REF!</definedName>
    <definedName name="cfslab">#REF!</definedName>
    <definedName name="CFStart">#REF!</definedName>
    <definedName name="Cfwk">#REF!</definedName>
    <definedName name="cgbgcfbhfg">#N/A</definedName>
    <definedName name="cgfdxgdfs">#N/A</definedName>
    <definedName name="cgfhjkgl" localSheetId="1">#REF!</definedName>
    <definedName name="cgfhjkgl">#REF!</definedName>
    <definedName name="ch" localSheetId="1">#REF!</definedName>
    <definedName name="ch">#REF!</definedName>
    <definedName name="CH_REPORT">#REF!</definedName>
    <definedName name="CH_TILE_QTY">#REF!</definedName>
    <definedName name="CH.J" localSheetId="1">#REF!</definedName>
    <definedName name="CH.J">#REF!</definedName>
    <definedName name="Cha" localSheetId="1" hidden="1">{#N/A,#N/A,FALSE,"gc (2)"}</definedName>
    <definedName name="Cha" hidden="1">{#N/A,#N/A,FALSE,"gc (2)"}</definedName>
    <definedName name="Chair">#REF!</definedName>
    <definedName name="CHAMFERATE" localSheetId="1">#REF!</definedName>
    <definedName name="CHAMFERATE">#REF!</definedName>
    <definedName name="CHAMFERPR" localSheetId="1">#REF!</definedName>
    <definedName name="CHAMFERPR">#REF!</definedName>
    <definedName name="CHAMFERS">#REF!</definedName>
    <definedName name="CHAMI" localSheetId="1">IF('City Walk - Comparison'!Loan_Amount*[1]!Interest_Rate*[1]!Loan_Years*'City Walk - Comparison'!Loan_Start&gt;0,1,0)</definedName>
    <definedName name="CHAMI">IF(Loan_Amount*Interest_Rate*Loan_Years*Loan_Start&gt;0,1,0)</definedName>
    <definedName name="CHAMINDA" localSheetId="1">IF('City Walk - Comparison'!Values_Entered,[1]!Header_Row+'City Walk - Comparison'!Number_of_Payments,[1]!Header_Row)</definedName>
    <definedName name="CHAMINDA">IF([1]!Values_Entered,Header_Row+[1]!Number_of_Payments,Header_Row)</definedName>
    <definedName name="chances">#REF!</definedName>
    <definedName name="chandrel_ploes" localSheetId="1">#REF!</definedName>
    <definedName name="chandrel_ploes">#REF!</definedName>
    <definedName name="CHANGE">0.153</definedName>
    <definedName name="Change_Cost" localSheetId="1">#REF!</definedName>
    <definedName name="Change_Cost">#REF!</definedName>
    <definedName name="Change_in_Construction_Cost">#REF!</definedName>
    <definedName name="Change_in_Rents">#REF!</definedName>
    <definedName name="change_Orders" localSheetId="1">#REF!</definedName>
    <definedName name="change_Orders">#REF!</definedName>
    <definedName name="Change_Revenue">#REF!</definedName>
    <definedName name="change_table">#REF!</definedName>
    <definedName name="ChangeBy">#REF!</definedName>
    <definedName name="ChangeBy_4">#REF!</definedName>
    <definedName name="ChangeBy_4_1">#REF!</definedName>
    <definedName name="ChangeBy_6">#REF!</definedName>
    <definedName name="ChangeDate">#REF!</definedName>
    <definedName name="ChangeDate_4">#REF!</definedName>
    <definedName name="ChangeDate_4_1">#REF!</definedName>
    <definedName name="ChangeDate_6">#REF!</definedName>
    <definedName name="changedriver">#REF!</definedName>
    <definedName name="Channel_Grating_1" localSheetId="1">#REF!</definedName>
    <definedName name="Channel_Grating_1">#REF!</definedName>
    <definedName name="Channel_Grating_2">#REF!</definedName>
    <definedName name="ChannelFinish">#REF!</definedName>
    <definedName name="ChannelFinishPrices">#REF!</definedName>
    <definedName name="ChannelGratePrices">#REF!</definedName>
    <definedName name="ChannelGrating">#REF!</definedName>
    <definedName name="ChannelPrices">#REF!</definedName>
    <definedName name="Charmare">#REF!</definedName>
    <definedName name="chart">#REF!</definedName>
    <definedName name="chart1">#REF!</definedName>
    <definedName name="chart2">#REF!</definedName>
    <definedName name="chart3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Data_Monthly" localSheetId="1">#REF!</definedName>
    <definedName name="ChartData_Monthly">#REF!</definedName>
    <definedName name="ChartData_Weekly" localSheetId="1">#REF!</definedName>
    <definedName name="ChartData_Weekly">#REF!</definedName>
    <definedName name="chb_100" localSheetId="1">#REF!</definedName>
    <definedName name="chb_100">#REF!</definedName>
    <definedName name="chb_150">#REF!</definedName>
    <definedName name="chcaijjhadsjkf" hidden="1">#REF!</definedName>
    <definedName name="check" localSheetId="1">'City Walk - Comparison'!City&amp;" "&amp;[1]!STATE</definedName>
    <definedName name="check">#REF!</definedName>
    <definedName name="check1" localSheetId="1">#REF!</definedName>
    <definedName name="check1">#REF!</definedName>
    <definedName name="check2">#REF!</definedName>
    <definedName name="checked">#REF!</definedName>
    <definedName name="CHECKEDBY_ELBK">#REF!</definedName>
    <definedName name="CHECKEDBY_ELEQ">#REF!</definedName>
    <definedName name="CHECKEDBY_INSTR">#REF!</definedName>
    <definedName name="CHEMICAL_DOSING">#REF!</definedName>
    <definedName name="chen" hidden="1">#REF!</definedName>
    <definedName name="CHF" localSheetId="1">#REF!</definedName>
    <definedName name="CHF">#REF!</definedName>
    <definedName name="ChFinInd">#REF!</definedName>
    <definedName name="ChGrInd">#REF!</definedName>
    <definedName name="chiller">#REF!</definedName>
    <definedName name="ChInd">#REF!</definedName>
    <definedName name="chiyoko">#REF!</definedName>
    <definedName name="CHJ">#REF!</definedName>
    <definedName name="chmf">#N/A</definedName>
    <definedName name="CHOICE">#REF!</definedName>
    <definedName name="Choices_Wrapper" localSheetId="1">'City Walk - Comparison'!Choices_Wrapper</definedName>
    <definedName name="Choices_Wrapper">[1]!Choices_Wrapper</definedName>
    <definedName name="choijong" localSheetId="1">#REF!</definedName>
    <definedName name="choijong">#REF!</definedName>
    <definedName name="chris" localSheetId="1" hidden="1">{#N/A,#N/A,TRUE,"Cover";#N/A,#N/A,TRUE,"Conts";#N/A,#N/A,TRUE,"VOS";#N/A,#N/A,TRUE,"Warrington";#N/A,#N/A,TRUE,"Widnes"}</definedName>
    <definedName name="chris" hidden="1">{#N/A,#N/A,TRUE,"Cover";#N/A,#N/A,TRUE,"Conts";#N/A,#N/A,TRUE,"VOS";#N/A,#N/A,TRUE,"Warrington";#N/A,#N/A,TRUE,"Widnes"}</definedName>
    <definedName name="Christiaan_van_Schalkwyk">#REF!</definedName>
    <definedName name="cici" localSheetId="1">#REF!</definedName>
    <definedName name="cici">#REF!</definedName>
    <definedName name="CIDB">#REF!</definedName>
    <definedName name="CIF">#REF!</definedName>
    <definedName name="ciff">#REF!</definedName>
    <definedName name="cill">#REF!</definedName>
    <definedName name="CIP" localSheetId="1">#REF!</definedName>
    <definedName name="CIP">#REF!</definedName>
    <definedName name="CIQWBGuid" hidden="1">"9f15afdd-16c2-4f2a-9527-b7e48d9e1363"</definedName>
    <definedName name="circu1" localSheetId="1">#REF!</definedName>
    <definedName name="circu1">#REF!</definedName>
    <definedName name="circu2">#REF!</definedName>
    <definedName name="CIRCUITS">#REF!</definedName>
    <definedName name="Circular_Columns">#REF!</definedName>
    <definedName name="Circular_Columns_14">#REF!</definedName>
    <definedName name="Circular_Columns_16">#REF!</definedName>
    <definedName name="Circular_Columns_17">#REF!</definedName>
    <definedName name="CIT_FMF">#REF!</definedName>
    <definedName name="CIT_HW_BGP">#REF!</definedName>
    <definedName name="CIT_HW_FAC">#REF!</definedName>
    <definedName name="CIT_HW_MOC">#REF!</definedName>
    <definedName name="CIT_HW_Sales">#REF!</definedName>
    <definedName name="CIT_HW_SGP">#REF!</definedName>
    <definedName name="CIT_Sales">#REF!</definedName>
    <definedName name="CIT_SW_BGP">#REF!</definedName>
    <definedName name="CIT_SW_FAC">#REF!</definedName>
    <definedName name="CIT_SW_MOC">#REF!</definedName>
    <definedName name="CIT_SW_SGP">#REF!</definedName>
    <definedName name="citotal">#REF!</definedName>
    <definedName name="City" localSheetId="1">#REF!</definedName>
    <definedName name="City">#REF!</definedName>
    <definedName name="City_Surveys">#REF!</definedName>
    <definedName name="city1area">#REF!</definedName>
    <definedName name="civ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_Det_Des" localSheetId="1">IF(VLOOKUP(#REF!,PRICE_CIVIL,1,FALSE)=0,0,VLOOKUP(#REF!,PRICE_CIVIL,2,FALSE))</definedName>
    <definedName name="Civ_Det_Des">IF(VLOOKUP(#REF!,PRICE_CIVIL,1,FALSE)=0,0,VLOOKUP(#REF!,PRICE_CIVIL,2,FALSE))</definedName>
    <definedName name="Civ_Det_Des1" localSheetId="1">#N/A</definedName>
    <definedName name="Civ_Det_Des1">IF(VLOOKUP(#REF!,PRICE_CIVIL,1,FALSE)=0,0,VLOOKUP(#REF!,PRICE_CIVIL,2,FALSE))</definedName>
    <definedName name="civi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_BOQ">#REF!</definedName>
    <definedName name="civil_firm" localSheetId="1">#REF!</definedName>
    <definedName name="civil_firm">#REF!</definedName>
    <definedName name="CIVIL_OLD_CITY">#REF!</definedName>
    <definedName name="CIVIL_OLD_ESC">#REF!</definedName>
    <definedName name="CIVIL_OLD_WAGE">#REF!</definedName>
    <definedName name="CIVIL_SUB_TOTAL">#REF!</definedName>
    <definedName name="CIVIL_WORKS">#REF!</definedName>
    <definedName name="civil_workss">#REF!</definedName>
    <definedName name="CIVIL10_CITY">#REF!</definedName>
    <definedName name="CIVIL10_ESC">#REF!</definedName>
    <definedName name="CIVIL10_OLD_PROD">#REF!</definedName>
    <definedName name="CIVIL10_PROD">#REF!</definedName>
    <definedName name="CIVIL10_WAGE">#REF!</definedName>
    <definedName name="CivilBasic">#REF!</definedName>
    <definedName name="civilworks">#REF!</definedName>
    <definedName name="ck">#REF!</definedName>
    <definedName name="CKT_QTY">#REF!</definedName>
    <definedName name="CKTS">#REF!</definedName>
    <definedName name="CKTS_SWYD">#REF!</definedName>
    <definedName name="cl">#REF!</definedName>
    <definedName name="cl_d">#REF!</definedName>
    <definedName name="cl_d1">#REF!</definedName>
    <definedName name="CLAD">#REF!</definedName>
    <definedName name="claim">#REF!</definedName>
    <definedName name="Claimedsum">#REF!</definedName>
    <definedName name="claims1" localSheetId="1">#REF!</definedName>
    <definedName name="claims1">#REF!</definedName>
    <definedName name="Classification">#REF!</definedName>
    <definedName name="Clawback_Payable" localSheetId="1">#REF!</definedName>
    <definedName name="Clawback_Payable">#REF!</definedName>
    <definedName name="Clean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r">#REF!</definedName>
    <definedName name="Clear_area" localSheetId="1">#REF!</definedName>
    <definedName name="Clear_area">#REF!</definedName>
    <definedName name="Clear_area___0" localSheetId="1">#REF!</definedName>
    <definedName name="Clear_area___0">#REF!</definedName>
    <definedName name="Clear_area___0___0">"$#REF!.$E$13:$F$15"</definedName>
    <definedName name="Clear_area___0___3">"$#REF!.$E$13:$F$15"</definedName>
    <definedName name="Clear_area___0___4">"$#REF!.$E$13:$F$15"</definedName>
    <definedName name="Clear_area___2">#REF!</definedName>
    <definedName name="Clear_area___2___0">"$#REF!.$E$13:$F$15"</definedName>
    <definedName name="Clear_area___2___3">"$#REF!.$E$13:$F$15"</definedName>
    <definedName name="Clear_area___3">#REF!</definedName>
    <definedName name="Clear_area___3___0">"$#REF!.$E$13:$F$15"</definedName>
    <definedName name="Clear_area___3___3">"$#REF!.$E$13:$F$15"</definedName>
    <definedName name="Clear_area___3___4">"$#REF!.$E$13:$F$15"</definedName>
    <definedName name="Clear_area___4">#REF!</definedName>
    <definedName name="Clear_area___4___0">"$#REF!.$E$13:$F$15"</definedName>
    <definedName name="Clear_area___4___3">"$#REF!.$E$13:$F$15"</definedName>
    <definedName name="Clear_area___7">"$#REF!.$E$13:$F$15;$#REF!.$E$17:$F$23;$#REF!.$E$25:$F$29;$#REF!.$E$32:$F$37;$#REF!.$E$40:$F$52;$#REF!.$E$54:$F$55;$#REF!.$E$57:$F$59;$#REF!.$E$63:$F$64"</definedName>
    <definedName name="ClearingAndGrubbing" localSheetId="1">#REF!</definedName>
    <definedName name="ClearingAndGrubbing">#REF!</definedName>
    <definedName name="clength">#REF!</definedName>
    <definedName name="Cletus">#REF!</definedName>
    <definedName name="CLEVELANDBRIDGE" localSheetId="1" hidden="1">{#N/A,#N/A,FALSE,"MARCH"}</definedName>
    <definedName name="CLEVELANDBRIDGE" hidden="1">{#N/A,#N/A,FALSE,"MARCH"}</definedName>
    <definedName name="Client">#REF!</definedName>
    <definedName name="Client_Add_1">#REF!</definedName>
    <definedName name="Client_Add_2">#REF!</definedName>
    <definedName name="Client_Add_3">#REF!</definedName>
    <definedName name="Client_Add_4">#REF!</definedName>
    <definedName name="Client_Company">#REF!</definedName>
    <definedName name="Client_Fax">#REF!</definedName>
    <definedName name="Client_First_Name">#REF!</definedName>
    <definedName name="Client_Name" localSheetId="1">#REF!</definedName>
    <definedName name="Client_Name">#REF!</definedName>
    <definedName name="Client_Quad_Percent" localSheetId="1">#REF!</definedName>
    <definedName name="Client_Quad_Percent">#REF!</definedName>
    <definedName name="Client_Surname">#REF!</definedName>
    <definedName name="Client_Tel">#REF!</definedName>
    <definedName name="Client_Title">#REF!</definedName>
    <definedName name="Client1" localSheetId="1">#N/A</definedName>
    <definedName name="Client1">#REF!</definedName>
    <definedName name="ClientAddress1" localSheetId="1">#REF!</definedName>
    <definedName name="ClientAddress1">#REF!</definedName>
    <definedName name="ClientAddress2" localSheetId="1">#REF!</definedName>
    <definedName name="ClientAddress2">#REF!</definedName>
    <definedName name="ClientCity" localSheetId="1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intels">#REF!</definedName>
    <definedName name="CLRCLR">#REF!</definedName>
    <definedName name="clrd_glass">#REF!</definedName>
    <definedName name="clrdglassdoor">#REF!</definedName>
    <definedName name="clrf" localSheetId="1">#REF!</definedName>
    <definedName name="clrf">#REF!</definedName>
    <definedName name="CLRGYP" localSheetId="1">#REF!</definedName>
    <definedName name="CLRGYP">#REF!</definedName>
    <definedName name="CLRPAN" localSheetId="1">#REF!</definedName>
    <definedName name="CLRPAN">#REF!</definedName>
    <definedName name="Clt_score">#REF!</definedName>
    <definedName name="CLUB" localSheetId="1">#REF!</definedName>
    <definedName name="CLUB">#REF!</definedName>
    <definedName name="ClusterB_Summary" localSheetId="1">#REF!</definedName>
    <definedName name="ClusterB_Summary">#REF!</definedName>
    <definedName name="ClusterC" localSheetId="1">#REF!</definedName>
    <definedName name="ClusterC">#REF!</definedName>
    <definedName name="ClusterC_Summary">#REF!</definedName>
    <definedName name="ClusterK">#REF!</definedName>
    <definedName name="CLUSTERL">#REF!</definedName>
    <definedName name="CLUSTERM">#REF!</definedName>
    <definedName name="CLVL">#REF!</definedName>
    <definedName name="CM">#REF!</definedName>
    <definedName name="CM_ENG_ACT">#REF!</definedName>
    <definedName name="CM_ENG_FCST">#REF!</definedName>
    <definedName name="CM_ENG_PLAN">#REF!</definedName>
    <definedName name="CM_Ratio">#REF!</definedName>
    <definedName name="CMA" localSheetId="1">#REF!</definedName>
    <definedName name="CMA">#REF!</definedName>
    <definedName name="CMargin" localSheetId="1">#REF!</definedName>
    <definedName name="CMargin">#REF!</definedName>
    <definedName name="CME">OFFSET(#REF!,1,0,COUNTA(#REF!)-(#REF!+2))</definedName>
    <definedName name="CMM" localSheetId="1">#REF!</definedName>
    <definedName name="CMM">#REF!</definedName>
    <definedName name="CMonths">OFFSET(#REF!,1,0,COUNTA(#REF!)-(#REF!+2))</definedName>
    <definedName name="CMW12139SUM" localSheetId="1">#REF!</definedName>
    <definedName name="CMW12139SUM">#REF!</definedName>
    <definedName name="cn">#REF!</definedName>
    <definedName name="Cn_No" localSheetId="1">#REF!</definedName>
    <definedName name="Cn_No">#REF!</definedName>
    <definedName name="CNCN" localSheetId="1" hidden="1">{#N/A,#N/A,TRUE,"Cover";#N/A,#N/A,TRUE,"Conts";#N/A,#N/A,TRUE,"VOS";#N/A,#N/A,TRUE,"Warrington";#N/A,#N/A,TRUE,"Widnes"}</definedName>
    <definedName name="CNCN" hidden="1">{#N/A,#N/A,TRUE,"Cover";#N/A,#N/A,TRUE,"Conts";#N/A,#N/A,TRUE,"VOS";#N/A,#N/A,TRUE,"Warrington";#N/A,#N/A,TRUE,"Widnes"}</definedName>
    <definedName name="CNTL_VALVE" localSheetId="1">#REF!</definedName>
    <definedName name="CNTL_VALVE">#REF!</definedName>
    <definedName name="CNTL_VALVE_PRICE">#REF!</definedName>
    <definedName name="CO">#REF!</definedName>
    <definedName name="co_table">#REF!</definedName>
    <definedName name="co_tt_1">#REF!</definedName>
    <definedName name="co_tt_2">#REF!</definedName>
    <definedName name="co_tt_3">#REF!</definedName>
    <definedName name="coa_ramco_168">#REF!</definedName>
    <definedName name="COAD">#REF!</definedName>
    <definedName name="coba1">#REF!</definedName>
    <definedName name="Cochin" localSheetId="1" hidden="1">{#N/A,#N/A,FALSE,"MARCH"}</definedName>
    <definedName name="Cochin" hidden="1">{#N/A,#N/A,FALSE,"MARCH"}</definedName>
    <definedName name="cocnlen1" localSheetId="1">#REF!</definedName>
    <definedName name="cocnlen1">#REF!</definedName>
    <definedName name="codd2" localSheetId="1">#REF!</definedName>
    <definedName name="codd2">#REF!</definedName>
    <definedName name="Code" hidden="1">#REF!</definedName>
    <definedName name="code_1">#REF!</definedName>
    <definedName name="CODE_AFGIS">#REF!</definedName>
    <definedName name="CODE_B">#REF!</definedName>
    <definedName name="Code_backdata">#REF!</definedName>
    <definedName name="CODE_E">#REF!</definedName>
    <definedName name="CODE_F">#REF!</definedName>
    <definedName name="CODE_MPA">#REF!</definedName>
    <definedName name="Code_Name">"#N/A"</definedName>
    <definedName name="CODE_P" localSheetId="1">#REF!</definedName>
    <definedName name="CODE_P">#REF!</definedName>
    <definedName name="code_q">#REF!</definedName>
    <definedName name="CODE_S">#REF!</definedName>
    <definedName name="CODE1234">#REF!</definedName>
    <definedName name="code2">#REF!</definedName>
    <definedName name="CODE4">#REF!</definedName>
    <definedName name="coef_adm">0.67</definedName>
    <definedName name="coef_av">0.7</definedName>
    <definedName name="coef_discount">0.05</definedName>
    <definedName name="coef_doc">0.67</definedName>
    <definedName name="coef_gest">0.6</definedName>
    <definedName name="coef_inst_gest">2</definedName>
    <definedName name="coef_meca">0.84</definedName>
    <definedName name="coef_oem">1</definedName>
    <definedName name="coef_service">1.61</definedName>
    <definedName name="coef_training">1.45</definedName>
    <definedName name="coef_xc">0.5</definedName>
    <definedName name="coeff">#REF!</definedName>
    <definedName name="COEFF_DATA" localSheetId="1">#REF!,#REF!,#REF!,#REF!,#REF!</definedName>
    <definedName name="COEFF_DATA">#REF!,#REF!,#REF!,#REF!,#REF!</definedName>
    <definedName name="Coeff_imp" localSheetId="1">#REF!</definedName>
    <definedName name="Coeff_imp">#REF!</definedName>
    <definedName name="Coeffc" localSheetId="1">1/[1]!Coeffu</definedName>
    <definedName name="Coeffc">1/Coeffu</definedName>
    <definedName name="CoeffOEM">1.5</definedName>
    <definedName name="Coeffsolect">2</definedName>
    <definedName name="Coeffu">1.4</definedName>
    <definedName name="coefHA">#REF!</definedName>
    <definedName name="CoefSursalaire" localSheetId="1">#REF!</definedName>
    <definedName name="CoefSursalaire">#REF!</definedName>
    <definedName name="COFFEE" localSheetId="1">#REF!</definedName>
    <definedName name="COFFEE">#REF!</definedName>
    <definedName name="coffee1">#REF!</definedName>
    <definedName name="COGS">#REF!</definedName>
    <definedName name="COGS_Photo" localSheetId="1">#REF!</definedName>
    <definedName name="COGS_Photo">#REF!</definedName>
    <definedName name="coimbatore" localSheetId="1">#REF!</definedName>
    <definedName name="coimbatore">#REF!</definedName>
    <definedName name="col" localSheetId="1">#REF!</definedName>
    <definedName name="col">#REF!</definedName>
    <definedName name="col___0">#REF!</definedName>
    <definedName name="col___11">#REF!</definedName>
    <definedName name="col___12">#REF!</definedName>
    <definedName name="COL_CO_TO">62</definedName>
    <definedName name="COL_ENGR" localSheetId="1">#REF!</definedName>
    <definedName name="COL_ENGR">#REF!</definedName>
    <definedName name="COL_PR_TO">61</definedName>
    <definedName name="colarea" localSheetId="1">#REF!</definedName>
    <definedName name="colarea">#REF!</definedName>
    <definedName name="Colbgl" localSheetId="1">#REF!</definedName>
    <definedName name="Colbgl">#REF!</definedName>
    <definedName name="colbgl2">#REF!</definedName>
    <definedName name="colcol">#REF!</definedName>
    <definedName name="COLDB" localSheetId="1">#REF!</definedName>
    <definedName name="COLDB">#REF!</definedName>
    <definedName name="colgyp" localSheetId="1">#REF!</definedName>
    <definedName name="colgyp">#REF!</definedName>
    <definedName name="coll_1">0</definedName>
    <definedName name="Collect" localSheetId="1">#REF!</definedName>
    <definedName name="Collect">#REF!</definedName>
    <definedName name="collection">#REF!</definedName>
    <definedName name="COLOG">#REF!</definedName>
    <definedName name="Colour">#REF!</definedName>
    <definedName name="colouredcolunmn" localSheetId="1">#REF!</definedName>
    <definedName name="colouredcolunmn">#REF!</definedName>
    <definedName name="ColouredUnitRates" localSheetId="1">#REF!,#REF!,#REF!,#REF!,#REF!,#REF!,#REF!,#REF!,#REF!,#REF!,#REF!,#REF!,#REF!,#REF!,#REF!,#REF!,#REF!,#REF!,#REF!,#REF!,#REF!,#REF!,#REF!,#REF!,#REF!,#REF!,#REF!,#REF!,#REF!,#REF!,#REF!,#REF!,#REF!,#REF!,#REF!,#REF!,#REF!,#REF!,#REF!</definedName>
    <definedName name="ColouredUnitRates">#REF!,#REF!,#REF!,#REF!,#REF!,#REF!,#REF!,#REF!,#REF!,#REF!,#REF!,#REF!,#REF!,#REF!,#REF!,#REF!,#REF!,#REF!,#REF!,#REF!,#REF!,#REF!,#REF!,#REF!,#REF!,#REF!,#REF!,#REF!,#REF!,#REF!,#REF!,#REF!,#REF!,#REF!,#REF!,#REF!,#REF!,#REF!,#REF!</definedName>
    <definedName name="columnLength" localSheetId="1">#REF!</definedName>
    <definedName name="columnLength">#REF!</definedName>
    <definedName name="ColumnReft" localSheetId="1">#REF!</definedName>
    <definedName name="ColumnReft">#REF!</definedName>
    <definedName name="Columns">#REF!</definedName>
    <definedName name="com" localSheetId="1" hidden="1">{#N/A,#N/A,FALSE,"mpph1";#N/A,#N/A,FALSE,"mpmseb";#N/A,#N/A,FALSE,"mpph2"}</definedName>
    <definedName name="COM">#REF!</definedName>
    <definedName name="com_msp" localSheetId="1">#REF!</definedName>
    <definedName name="com_msp">#REF!</definedName>
    <definedName name="com_pup" localSheetId="1">#REF!</definedName>
    <definedName name="com_pup">#REF!</definedName>
    <definedName name="com_reup" localSheetId="1">#REF!</definedName>
    <definedName name="com_reup">#REF!</definedName>
    <definedName name="come" localSheetId="1" hidden="1">{#N/A,#N/A,TRUE,"Cover";#N/A,#N/A,TRUE,"Conts";#N/A,#N/A,TRUE,"VOS";#N/A,#N/A,TRUE,"Warrington";#N/A,#N/A,TRUE,"Widnes"}</definedName>
    <definedName name="come" hidden="1">{#N/A,#N/A,TRUE,"Cover";#N/A,#N/A,TRUE,"Conts";#N/A,#N/A,TRUE,"VOS";#N/A,#N/A,TRUE,"Warrington";#N/A,#N/A,TRUE,"Widnes"}</definedName>
    <definedName name="COMELEC">#REF!</definedName>
    <definedName name="Comm" localSheetId="1">BlankMacro1</definedName>
    <definedName name="Comm">BlankMacro1</definedName>
    <definedName name="COMM_UOM">#REF!,#REF!,#REF!,#REF!,#REF!,#REF!,#REF!</definedName>
    <definedName name="COMMCODE">#REF!,#REF!,#REF!,#REF!,#REF!,#REF!,#REF!</definedName>
    <definedName name="comMH" localSheetId="1">#REF!</definedName>
    <definedName name="comMH">#REF!</definedName>
    <definedName name="Commission">#REF!</definedName>
    <definedName name="COMMISSIONING">#REF!</definedName>
    <definedName name="Common">#REF!</definedName>
    <definedName name="COMMUNICATION__INSTALLATIONS" localSheetId="1">#REF!</definedName>
    <definedName name="COMMUNICATION__INSTALLATIONS">#REF!</definedName>
    <definedName name="Communication_Security_and_Control_Systems">#REF!</definedName>
    <definedName name="Communications">#REF!</definedName>
    <definedName name="Communications_Security_and_Control_Systems" localSheetId="1">#REF!</definedName>
    <definedName name="Communications_Security_and_Control_Systems">#REF!</definedName>
    <definedName name="COMP" hidden="1">#REF!</definedName>
    <definedName name="Comp_ME">#REF!</definedName>
    <definedName name="Comp_occ">#REF!</definedName>
    <definedName name="Comp_Occ_Rate">#REF!</definedName>
    <definedName name="Comp1Seg1">"Check Box 1"</definedName>
    <definedName name="COMPANY">#REF!</definedName>
    <definedName name="COMPARISON" localSheetId="1" hidden="1">{#N/A,#N/A,FALSE,"mpph1";#N/A,#N/A,FALSE,"mpmseb";#N/A,#N/A,FALSE,"mpph2"}</definedName>
    <definedName name="COMPARISON">#REF!</definedName>
    <definedName name="Comparison_end">#REF!</definedName>
    <definedName name="CompDate" localSheetId="1">#REF!</definedName>
    <definedName name="CompDate">#REF!</definedName>
    <definedName name="CompDate_4" localSheetId="1">#REF!</definedName>
    <definedName name="CompDate_4">#REF!</definedName>
    <definedName name="CompDate_4_1" localSheetId="1">#REF!</definedName>
    <definedName name="CompDate_4_1">#REF!</definedName>
    <definedName name="CompDate_6">#REF!</definedName>
    <definedName name="Compétition">#N/A</definedName>
    <definedName name="Competition_Equipment" localSheetId="1">#REF!</definedName>
    <definedName name="Competition_Equipment">#REF!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mpletion_date">#REF!</definedName>
    <definedName name="Complex">#REF!</definedName>
    <definedName name="COMPLUMB" localSheetId="1">#REF!</definedName>
    <definedName name="COMPLUMB">#REF!</definedName>
    <definedName name="compo">#REF!</definedName>
    <definedName name="CompOcc" localSheetId="1">#REF!</definedName>
    <definedName name="CompOcc">#REF!</definedName>
    <definedName name="CompOccRate">#REF!</definedName>
    <definedName name="CompRates">#REF!</definedName>
    <definedName name="comprenant">#REF!</definedName>
    <definedName name="CompSales">#REF!</definedName>
    <definedName name="CompValParam">#REF!</definedName>
    <definedName name="CON" localSheetId="1" hidden="1">{#N/A,#N/A,TRUE,"Cover";#N/A,#N/A,TRUE,"Conts";#N/A,#N/A,TRUE,"VOS";#N/A,#N/A,TRUE,"Warrington";#N/A,#N/A,TRUE,"Widnes"}</definedName>
    <definedName name="CON" hidden="1">{#N/A,#N/A,TRUE,"Cover";#N/A,#N/A,TRUE,"Conts";#N/A,#N/A,TRUE,"VOS";#N/A,#N/A,TRUE,"Warrington";#N/A,#N/A,TRUE,"Widnes"}</definedName>
    <definedName name="CON_1" localSheetId="1" hidden="1">{#N/A,#N/A,TRUE,"Cover";#N/A,#N/A,TRUE,"Conts";#N/A,#N/A,TRUE,"VOS";#N/A,#N/A,TRUE,"Warrington";#N/A,#N/A,TRUE,"Widnes"}</definedName>
    <definedName name="CON_1" hidden="1">{#N/A,#N/A,TRUE,"Cover";#N/A,#N/A,TRUE,"Conts";#N/A,#N/A,TRUE,"VOS";#N/A,#N/A,TRUE,"Warrington";#N/A,#N/A,TRUE,"Widnes"}</definedName>
    <definedName name="CON_EQP_COS">#REF!</definedName>
    <definedName name="CON_EQP_COST" localSheetId="1">#REF!</definedName>
    <definedName name="CON_EQP_COST">#REF!</definedName>
    <definedName name="Con_unitprice">#REF!</definedName>
    <definedName name="conc">#REF!</definedName>
    <definedName name="Conc_1" localSheetId="1">#REF!</definedName>
    <definedName name="Conc_1">#REF!</definedName>
    <definedName name="Conc_10">#REF!</definedName>
    <definedName name="Conc_100">#REF!</definedName>
    <definedName name="conc_15">#REF!</definedName>
    <definedName name="Conc_20">#REF!</definedName>
    <definedName name="Conc_24">#REF!</definedName>
    <definedName name="conc_25">#REF!</definedName>
    <definedName name="Conc_30">#REF!</definedName>
    <definedName name="conc_35">#REF!</definedName>
    <definedName name="Conc_40">#REF!</definedName>
    <definedName name="conc_45">#REF!</definedName>
    <definedName name="Conc_50">#REF!</definedName>
    <definedName name="Conc_60">#REF!</definedName>
    <definedName name="Conc_70">#REF!</definedName>
    <definedName name="Conc_80">#REF!</definedName>
    <definedName name="Conc_90">#REF!</definedName>
    <definedName name="conc_labor">#N/A</definedName>
    <definedName name="conc\" localSheetId="1">#N/A</definedName>
    <definedName name="conc\">[1]!City&amp;" "&amp;STATE</definedName>
    <definedName name="conc2" localSheetId="1">#REF!</definedName>
    <definedName name="conc2">#REF!</definedName>
    <definedName name="concabt">#REF!</definedName>
    <definedName name="CONCC10RATE">#REF!</definedName>
    <definedName name="CONCC20T5RATE">#REF!</definedName>
    <definedName name="CONCC25RATE">#REF!</definedName>
    <definedName name="CONCC25T5RATE">#REF!</definedName>
    <definedName name="CONCC8RATE">#REF!</definedName>
    <definedName name="concele">#REF!</definedName>
    <definedName name="conclen3" localSheetId="1">#REF!</definedName>
    <definedName name="conclen3">#REF!</definedName>
    <definedName name="concondition">#N/A</definedName>
    <definedName name="CONCOURSE" localSheetId="1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COURSE_1" localSheetId="1" hidden="1">{#N/A,#N/A,TRUE,"Cover";#N/A,#N/A,TRUE,"Conts";#N/A,#N/A,TRUE,"VOS";#N/A,#N/A,TRUE,"Warrington";#N/A,#N/A,TRUE,"Widnes"}</definedName>
    <definedName name="CONCOURSE_1" hidden="1">{#N/A,#N/A,TRUE,"Cover";#N/A,#N/A,TRUE,"Conts";#N/A,#N/A,TRUE,"VOS";#N/A,#N/A,TRUE,"Warrington";#N/A,#N/A,TRUE,"Widnes"}</definedName>
    <definedName name="concrete">#REF!</definedName>
    <definedName name="Concrete_Ang.Connection" localSheetId="1">#REF!</definedName>
    <definedName name="Concrete_Ang.Connection">#REF!</definedName>
    <definedName name="Concrete_Ratios">#REF!</definedName>
    <definedName name="Concrete_V_Connection" localSheetId="1">#REF!</definedName>
    <definedName name="Concrete_V_Connection">#REF!</definedName>
    <definedName name="CONCRETEC10">#REF!</definedName>
    <definedName name="CONCRETEC20T5">#REF!</definedName>
    <definedName name="CONCRETEC25">#REF!</definedName>
    <definedName name="CONCRETEC25T5">#REF!</definedName>
    <definedName name="CONCRETEC8">#REF!</definedName>
    <definedName name="ConcreteClassA">#REF!</definedName>
    <definedName name="ConcreteClassB">#REF!</definedName>
    <definedName name="CONCWASTE">#REF!</definedName>
    <definedName name="CONCWST">#REF!</definedName>
    <definedName name="COND_PRICING">#REF!</definedName>
    <definedName name="condf">#REF!</definedName>
    <definedName name="condition">#N/A</definedName>
    <definedName name="CONDUIT" localSheetId="1">#REF!</definedName>
    <definedName name="CONDUIT">#REF!</definedName>
    <definedName name="Conduit_Size">#REF!</definedName>
    <definedName name="ConEnd">#REF!</definedName>
    <definedName name="conf" localSheetId="1">#REF!</definedName>
    <definedName name="conf">#REF!</definedName>
    <definedName name="conf_4" localSheetId="1">#REF!</definedName>
    <definedName name="conf_4">#REF!</definedName>
    <definedName name="conf_4_1" localSheetId="1">#REF!</definedName>
    <definedName name="conf_4_1">#REF!</definedName>
    <definedName name="conf_6">#REF!</definedName>
    <definedName name="config">#REF!</definedName>
    <definedName name="ConFlag" localSheetId="1">#REF!</definedName>
    <definedName name="ConFlag">#REF!</definedName>
    <definedName name="confli" localSheetId="1">#REF!</definedName>
    <definedName name="confli">#REF!</definedName>
    <definedName name="CongVattu" localSheetId="1">#REF!</definedName>
    <definedName name="CongVattu">#REF!</definedName>
    <definedName name="CONNOTES">#REF!</definedName>
    <definedName name="CONS" localSheetId="1">#REF!</definedName>
    <definedName name="CONS">#REF!</definedName>
    <definedName name="Cons_Hrs" localSheetId="1">#REF!</definedName>
    <definedName name="Cons_Hrs">#REF!</definedName>
    <definedName name="Cons_Rev">#REF!</definedName>
    <definedName name="Consol_view">#REF!,#REF!</definedName>
    <definedName name="Consolidate_end">#REF!</definedName>
    <definedName name="const" localSheetId="1">[1]!LongTermDebt+[1]!ShortTermDebt+[1]!CurrentPortion</definedName>
    <definedName name="const">[1]!LongTermDebt+[1]!ShortTermDebt+[1]!CurrentPortion</definedName>
    <definedName name="CONST_BASIS" localSheetId="1">#REF!</definedName>
    <definedName name="CONST_BASIS">#REF!</definedName>
    <definedName name="CONST_EQ">#REF!</definedName>
    <definedName name="ConStart">#REF!</definedName>
    <definedName name="constrn" localSheetId="1">#REF!</definedName>
    <definedName name="constrn">#REF!</definedName>
    <definedName name="Construction_Period">#REF!</definedName>
    <definedName name="Construction_Start_Date">#REF!</definedName>
    <definedName name="constructioncost">#REF!</definedName>
    <definedName name="ConstructionTotal" localSheetId="1">#REF!</definedName>
    <definedName name="ConstructionTotal">#REF!</definedName>
    <definedName name="ConstructMI">#REF!</definedName>
    <definedName name="consumables">#REF!</definedName>
    <definedName name="CONT" localSheetId="1">#REF!</definedName>
    <definedName name="Cont">#REF!</definedName>
    <definedName name="cont_label">#REF!</definedName>
    <definedName name="cont_qty">#REF!</definedName>
    <definedName name="Contact" localSheetId="1">#REF!</definedName>
    <definedName name="Contact">#REF!</definedName>
    <definedName name="CONTACTOR">#REF!</definedName>
    <definedName name="CONTACTOR1" localSheetId="1">#REF!</definedName>
    <definedName name="CONTACTOR1">#REF!</definedName>
    <definedName name="contain">#N/A</definedName>
    <definedName name="ContAmt" localSheetId="1">#REF!</definedName>
    <definedName name="ContAmt">#REF!</definedName>
    <definedName name="ContAmt_4" localSheetId="1">#REF!</definedName>
    <definedName name="ContAmt_4">#REF!</definedName>
    <definedName name="ContAmt_4_1" localSheetId="1">#REF!</definedName>
    <definedName name="ContAmt_4_1">#REF!</definedName>
    <definedName name="ContAmt_6">#REF!</definedName>
    <definedName name="content">#REF!</definedName>
    <definedName name="Contingencies">#REF!</definedName>
    <definedName name="Contingency" localSheetId="1">#REF!</definedName>
    <definedName name="CONTINGENCY">#REF!</definedName>
    <definedName name="Contr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" localSheetId="1">#N/A</definedName>
    <definedName name="Contract">#REF!</definedName>
    <definedName name="Contract_Contingency">#REF!</definedName>
    <definedName name="Contract_Data" localSheetId="1">#REF!</definedName>
    <definedName name="Contract_Data">#REF!</definedName>
    <definedName name="Contract_Form">#REF!</definedName>
    <definedName name="Contract_Sum" localSheetId="1">#REF!</definedName>
    <definedName name="Contract_Sum">#REF!</definedName>
    <definedName name="Contract_sum1">#REF!</definedName>
    <definedName name="contract_summary">#REF!</definedName>
    <definedName name="Contract_Type">#REF!</definedName>
    <definedName name="Contractdetor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or">#REF!</definedName>
    <definedName name="Contractor_Name" localSheetId="1">#REF!</definedName>
    <definedName name="Contractor_Name">#REF!</definedName>
    <definedName name="ContractorName" localSheetId="1">#REF!</definedName>
    <definedName name="ContractorName">#REF!</definedName>
    <definedName name="ContractorProfit">12/100</definedName>
    <definedName name="Contractors_Name" localSheetId="1">#REF!</definedName>
    <definedName name="Contractors_Name">#REF!</definedName>
    <definedName name="Contribution_OP">#REF!</definedName>
    <definedName name="ContWithAcct" localSheetId="1">#REF!</definedName>
    <definedName name="ContWithAcct">#REF!</definedName>
    <definedName name="ContWithAcct_4" localSheetId="1">#REF!</definedName>
    <definedName name="ContWithAcct_4">#REF!</definedName>
    <definedName name="ContWithAcct_4_1" localSheetId="1">#REF!</definedName>
    <definedName name="ContWithAcct_4_1">#REF!</definedName>
    <definedName name="ContWithAcct_6">#REF!</definedName>
    <definedName name="ContWithName">#REF!</definedName>
    <definedName name="ContWithName_4">#REF!</definedName>
    <definedName name="ContWithName_4_1">#REF!</definedName>
    <definedName name="ContWithName_6">#REF!</definedName>
    <definedName name="ContWithPrio">#REF!</definedName>
    <definedName name="ContWithPrio_4">#REF!</definedName>
    <definedName name="ContWithPrio_4_1">#REF!</definedName>
    <definedName name="ContWithPrio_6">#REF!</definedName>
    <definedName name="ContWithPrio_Text">#REF!</definedName>
    <definedName name="ContWithPrio_Text_4">#REF!</definedName>
    <definedName name="ContWithPrio_Text_4_1">#REF!</definedName>
    <definedName name="ContWithPrio_Text_6">#REF!</definedName>
    <definedName name="CONum">#REF!</definedName>
    <definedName name="CONum_4">#REF!</definedName>
    <definedName name="CONum_4_1">#REF!</definedName>
    <definedName name="CONum_6">#REF!</definedName>
    <definedName name="Conv" localSheetId="1">#REF!</definedName>
    <definedName name="CONV">#REF!</definedName>
    <definedName name="convention">#N/A</definedName>
    <definedName name="Conversion" localSheetId="1">#REF!</definedName>
    <definedName name="Conversion">#REF!</definedName>
    <definedName name="Conveuro">4.5</definedName>
    <definedName name="Conveying_Systems">#REF!</definedName>
    <definedName name="convusd">#REF!</definedName>
    <definedName name="COPP">#REF!</definedName>
    <definedName name="copper">#REF!</definedName>
    <definedName name="COPPER_PRICE">#REF!</definedName>
    <definedName name="COPTotal">#REF!</definedName>
    <definedName name="copy">#REF!</definedName>
    <definedName name="copy_this">#REF!</definedName>
    <definedName name="cord">#REF!</definedName>
    <definedName name="Core">#REF!</definedName>
    <definedName name="corean_counter">#REF!</definedName>
    <definedName name="corediameter" localSheetId="1">#REF!</definedName>
    <definedName name="corediameter">#REF!</definedName>
    <definedName name="CORIAN_COUNTER" localSheetId="1">#REF!</definedName>
    <definedName name="CORIAN_COUNTER">#REF!</definedName>
    <definedName name="corianbnch">#REF!</definedName>
    <definedName name="coring" localSheetId="1">#REF!</definedName>
    <definedName name="coring">#REF!</definedName>
    <definedName name="corner1">#REF!</definedName>
    <definedName name="CorpClient" localSheetId="1">#REF!</definedName>
    <definedName name="CorpClient">#REF!</definedName>
    <definedName name="CorpClient_4" localSheetId="1">#REF!</definedName>
    <definedName name="CorpClient_4">#REF!</definedName>
    <definedName name="CorpClient_4_1" localSheetId="1">#REF!</definedName>
    <definedName name="CorpClient_4_1">#REF!</definedName>
    <definedName name="CorpClient_6">#REF!</definedName>
    <definedName name="CorpClient_Text">#REF!</definedName>
    <definedName name="CorpClient_Text_4">#REF!</definedName>
    <definedName name="CorpClient_Text_4_1">#REF!</definedName>
    <definedName name="CorpClient_Text_6">#REF!</definedName>
    <definedName name="CorpTaxTest">#REF!</definedName>
    <definedName name="correc" localSheetId="1">#REF!</definedName>
    <definedName name="correc">#REF!</definedName>
    <definedName name="CorridorArea" localSheetId="1">#REF!</definedName>
    <definedName name="CorridorArea">#REF!</definedName>
    <definedName name="CorridorPerimeter" localSheetId="1">#REF!</definedName>
    <definedName name="CorridorPerimeter">#REF!</definedName>
    <definedName name="corshelf" localSheetId="1">#REF!</definedName>
    <definedName name="corshelf">#REF!</definedName>
    <definedName name="COS" localSheetId="1">#REF!</definedName>
    <definedName name="COS">#REF!</definedName>
    <definedName name="cost" localSheetId="1">#REF!</definedName>
    <definedName name="cost">#REF!</definedName>
    <definedName name="COST_BL">#REF!</definedName>
    <definedName name="COST_C">#REF!</definedName>
    <definedName name="Cost_Control_Matrix">#REF!</definedName>
    <definedName name="cost_d" localSheetId="1">#REF!</definedName>
    <definedName name="cost_d">#REF!</definedName>
    <definedName name="cost_d1" localSheetId="1">#REF!</definedName>
    <definedName name="cost_d1">#REF!</definedName>
    <definedName name="cost_detail">#REF!</definedName>
    <definedName name="cost_detail_small">#REF!</definedName>
    <definedName name="Cost_detail1">#REF!</definedName>
    <definedName name="Cost_Differential">#REF!</definedName>
    <definedName name="Cost_Per_Manday" localSheetId="1">#REF!</definedName>
    <definedName name="Cost_Per_Manday">#REF!</definedName>
    <definedName name="Cost_Plan">#REF!</definedName>
    <definedName name="COST_RANGE" localSheetId="1">#REF!</definedName>
    <definedName name="COST_RANGE">#REF!</definedName>
    <definedName name="Cost_stages">#REF!</definedName>
    <definedName name="cost_sum" localSheetId="1">#REF!</definedName>
    <definedName name="cost_sum">#REF!</definedName>
    <definedName name="cost_sum_3" localSheetId="1">#REF!</definedName>
    <definedName name="cost_sum_3">#REF!</definedName>
    <definedName name="cost_sum_short" localSheetId="1">#REF!</definedName>
    <definedName name="cost_sum_short">#REF!</definedName>
    <definedName name="Cost_sum1">#REF!</definedName>
    <definedName name="cost_summary_total_project" localSheetId="1">#REF!</definedName>
    <definedName name="cost_summary_total_project">#REF!</definedName>
    <definedName name="Cost_Temp.Equip">#REF!</definedName>
    <definedName name="COST_VALUE_REPO">#REF!</definedName>
    <definedName name="cost040485">#REF!</definedName>
    <definedName name="COST1" localSheetId="1">#REF!</definedName>
    <definedName name="COST1">#REF!</definedName>
    <definedName name="cost40485">#REF!</definedName>
    <definedName name="COSTCOMP10" localSheetId="1">#REF!</definedName>
    <definedName name="COSTCOMP10">#REF!</definedName>
    <definedName name="COSTCOMP11">#REF!</definedName>
    <definedName name="COSTFinalCurrency">#REF!</definedName>
    <definedName name="Costi">#REF!</definedName>
    <definedName name="CostingCoverSheet">#REF!</definedName>
    <definedName name="COSTItem" localSheetId="1">#REF!</definedName>
    <definedName name="COSTItem">#REF!</definedName>
    <definedName name="Costo" localSheetId="1">#REF!</definedName>
    <definedName name="Costo">#REF!</definedName>
    <definedName name="COSTS_A">#REF!</definedName>
    <definedName name="COSTSItem" localSheetId="1">#REF!</definedName>
    <definedName name="COSTSItem">#REF!</definedName>
    <definedName name="coststage">#REF!</definedName>
    <definedName name="COSTSUMMARY" localSheetId="1">#REF!</definedName>
    <definedName name="COSTSUMMARY">#REF!</definedName>
    <definedName name="CostTypeListOffset" localSheetId="1">#N/A</definedName>
    <definedName name="CostTypeListOffset">IF(IsLite,#REF!,#REF!)</definedName>
    <definedName name="costval" localSheetId="1">#REF!</definedName>
    <definedName name="costval">#REF!</definedName>
    <definedName name="costval1">#REF!</definedName>
    <definedName name="Costval10">#REF!</definedName>
    <definedName name="Costval11">#REF!</definedName>
    <definedName name="costval2">#REF!</definedName>
    <definedName name="Costval3">#REF!</definedName>
    <definedName name="Costval4">#REF!</definedName>
    <definedName name="Costval5">#REF!</definedName>
    <definedName name="Costval6">#REF!</definedName>
    <definedName name="Costval7">#REF!</definedName>
    <definedName name="Costval8">#REF!</definedName>
    <definedName name="Costval9">#REF!</definedName>
    <definedName name="cota" localSheetId="1">BlankMacro1</definedName>
    <definedName name="cota">BlankMacro1</definedName>
    <definedName name="COU" localSheetId="1">#REF!</definedName>
    <definedName name="COU">#REF!</definedName>
    <definedName name="COU___0" localSheetId="1">#REF!</definedName>
    <definedName name="COU___0">#REF!</definedName>
    <definedName name="COU___13" localSheetId="1">#REF!</definedName>
    <definedName name="COU___13">#REF!</definedName>
    <definedName name="COUNT__C1A__Standard_Guestroom">#REF!</definedName>
    <definedName name="COUNT__C1C__Junior_Suites">#REF!</definedName>
    <definedName name="COUNT__C1D__One_Bedroom_Suites">#REF!</definedName>
    <definedName name="COUNT__C1E__Two_bedroom_Suites">#REF!</definedName>
    <definedName name="COUNT__C1F1__Public_Circulation_Areas">#REF!</definedName>
    <definedName name="COUNT__C1G4__Shafts">#REF!</definedName>
    <definedName name="COUNT__C1G6__Fire_Escape_Stairs">#REF!</definedName>
    <definedName name="COUNT__C1H1__Standard_Guestrooms">#REF!</definedName>
    <definedName name="COUNT__C1H3__Junior_Suites">#REF!</definedName>
    <definedName name="COUNT__C1H4__One_Bedroom_Suites">#REF!</definedName>
    <definedName name="COUNT__C1H5__Two_Bedroom_Suites">#REF!</definedName>
    <definedName name="COUNT__C1H6__One_Bedroom_Suites_Type_2">#REF!</definedName>
    <definedName name="COUNT__C1I__General_Works_Guestrooms">#REF!</definedName>
    <definedName name="COUNT__C1J__One_Bedroom_Suites_Type_2">#REF!</definedName>
    <definedName name="COUNT__C2A2__Arrival_and_Reception_Lobby">#REF!</definedName>
    <definedName name="COUNT__C2A3__Front_Offices___Concierge">#REF!</definedName>
    <definedName name="COUNT__C2A4__Luggage_Scanner">#REF!</definedName>
    <definedName name="COUNT__C2A5__Hotel_Retail">#REF!</definedName>
    <definedName name="COUNT__C2A6__Prayer_Rooms">#REF!</definedName>
    <definedName name="COUNT__C2A7__Kids_Club">#REF!</definedName>
    <definedName name="COUNT__C2A8__Public_Toilets">#REF!</definedName>
    <definedName name="COUNT__C2A9__Changing_Rooms">#REF!</definedName>
    <definedName name="COUNT__C2C1__Hotel_Restaurant">#REF!</definedName>
    <definedName name="COUNT__C2C2__Lobby_Lounge">#REF!</definedName>
    <definedName name="COUNT__C2C3__Lobby_Bar">#REF!</definedName>
    <definedName name="COUNT__C2C4__Lobby_Bar___Covered_Terrace">#REF!</definedName>
    <definedName name="COUNT__C2C5__Speciality_Restaurant__1">#REF!</definedName>
    <definedName name="COUNT__C2C6__Speciality_Restaurant__2">#REF!</definedName>
    <definedName name="COUNT__C2C7__Speciality_Restaurant__2___Covered_Terrace">#REF!</definedName>
    <definedName name="COUNT__C2C8__Pool_Bar___Grill">#REF!</definedName>
    <definedName name="COUNT__C2D2__Gymnasium">#REF!</definedName>
    <definedName name="COUNT__C2G1__Circulation">#REF!</definedName>
    <definedName name="COUNT__C2G2__Outdoor_Lobby">#REF!</definedName>
    <definedName name="COUNT__C3A1__Front_Offices">#REF!</definedName>
    <definedName name="COUNT__C3A2__Administration_Offices">#REF!</definedName>
    <definedName name="COUNT__C3A3__Accounting_Offices">#REF!</definedName>
    <definedName name="COUNT__C3A4__Human_Resources_and_Training">#REF!</definedName>
    <definedName name="COUNT__C3B__IT_Department">#REF!</definedName>
    <definedName name="COUNT__C3C1__Kitchen___Main_Kitchen">#REF!</definedName>
    <definedName name="COUNT__C3C2__Kitchen___Speciality_Restaurant__1">#REF!</definedName>
    <definedName name="COUNT__C3C3__Kitchen___Speciality_Restaurant__2">#REF!</definedName>
    <definedName name="COUNT__C3C5__Pantry___Lobby_Bar">#REF!</definedName>
    <definedName name="COUNT__C3D__Housekeeping_and_Linen">#REF!</definedName>
    <definedName name="COUNT__C3E__Central_Laundry___Dry_Cleaning___Valet_Only">#REF!</definedName>
    <definedName name="COUNT__C3F5__Dining_Room_Seating">#REF!</definedName>
    <definedName name="COUNT__C3F8__Staff_Changing_Rooms">#REF!</definedName>
    <definedName name="COUNT__C3F9__Staff_Prayer_Rooms">#REF!</definedName>
    <definedName name="COUNT__C3G__Maintenance_and_Engineering">#REF!</definedName>
    <definedName name="COUNT__C3H1__Plant_and_Equipment_Rooms">#REF!</definedName>
    <definedName name="COUNT__C3H2__MEP_Shafts">#REF!</definedName>
    <definedName name="COUNT__C3J__Security">#REF!</definedName>
    <definedName name="COUNT__C3K__Purchasing__Goods_Receiving_and_Storage">#REF!</definedName>
    <definedName name="COUNT__C3L__BOH_Circulation_Areas">#REF!</definedName>
    <definedName name="COUNT__C4B__General_Works_Parking">#REF!</definedName>
    <definedName name="COUNT__C5__Unallocated_Rooms">#REF!</definedName>
    <definedName name="COUNT__G1__Conference_Centre">#REF!</definedName>
    <definedName name="COUNT__G1A__Conference_Hall">#REF!</definedName>
    <definedName name="COUNT__G1B__Reception">#REF!</definedName>
    <definedName name="COUNT__G1C__Meeting_Rooms">#REF!</definedName>
    <definedName name="COUNT__G2__Pre_function">#REF!</definedName>
    <definedName name="COUNT__G3__Toilets">#REF!</definedName>
    <definedName name="COUNT__G4__FOH_Circulation">#REF!</definedName>
    <definedName name="COUNT__G5__BOH_Circulation">#REF!</definedName>
    <definedName name="COUNT__G6__Fire_Escape_Stairs">#REF!</definedName>
    <definedName name="COUNT__G7__Plant_and_Equipment_Rooms">#REF!</definedName>
    <definedName name="COUNT__G8__Storage">#REF!</definedName>
    <definedName name="COUNT__G9__Kitchen_and_Service_Area">#REF!</definedName>
    <definedName name="COUNT_1_bed_Balcony_area">#REF!</definedName>
    <definedName name="COUNT_1_bed_bath_screen">#REF!</definedName>
    <definedName name="COUNT_1_bed_bath_shelf">#REF!</definedName>
    <definedName name="COUNT_1_bed_Bath_tub">#REF!</definedName>
    <definedName name="COUNT_1_bed_Bath_tub_mixer">#REF!</definedName>
    <definedName name="COUNT_1_bed_Bathroom_area">#REF!</definedName>
    <definedName name="COUNT_1_bed_Bedroom_area">#REF!</definedName>
    <definedName name="COUNT_1_bed_Cistern_cover">#REF!</definedName>
    <definedName name="COUNT_1_bed_Cooker_hob">#REF!</definedName>
    <definedName name="COUNT_1_bed_Fridge_freezer">#REF!</definedName>
    <definedName name="COUNT_1_bed_Kitchen_sink">#REF!</definedName>
    <definedName name="COUNT_1_bed_Kitchen_sink_mixer">#REF!</definedName>
    <definedName name="COUNT_1_bed_kitchen_units">#REF!</definedName>
    <definedName name="COUNT_1_bed_living_area">#REF!</definedName>
    <definedName name="COUNT_1_bed_mirror">#REF!</definedName>
    <definedName name="COUNT_1_bed_NIA">#REF!</definedName>
    <definedName name="COUNT_1_bed_Oven">#REF!</definedName>
    <definedName name="COUNT_1_bed_shower_mixer">#REF!</definedName>
    <definedName name="COUNT_1_bed_vanitys">#REF!</definedName>
    <definedName name="COUNT_1_bed_Wardrobes">#REF!</definedName>
    <definedName name="COUNT_1_bed_Wash_basin">#REF!</definedName>
    <definedName name="COUNT_1_bed_Wash_basin_mixer">#REF!</definedName>
    <definedName name="COUNT_1_bed_Washing_machine">#REF!</definedName>
    <definedName name="COUNT_1_bed_WC">#REF!</definedName>
    <definedName name="COUNT_110_mm_dia._RWP">#REF!</definedName>
    <definedName name="COUNT_110mm_dia_RWP">#REF!</definedName>
    <definedName name="COUNT_110mm_dia._opening_for_rain_water">#REF!</definedName>
    <definedName name="COUNT_110mm_dia._Rainwater_pipe">#REF!</definedName>
    <definedName name="COUNT_15mm_dia_Copper_pipe">#REF!</definedName>
    <definedName name="COUNT_15mm_dia._CWS_Buried_Underground">#REF!</definedName>
    <definedName name="COUNT_1F__25mm_dia._BCWS_Pipe">#REF!</definedName>
    <definedName name="COUNT_1F__25mm_dia._HWS_Pipe">#REF!</definedName>
    <definedName name="COUNT_1F__Isolation_valve">#REF!</definedName>
    <definedName name="COUNT_1F__Water_Hammer_Arrestor">#REF!</definedName>
    <definedName name="COUNT_1F_BOH_Service_and_Utility_area">#REF!</definedName>
    <definedName name="COUNT_1F_BOH_Staircase">#REF!</definedName>
    <definedName name="COUNT_1F_Guest_Core">#REF!</definedName>
    <definedName name="COUNT_1F_Guestrooms">#REF!</definedName>
    <definedName name="COUNT_1F_HGR_BOH">#REF!</definedName>
    <definedName name="COUNT_1F_HGR_Circulation">#REF!</definedName>
    <definedName name="COUNT_1F_HGR_Covered_Balcony">#REF!</definedName>
    <definedName name="COUNT_1F_HGR_Fire_Staircase">#REF!</definedName>
    <definedName name="COUNT_1F_HGR_Open_Terrace">#REF!</definedName>
    <definedName name="COUNT_1F_Lift_Shaft">#REF!</definedName>
    <definedName name="COUNT_1F_Roof_Terrace">#REF!</definedName>
    <definedName name="COUNT_1F_Services_Core">#REF!</definedName>
    <definedName name="COUNT_1F_Void___Dead_space">#REF!</definedName>
    <definedName name="COUNT_1st_Floor">#REF!</definedName>
    <definedName name="COUNT_1st_Floor___BOH___FIre_Escape_Stairs">#REF!</definedName>
    <definedName name="COUNT_1st_Floor___BOH___Guest_Core">#REF!</definedName>
    <definedName name="COUNT_1st_Floor___BOH___Guest_Core_lifts">#REF!</definedName>
    <definedName name="COUNT_1st_Floor___BOH___Service_Core">#REF!</definedName>
    <definedName name="COUNT_1st_Floor___BOH___Service_Core_ducts">#REF!</definedName>
    <definedName name="COUNT_1st_Floor___BOH___Service_Core_lift_shafts">#REF!</definedName>
    <definedName name="COUNT_1st_Floor___FOH___Guest_Circulation">#REF!</definedName>
    <definedName name="COUNT_1st_Floor___FOH___Guestroom_Terrace">#REF!</definedName>
    <definedName name="COUNT_1st_Floor___FOH___Guestrooms">#REF!</definedName>
    <definedName name="COUNT_1st_Floor___Guest_Core_ducts">#REF!</definedName>
    <definedName name="COUNT_2_bed_2nd_bathroom_area" localSheetId="1">#REF!</definedName>
    <definedName name="COUNT_2_bed_2nd_bathroom_area">#REF!</definedName>
    <definedName name="COUNT_2_bed_2nd_bedroom_area">#REF!</definedName>
    <definedName name="COUNT_2_bed_4_burner_hob">#REF!</definedName>
    <definedName name="COUNT_2_bed_Balcony_area">#REF!</definedName>
    <definedName name="COUNT_2_bed_bath_screen">#REF!</definedName>
    <definedName name="COUNT_2_bed_bath_tub">#REF!</definedName>
    <definedName name="COUNT_2_bed_bath_tub_mixer">#REF!</definedName>
    <definedName name="COUNT_2_bed_bidet">#REF!</definedName>
    <definedName name="COUNT_2_bed_cistern_cover">#REF!</definedName>
    <definedName name="COUNT_2_bed_fridge_freezer">#REF!</definedName>
    <definedName name="COUNT_2_bed_kitchen_sink">#REF!</definedName>
    <definedName name="COUNT_2_bed_kitchen_sink_mixer">#REF!</definedName>
    <definedName name="COUNT_2_bed_Kitchen_units">#REF!</definedName>
    <definedName name="COUNT_2_bed_living_area">#REF!</definedName>
    <definedName name="COUNT_2_bed_Master_bathroom_area">#REF!</definedName>
    <definedName name="COUNT_2_bed_Master_bedroom_area">#REF!</definedName>
    <definedName name="COUNT_2_bed_mirror">#REF!</definedName>
    <definedName name="COUNT_2_bed_NIA">#REF!</definedName>
    <definedName name="COUNT_2_bed_shower_mixer_set">#REF!</definedName>
    <definedName name="COUNT_2_bed_shower_partition_inc_door">#REF!</definedName>
    <definedName name="COUNT_2_bed_vanity_unit">#REF!</definedName>
    <definedName name="COUNT_2_bed_wardrobes">#REF!</definedName>
    <definedName name="COUNT_2_bed_wash_basin">#REF!</definedName>
    <definedName name="COUNT_2_bed_wash_basin_mixer">#REF!</definedName>
    <definedName name="COUNT_2_bed_washing_machine">#REF!</definedName>
    <definedName name="COUNT_2_bed_WC">#REF!</definedName>
    <definedName name="COUNT_2.2.1___Upper_Floors_240mm_thk_slab" localSheetId="1">#REF!</definedName>
    <definedName name="COUNT_2.2.1___Upper_Floors_240mm_thk_slab">#REF!</definedName>
    <definedName name="COUNT_2.2.1___Upper_Floors_300mm_thk_slab" localSheetId="1">#REF!</definedName>
    <definedName name="COUNT_2.2.1___Upper_Floors_300mm_thk_slab">#REF!</definedName>
    <definedName name="COUNT_2.3.1___Stairs__FF05_Steps_280mm" localSheetId="1">#REF!</definedName>
    <definedName name="COUNT_2.3.1___Stairs__FF05_Steps_280mm">#REF!</definedName>
    <definedName name="COUNT_2.3.2___Stairs__FF05_Risers_170mm" localSheetId="1">#REF!</definedName>
    <definedName name="COUNT_2.3.2___Stairs__FF05_Risers_170mm">#REF!</definedName>
    <definedName name="COUNT_2.3.3___Stairs__FF05_Skirting_100mm_high" localSheetId="1">#REF!</definedName>
    <definedName name="COUNT_2.3.3___Stairs__FF05_Skirting_100mm_high">#REF!</definedName>
    <definedName name="COUNT_2.3.4___Stairs__Balustrade___Fixed_to_floor">#REF!</definedName>
    <definedName name="COUNT_2.3.4___Stairs__Balustrade___Handrails_50mm_to_wall">#REF!</definedName>
    <definedName name="COUNT_2.3.4___Stairs__Balustrade___Sloping_Fixed_to_floor">#REF!</definedName>
    <definedName name="COUNT_2.4.1___Roof___Shuttering__Paint_incl_waterproofing_to_roof_canopies">#REF!</definedName>
    <definedName name="COUNT_2.4.1___Roof___Shuttering__Precast_cement_incl_waterproofing">#REF!</definedName>
    <definedName name="COUNT_2.4.1___Roof___Shuttering__Suspended_Reinforced_Concrete_Slab">#REF!</definedName>
    <definedName name="COUNT_2.4.2___Roof___Shuttering__Roof_Access_panel_750mmx900mm">#REF!</definedName>
    <definedName name="COUNT_20mm_dia_Bib_tap">#REF!</definedName>
    <definedName name="COUNT_20mm_dia_HSW_pipe">#REF!</definedName>
    <definedName name="COUNT_25mm_dia_BCWS_pipe">#REF!</definedName>
    <definedName name="COUNT_25mm_dia_HSW_pipe">#REF!</definedName>
    <definedName name="COUNT_2F_BOH_Roof_Terrace">#REF!</definedName>
    <definedName name="COUNT_2F_BOH_Service_and_Utility_area">#REF!</definedName>
    <definedName name="COUNT_2F_BOH_Staircase">#REF!</definedName>
    <definedName name="COUNT_2F_Guest_Core">#REF!</definedName>
    <definedName name="COUNT_2F_Guestrooms">#REF!</definedName>
    <definedName name="COUNT_2F_HGR_BOH">#REF!</definedName>
    <definedName name="COUNT_2F_HGR_Circulation">#REF!</definedName>
    <definedName name="COUNT_2F_HGR_Covered_Balcony">#REF!</definedName>
    <definedName name="COUNT_2F_HGR_Fire_Staircase">#REF!</definedName>
    <definedName name="COUNT_2F_Lift_Shaft">#REF!</definedName>
    <definedName name="COUNT_2F_Services_Core">#REF!</definedName>
    <definedName name="COUNT_2F_Voids___Dead_space">#REF!</definedName>
    <definedName name="COUNT_2nd_Floor">#REF!</definedName>
    <definedName name="COUNT_2nd_Floor___BOH___Event_Center_Core">#REF!</definedName>
    <definedName name="COUNT_2nd_Floor___BOH___Event_Center_Core_lift_shafts">#REF!</definedName>
    <definedName name="COUNT_2nd_Floor___BOH___Event_Center_Service">#REF!</definedName>
    <definedName name="COUNT_2nd_Floor___BOH___Event_Center_Service_lift_shafts">#REF!</definedName>
    <definedName name="COUNT_2nd_Floor___BOH___Fire_Escape_Stairs">#REF!</definedName>
    <definedName name="COUNT_2nd_Floor___BOH___Guest_Core">#REF!</definedName>
    <definedName name="COUNT_2nd_Floor___BOH___Guest_Core_ducts">#REF!</definedName>
    <definedName name="COUNT_2nd_Floor___BOH___Guest_Core_lift_shafts">#REF!</definedName>
    <definedName name="COUNT_2nd_Floor___BOH___Service_Core">#REF!</definedName>
    <definedName name="COUNT_2nd_Floor___BOH___Service_Core_ducts">#REF!</definedName>
    <definedName name="COUNT_2nd_Floor___BOH___Service_Core_lift_shafts">#REF!</definedName>
    <definedName name="COUNT_2nd_Floor___FOH___Guestroom_Circulation">#REF!</definedName>
    <definedName name="COUNT_2nd_Floor___FOH___Guestroom_Terrace">#REF!</definedName>
    <definedName name="COUNT_2nd_Floor___FOH___Guestrooms">#REF!</definedName>
    <definedName name="COUNT_3.1__External_Walls" localSheetId="1">#REF!</definedName>
    <definedName name="COUNT_3.1__External_Walls">#REF!</definedName>
    <definedName name="COUNT_3.1.1___BW2__150mm_thk" localSheetId="1">#REF!</definedName>
    <definedName name="COUNT_3.1.1___BW2__150mm_thk">#REF!</definedName>
    <definedName name="COUNT_3.1.1___BW3__200mm_thk" localSheetId="1">#REF!</definedName>
    <definedName name="COUNT_3.1.1___BW3__200mm_thk">#REF!</definedName>
    <definedName name="COUNT_3.1.1___BW4__250mm_thk" localSheetId="1">#REF!</definedName>
    <definedName name="COUNT_3.1.1___BW4__250mm_thk">#REF!</definedName>
    <definedName name="COUNT_3.2.2___Timber__D_01___1600mmx2250mm" localSheetId="1">#REF!</definedName>
    <definedName name="COUNT_3.2.2___Timber__D_01___1600mmx2250mm">#REF!</definedName>
    <definedName name="COUNT_3.2.2___Timber__D_02___1000mmx2200mm" localSheetId="1">#REF!</definedName>
    <definedName name="COUNT_3.2.2___Timber__D_02___1000mmx2200mm">#REF!</definedName>
    <definedName name="COUNT_3.2.2___Timber__D_04___1100mmx2200mm" localSheetId="1">#REF!</definedName>
    <definedName name="COUNT_3.2.2___Timber__D_04___1100mmx2200mm">#REF!</definedName>
    <definedName name="COUNT_3.3.1___GL01___800mmx1350mm" localSheetId="1">#REF!</definedName>
    <definedName name="COUNT_3.3.1___GL01___800mmx1350mm">#REF!</definedName>
    <definedName name="COUNT_3.3.1___GL02___2350mmx2600mm">#REF!</definedName>
    <definedName name="COUNT_3.3.1___GL03___2500mmx2600mm">#REF!</definedName>
    <definedName name="COUNT_3.3.1___GL04___2000mmx2600mm">#REF!</definedName>
    <definedName name="COUNT_3.3.1___GL05___2600mmx2700mm">#REF!</definedName>
    <definedName name="COUNT_3.3.1___GL06___3600mmx2700mm">#REF!</definedName>
    <definedName name="COUNT_3.3.1___GL07___1600mmx1350mm">#REF!</definedName>
    <definedName name="COUNT_3.3.1___GL08___800mmx1350mm">#REF!</definedName>
    <definedName name="COUNT_3.3.1___GL09___500mmx1200mm">#REF!</definedName>
    <definedName name="COUNT_3.3.1___GL10___3600mmx2700mm">#REF!</definedName>
    <definedName name="COUNT_3.3.1___GL11___2100mmx2700mm">#REF!</definedName>
    <definedName name="COUNT_3.3.1___GL12___1600mmx2700mm">#REF!</definedName>
    <definedName name="COUNT_3.3.1___GL13___1200mmx1800mm">#REF!</definedName>
    <definedName name="COUNT_3.3.1___GL14___1000mmx1500mm">#REF!</definedName>
    <definedName name="COUNT_3.3.1___GL15___5000mmx2700mm">#REF!</definedName>
    <definedName name="COUNT_3.3.1___GL16___1700mmx1350mm">#REF!</definedName>
    <definedName name="COUNT_3.3.1___GL17___600mmx1200mm">#REF!</definedName>
    <definedName name="COUNT_3.4.1___Cement_render_and_paint">#REF!</definedName>
    <definedName name="COUNT_3.4.2___50mmthk_Insulation">#REF!</definedName>
    <definedName name="COUNT_3.4.3___External_Soffits">#REF!</definedName>
    <definedName name="COUNT_3.4.5___Metal_railing_to_balcony">#REF!</definedName>
    <definedName name="COUNT_32_dia._CWS_Main_Buried_underground" localSheetId="1">#REF!</definedName>
    <definedName name="COUNT_32_dia._CWS_Main_Buried_underground">#REF!</definedName>
    <definedName name="COUNT_32mm_dia_BCWS">#REF!</definedName>
    <definedName name="COUNT_32mm_dia_BCWS_pipe">#REF!</definedName>
    <definedName name="COUNT_32mm_dia_BCWS_Riser">#REF!</definedName>
    <definedName name="COUNT_32mm_dia_HSW_pipe">#REF!</definedName>
    <definedName name="COUNT_32mm_dia_HSW_Riser">#REF!</definedName>
    <definedName name="COUNT_3F_BOH_Service___Utility_area">#REF!</definedName>
    <definedName name="COUNT_3F_BOH_Staircase">#REF!</definedName>
    <definedName name="COUNT_3F_Guest_Core">#REF!</definedName>
    <definedName name="COUNT_3F_Guestrooms">#REF!</definedName>
    <definedName name="COUNT_3F_HGR_BOH">#REF!</definedName>
    <definedName name="COUNT_3F_HGR_Circulation">#REF!</definedName>
    <definedName name="COUNT_3F_HGR_Covered_Balcony">#REF!</definedName>
    <definedName name="COUNT_3F_HGR_Fire_Staircase">#REF!</definedName>
    <definedName name="COUNT_3F_Lift_Shaft">#REF!</definedName>
    <definedName name="COUNT_3F_Services_Core">#REF!</definedName>
    <definedName name="COUNT_3F_Voids___Dead_space">#REF!</definedName>
    <definedName name="COUNT_3rd_Floor">#REF!</definedName>
    <definedName name="COUNT_3rd_Floor___BOH___Fire_Escape_Stairs">#REF!</definedName>
    <definedName name="COUNT_3rd_Floor___BOH___Guest_Core">#REF!</definedName>
    <definedName name="COUNT_3rd_Floor___BOH___Guest_Core_ducts">#REF!</definedName>
    <definedName name="COUNT_3rd_Floor___BOH___Guest_Core_lift_shafts">#REF!</definedName>
    <definedName name="COUNT_3rd_Floor___BOH___Service_Core">#REF!</definedName>
    <definedName name="COUNT_3rd_Floor___BOH___Service_Core_ducts">#REF!</definedName>
    <definedName name="COUNT_3rd_Floor___BOH___Service_Core_lift_shafts">#REF!</definedName>
    <definedName name="COUNT_3rd_Floor___FOH___Guest_Circulation">#REF!</definedName>
    <definedName name="COUNT_3rd_Floor___FOH___Guestroom_Terrace">#REF!</definedName>
    <definedName name="COUNT_3rd_Floor___FOH___Guestrooms">#REF!</definedName>
    <definedName name="COUNT_4.1.1___BW1__100mm_thk" localSheetId="1">#REF!</definedName>
    <definedName name="COUNT_4.1.1___BW1__100mm_thk">#REF!</definedName>
    <definedName name="COUNT_4.1.1___BW2__150mm_thk" localSheetId="1">#REF!</definedName>
    <definedName name="COUNT_4.1.1___BW2__150mm_thk">#REF!</definedName>
    <definedName name="COUNT_4.1.1___BW3__200mm_thk" localSheetId="1">#REF!</definedName>
    <definedName name="COUNT_4.1.1___BW3__200mm_thk">#REF!</definedName>
    <definedName name="COUNT_4.1.2___Allow_for_joint_sealant" localSheetId="1">#REF!</definedName>
    <definedName name="COUNT_4.1.2___Allow_for_joint_sealant">#REF!</definedName>
    <definedName name="COUNT_4.2__Skirting___S1" localSheetId="1">#REF!</definedName>
    <definedName name="COUNT_4.2__Skirting___S1">#REF!</definedName>
    <definedName name="COUNT_4.2.1___D_02__1000mm_x_2200mm" localSheetId="1">#REF!</definedName>
    <definedName name="COUNT_4.2.1___D_02__1000mm_x_2200mm">#REF!</definedName>
    <definedName name="COUNT_4.2.1___D_03__900mm_x_2200mm">#REF!</definedName>
    <definedName name="COUNT_4.2.1___D_04">#REF!</definedName>
    <definedName name="COUNT_4.2.2___Utility_Cupboard">#REF!</definedName>
    <definedName name="COUNT_4F_BOH_Service___Utility_area">#REF!</definedName>
    <definedName name="COUNT_4F_BOH_Staircase">#REF!</definedName>
    <definedName name="COUNT_4F_Guest_Core">#REF!</definedName>
    <definedName name="COUNT_4F_Guestrooms">#REF!</definedName>
    <definedName name="COUNT_4F_HGR_BOH">#REF!</definedName>
    <definedName name="COUNT_4F_HGR_Circulation">#REF!</definedName>
    <definedName name="COUNT_4F_HGR_Covered_Balcony">#REF!</definedName>
    <definedName name="COUNT_4F_HGR_Fire_Staircase">#REF!</definedName>
    <definedName name="COUNT_4F_Lift_Shaft">#REF!</definedName>
    <definedName name="COUNT_4F_Services_Core">#REF!</definedName>
    <definedName name="COUNT_4F_Voids___Dead_space">#REF!</definedName>
    <definedName name="COUNT_4th_Floor___BOH___Fire_Escape_Stairs">#REF!</definedName>
    <definedName name="COUNT_4th_Floor___BOH___Guest_Core">#REF!</definedName>
    <definedName name="COUNT_4th_Floor___BOH___Guest_Core_ducts">#REF!</definedName>
    <definedName name="COUNT_4th_Floor___BOH___Guest_Core_lift_shafts">#REF!</definedName>
    <definedName name="COUNT_4th_Floor___BOH___Service_Core">#REF!</definedName>
    <definedName name="COUNT_4th_Floor___BOH___Service_Core_ducts">#REF!</definedName>
    <definedName name="COUNT_4th_Floor___BOH___Service_Core_lift_shafts">#REF!</definedName>
    <definedName name="COUNT_4th_Floor___FOH___Guestroom_Circulation">#REF!</definedName>
    <definedName name="COUNT_4th_Floor___FOH___Guestroom_Terrace">#REF!</definedName>
    <definedName name="COUNT_4th_Floor___FOH___Guestrooms">#REF!</definedName>
    <definedName name="COUNT_4th_Floor___FOH___Roof_Top_Pantry">#REF!</definedName>
    <definedName name="COUNT_4th_Floor___FOH___Roof_Top_Restaurant">#REF!</definedName>
    <definedName name="COUNT_4th_Floor___FOH___Roof_Top_Toilets">#REF!</definedName>
    <definedName name="COUNT_4th_Floor___Roof_Top_Restaurant_open_terrace">#REF!</definedName>
    <definedName name="COUNT_5.1.2___Paint_to_walls__PF03" localSheetId="1">#REF!</definedName>
    <definedName name="COUNT_5.1.2___Paint_to_walls__PF03">#REF!</definedName>
    <definedName name="COUNT_5.1.2___Paint_to_walls__PF04" localSheetId="1">#REF!</definedName>
    <definedName name="COUNT_5.1.2___Paint_to_walls__PF04">#REF!</definedName>
    <definedName name="COUNT_5.1.3___Ceramic_Tiles_to_walls__WF01" localSheetId="1">#REF!</definedName>
    <definedName name="COUNT_5.1.3___Ceramic_Tiles_to_walls__WF01">#REF!</definedName>
    <definedName name="COUNT_5.1.3___Ceramic_Tiles_to_walls__WF03" localSheetId="1">#REF!</definedName>
    <definedName name="COUNT_5.1.3___Ceramic_Tiles_to_walls__WF03">#REF!</definedName>
    <definedName name="COUNT_5.1.3___Ceramic_Tiles_to_walls__WF05" localSheetId="1">#REF!</definedName>
    <definedName name="COUNT_5.1.3___Ceramic_Tiles_to_walls__WF05">#REF!</definedName>
    <definedName name="COUNT_5.1.3___Ceramic_Tiles_to_walls__WF07">#REF!</definedName>
    <definedName name="COUNT_5.1.4___Waterproofing_to_wet_areas">#REF!</definedName>
    <definedName name="COUNT_5.2.2___FF01__Porcelian_Tiles">#REF!</definedName>
    <definedName name="COUNT_5.2.2___FF01__Porcelian_Tiles_Skirting">#REF!</definedName>
    <definedName name="COUNT_5.2.3___FF03__Ceramic_Tiles">#REF!</definedName>
    <definedName name="COUNT_5.2.3___FF03__Ceramic_Tiles____Balconies">#REF!</definedName>
    <definedName name="COUNT_5.2.3___FF03__Ceramic_Tiles____Waterproofing_to_wet_areas">#REF!</definedName>
    <definedName name="COUNT_5.2.3___FF03__Ceramic_Tiles_Skirting">#REF!</definedName>
    <definedName name="COUNT_5.2.4___Threshold_Allowance_100mm_200mm_thk">#REF!</definedName>
    <definedName name="COUNT_5.3.1___PF01__Gypsum_Board">#REF!</definedName>
    <definedName name="COUNT_5.3.1___PF01__Slab_Soffits">#REF!</definedName>
    <definedName name="COUNT_5.3.1___PF03__Gypsum_Board">#REF!</definedName>
    <definedName name="COUNT_5.3.2___Bulkheads">#REF!</definedName>
    <definedName name="COUNT_50mm_dia_WP">#REF!</definedName>
    <definedName name="COUNT_50mm_dia._Balcony_Drain" localSheetId="1">#REF!</definedName>
    <definedName name="COUNT_50mm_dia._Balcony_Drain">#REF!</definedName>
    <definedName name="COUNT_5A_CEILING">#REF!</definedName>
    <definedName name="COUNT_5A_FS01">#REF!</definedName>
    <definedName name="COUNT_5A_FS02">#REF!</definedName>
    <definedName name="COUNT_5A_FS02_2F">#REF!</definedName>
    <definedName name="COUNT_5A_FS03">#REF!</definedName>
    <definedName name="COUNT_5A_FS03_AREA">#REF!</definedName>
    <definedName name="COUNT_5A_FS03_GRILL">#REF!</definedName>
    <definedName name="COUNT_5A_FS04">#REF!</definedName>
    <definedName name="COUNT_5A_FS04_1F">#REF!</definedName>
    <definedName name="COUNT_5A_FS04_2F">#REF!</definedName>
    <definedName name="COUNT_5A_FS05">#REF!</definedName>
    <definedName name="COUNT_5A_FS05_RF">#REF!</definedName>
    <definedName name="COUNT_5A_FS07">#REF!</definedName>
    <definedName name="COUNT_5A_FS08">#REF!</definedName>
    <definedName name="COUNT_5A_FS08_RF">#REF!</definedName>
    <definedName name="COUNT_5A_FS12_1F">#REF!</definedName>
    <definedName name="COUNT_5A_FS15_2F">#REF!</definedName>
    <definedName name="COUNT_5A_FS16">#REF!</definedName>
    <definedName name="COUNT_5B_FS01">#REF!</definedName>
    <definedName name="COUNT_5B_FS02_1F">#REF!</definedName>
    <definedName name="COUNT_5B_FS02_RF">#REF!</definedName>
    <definedName name="COUNT_5B_FS03">#REF!</definedName>
    <definedName name="COUNT_5B_FS03_AREA">#REF!</definedName>
    <definedName name="COUNT_5B_FS03_GRILL">#REF!</definedName>
    <definedName name="COUNT_5B_FS03_RF">#REF!</definedName>
    <definedName name="COUNT_5B_FS04_1F">#REF!</definedName>
    <definedName name="COUNT_5B_FS04_2F">#REF!</definedName>
    <definedName name="COUNT_5B_FS04_RF">#REF!</definedName>
    <definedName name="COUNT_5B_FS05">#REF!</definedName>
    <definedName name="COUNT_5B_FS05_GARDEN">#REF!</definedName>
    <definedName name="COUNT_5B_FS05_PARAPET">#REF!</definedName>
    <definedName name="COUNT_5B_FS06">#REF!</definedName>
    <definedName name="COUNT_5B_FS07_1F">#REF!</definedName>
    <definedName name="COUNT_5B_FS08_RF">#REF!</definedName>
    <definedName name="COUNT_5B_FS11_1F">#REF!</definedName>
    <definedName name="COUNT_5B_FS11_2F">#REF!</definedName>
    <definedName name="COUNT_5B_FS12_2F">#REF!</definedName>
    <definedName name="COUNT_5B_FS15_1F">#REF!</definedName>
    <definedName name="COUNT_5B_FS15_2F">#REF!</definedName>
    <definedName name="COUNT_5B_FS15_RF">#REF!</definedName>
    <definedName name="COUNT_5B_FS16">#REF!</definedName>
    <definedName name="COUNT_5B_LOUVRE">#REF!</definedName>
    <definedName name="COUNT_5B_PARAPET_COPING">#REF!</definedName>
    <definedName name="COUNT_5C_FS01">#REF!</definedName>
    <definedName name="COUNT_5C_FS02">#REF!</definedName>
    <definedName name="COUNT_5C_FS02_1F">#REF!</definedName>
    <definedName name="COUNT_5C_FS02_COPING">#REF!</definedName>
    <definedName name="COUNT_5C_FS03">#REF!</definedName>
    <definedName name="COUNT_5C_FS03_GRILL">#REF!</definedName>
    <definedName name="COUNT_5C_FS05_RF">#REF!</definedName>
    <definedName name="COUNT_5C_FS07_RF">#REF!</definedName>
    <definedName name="COUNT_5C_FS08_1F">#REF!</definedName>
    <definedName name="COUNT_5C_FS08_RF">#REF!</definedName>
    <definedName name="COUNT_5C_FS16">#REF!</definedName>
    <definedName name="COUNT_5C_LINK_BRIDGE">#REF!</definedName>
    <definedName name="COUNT_5F_BOH_Circulation">#REF!</definedName>
    <definedName name="COUNT_5F_BOH_Service___Utility_area">#REF!</definedName>
    <definedName name="COUNT_5F_BOH_Staircase">#REF!</definedName>
    <definedName name="COUNT_5F_Lift_Shaft">#REF!</definedName>
    <definedName name="COUNT_5F_MEP">#REF!</definedName>
    <definedName name="COUNT_5F_Services_Core">#REF!</definedName>
    <definedName name="COUNT_5F_Voids___Dead_area">#REF!</definedName>
    <definedName name="COUNT_6.1.1___U_Shaped_Base_Cabinet___3400___2250___2300_x_700_x_900" localSheetId="1">#REF!</definedName>
    <definedName name="COUNT_6.1.1___U_Shaped_Base_Cabinet___3400___2250___2300_x_700_x_900">#REF!</definedName>
    <definedName name="COUNT_6.1.2___Kitchen_Wall_Cabinet_____600_x340_x_830" localSheetId="1">#REF!</definedName>
    <definedName name="COUNT_6.1.2___Kitchen_Wall_Cabinet_____600_x340_x_830">#REF!</definedName>
    <definedName name="COUNT_6.1.2___Kitchen_Wall_Cabinet_____650_x340_x_830" localSheetId="1">#REF!</definedName>
    <definedName name="COUNT_6.1.2___Kitchen_Wall_Cabinet_____650_x340_x_830">#REF!</definedName>
    <definedName name="COUNT_6.1.2___Kitchen_Wall_Cabinet_____850_x340_x_830" localSheetId="1">#REF!</definedName>
    <definedName name="COUNT_6.1.2___Kitchen_Wall_Cabinet_____850_x340_x_830">#REF!</definedName>
    <definedName name="COUNT_6.1.2___Kitchen_Wall_Cabinet_____900_x340_x_400" localSheetId="1">#REF!</definedName>
    <definedName name="COUNT_6.1.2___Kitchen_Wall_Cabinet_____900_x340_x_400">#REF!</definedName>
    <definedName name="COUNT_6.1.3___Cooker_Hood__4_series">#REF!</definedName>
    <definedName name="COUNT_6.2.1___Wardrobe__1000mm_x_600mm__walkin_">#REF!</definedName>
    <definedName name="COUNT_6.2.1___Wardrobe__2000mm_x_600mm__Bed3_">#REF!</definedName>
    <definedName name="COUNT_6.2.1___Wardrobe__2200mm_x_600mm__Bed2_">#REF!</definedName>
    <definedName name="COUNT_6.2.1___Wardrobe_L_shape__2500mm___2300mm_x_600mm__walkin_">#REF!</definedName>
    <definedName name="COUNT_6.3.1___Base_Cabinet__1000mm_x_600mm_x_900mm">#REF!</definedName>
    <definedName name="COUNT_6.3.1___Base_Cabinet__1800mm_x_600mm_x_900m">#REF!</definedName>
    <definedName name="COUNT_6.3.1___Base_Cabinet__1900mm_x_600mm_x_900m">#REF!</definedName>
    <definedName name="COUNT_82mm_dia_Vent_pipe_1F" localSheetId="1">#REF!</definedName>
    <definedName name="COUNT_82mm_dia_Vent_pipe_1F">#REF!</definedName>
    <definedName name="COUNT_82mm_dia_Vent_pipe_GF">#REF!</definedName>
    <definedName name="COUNT_AM_Beams">#REF!</definedName>
    <definedName name="COUNT_AM_Slab_1200">#REF!</definedName>
    <definedName name="COUNT_AM_Slab_300">#REF!</definedName>
    <definedName name="COUNT_Assume_Roof">#REF!</definedName>
    <definedName name="COUNT_Assumed_Stair_Roof">#REF!</definedName>
    <definedName name="COUNT_B1">#REF!</definedName>
    <definedName name="COUNT_B1___BOH____Loading_Unloading">#REF!</definedName>
    <definedName name="COUNT_B1___BOH____Service_Corridor">#REF!</definedName>
    <definedName name="COUNT_B1___BOH___Bulk_Storage">#REF!</definedName>
    <definedName name="COUNT_B1___BOH___Event_Center_Core">#REF!</definedName>
    <definedName name="COUNT_B1___BOH___Event_Center_Core_lift_shafts">#REF!</definedName>
    <definedName name="COUNT_B1___BOH___Event_Center_Kitchen">#REF!</definedName>
    <definedName name="COUNT_B1___BOH___Event_Center_Service">#REF!</definedName>
    <definedName name="COUNT_B1___BOH___Fire_Escape_Stairs">#REF!</definedName>
    <definedName name="COUNT_B1___BOH___Food___Beverage_Dept">#REF!</definedName>
    <definedName name="COUNT_B1___BOH___General_Areas">#REF!</definedName>
    <definedName name="COUNT_B1___BOH___Guest_Core">#REF!</definedName>
    <definedName name="COUNT_B1___BOH___Guest_Core_ducts">#REF!</definedName>
    <definedName name="COUNT_B1___BOH___Guest_Core_lift_shafts">#REF!</definedName>
    <definedName name="COUNT_B1___BOH___Human_Resources">#REF!</definedName>
    <definedName name="COUNT_B1___BOH___Main_Kitchen">#REF!</definedName>
    <definedName name="COUNT_B1___BOH___Pool_Bar___Grill_Pantry">#REF!</definedName>
    <definedName name="COUNT_B1___BOH___Ramp__B1___GF_">#REF!</definedName>
    <definedName name="COUNT_B1___BOH___Ramp_B1_to_B2__loading_unloading_">#REF!</definedName>
    <definedName name="COUNT_B1___BOH___Receiving___Purchasing">#REF!</definedName>
    <definedName name="COUNT_B1___BOH___Service_Core">#REF!</definedName>
    <definedName name="COUNT_B1___BOH___Service_Core_ducts">#REF!</definedName>
    <definedName name="COUNT_B1___BOH___Service_Core_lift_shaft">#REF!</definedName>
    <definedName name="COUNT_B1___BOH___Service_Corridor">#REF!</definedName>
    <definedName name="COUNT_B1___BOH___Speciality_Restaurant_01_Pantry">#REF!</definedName>
    <definedName name="COUNT_B1___BOH___Staff_Core">#REF!</definedName>
    <definedName name="COUNT_B1___BOH___Staff_Core_lift_shafts">#REF!</definedName>
    <definedName name="COUNT_B1___BOH___Staff_Facilities">#REF!</definedName>
    <definedName name="COUNT_B1___BOH___Waste_Management">#REF!</definedName>
    <definedName name="COUNT_B1___Double_Volume_internal_Plant_RM">#REF!</definedName>
    <definedName name="COUNT_B1___FOH____Day_Care_Center">#REF!</definedName>
    <definedName name="COUNT_B1___FOH___All_Day_Dining">#REF!</definedName>
    <definedName name="COUNT_B1___FOH___Circulation">#REF!</definedName>
    <definedName name="COUNT_B1___FOH___Day_Care_Center_Terrace">#REF!</definedName>
    <definedName name="COUNT_B1___FOH___Guest_Circulation">#REF!</definedName>
    <definedName name="COUNT_B1___FOH___Guestroom_Terrace">#REF!</definedName>
    <definedName name="COUNT_B1___FOH___Guestrooms">#REF!</definedName>
    <definedName name="COUNT_B1___FOH___Gym">#REF!</definedName>
    <definedName name="COUNT_B1___FOH___Pool_Bar___Grill">#REF!</definedName>
    <definedName name="COUNT_B1___FOH___Pool_Bar___Grill_Terrace">#REF!</definedName>
    <definedName name="COUNT_B1___FOH___Spa">#REF!</definedName>
    <definedName name="COUNT_B1___FOH___Speciality_Restauarant_02_Toilets">#REF!</definedName>
    <definedName name="COUNT_B1___FOH___Speciality_Restaurant_01">#REF!</definedName>
    <definedName name="COUNT_B1___FOH___Speciality_Restaurant_02">#REF!</definedName>
    <definedName name="COUNT_B1___FOH___Speciality_Restaurant_02_Terrace__covered_terrace_area_">#REF!</definedName>
    <definedName name="COUNT_B1___FOH___Speciality_Restaurant_02_Terrace__open_terrace_area_">#REF!</definedName>
    <definedName name="COUNT_B1___Parking">#REF!</definedName>
    <definedName name="COUNT_B1__BOH_">#REF!</definedName>
    <definedName name="COUNT_B1__Car_Park_">#REF!</definedName>
    <definedName name="COUNT_B1__Column_C1">#REF!</definedName>
    <definedName name="COUNT_B1__Column_C10">#REF!</definedName>
    <definedName name="COUNT_B1__Column_C11">#REF!</definedName>
    <definedName name="COUNT_B1__Column_C12">#REF!</definedName>
    <definedName name="COUNT_B1__Column_C2">#REF!</definedName>
    <definedName name="COUNT_B1__Column_C3">#REF!</definedName>
    <definedName name="COUNT_B1__Column_C4">#REF!</definedName>
    <definedName name="COUNT_B1__Column_C5">#REF!</definedName>
    <definedName name="COUNT_B1__Column_C6">#REF!</definedName>
    <definedName name="COUNT_B1__Column_C7">#REF!</definedName>
    <definedName name="COUNT_B1__Column_C8">#REF!</definedName>
    <definedName name="COUNT_B1__Column_C9">#REF!</definedName>
    <definedName name="COUNT_B1__Column_TC1">#REF!</definedName>
    <definedName name="COUNT_B1__Column_TC2">#REF!</definedName>
    <definedName name="COUNT_B1__Column_TC3">#REF!</definedName>
    <definedName name="COUNT_B1__Column_TC4">#REF!</definedName>
    <definedName name="COUNT_B1__Column_TC5">#REF!</definedName>
    <definedName name="COUNT_B1__FOH_circulation_">#REF!</definedName>
    <definedName name="COUNT_B1__GIFA_">#REF!</definedName>
    <definedName name="COUNT_B1__RW1_400">#REF!</definedName>
    <definedName name="COUNT_B1__RW2_600">#REF!</definedName>
    <definedName name="COUNT_B1__Stairs_">#REF!</definedName>
    <definedName name="COUNT_B1__TW1_250">#REF!</definedName>
    <definedName name="COUNT_B1__TW2_200">#REF!</definedName>
    <definedName name="COUNT_B1__TW3_300">#REF!</definedName>
    <definedName name="COUNT_B1__TW3_400">#REF!</definedName>
    <definedName name="COUNT_B1__TW4_500">#REF!</definedName>
    <definedName name="COUNT_B1__TW4_500_Door_Overhead">#REF!</definedName>
    <definedName name="COUNT_B1__TW4_600">#REF!</definedName>
    <definedName name="COUNT_B1__voids_">#REF!</definedName>
    <definedName name="COUNT_B1__W1__300">#REF!</definedName>
    <definedName name="COUNT_B1__W1_300_Door_Overhead">#REF!</definedName>
    <definedName name="COUNT_B1_Beams">#REF!</definedName>
    <definedName name="COUNT_B1_BOH" localSheetId="1">#REF!</definedName>
    <definedName name="COUNT_B1_BOH">#REF!</definedName>
    <definedName name="COUNT_B1_BOH_Area" localSheetId="1">#REF!</definedName>
    <definedName name="COUNT_B1_BOH_Area">#REF!</definedName>
    <definedName name="COUNT_B1_BOH_Service___Utility_area" localSheetId="1">#REF!</definedName>
    <definedName name="COUNT_B1_BOH_Service___Utility_area">#REF!</definedName>
    <definedName name="COUNT_B1_Car_Park" localSheetId="1">#REF!</definedName>
    <definedName name="COUNT_B1_Car_Park">#REF!</definedName>
    <definedName name="COUNT_B1_Double_Internal_Doors__BOH_" localSheetId="1">#REF!</definedName>
    <definedName name="COUNT_B1_Double_Internal_Doors__BOH_">#REF!</definedName>
    <definedName name="COUNT_B1_Double_Internal_Doors__FOH_" localSheetId="1">#REF!</definedName>
    <definedName name="COUNT_B1_Double_Internal_Doors__FOH_">#REF!</definedName>
    <definedName name="COUNT_B1_Double_Volume_area" localSheetId="1">#REF!</definedName>
    <definedName name="COUNT_B1_Double_Volume_area">#REF!</definedName>
    <definedName name="COUNT_B1_Executive_Club" localSheetId="1">#REF!</definedName>
    <definedName name="COUNT_B1_Executive_Club">#REF!</definedName>
    <definedName name="COUNT_B1_FOH_Circulation" localSheetId="1">#REF!</definedName>
    <definedName name="COUNT_B1_FOH_Circulation">#REF!</definedName>
    <definedName name="COUNT_B1_FOH_Circulation_area" localSheetId="1">#REF!</definedName>
    <definedName name="COUNT_B1_FOH_Circulation_area">#REF!</definedName>
    <definedName name="COUNT_B1_FOH_Lobby" localSheetId="1">#REF!</definedName>
    <definedName name="COUNT_B1_FOH_Lobby">#REF!</definedName>
    <definedName name="COUNT_B1_GIFA" localSheetId="1">#REF!</definedName>
    <definedName name="COUNT_B1_GIFA">#REF!</definedName>
    <definedName name="COUNT_B1_Guest_Core" localSheetId="1">#REF!</definedName>
    <definedName name="COUNT_B1_Guest_Core">#REF!</definedName>
    <definedName name="COUNT_B1_Gym" localSheetId="1">#REF!</definedName>
    <definedName name="COUNT_B1_Gym">#REF!</definedName>
    <definedName name="COUNT_B1_Gym_Toilets" localSheetId="1">#REF!</definedName>
    <definedName name="COUNT_B1_Gym_Toilets">#REF!</definedName>
    <definedName name="COUNT_B1_Internal_Double_doors__BOH_">#REF!</definedName>
    <definedName name="COUNT_B1_Internal_Double_doors__FOH_">#REF!</definedName>
    <definedName name="COUNT_B1_Internal_Single_doors__BOH_">#REF!</definedName>
    <definedName name="COUNT_B1_Kids_Area">#REF!</definedName>
    <definedName name="COUNT_B1_Kitchen">#REF!</definedName>
    <definedName name="COUNT_B1_Lift_Shaft">#REF!</definedName>
    <definedName name="COUNT_B1_Main_Restaurant">#REF!</definedName>
    <definedName name="COUNT_B1_MEP_Area">#REF!</definedName>
    <definedName name="COUNT_B1_Mezz">#REF!</definedName>
    <definedName name="COUNT_B1_Mezzanine___BOH___Event_Center_Admin">#REF!</definedName>
    <definedName name="COUNT_B1_Mezzanine___BOH___Event_Center_Core">#REF!</definedName>
    <definedName name="COUNT_B1_Mezzanine___BOH___Event_Center_Valet">#REF!</definedName>
    <definedName name="COUNT_B1_Mezzanine___BOH___Event_Service_Core_lift_shafts">#REF!</definedName>
    <definedName name="COUNT_B1_Mezzanine___BOH___Fire_Escape_Stairs">#REF!</definedName>
    <definedName name="COUNT_B1_Mezzanine___BOH___General_Areas">#REF!</definedName>
    <definedName name="COUNT_B1_Mezzanine___BOH___Guest_Core">#REF!</definedName>
    <definedName name="COUNT_B1_Mezzanine___BOH___Guest_Core_ducts">#REF!</definedName>
    <definedName name="COUNT_B1_Mezzanine___BOH___Guest_Core_lift_shafts">#REF!</definedName>
    <definedName name="COUNT_B1_Mezzanine___BOH___RMU">#REF!</definedName>
    <definedName name="COUNT_B1_Mezzanine___BOH___Service_Core">#REF!</definedName>
    <definedName name="COUNT_B1_Mezzanine___BOH___Service_Core_ducts">#REF!</definedName>
    <definedName name="COUNT_B1_Mezzanine___BOH___Service_Core_lift_shafts">#REF!</definedName>
    <definedName name="COUNT_B1_Mezzanine___Double_Volume__left_wing_">#REF!</definedName>
    <definedName name="COUNT_B1_Mezzanine___Double_Volume__left_wing_stairs___">#REF!</definedName>
    <definedName name="COUNT_B1_Mezzanine___Double_Volume__main_hotel___">#REF!</definedName>
    <definedName name="COUNT_B1_Mezzanine___Double_Volume__right_wing_">#REF!</definedName>
    <definedName name="COUNT_B1_Mezzanine___Double_Volume__right_wing_stairs___">#REF!</definedName>
    <definedName name="COUNT_B1_Mezzanine___Double_Volume__Speciality_Restaurant___">#REF!</definedName>
    <definedName name="COUNT_B1_Mezzanine___FOH___Business_Center">#REF!</definedName>
    <definedName name="COUNT_B1_Mezzanine___FOH___Circulation">#REF!</definedName>
    <definedName name="COUNT_B1_Mezzanine___FOH___Event_Center_Core_lift_shafts">#REF!</definedName>
    <definedName name="COUNT_B1_Mezzanine___FOH___Event_Center_Port_Corchere">#REF!</definedName>
    <definedName name="COUNT_B1_Mezzanine___FOH___Event_Center_Reception">#REF!</definedName>
    <definedName name="COUNT_B1_Mezzanine___FOH___Event_Center_Wind_Lobby">#REF!</definedName>
    <definedName name="COUNT_B1_Mezzanine___FOH___Guestroom_Terrace">#REF!</definedName>
    <definedName name="COUNT_B1_Mezzanine___FOH___Guestrooms">#REF!</definedName>
    <definedName name="COUNT_B1_Mezzanine___FOH___Meeting_Prefunction">#REF!</definedName>
    <definedName name="COUNT_B1_Mezzanine___FOH___Meeting_Rooms">#REF!</definedName>
    <definedName name="COUNT_B1_Mezzanine___FOH___Meeting_Rooms_Pantry">#REF!</definedName>
    <definedName name="COUNT_B1_Mezzanine___FOH___Meeting_Rooms_Terrace">#REF!</definedName>
    <definedName name="COUNT_B1_Mezzanine___FOH___Meeting_Rooms_Toilet">#REF!</definedName>
    <definedName name="COUNT_B1_Mezzanine___FOH___Retail">#REF!</definedName>
    <definedName name="COUNT_B1_Parking_area">#REF!</definedName>
    <definedName name="COUNT_B1_Public_Toilets">#REF!</definedName>
    <definedName name="COUNT_B1_Ramp">#REF!</definedName>
    <definedName name="COUNT_B1_Service_Lift_Lobby">#REF!</definedName>
    <definedName name="COUNT_B1_Services_Core">#REF!</definedName>
    <definedName name="COUNT_B1_Single_Internal_Doors__BOH_" localSheetId="1">#REF!</definedName>
    <definedName name="COUNT_B1_Single_Internal_Doors__BOH_">#REF!</definedName>
    <definedName name="COUNT_B1_Slab_200" localSheetId="1">#REF!</definedName>
    <definedName name="COUNT_B1_Slab_200">#REF!</definedName>
    <definedName name="COUNT_B1_Slab_220">#REF!</definedName>
    <definedName name="COUNT_B1_Slab_240">#REF!</definedName>
    <definedName name="COUNT_B1_Slab_260">#REF!</definedName>
    <definedName name="COUNT_B1_Spa">#REF!</definedName>
    <definedName name="COUNT_B1_Speciality_Kitchen">#REF!</definedName>
    <definedName name="COUNT_B1_Speciality_Restaurant">#REF!</definedName>
    <definedName name="COUNT_B1_Staicase_Lobby">#REF!</definedName>
    <definedName name="COUNT_B1_Staircase">#REF!</definedName>
    <definedName name="COUNT_B1_Stairs" localSheetId="1">#REF!</definedName>
    <definedName name="COUNT_B1_Stairs">#REF!</definedName>
    <definedName name="COUNT_B1_Voids" localSheetId="1">#REF!</definedName>
    <definedName name="COUNT_B1_Voids">#REF!</definedName>
    <definedName name="COUNT_B2" localSheetId="1">#REF!</definedName>
    <definedName name="COUNT_B2">#REF!</definedName>
    <definedName name="COUNT_B2___BOH____Tank" localSheetId="1">#REF!</definedName>
    <definedName name="COUNT_B2___BOH____Tank">#REF!</definedName>
    <definedName name="COUNT_B2___BOH___AHU">#REF!</definedName>
    <definedName name="COUNT_B2___BOH___Engineering___Maintenance">#REF!</definedName>
    <definedName name="COUNT_B2___BOH___Event_Center_Core">#REF!</definedName>
    <definedName name="COUNT_B2___BOH___Event_Center_Core_lift_shafts">#REF!</definedName>
    <definedName name="COUNT_B2___BOH___Fire_Escape_Stairs">#REF!</definedName>
    <definedName name="COUNT_B2___BOH___Guest_Core">#REF!</definedName>
    <definedName name="COUNT_B2___BOH___Guest_Core_lift_shafts">#REF!</definedName>
    <definedName name="COUNT_B2___BOH___Heat_Exchange">#REF!</definedName>
    <definedName name="COUNT_B2___BOH___IT_Department">#REF!</definedName>
    <definedName name="COUNT_B2___BOH___Laundry___Housekeeping">#REF!</definedName>
    <definedName name="COUNT_B2___BOH___LV_Room">#REF!</definedName>
    <definedName name="COUNT_B2___BOH___Plant">#REF!</definedName>
    <definedName name="COUNT_B2___BOH___Pump_Room">#REF!</definedName>
    <definedName name="COUNT_B2___BOH___Ramp_B2_to_B1">#REF!</definedName>
    <definedName name="COUNT_B2___BOH___Ramp_B2_to_B1__loading___unloading_">#REF!</definedName>
    <definedName name="COUNT_B2___BOH___Service_Core">#REF!</definedName>
    <definedName name="COUNT_B2___BOH___Service_Core_duct">#REF!</definedName>
    <definedName name="COUNT_B2___BOH___Service_Core_lift_shafts">#REF!</definedName>
    <definedName name="COUNT_B2___BOH___Service_Corridor">#REF!</definedName>
    <definedName name="COUNT_B2___BOH___Substation">#REF!</definedName>
    <definedName name="COUNT_B2___BOH___Unknown_areas">#REF!</definedName>
    <definedName name="COUNT_B2___FOH___Pool_Toilets">#REF!</definedName>
    <definedName name="COUNT_B2___FOH___Speciality_Restaurant_01_Toilets">#REF!</definedName>
    <definedName name="COUNT_B2___Parking">#REF!</definedName>
    <definedName name="COUNT_B2__BOH_">#REF!</definedName>
    <definedName name="COUNT_B2__Car_Parking_">#REF!</definedName>
    <definedName name="COUNT_B2__Column_C1">#REF!</definedName>
    <definedName name="COUNT_B2__Column_C10">#REF!</definedName>
    <definedName name="COUNT_B2__Column_C11">#REF!</definedName>
    <definedName name="COUNT_B2__Column_C12">#REF!</definedName>
    <definedName name="COUNT_B2__Column_C2">#REF!</definedName>
    <definedName name="COUNT_B2__Column_C3">#REF!</definedName>
    <definedName name="COUNT_B2__Column_C4">#REF!</definedName>
    <definedName name="COUNT_B2__Column_C5">#REF!</definedName>
    <definedName name="COUNT_B2__Column_C6">#REF!</definedName>
    <definedName name="COUNT_B2__Column_C7">#REF!</definedName>
    <definedName name="COUNT_B2__Column_C8">#REF!</definedName>
    <definedName name="COUNT_B2__Column_C9">#REF!</definedName>
    <definedName name="COUNT_B2__Column_TC1">#REF!</definedName>
    <definedName name="COUNT_B2__Column_TC2">#REF!</definedName>
    <definedName name="COUNT_B2__Column_TC3">#REF!</definedName>
    <definedName name="COUNT_B2__Column_TC4">#REF!</definedName>
    <definedName name="COUNT_B2__Column_TC5">#REF!</definedName>
    <definedName name="COUNT_B2__FOH_Circulation_">#REF!</definedName>
    <definedName name="COUNT_B2__GIFA_">#REF!</definedName>
    <definedName name="COUNT_B2__Loading__Unloading_Area">#REF!</definedName>
    <definedName name="COUNT_B2__RW1_400">#REF!</definedName>
    <definedName name="COUNT_B2__RW2_600">#REF!</definedName>
    <definedName name="COUNT_B2__Stairs_">#REF!</definedName>
    <definedName name="COUNT_B2__TW1_250">#REF!</definedName>
    <definedName name="COUNT_B2__TW2_200">#REF!</definedName>
    <definedName name="COUNT_B2__TW3_300">#REF!</definedName>
    <definedName name="COUNT_B2__TW3_400">#REF!</definedName>
    <definedName name="COUNT_B2__TW4_500">#REF!</definedName>
    <definedName name="COUNT_B2__TW4_600">#REF!</definedName>
    <definedName name="COUNT_B2__Voids_">#REF!</definedName>
    <definedName name="COUNT_B2__W1__300">#REF!</definedName>
    <definedName name="COUNT_B2__W1__300_Door_Overhead">#REF!</definedName>
    <definedName name="COUNT_B2_BOH" localSheetId="1">#REF!</definedName>
    <definedName name="COUNT_B2_BOH">#REF!</definedName>
    <definedName name="COUNT_B2_BOH___Services_Area" localSheetId="1">#REF!</definedName>
    <definedName name="COUNT_B2_BOH___Services_Area">#REF!</definedName>
    <definedName name="COUNT_B2_BOH_Area" localSheetId="1">#REF!</definedName>
    <definedName name="COUNT_B2_BOH_Area">#REF!</definedName>
    <definedName name="COUNT_B2_Car_Park" localSheetId="1">#REF!</definedName>
    <definedName name="COUNT_B2_Car_Park">#REF!</definedName>
    <definedName name="COUNT_B2_Dirty_Room" localSheetId="1">#REF!</definedName>
    <definedName name="COUNT_B2_Dirty_Room">#REF!</definedName>
    <definedName name="COUNT_B2_Double_Internal_Doors__BOH_" localSheetId="1">#REF!</definedName>
    <definedName name="COUNT_B2_Double_Internal_Doors__BOH_">#REF!</definedName>
    <definedName name="COUNT_B2_Double_Internal_Doors__FOH_" localSheetId="1">#REF!</definedName>
    <definedName name="COUNT_B2_Double_Internal_Doors__FOH_">#REF!</definedName>
    <definedName name="COUNT_B2_FOH" localSheetId="1">#REF!</definedName>
    <definedName name="COUNT_B2_FOH">#REF!</definedName>
    <definedName name="COUNT_B2_GIFA" localSheetId="1">#REF!</definedName>
    <definedName name="COUNT_B2_GIFA">#REF!</definedName>
    <definedName name="COUNT_B2_Kitchen" localSheetId="1">#REF!</definedName>
    <definedName name="COUNT_B2_Kitchen">#REF!</definedName>
    <definedName name="COUNT_B2_Lift_Shaft" localSheetId="1">#REF!</definedName>
    <definedName name="COUNT_B2_Lift_Shaft">#REF!</definedName>
    <definedName name="COUNT_B2_MEP_Area" localSheetId="1">#REF!</definedName>
    <definedName name="COUNT_B2_MEP_Area">#REF!</definedName>
    <definedName name="COUNT_B2_Raft_2500">#REF!</definedName>
    <definedName name="COUNT_B2_Raft_600">#REF!</definedName>
    <definedName name="COUNT_B2_Services_Core">#REF!</definedName>
    <definedName name="COUNT_B2_Single_Internal_Doors__BOH_" localSheetId="1">#REF!</definedName>
    <definedName name="COUNT_B2_Single_Internal_Doors__BOH_">#REF!</definedName>
    <definedName name="COUNT_B2_Staircase" localSheetId="1">#REF!</definedName>
    <definedName name="COUNT_B2_Staircase">#REF!</definedName>
    <definedName name="COUNT_B2_Stairs" localSheetId="1">#REF!</definedName>
    <definedName name="COUNT_B2_Stairs">#REF!</definedName>
    <definedName name="COUNT_B2_Voids" localSheetId="1">#REF!</definedName>
    <definedName name="COUNT_B2_Voids">#REF!</definedName>
    <definedName name="COUNT_B3_Beams" localSheetId="1">#REF!</definedName>
    <definedName name="COUNT_B3_Beams">#REF!</definedName>
    <definedName name="COUNT_B3_Wall">#REF!</definedName>
    <definedName name="COUNT_B3_Wall_Link">#REF!</definedName>
    <definedName name="COUNT_B4_Beams">#REF!</definedName>
    <definedName name="COUNT_B4_Tower_Wall___same_as_B5">#REF!</definedName>
    <definedName name="COUNT_B4_Wall_Length">#REF!</definedName>
    <definedName name="COUNT_B4_Wall_Link">#REF!</definedName>
    <definedName name="COUNT_B5_Beams">#REF!</definedName>
    <definedName name="COUNT_B5_Tower_Wall">#REF!</definedName>
    <definedName name="COUNT_B5_Wall_Length">#REF!</definedName>
    <definedName name="COUNT_B5_Wall_Link">#REF!</definedName>
    <definedName name="COUNT_B6_Beams">#REF!</definedName>
    <definedName name="COUNT_B7_Tower_Wall">#REF!</definedName>
    <definedName name="COUNT_B7_Wall_Length">#REF!</definedName>
    <definedName name="COUNT_B7_Wall_Link">#REF!</definedName>
    <definedName name="COUNT_Balconies_Entry">#REF!</definedName>
    <definedName name="COUNT_Balcony_Drain">#REF!</definedName>
    <definedName name="COUNT_Bib_Tap">#REF!</definedName>
    <definedName name="COUNT_BOH__GF_">#REF!</definedName>
    <definedName name="COUNT_BOH__Podium_1_">#REF!</definedName>
    <definedName name="COUNT_BOH__Podium_2_">#REF!</definedName>
    <definedName name="COUNT_BOH__Roof_">#REF!</definedName>
    <definedName name="COUNT_BOH_areas__lvl_1_">#REF!</definedName>
    <definedName name="COUNT_BOH_areas__lvl_2_">#REF!</definedName>
    <definedName name="COUNT_BOH_areas__lvl_3_">#REF!</definedName>
    <definedName name="COUNT_BUA">#REF!</definedName>
    <definedName name="COUNT_Bypass_Valve__Normally_Closed_">#REF!</definedName>
    <definedName name="COUNT_Cable_Foundation_Length">#REF!</definedName>
    <definedName name="COUNT_Cable_raft">#REF!</definedName>
    <definedName name="COUNT_Cable_Retaining_wall">#REF!</definedName>
    <definedName name="COUNT_Cable_Waterproofing">#REF!</definedName>
    <definedName name="COUNT_capping">#REF!</definedName>
    <definedName name="COUNT_Car_Park__Podium_1_">#REF!</definedName>
    <definedName name="COUNT_Car_Park__Podium_2_">#REF!</definedName>
    <definedName name="COUNT_Car_Parking__lvl_1_">#REF!</definedName>
    <definedName name="COUNT_Conference_Centre">#REF!</definedName>
    <definedName name="COUNT_Counterweight">#REF!</definedName>
    <definedName name="COUNT_DP1_3000x3000x350">#REF!</definedName>
    <definedName name="COUNT_DP11_3250x1750x350">#REF!</definedName>
    <definedName name="COUNT_DP2_3000x1750x350">#REF!</definedName>
    <definedName name="COUNT_DP3_3500x1900x350">#REF!</definedName>
    <definedName name="COUNT_DP5_3000x3000x400">#REF!</definedName>
    <definedName name="COUNT_DP6_6500x4000x550">#REF!</definedName>
    <definedName name="COUNT_DP7_3500x1900x400">#REF!</definedName>
    <definedName name="COUNT_Entrance_lobby__GF_">#REF!</definedName>
    <definedName name="COUNT_External_areas__lvl_2_">#REF!</definedName>
    <definedName name="COUNT_External_areas__Roof_">#REF!</definedName>
    <definedName name="COUNT_External_Doors__AL_01">#REF!</definedName>
    <definedName name="COUNT_External_Doors__AL_02">#REF!</definedName>
    <definedName name="COUNT_External_Doors__AL_03">#REF!</definedName>
    <definedName name="COUNT_External_Doors__AL_04">#REF!</definedName>
    <definedName name="COUNT_External_Doors__AL_05">#REF!</definedName>
    <definedName name="COUNT_External_Doors__D_01">#REF!</definedName>
    <definedName name="COUNT_External_Doors__D_02">#REF!</definedName>
    <definedName name="COUNT_External_Doors__D_05">#REF!</definedName>
    <definedName name="COUNT_External_Doors__Threshold">#REF!</definedName>
    <definedName name="COUNT_External_Floor_Finishes__Interlocking_Paving">#REF!</definedName>
    <definedName name="COUNT_External_Wall__Blockwork___BW_2">#REF!</definedName>
    <definedName name="COUNT_External_Wall__Blockwork___BW_3">#REF!</definedName>
    <definedName name="COUNT_External_Wall__Blockwork___BW_4">#REF!</definedName>
    <definedName name="COUNT_External_Wall_Finishes__50mm_thk_insulation">#REF!</definedName>
    <definedName name="COUNT_External_Wall_finishes__Cast_Aluminium_handrail___Balustrade">#REF!</definedName>
    <definedName name="COUNT_External_Wall_Finishes__Cement_render___Paint">#REF!</definedName>
    <definedName name="COUNT_External_Wall_finishes__Elevation_projection_with_painted_finish">#REF!</definedName>
    <definedName name="COUNT_External_Wall_Finishes__Skirting">#REF!</definedName>
    <definedName name="COUNT_External_Wall_finishes__Soffits">#REF!</definedName>
    <definedName name="COUNT_External_Window__GL_01">#REF!</definedName>
    <definedName name="COUNT_External_Window__GL_02">#REF!</definedName>
    <definedName name="COUNT_External_Window__GL_02_a">#REF!</definedName>
    <definedName name="COUNT_External_Window__GL_03">#REF!</definedName>
    <definedName name="COUNT_External_Window__GL_04">#REF!</definedName>
    <definedName name="COUNT_External_Window__GL_05">#REF!</definedName>
    <definedName name="COUNT_External_Window__GL_06">#REF!</definedName>
    <definedName name="COUNT_External_Window__GL_07">#REF!</definedName>
    <definedName name="COUNT_External_Window__GL_08">#REF!</definedName>
    <definedName name="COUNT_External_Window__GL_16">#REF!</definedName>
    <definedName name="COUNT_External_Window__GL_18">#REF!</definedName>
    <definedName name="COUNT_External_Window__GL_19">#REF!</definedName>
    <definedName name="COUNT_External_Window__GL_19_a">#REF!</definedName>
    <definedName name="COUNT_External_Window__GL_20">#REF!</definedName>
    <definedName name="COUNT_External_Window__GL_21">#REF!</definedName>
    <definedName name="COUNT_External_Window__GL_22">#REF!</definedName>
    <definedName name="COUNT_External_Window__GL_23">#REF!</definedName>
    <definedName name="COUNT_External_Window__GL_24">#REF!</definedName>
    <definedName name="COUNT_External_Window__GL_25">#REF!</definedName>
    <definedName name="COUNT_Fence">#REF!</definedName>
    <definedName name="COUNT_Floor_Plate___B1_Mezzanine">#REF!</definedName>
    <definedName name="COUNT_Floor_Plate___Basement_1">#REF!</definedName>
    <definedName name="COUNT_Floor_Plate___Basement_2">#REF!</definedName>
    <definedName name="COUNT_Floor_Plate___First_Floor">#REF!</definedName>
    <definedName name="COUNT_Floor_Plate___Fourth_Floor">#REF!</definedName>
    <definedName name="COUNT_Floor_Plate___Ground_Floor">#REF!</definedName>
    <definedName name="COUNT_Floor_Plate___Mezanine_Floor">#REF!</definedName>
    <definedName name="COUNT_Floor_Plate___Second_Floor">#REF!</definedName>
    <definedName name="COUNT_Floor_Plate___Third_Floor">#REF!</definedName>
    <definedName name="COUNT_FOH_areas__GF_">#REF!</definedName>
    <definedName name="COUNT_FOH_Areas__Roof_">#REF!</definedName>
    <definedName name="COUNT_FOH_Circulation__GF_">#REF!</definedName>
    <definedName name="COUNT_FOH_circulation__lvl_1_">#REF!</definedName>
    <definedName name="COUNT_FOH_circulation__lvl_2_">#REF!</definedName>
    <definedName name="COUNT_FOH_Circulation__lvl_3_">#REF!</definedName>
    <definedName name="COUNT_FOH_Circulation__Podium_1_">#REF!</definedName>
    <definedName name="COUNT_FOH_Circulation__Podium_2_">#REF!</definedName>
    <definedName name="COUNT_FOH_Circulation__Roof_">#REF!</definedName>
    <definedName name="COUNT_FP_A_00AF">#REF!</definedName>
    <definedName name="COUNT_FP_A_01F">#REF!</definedName>
    <definedName name="COUNT_FP_A_02F___4F">#REF!</definedName>
    <definedName name="COUNT_FP_A_03F">#REF!</definedName>
    <definedName name="COUNT_FP_A_05F">#REF!</definedName>
    <definedName name="COUNT_FP_A_06F">#REF!</definedName>
    <definedName name="COUNT_FP_A_07F">#REF!</definedName>
    <definedName name="COUNT_FP_A_08F___10F">#REF!</definedName>
    <definedName name="COUNT_FP_A_09F">#REF!</definedName>
    <definedName name="COUNT_FP_A_11F_to_29F_alt_">#REF!</definedName>
    <definedName name="COUNT_FP_A_12F_to_30F_alt_">#REF!</definedName>
    <definedName name="COUNT_FP_A_31F">#REF!</definedName>
    <definedName name="COUNT_FP_A_32F">#REF!</definedName>
    <definedName name="COUNT_FP_A_33RF__">#REF!</definedName>
    <definedName name="COUNT_FP_A_34uRF__">#REF!</definedName>
    <definedName name="COUNT_FP_A_35uRF__">#REF!</definedName>
    <definedName name="COUNT_FP_B_00BF_1">#REF!</definedName>
    <definedName name="COUNT_FP_B_00BF_1_intermediate">#REF!</definedName>
    <definedName name="COUNT_FP_B_00BF_2">#REF!</definedName>
    <definedName name="COUNT_FP_B_00GF">#REF!</definedName>
    <definedName name="COUNT_FP_B_00MF">#REF!</definedName>
    <definedName name="COUNT_FP_B_00PF___1">#REF!</definedName>
    <definedName name="COUNT_FP_B_00PF___2">#REF!</definedName>
    <definedName name="COUNT_FP_B_00PF___3">#REF!</definedName>
    <definedName name="COUNT_FS01">#REF!</definedName>
    <definedName name="COUNT_FS01_1B">#REF!</definedName>
    <definedName name="COUNT_FS01_1C">#REF!</definedName>
    <definedName name="COUNT_FS012_1B2">#REF!</definedName>
    <definedName name="COUNT_FS02_1A">#REF!</definedName>
    <definedName name="COUNT_FS02_1B">#REF!</definedName>
    <definedName name="COUNT_FS02_1B_RF">#REF!</definedName>
    <definedName name="COUNT_FS02_1B1">#REF!</definedName>
    <definedName name="COUNT_FS02_1C">#REF!</definedName>
    <definedName name="COUNT_FS02_1C1">#REF!</definedName>
    <definedName name="COUNT_FS03_1A">#REF!</definedName>
    <definedName name="COUNT_FS03_1B">#REF!</definedName>
    <definedName name="COUNT_FS03_1C">#REF!</definedName>
    <definedName name="COUNT_FS04">#REF!</definedName>
    <definedName name="COUNT_FS04_1A">#REF!</definedName>
    <definedName name="COUNT_FS04_1B">#REF!</definedName>
    <definedName name="COUNT_FS04_1B1">#REF!</definedName>
    <definedName name="COUNT_FS04_1B2">#REF!</definedName>
    <definedName name="COUNT_FS04_1C">#REF!</definedName>
    <definedName name="COUNT_FS04_1C1">#REF!</definedName>
    <definedName name="COUNT_FS04_1C2">#REF!</definedName>
    <definedName name="COUNT_FS04_Rail">#REF!</definedName>
    <definedName name="COUNT_FS05_1A">#REF!</definedName>
    <definedName name="COUNT_FS05_1A_RF">#REF!</definedName>
    <definedName name="COUNT_FS05_1B">#REF!</definedName>
    <definedName name="COUNT_FS05_1B1">#REF!</definedName>
    <definedName name="COUNT_FS05_1B2">#REF!</definedName>
    <definedName name="COUNT_FS05_1C">#REF!</definedName>
    <definedName name="COUNT_FS05_1C_RF">#REF!</definedName>
    <definedName name="COUNT_FS05_1C1">#REF!</definedName>
    <definedName name="COUNT_FS05_1C2">#REF!</definedName>
    <definedName name="COUNT_FS05_GARDEN">#REF!</definedName>
    <definedName name="COUNT_FS05_GARDEN_1C">#REF!</definedName>
    <definedName name="COUNT_FS05_IB_RF">#REF!</definedName>
    <definedName name="COUNT_FS06_1A">#REF!</definedName>
    <definedName name="COUNT_FS06_1C_RF">#REF!</definedName>
    <definedName name="COUNT_FS06_RF">#REF!</definedName>
    <definedName name="COUNT_FS06_Skybridge">#REF!</definedName>
    <definedName name="COUNT_FS07_1B1">#REF!</definedName>
    <definedName name="COUNT_FS07_1C">#REF!</definedName>
    <definedName name="COUNT_FS11_1B1">#REF!</definedName>
    <definedName name="COUNT_FS11_1B2">#REF!</definedName>
    <definedName name="COUNT_FS11_1C1">#REF!</definedName>
    <definedName name="COUNT_FS11_1C2">#REF!</definedName>
    <definedName name="COUNT_FS12_1C2">#REF!</definedName>
    <definedName name="COUNT_FS12_IC_RF">#REF!</definedName>
    <definedName name="COUNT_FS12_RAIL_1C">#REF!</definedName>
    <definedName name="COUNT_FS12_RAIL_RF">#REF!</definedName>
    <definedName name="COUNT_FS12_RF">#REF!</definedName>
    <definedName name="COUNT_Garage">#REF!</definedName>
    <definedName name="COUNT_Garden">#REF!</definedName>
    <definedName name="COUNT_GF">#REF!</definedName>
    <definedName name="COUNT_GF___BOH____General_areas">#REF!</definedName>
    <definedName name="COUNT_GF___BOH___Admin_Support">#REF!</definedName>
    <definedName name="COUNT_GF___BOH___Boiler_Room">#REF!</definedName>
    <definedName name="COUNT_GF___BOH___Ducts">#REF!</definedName>
    <definedName name="COUNT_GF___BOH___Executive_Offices">#REF!</definedName>
    <definedName name="COUNT_GF___BOH___Fire_Escape_Stairs">#REF!</definedName>
    <definedName name="COUNT_GF___BOH___Front_Desk">#REF!</definedName>
    <definedName name="COUNT_GF___BOH___Front_Office_Devision">#REF!</definedName>
    <definedName name="COUNT_GF___BOH___Guest_Core">#REF!</definedName>
    <definedName name="COUNT_GF___BOH___Guest_Core_ducts">#REF!</definedName>
    <definedName name="COUNT_GF___BOH___Guest_Core_lift_shafts">#REF!</definedName>
    <definedName name="COUNT_GF___BOH___Lobby_Bar_Pantry">#REF!</definedName>
    <definedName name="COUNT_GF___BOH___Luggage">#REF!</definedName>
    <definedName name="COUNT_GF___BOH___Prayer_Rooms">#REF!</definedName>
    <definedName name="COUNT_GF___BOH___Sales_Offices">#REF!</definedName>
    <definedName name="COUNT_GF___BOH___Security_and_Valet">#REF!</definedName>
    <definedName name="COUNT_GF___BOH___Service_Core">#REF!</definedName>
    <definedName name="COUNT_GF___BOH___Service_Core_ducts">#REF!</definedName>
    <definedName name="COUNT_GF___BOH___Staff_Core">#REF!</definedName>
    <definedName name="COUNT_GF___BOH___Staff_Core_lift_shafts">#REF!</definedName>
    <definedName name="COUNT_GF___Double_Volume_internal_Reception">#REF!</definedName>
    <definedName name="COUNT_GF___FOH___Circulation">#REF!</definedName>
    <definedName name="COUNT_GF___FOH___Guest_Circulation">#REF!</definedName>
    <definedName name="COUNT_GF___FOH___Guestroom_Terrace">#REF!</definedName>
    <definedName name="COUNT_GF___FOH___Guestrooms">#REF!</definedName>
    <definedName name="COUNT_GF___FOH___Hotel_Port_Corchere">#REF!</definedName>
    <definedName name="COUNT_GF___FOH___Lobby_Bar___Lounge">#REF!</definedName>
    <definedName name="COUNT_GF___FOH___Lobby_Bar___Lounge_Toilets">#REF!</definedName>
    <definedName name="COUNT_GF___FOH___Reception_and_Lobby_BR_Terrace">#REF!</definedName>
    <definedName name="COUNT_GF___FOH___Reception_Lobby">#REF!</definedName>
    <definedName name="COUNT_GF___FOH___Speciality_Restaurant_01_Roof_Terrace">#REF!</definedName>
    <definedName name="COUNT_GF___FOH___Wind_Lobby">#REF!</definedName>
    <definedName name="COUNT_GF__15mm_dia._CWS_Buried_Underground">#REF!</definedName>
    <definedName name="COUNT_GF__25mm_dia._CWS_20mm_dia_HSW">#REF!</definedName>
    <definedName name="COUNT_GF__32_dia._CWS_Main_Buried_underground">#REF!</definedName>
    <definedName name="COUNT_GF__32mm_dia_BCWS_25mm_dia_HWS">#REF!</definedName>
    <definedName name="COUNT_GF_Bell_Captain">#REF!</definedName>
    <definedName name="COUNT_GF_BOH_Service___Utility_area">#REF!</definedName>
    <definedName name="COUNT_GF_BOH_Staircase">#REF!</definedName>
    <definedName name="COUNT_GF_Business_Center">#REF!</definedName>
    <definedName name="COUNT_GF_Double_Vol._at_Parking_ramp__2.5m_high_">#REF!</definedName>
    <definedName name="COUNT_GF_Double_Volume">#REF!</definedName>
    <definedName name="COUNT_GF_ENT._LOBBY_TO_LUGGAGE_BELL_CAPT">#REF!</definedName>
    <definedName name="COUNT_GF_External_Double_doors__FOH_">#REF!</definedName>
    <definedName name="COUNT_GF_External_Revolving_doors__FOH_">#REF!</definedName>
    <definedName name="COUNT_GF_External_Single_doors__BOH_">#REF!</definedName>
    <definedName name="COUNT_GF_External_Single_doors__FOH_">#REF!</definedName>
    <definedName name="COUNT_GF_FOH_Circulation_Area">#REF!</definedName>
    <definedName name="COUNT_GF_FOH_Staircase">#REF!</definedName>
    <definedName name="COUNT_GF_Front_Office">#REF!</definedName>
    <definedName name="COUNT_GF_Guest_Core">#REF!</definedName>
    <definedName name="COUNT_GF_Guest_Rooms">#REF!</definedName>
    <definedName name="COUNT_GF_HGR_BOH">#REF!</definedName>
    <definedName name="COUNT_GF_HGR_Circulation">#REF!</definedName>
    <definedName name="COUNT_GF_HGR_Covered_Balcony">#REF!</definedName>
    <definedName name="COUNT_GF_HGR_Fire_Staircase">#REF!</definedName>
    <definedName name="COUNT_GF_Internal_Single_doors__BOH_">#REF!</definedName>
    <definedName name="COUNT_GF_Internal_Single_doors__FOH_">#REF!</definedName>
    <definedName name="COUNT_GF_Lift_Shaft">#REF!</definedName>
    <definedName name="COUNT_GF_Lobby_Bar">#REF!</definedName>
    <definedName name="COUNT_GF_Lobby_Lounge">#REF!</definedName>
    <definedName name="COUNT_GF_Lobby_Lounge_pantry">#REF!</definedName>
    <definedName name="COUNT_GF_Luggage_Room">#REF!</definedName>
    <definedName name="COUNT_GF_MEP_Area">#REF!</definedName>
    <definedName name="COUNT_GF_Prayer_Room">#REF!</definedName>
    <definedName name="COUNT_GF_Public_Toilets">#REF!</definedName>
    <definedName name="COUNT_GF_Ramp_B1_to_GF">#REF!</definedName>
    <definedName name="COUNT_GF_Ramp_GF_to_B1">#REF!</definedName>
    <definedName name="COUNT_GF_Reception">#REF!</definedName>
    <definedName name="COUNT_GF_Roller_shutter_doors__BOH_">#REF!</definedName>
    <definedName name="COUNT_GF_Service_Core">#REF!</definedName>
    <definedName name="COUNT_GF_Toilet_cubicle_doors">#REF!</definedName>
    <definedName name="COUNT_GF_Toilet_to_Prayer_rooms">#REF!</definedName>
    <definedName name="COUNT_GF_Voids_Dead_areas">#REF!</definedName>
    <definedName name="COUNT_GFA">#REF!</definedName>
    <definedName name="COUNT_GFA__GF_">#REF!</definedName>
    <definedName name="COUNT_GFA__lvl_1_">#REF!</definedName>
    <definedName name="COUNT_GFA__lvl_2_">#REF!</definedName>
    <definedName name="COUNT_GFA__lvl_3_">#REF!</definedName>
    <definedName name="COUNT_GFA__Podium_1_">#REF!</definedName>
    <definedName name="COUNT_GFA__Podium_2_">#REF!</definedName>
    <definedName name="COUNT_GFA__Roof_">#REF!</definedName>
    <definedName name="COUNT_GIFA">#REF!</definedName>
    <definedName name="COUNT_GIFA__GF_">#REF!</definedName>
    <definedName name="COUNT_GIFA__lvl_1_">#REF!</definedName>
    <definedName name="COUNT_GIFA__lvl_2_">#REF!</definedName>
    <definedName name="COUNT_GIFA__Podium_1_">#REF!</definedName>
    <definedName name="COUNT_GIFA__Podium_2_">#REF!</definedName>
    <definedName name="COUNT_GIFA__Roof_">#REF!</definedName>
    <definedName name="COUNT_Hotel_F_B__GF_">#REF!</definedName>
    <definedName name="COUNT_IA_001mPF_BA_A_U00___lift_lobby">#REF!</definedName>
    <definedName name="COUNT_IA_001mPF_BA_A_U00___lift_shaft">#REF!</definedName>
    <definedName name="COUNT_IA_001mPF_BB_B_U00___double_vol._e.t.s._rm.">#REF!</definedName>
    <definedName name="COUNT_IA_001mPF_BB_B_U00___double_volume">#REF!</definedName>
    <definedName name="COUNT_IA_001mPF_BB_B_U00___electrical_rm.">#REF!</definedName>
    <definedName name="COUNT_IA_001mPF_BB_B_U00___f.e._stairs">#REF!</definedName>
    <definedName name="COUNT_IA_001mPF_BB_B_U00___f.h.c.">#REF!</definedName>
    <definedName name="COUNT_IA_001mPF_BB_B_U00___garbage_rm.">#REF!</definedName>
    <definedName name="COUNT_IA_001mPF_BB_B_U00___services_trans._area">#REF!</definedName>
    <definedName name="COUNT_IA_001mPF_BB_B_U00___shaft">#REF!</definedName>
    <definedName name="COUNT_IA_001mPF_BB_B_U00___stair_3">#REF!</definedName>
    <definedName name="COUNT_IA_001mPF_BB_B_U00___telephone_rm.">#REF!</definedName>
    <definedName name="COUNT_IA_001mPF_BB_B_U00___void">#REF!</definedName>
    <definedName name="COUNT_IA_001mPF_BB_C_U00___driveway">#REF!</definedName>
    <definedName name="COUNT_IA_001mPF_BB_C_U00___driveway_ramp">#REF!</definedName>
    <definedName name="COUNT_IA_001mPF_BB_C_U00___driveway_zebra_lines">#REF!</definedName>
    <definedName name="COUNT_IA_001mPF_BB_C_U00___parking_bay">#REF!</definedName>
    <definedName name="COUNT_IA_001mPF_BB_C_U00___sidewalk">#REF!</definedName>
    <definedName name="COUNT_IA_001mPF_BB_C_U00___sidewalk_ramp">#REF!</definedName>
    <definedName name="COUNT_IA_001PF_BA_A_U00___lift_lobby">#REF!</definedName>
    <definedName name="COUNT_IA_001PF_BA_A_U00___lift_shaft">#REF!</definedName>
    <definedName name="COUNT_IA_001PF_BA_B_U00___electrical_rm.">#REF!</definedName>
    <definedName name="COUNT_IA_001PF_BA_B_U00___f.e._stairs">#REF!</definedName>
    <definedName name="COUNT_IA_001PF_BA_B_U00___f.h.c.">#REF!</definedName>
    <definedName name="COUNT_IA_001PF_BA_B_U00___garbage_rm.">#REF!</definedName>
    <definedName name="COUNT_IA_001PF_BA_B_U00___shaft">#REF!</definedName>
    <definedName name="COUNT_IA_001PF_BA_B_U00___stair_3">#REF!</definedName>
    <definedName name="COUNT_IA_001PF_BA_B_U00___telephone_rm.">#REF!</definedName>
    <definedName name="COUNT_IA_001PF_BA_C_U00___driveway">#REF!</definedName>
    <definedName name="COUNT_IA_001PF_BA_C_U00___driveway_zebra_line">#REF!</definedName>
    <definedName name="COUNT_IA_001PF_BA_C_U00___parking_bay">#REF!</definedName>
    <definedName name="COUNT_IA_001PF_BA_C_U00___sidewalk">#REF!</definedName>
    <definedName name="COUNT_IA_002PF_BA_A_U00___lift_lobby">#REF!</definedName>
    <definedName name="COUNT_IA_002PF_BA_A_U00___lift_shaft">#REF!</definedName>
    <definedName name="COUNT_IA_002PF_BA_B_U00___electrical_rm.">#REF!</definedName>
    <definedName name="COUNT_IA_002PF_BA_B_U00___f.e._stairs">#REF!</definedName>
    <definedName name="COUNT_IA_002PF_BA_B_U00___f.h.c.">#REF!</definedName>
    <definedName name="COUNT_IA_002PF_BA_B_U00___garbage_rm.">#REF!</definedName>
    <definedName name="COUNT_IA_002PF_BA_B_U00___shaft">#REF!</definedName>
    <definedName name="COUNT_IA_002PF_BA_B_U00___stair_3">#REF!</definedName>
    <definedName name="COUNT_IA_002PF_BA_B_U00___telephone_rm.">#REF!</definedName>
    <definedName name="COUNT_IA_002PF_BA_C_U00___driveway">#REF!</definedName>
    <definedName name="COUNT_IA_002PF_BA_C_U00___driveway_zebra_line">#REF!</definedName>
    <definedName name="COUNT_IA_002PF_BA_C_U00___parking_bay">#REF!</definedName>
    <definedName name="COUNT_IA_002PF_BA_C_U00___sidewalk">#REF!</definedName>
    <definedName name="COUNT_IA_003PF_BA_A_U00___lift_lobby">#REF!</definedName>
    <definedName name="COUNT_IA_003PF_BA_A_U00___lift_shaft">#REF!</definedName>
    <definedName name="COUNT_IA_003PF_BA_B_U00___electrical_rm.">#REF!</definedName>
    <definedName name="COUNT_IA_003PF_BA_B_U00___f.e._stairs">#REF!</definedName>
    <definedName name="COUNT_IA_003PF_BA_B_U00___f.h.c.">#REF!</definedName>
    <definedName name="COUNT_IA_003PF_BA_B_U00___garbage_rm.">#REF!</definedName>
    <definedName name="COUNT_IA_003PF_BA_B_U00___plant_rm.">#REF!</definedName>
    <definedName name="COUNT_IA_003PF_BA_B_U00___shaft">#REF!</definedName>
    <definedName name="COUNT_IA_003PF_BA_B_U00___stair_3">#REF!</definedName>
    <definedName name="COUNT_IA_003PF_BA_B_U00___telephone_rm.">#REF!</definedName>
    <definedName name="COUNT_IA_003PF_BA_C_U00___driveway">#REF!</definedName>
    <definedName name="COUNT_IA_003PF_BA_C_U00___driveway_zebra_line">#REF!</definedName>
    <definedName name="COUNT_IA_003PF_BA_C_U00___parking_bay">#REF!</definedName>
    <definedName name="COUNT_IA_003PF_BA_C_U00___sidewalk">#REF!</definedName>
    <definedName name="COUNT_IA_00AF_AB_U00___cafe">#REF!</definedName>
    <definedName name="COUNT_IA_00AF_AB_U00___cafe_pantry">#REF!</definedName>
    <definedName name="COUNT_IA_00AF_AB_U00___corridor">#REF!</definedName>
    <definedName name="COUNT_IA_00AF_AB_U00___game_rm.">#REF!</definedName>
    <definedName name="COUNT_IA_00AF_AB_U00___game_rm._store">#REF!</definedName>
    <definedName name="COUNT_IA_00AF_AB_U00___gym_female">#REF!</definedName>
    <definedName name="COUNT_IA_00AF_AB_U00___gym_female_lobby">#REF!</definedName>
    <definedName name="COUNT_IA_00AF_AB_U00___gym_female_shaft">#REF!</definedName>
    <definedName name="COUNT_IA_00AF_AB_U00___gym_female_store">#REF!</definedName>
    <definedName name="COUNT_IA_00AF_AB_U00___gym_female_void">#REF!</definedName>
    <definedName name="COUNT_IA_00AF_AB_U00___gym_male">#REF!</definedName>
    <definedName name="COUNT_IA_00AF_AB_U00___gym_male_lobby">#REF!</definedName>
    <definedName name="COUNT_IA_00AF_AB_U00___gym_male_shaft">#REF!</definedName>
    <definedName name="COUNT_IA_00AF_AB_U00___gym_male_store">#REF!</definedName>
    <definedName name="COUNT_IA_00AF_AB_U00___gym_male_void">#REF!</definedName>
    <definedName name="COUNT_IA_00AF_AB_U00___handicap_toi._female">#REF!</definedName>
    <definedName name="COUNT_IA_00AF_AB_U00___handicap_toi._male">#REF!</definedName>
    <definedName name="COUNT_IA_00AF_AB_U00___lift_lobby">#REF!</definedName>
    <definedName name="COUNT_IA_00AF_AB_U00___lift_shaft">#REF!</definedName>
    <definedName name="COUNT_IA_00AF_AB_U00___multi_purpose_rm.">#REF!</definedName>
    <definedName name="COUNT_IA_00AF_AB_U00___multi_purpose_shaft">#REF!</definedName>
    <definedName name="COUNT_IA_00AF_AB_U00___multi_purpose_store">#REF!</definedName>
    <definedName name="COUNT_IA_00AF_AB_U00___spa_f._hallway">#REF!</definedName>
    <definedName name="COUNT_IA_00AF_AB_U00___spa_f._heater_rm.">#REF!</definedName>
    <definedName name="COUNT_IA_00AF_AB_U00___spa_f._lobby">#REF!</definedName>
    <definedName name="COUNT_IA_00AF_AB_U00___spa_f._lockers">#REF!</definedName>
    <definedName name="COUNT_IA_00AF_AB_U00___spa_f._massage_rm.">#REF!</definedName>
    <definedName name="COUNT_IA_00AF_AB_U00___spa_f._rec.">#REF!</definedName>
    <definedName name="COUNT_IA_00AF_AB_U00___spa_f._sauna">#REF!</definedName>
    <definedName name="COUNT_IA_00AF_AB_U00___spa_f._shaft">#REF!</definedName>
    <definedName name="COUNT_IA_00AF_AB_U00___spa_f._shower_toilet">#REF!</definedName>
    <definedName name="COUNT_IA_00AF_AB_U00___spa_f._steam_rm.">#REF!</definedName>
    <definedName name="COUNT_IA_00AF_AB_U00___spa_m._hallway">#REF!</definedName>
    <definedName name="COUNT_IA_00AF_AB_U00___spa_m._heater_rm.">#REF!</definedName>
    <definedName name="COUNT_IA_00AF_AB_U00___spa_m._lobby">#REF!</definedName>
    <definedName name="COUNT_IA_00AF_AB_U00___spa_m._lockers">#REF!</definedName>
    <definedName name="COUNT_IA_00AF_AB_U00___spa_m._massage_rm.">#REF!</definedName>
    <definedName name="COUNT_IA_00AF_AB_U00___spa_m._rec.">#REF!</definedName>
    <definedName name="COUNT_IA_00AF_AB_U00___spa_m._sauna">#REF!</definedName>
    <definedName name="COUNT_IA_00AF_AB_U00___spa_m._shaft">#REF!</definedName>
    <definedName name="COUNT_IA_00AF_AB_U00___spa_m._shower_toilet">#REF!</definedName>
    <definedName name="COUNT_IA_00AF_AB_U00___spa_m._steam_rm.">#REF!</definedName>
    <definedName name="COUNT_IA_00AF_AC_U00___electrical_rm.">#REF!</definedName>
    <definedName name="COUNT_IA_00AF_AC_U00___f.e._stair">#REF!</definedName>
    <definedName name="COUNT_IA_00AF_AC_U00___fhc">#REF!</definedName>
    <definedName name="COUNT_IA_00AF_AC_U00___garbage_rm.">#REF!</definedName>
    <definedName name="COUNT_IA_00AF_AC_U00___shaft">#REF!</definedName>
    <definedName name="COUNT_IA_00AF_AC_U00___stair_3">#REF!</definedName>
    <definedName name="COUNT_IA_00AF_AC_U00___store_rm.">#REF!</definedName>
    <definedName name="COUNT_IA_00AF_AC_U00___telephone_rm.">#REF!</definedName>
    <definedName name="COUNT_IA_00B1F_BD_B_U00___double_volume">#REF!</definedName>
    <definedName name="COUNT_IA_00B1F_BD_B_U00___f.e._stairs">#REF!</definedName>
    <definedName name="COUNT_IA_00B1F_BD_B_U00___f.h.c.">#REF!</definedName>
    <definedName name="COUNT_IA_00B1F_BD_B_U00___fire_pump_rm.">#REF!</definedName>
    <definedName name="COUNT_IA_00B1F_BD_B_U00___lobby_rm.">#REF!</definedName>
    <definedName name="COUNT_IA_00B1F_BD_B_U00___lobby_rm._ent.">#REF!</definedName>
    <definedName name="COUNT_IA_00B1F_BD_B_U00___shaft">#REF!</definedName>
    <definedName name="COUNT_IA_00B1F_BD_B_U00___stair_3">#REF!</definedName>
    <definedName name="COUNT_IA_00B1F_BD_B_U00___tech._rm.">#REF!</definedName>
    <definedName name="COUNT_IA_00B1F_BD_C_U00___double_volume">#REF!</definedName>
    <definedName name="COUNT_IA_00B1F_BD_C_U00___driveway">#REF!</definedName>
    <definedName name="COUNT_IA_00B1F_BD_C_U00___driveway_ramp_1">#REF!</definedName>
    <definedName name="COUNT_IA_00B1F_BD_C_U00___driveway_zebra_lines">#REF!</definedName>
    <definedName name="COUNT_IA_00B1F_BD_C_U00___parking_bay">#REF!</definedName>
    <definedName name="COUNT_IA_00B1F_BD_C_U00___sidewalk">#REF!</definedName>
    <definedName name="COUNT_IA_00B1F_BD_C_U00___sidewalk_ramp">#REF!</definedName>
    <definedName name="COUNT_IA_00B1iF_BD_A_U00___lift_lobby">#REF!</definedName>
    <definedName name="COUNT_IA_00B1iF_BD_A_U00___lift_shaft">#REF!</definedName>
    <definedName name="COUNT_IA_00B1iF_BD_B_U00___electrical_rm.">#REF!</definedName>
    <definedName name="COUNT_IA_00B1iF_BD_B_U00___f.e._stairs">#REF!</definedName>
    <definedName name="COUNT_IA_00B1iF_BD_B_U00___f.h.c.">#REF!</definedName>
    <definedName name="COUNT_IA_00B1iF_BD_B_U00___l.v._rm.">#REF!</definedName>
    <definedName name="COUNT_IA_00B1iF_BD_B_U00___main_tel._rm.">#REF!</definedName>
    <definedName name="COUNT_IA_00B1iF_BD_B_U00___shaft">#REF!</definedName>
    <definedName name="COUNT_IA_00B1iF_BD_B_U00___stair_4">#REF!</definedName>
    <definedName name="COUNT_IA_00B1iF_BD_B_U00___storage_1">#REF!</definedName>
    <definedName name="COUNT_IA_00B1iF_BD_B_U00___tech._rm.1">#REF!</definedName>
    <definedName name="COUNT_IA_00B1iF_BD_B_U00___tech._rm.2">#REF!</definedName>
    <definedName name="COUNT_IA_00B1iF_BD_B_U00___tech._rm.3">#REF!</definedName>
    <definedName name="COUNT_IA_00B1iF_BD_B_U00___water_tank_1_double_volume">#REF!</definedName>
    <definedName name="COUNT_IA_00B1iF_BD_B_U00___water_tank_2_double_volume">#REF!</definedName>
    <definedName name="COUNT_IA_00B1iF_BD_B_U00___water_tank_3_double_volume">#REF!</definedName>
    <definedName name="COUNT_IA_00B1iF_BD_B_U00___water_tank_4_double_volume">#REF!</definedName>
    <definedName name="COUNT_IA_00B1iF_BD_C_U00___driveway">#REF!</definedName>
    <definedName name="COUNT_IA_00B1iF_BD_C_U00___driveway_zebra_lines">#REF!</definedName>
    <definedName name="COUNT_IA_00B1iF_BD_C_U00___parking_bay">#REF!</definedName>
    <definedName name="COUNT_IA_00B1iF_BD_C_U00___sidewalk">#REF!</definedName>
    <definedName name="COUNT_IA_00B2F_BD_A_U00___lift_lobby">#REF!</definedName>
    <definedName name="COUNT_IA_00B2F_BD_A_U00___lift_shaft">#REF!</definedName>
    <definedName name="COUNT_IA_00B2F_BD_B_U00___electrical_rm.">#REF!</definedName>
    <definedName name="COUNT_IA_00B2F_BD_B_U00___f.e._stair">#REF!</definedName>
    <definedName name="COUNT_IA_00B2F_BD_B_U00___f.h.c.">#REF!</definedName>
    <definedName name="COUNT_IA_00B2F_BD_B_U00___mechanical_rm.1">#REF!</definedName>
    <definedName name="COUNT_IA_00B2F_BD_B_U00___pump_rm.">#REF!</definedName>
    <definedName name="COUNT_IA_00B2F_BD_B_U00___pump_rm._2">#REF!</definedName>
    <definedName name="COUNT_IA_00B2F_BD_B_U00___shaft">#REF!</definedName>
    <definedName name="COUNT_IA_00B2F_BD_B_U00___stair_4">#REF!</definedName>
    <definedName name="COUNT_IA_00B2F_BD_B_U00___store_rm.1">#REF!</definedName>
    <definedName name="COUNT_IA_00B2F_BD_B_U00___store_rm.2">#REF!</definedName>
    <definedName name="COUNT_IA_00B2F_BD_B_U00___store_rm.3">#REF!</definedName>
    <definedName name="COUNT_IA_00B2F_BD_B_U00___store_rm.4">#REF!</definedName>
    <definedName name="COUNT_IA_00B2F_BD_B_U00___store_rm.5">#REF!</definedName>
    <definedName name="COUNT_IA_00B2F_BD_B_U00___tech_rm.1">#REF!</definedName>
    <definedName name="COUNT_IA_00B2F_BD_B_U00___tech_rm.2">#REF!</definedName>
    <definedName name="COUNT_IA_00B2F_BD_B_U00___tech_rm.3">#REF!</definedName>
    <definedName name="COUNT_IA_00B2F_BD_B_U00___water_tank__1">#REF!</definedName>
    <definedName name="COUNT_IA_00B2F_BD_B_U00___water_tank__2">#REF!</definedName>
    <definedName name="COUNT_IA_00B2F_BD_B_U00___water_tank__3">#REF!</definedName>
    <definedName name="COUNT_IA_00B2F_BD_B_U00___water_tank__4">#REF!</definedName>
    <definedName name="COUNT_IA_00B2F_BD_C_U00___driveway_1">#REF!</definedName>
    <definedName name="COUNT_IA_00B2F_BD_C_U00___driveway_1___zebra_line">#REF!</definedName>
    <definedName name="COUNT_IA_00B2F_BD_C_U00___parking_bay_1">#REF!</definedName>
    <definedName name="COUNT_IA_00B2F_BD_C_U00___sidewalk_1">#REF!</definedName>
    <definedName name="COUNT_IA_00BF_BC_A_U00___entrance_lobby">#REF!</definedName>
    <definedName name="COUNT_IA_00BF_BC_A_U00___lift_lobby">#REF!</definedName>
    <definedName name="COUNT_IA_00BF_BC_A_U00___lift_shaft">#REF!</definedName>
    <definedName name="COUNT_IA_00BF_BC_A_U00___main_entrance">#REF!</definedName>
    <definedName name="COUNT_IA_00BF_BC_B_U00___b.m.s._rm.">#REF!</definedName>
    <definedName name="COUNT_IA_00BF_BC_B_U00___e.t.s_rm.">#REF!</definedName>
    <definedName name="COUNT_IA_00BF_BC_B_U00___e.t.s_rm._hallway">#REF!</definedName>
    <definedName name="COUNT_IA_00BF_BC_B_U00___e.t.s_rm.1">#REF!</definedName>
    <definedName name="COUNT_IA_00BF_BC_B_U00___elect._rm">#REF!</definedName>
    <definedName name="COUNT_IA_00BF_BC_B_U00___elect._rm_1">#REF!</definedName>
    <definedName name="COUNT_IA_00BF_BC_B_U00___f.e._stair">#REF!</definedName>
    <definedName name="COUNT_IA_00BF_BC_B_U00___f.e._stair_corridor">#REF!</definedName>
    <definedName name="COUNT_IA_00BF_BC_B_U00___f.e._stair_corridor_lobby">#REF!</definedName>
    <definedName name="COUNT_IA_00BF_BC_B_U00___f.h.c.">#REF!</definedName>
    <definedName name="COUNT_IA_00BF_BC_B_U00___g.s.m._rm.">#REF!</definedName>
    <definedName name="COUNT_IA_00BF_BC_B_U00___garbage_rm.">#REF!</definedName>
    <definedName name="COUNT_IA_00BF_BC_B_U00___garbage_rm._ramp">#REF!</definedName>
    <definedName name="COUNT_IA_00BF_BC_B_U00___generator_rm.">#REF!</definedName>
    <definedName name="COUNT_IA_00BF_BC_B_U00___guard_rm.">#REF!</definedName>
    <definedName name="COUNT_IA_00BF_BC_B_U00___guard_rm._toilet">#REF!</definedName>
    <definedName name="COUNT_IA_00BF_BC_B_U00___h.v._rm.">#REF!</definedName>
    <definedName name="COUNT_IA_00BF_BC_B_U00___platform">#REF!</definedName>
    <definedName name="COUNT_IA_00BF_BC_B_U00___shaft">#REF!</definedName>
    <definedName name="COUNT_IA_00BF_BC_B_U00___stairs_3">#REF!</definedName>
    <definedName name="COUNT_IA_00BF_BC_B_U00___tech._area_1">#REF!</definedName>
    <definedName name="COUNT_IA_00BF_BC_B_U00___tech._area_2">#REF!</definedName>
    <definedName name="COUNT_IA_00BF_BC_B_U00___tech._area_3">#REF!</definedName>
    <definedName name="COUNT_IA_00BF_BC_B_U00___tech._area_3_lobby">#REF!</definedName>
    <definedName name="COUNT_IA_00BF_BC_B_U00___tel_rm.">#REF!</definedName>
    <definedName name="COUNT_IA_00BF_BC_B_U00___toilet">#REF!</definedName>
    <definedName name="COUNT_IA_00BF_BC_B_U00___toilet_female">#REF!</definedName>
    <definedName name="COUNT_IA_00BF_BC_B_U00___toilet_lobby">#REF!</definedName>
    <definedName name="COUNT_IA_00BF_BC_B_U00___toilet_male">#REF!</definedName>
    <definedName name="COUNT_IA_00BF_BC_B_U00___transformer_rm.">#REF!</definedName>
    <definedName name="COUNT_IA_00BF_BC_C_U00___double_volume">#REF!</definedName>
    <definedName name="COUNT_IA_00BF_BC_C_U00___driveway_1">#REF!</definedName>
    <definedName name="COUNT_IA_00BF_BC_C_U00___driveway_ramp">#REF!</definedName>
    <definedName name="COUNT_IA_00BF_BC_C_U00___driveway_zebra_line">#REF!</definedName>
    <definedName name="COUNT_IA_00BF_BC_C_U00___sidewalk_1">#REF!</definedName>
    <definedName name="COUNT_IA_00BF_BC_C_U00___sidewalk_1_ramp">#REF!</definedName>
    <definedName name="COUNT_IA_00BF_BC_C_U00___void">#REF!</definedName>
    <definedName name="COUNT_IA_01F_AA_U01___BR1_lobby">#REF!</definedName>
    <definedName name="COUNT_IA_01F_AA_U01___BR1_rm.">#REF!</definedName>
    <definedName name="COUNT_IA_01F_AA_U01___BR1_t_b">#REF!</definedName>
    <definedName name="COUNT_IA_01F_AA_U01___BR2_dresser">#REF!</definedName>
    <definedName name="COUNT_IA_01F_AA_U01___BR2_lobby">#REF!</definedName>
    <definedName name="COUNT_IA_01F_AA_U01___BR2_rm.">#REF!</definedName>
    <definedName name="COUNT_IA_01F_AA_U01___BR2_t_b">#REF!</definedName>
    <definedName name="COUNT_IA_01F_AA_U01___corridor">#REF!</definedName>
    <definedName name="COUNT_IA_01F_AA_U01___foyer">#REF!</definedName>
    <definedName name="COUNT_IA_01F_AA_U01___kitchen">#REF!</definedName>
    <definedName name="COUNT_IA_01F_AA_U01___living_dining">#REF!</definedName>
    <definedName name="COUNT_IA_01F_AA_U01___maids_rm.">#REF!</definedName>
    <definedName name="COUNT_IA_01F_AA_U01___maids_toi.">#REF!</definedName>
    <definedName name="COUNT_IA_01F_AA_U01___shaft">#REF!</definedName>
    <definedName name="COUNT_IA_01F_AA_U01___toilet">#REF!</definedName>
    <definedName name="COUNT_IA_01F_AA_U01___utility_rm.">#REF!</definedName>
    <definedName name="COUNT_IA_01F_AA_U01___void">#REF!</definedName>
    <definedName name="COUNT_IA_01F_AA_U02___BR1_dresser">#REF!</definedName>
    <definedName name="COUNT_IA_01F_AA_U02___BR1_rm.">#REF!</definedName>
    <definedName name="COUNT_IA_01F_AA_U02___BR1_t_b">#REF!</definedName>
    <definedName name="COUNT_IA_01F_AA_U02___BR2_lobby">#REF!</definedName>
    <definedName name="COUNT_IA_01F_AA_U02___BR2_rm.">#REF!</definedName>
    <definedName name="COUNT_IA_01F_AA_U02___BR2_t_b">#REF!</definedName>
    <definedName name="COUNT_IA_01F_AA_U02___corridor">#REF!</definedName>
    <definedName name="COUNT_IA_01F_AA_U02___foyer">#REF!</definedName>
    <definedName name="COUNT_IA_01F_AA_U02___kitchen">#REF!</definedName>
    <definedName name="COUNT_IA_01F_AA_U02___living_dining">#REF!</definedName>
    <definedName name="COUNT_IA_01F_AA_U02___maids_rm.">#REF!</definedName>
    <definedName name="COUNT_IA_01F_AA_U02___maids_toi.">#REF!</definedName>
    <definedName name="COUNT_IA_01F_AA_U02___shaft">#REF!</definedName>
    <definedName name="COUNT_IA_01F_AA_U02___toilet">#REF!</definedName>
    <definedName name="COUNT_IA_01F_AA_U02___utility_rm.">#REF!</definedName>
    <definedName name="COUNT_IA_01F_AA_U02___void">#REF!</definedName>
    <definedName name="COUNT_IA_01F_AA_U03___BR1_dresser">#REF!</definedName>
    <definedName name="COUNT_IA_01F_AA_U03___BR1_lobby">#REF!</definedName>
    <definedName name="COUNT_IA_01F_AA_U03___BR1_rm.">#REF!</definedName>
    <definedName name="COUNT_IA_01F_AA_U03___BR1_store">#REF!</definedName>
    <definedName name="COUNT_IA_01F_AA_U03___BR1_t_b">#REF!</definedName>
    <definedName name="COUNT_IA_01F_AA_U03___foyer">#REF!</definedName>
    <definedName name="COUNT_IA_01F_AA_U03___kitchen">#REF!</definedName>
    <definedName name="COUNT_IA_01F_AA_U03___living_dining">#REF!</definedName>
    <definedName name="COUNT_IA_01F_AA_U03___shaft">#REF!</definedName>
    <definedName name="COUNT_IA_01F_AA_U03___storage">#REF!</definedName>
    <definedName name="COUNT_IA_01F_AA_U03___toilet">#REF!</definedName>
    <definedName name="COUNT_IA_01F_AA_U03___utility_rm.">#REF!</definedName>
    <definedName name="COUNT_IA_01F_AA_U03___void">#REF!</definedName>
    <definedName name="COUNT_IA_01F_AA_U04___BR1_dresser">#REF!</definedName>
    <definedName name="COUNT_IA_01F_AA_U04___BR1_lobby">#REF!</definedName>
    <definedName name="COUNT_IA_01F_AA_U04___BR1_rm.">#REF!</definedName>
    <definedName name="COUNT_IA_01F_AA_U04___BR1_store">#REF!</definedName>
    <definedName name="COUNT_IA_01F_AA_U04___BR1_t_b">#REF!</definedName>
    <definedName name="COUNT_IA_01F_AA_U04___foyer">#REF!</definedName>
    <definedName name="COUNT_IA_01F_AA_U04___kitchen">#REF!</definedName>
    <definedName name="COUNT_IA_01F_AA_U04___living_dining">#REF!</definedName>
    <definedName name="COUNT_IA_01F_AA_U04___shaft">#REF!</definedName>
    <definedName name="COUNT_IA_01F_AA_U04___storage">#REF!</definedName>
    <definedName name="COUNT_IA_01F_AA_U04___toilet">#REF!</definedName>
    <definedName name="COUNT_IA_01F_AA_U04___utility_rm.">#REF!</definedName>
    <definedName name="COUNT_IA_01F_AA_U04___void">#REF!</definedName>
    <definedName name="COUNT_IA_01F_AA_U05___corridor">#REF!</definedName>
    <definedName name="COUNT_IA_01F_AA_U05___foyer">#REF!</definedName>
    <definedName name="COUNT_IA_01F_AA_U05___kitchen">#REF!</definedName>
    <definedName name="COUNT_IA_01F_AA_U05___living_dining">#REF!</definedName>
    <definedName name="COUNT_IA_01F_AA_U05___maids_lobby">#REF!</definedName>
    <definedName name="COUNT_IA_01F_AA_U05___maids_rm.">#REF!</definedName>
    <definedName name="COUNT_IA_01F_AA_U05___maids_toi.">#REF!</definedName>
    <definedName name="COUNT_IA_01F_AA_U05___shaft">#REF!</definedName>
    <definedName name="COUNT_IA_01F_AA_U05___stairs">#REF!</definedName>
    <definedName name="COUNT_IA_01F_AA_U05___toilet">#REF!</definedName>
    <definedName name="COUNT_IA_01F_AA_U05___utility_rm.">#REF!</definedName>
    <definedName name="COUNT_IA_01F_AA_U06___BR1_lobby">#REF!</definedName>
    <definedName name="COUNT_IA_01F_AA_U06___BR1_rm.">#REF!</definedName>
    <definedName name="COUNT_IA_01F_AA_U06___BR1_t_b">#REF!</definedName>
    <definedName name="COUNT_IA_01F_AA_U06___BR2_dresser">#REF!</definedName>
    <definedName name="COUNT_IA_01F_AA_U06___BR2_lobby">#REF!</definedName>
    <definedName name="COUNT_IA_01F_AA_U06___BR2_rm.">#REF!</definedName>
    <definedName name="COUNT_IA_01F_AA_U06___BR2_t_b">#REF!</definedName>
    <definedName name="COUNT_IA_01F_AA_U06___BR3_dresser">#REF!</definedName>
    <definedName name="COUNT_IA_01F_AA_U06___BR3_lobby">#REF!</definedName>
    <definedName name="COUNT_IA_01F_AA_U06___BR3_rm.">#REF!</definedName>
    <definedName name="COUNT_IA_01F_AA_U06___BR3_t_b">#REF!</definedName>
    <definedName name="COUNT_IA_01F_AA_U06___corridor">#REF!</definedName>
    <definedName name="COUNT_IA_01F_AA_U06___foyer">#REF!</definedName>
    <definedName name="COUNT_IA_01F_AA_U06___kitchen">#REF!</definedName>
    <definedName name="COUNT_IA_01F_AA_U06___living_dining">#REF!</definedName>
    <definedName name="COUNT_IA_01F_AA_U06___maids_rm.">#REF!</definedName>
    <definedName name="COUNT_IA_01F_AA_U06___maids_toi.">#REF!</definedName>
    <definedName name="COUNT_IA_01F_AA_U06___shaft">#REF!</definedName>
    <definedName name="COUNT_IA_01F_AA_U06___toilet">#REF!</definedName>
    <definedName name="COUNT_IA_01F_AA_U06___utility_rm.">#REF!</definedName>
    <definedName name="COUNT_IA_01F_AB_U00___corridor">#REF!</definedName>
    <definedName name="COUNT_IA_01F_AB_U00___lift_lobby">#REF!</definedName>
    <definedName name="COUNT_IA_01F_AB_U00___lift_shaft">#REF!</definedName>
    <definedName name="COUNT_IA_01F_AC_U00___electrical_rm.">#REF!</definedName>
    <definedName name="COUNT_IA_01F_AC_U00___f.e._stair">#REF!</definedName>
    <definedName name="COUNT_IA_01F_AC_U00___f.h.c.">#REF!</definedName>
    <definedName name="COUNT_IA_01F_AC_U00___garbage_rm.">#REF!</definedName>
    <definedName name="COUNT_IA_01F_AC_U00___shaft">#REF!</definedName>
    <definedName name="COUNT_IA_01F_AC_U00___telephone_rm.">#REF!</definedName>
    <definedName name="COUNT_IA_02F_AA_U01___BR1_lobby">#REF!</definedName>
    <definedName name="COUNT_IA_02F_AA_U01___BR1_rm.">#REF!</definedName>
    <definedName name="COUNT_IA_02F_AA_U01___BR1_t_b">#REF!</definedName>
    <definedName name="COUNT_IA_02F_AA_U01___BR2_dresser">#REF!</definedName>
    <definedName name="COUNT_IA_02F_AA_U01___BR2_lobby">#REF!</definedName>
    <definedName name="COUNT_IA_02F_AA_U01___BR2_rm.">#REF!</definedName>
    <definedName name="COUNT_IA_02F_AA_U01___BR2_t_b">#REF!</definedName>
    <definedName name="COUNT_IA_02F_AA_U01___corridor">#REF!</definedName>
    <definedName name="COUNT_IA_02F_AA_U01___foyer">#REF!</definedName>
    <definedName name="COUNT_IA_02F_AA_U01___kitchen">#REF!</definedName>
    <definedName name="COUNT_IA_02F_AA_U01___living_dining">#REF!</definedName>
    <definedName name="COUNT_IA_02F_AA_U01___maids_rm.">#REF!</definedName>
    <definedName name="COUNT_IA_02F_AA_U01___maids_toi.">#REF!</definedName>
    <definedName name="COUNT_IA_02F_AA_U01___shaft">#REF!</definedName>
    <definedName name="COUNT_IA_02F_AA_U01___toilet">#REF!</definedName>
    <definedName name="COUNT_IA_02F_AA_U01___utility_rm.">#REF!</definedName>
    <definedName name="COUNT_IA_02F_AA_U01___void">#REF!</definedName>
    <definedName name="COUNT_IA_02F_AA_U02___BR1_dresser">#REF!</definedName>
    <definedName name="COUNT_IA_02F_AA_U02___BR1_rm.">#REF!</definedName>
    <definedName name="COUNT_IA_02F_AA_U02___BR1_t_b">#REF!</definedName>
    <definedName name="COUNT_IA_02F_AA_U02___BR2_lobby">#REF!</definedName>
    <definedName name="COUNT_IA_02F_AA_U02___BR2_rm.">#REF!</definedName>
    <definedName name="COUNT_IA_02F_AA_U02___BR2_t_b">#REF!</definedName>
    <definedName name="COUNT_IA_02F_AA_U02___corridor">#REF!</definedName>
    <definedName name="COUNT_IA_02F_AA_U02___foyer">#REF!</definedName>
    <definedName name="COUNT_IA_02F_AA_U02___kitchen">#REF!</definedName>
    <definedName name="COUNT_IA_02F_AA_U02___living_dining">#REF!</definedName>
    <definedName name="COUNT_IA_02F_AA_U02___maids_rm.">#REF!</definedName>
    <definedName name="COUNT_IA_02F_AA_U02___maids_toi.">#REF!</definedName>
    <definedName name="COUNT_IA_02F_AA_U02___shaft">#REF!</definedName>
    <definedName name="COUNT_IA_02F_AA_U02___toilet">#REF!</definedName>
    <definedName name="COUNT_IA_02F_AA_U02___utility_rm.">#REF!</definedName>
    <definedName name="COUNT_IA_02F_AA_U02___void">#REF!</definedName>
    <definedName name="COUNT_IA_02F_AA_U05___BR1_rm.">#REF!</definedName>
    <definedName name="COUNT_IA_02F_AA_U05___BR1_t_b">#REF!</definedName>
    <definedName name="COUNT_IA_02F_AA_U05___BR2_lobby">#REF!</definedName>
    <definedName name="COUNT_IA_02F_AA_U05___BR2_rm.">#REF!</definedName>
    <definedName name="COUNT_IA_02F_AA_U05___BR2_t_b">#REF!</definedName>
    <definedName name="COUNT_IA_02F_AA_U05___double_vol.">#REF!</definedName>
    <definedName name="COUNT_IA_02F_AA_U05___foyer">#REF!</definedName>
    <definedName name="COUNT_IA_02F_AA_U05___living_rm.">#REF!</definedName>
    <definedName name="COUNT_IA_02F_AA_U05___shaft">#REF!</definedName>
    <definedName name="COUNT_IA_02F_AA_U05___stairs">#REF!</definedName>
    <definedName name="COUNT_IA_02F_AA_U05___void">#REF!</definedName>
    <definedName name="COUNT_IA_02F_AA_U06___BR1_lobby">#REF!</definedName>
    <definedName name="COUNT_IA_02F_AA_U06___BR1_rm.">#REF!</definedName>
    <definedName name="COUNT_IA_02F_AA_U06___BR1_t_b">#REF!</definedName>
    <definedName name="COUNT_IA_02F_AA_U06___BR2_dresser">#REF!</definedName>
    <definedName name="COUNT_IA_02F_AA_U06___BR2_lobby">#REF!</definedName>
    <definedName name="COUNT_IA_02F_AA_U06___BR2_rm.">#REF!</definedName>
    <definedName name="COUNT_IA_02F_AA_U06___BR2_t_b">#REF!</definedName>
    <definedName name="COUNT_IA_02F_AA_U06___BR3_dresser">#REF!</definedName>
    <definedName name="COUNT_IA_02F_AA_U06___BR3_lobby">#REF!</definedName>
    <definedName name="COUNT_IA_02F_AA_U06___BR3_rm.">#REF!</definedName>
    <definedName name="COUNT_IA_02F_AA_U06___BR3_t_b">#REF!</definedName>
    <definedName name="COUNT_IA_02F_AA_U06___corridor">#REF!</definedName>
    <definedName name="COUNT_IA_02F_AA_U06___foyer">#REF!</definedName>
    <definedName name="COUNT_IA_02F_AA_U06___kitchen">#REF!</definedName>
    <definedName name="COUNT_IA_02F_AA_U06___living_dining">#REF!</definedName>
    <definedName name="COUNT_IA_02F_AA_U06___maids_rm.">#REF!</definedName>
    <definedName name="COUNT_IA_02F_AA_U06___maids_toi.">#REF!</definedName>
    <definedName name="COUNT_IA_02F_AA_U06___shaft">#REF!</definedName>
    <definedName name="COUNT_IA_02F_AA_U06___toilet">#REF!</definedName>
    <definedName name="COUNT_IA_02F_AA_U06___utility_rm.">#REF!</definedName>
    <definedName name="COUNT_IA_03F_AA_U05___corridor">#REF!</definedName>
    <definedName name="COUNT_IA_03F_AA_U05___foyer">#REF!</definedName>
    <definedName name="COUNT_IA_03F_AA_U05___kitchen">#REF!</definedName>
    <definedName name="COUNT_IA_03F_AA_U05___living_dining">#REF!</definedName>
    <definedName name="COUNT_IA_03F_AA_U05___maids_lobby">#REF!</definedName>
    <definedName name="COUNT_IA_03F_AA_U05___maids_rm.">#REF!</definedName>
    <definedName name="COUNT_IA_03F_AA_U05___maids_toi.">#REF!</definedName>
    <definedName name="COUNT_IA_03F_AA_U05___shaft">#REF!</definedName>
    <definedName name="COUNT_IA_03F_AA_U05___stairs">#REF!</definedName>
    <definedName name="COUNT_IA_03F_AA_U05___toilet">#REF!</definedName>
    <definedName name="COUNT_IA_03F_AA_U05___utility_rm.">#REF!</definedName>
    <definedName name="COUNT_IA_05F_AA_U01___BR1_lobby">#REF!</definedName>
    <definedName name="COUNT_IA_05F_AA_U01___BR1_rm.">#REF!</definedName>
    <definedName name="COUNT_IA_05F_AA_U01___BR1_t_b">#REF!</definedName>
    <definedName name="COUNT_IA_05F_AA_U01___BR2_dresser">#REF!</definedName>
    <definedName name="COUNT_IA_05F_AA_U01___BR2_lobby">#REF!</definedName>
    <definedName name="COUNT_IA_05F_AA_U01___BR2_rm.">#REF!</definedName>
    <definedName name="COUNT_IA_05F_AA_U01___BR2_t_b">#REF!</definedName>
    <definedName name="COUNT_IA_05F_AA_U01___corridor">#REF!</definedName>
    <definedName name="COUNT_IA_05F_AA_U01___foyer">#REF!</definedName>
    <definedName name="COUNT_IA_05F_AA_U01___kitchen">#REF!</definedName>
    <definedName name="COUNT_IA_05F_AA_U01___living_dining">#REF!</definedName>
    <definedName name="COUNT_IA_05F_AA_U01___maids_rm.">#REF!</definedName>
    <definedName name="COUNT_IA_05F_AA_U01___maids_toi.">#REF!</definedName>
    <definedName name="COUNT_IA_05F_AA_U01___shaft">#REF!</definedName>
    <definedName name="COUNT_IA_05F_AA_U01___toilet">#REF!</definedName>
    <definedName name="COUNT_IA_05F_AA_U01___utility_rm.">#REF!</definedName>
    <definedName name="COUNT_IA_05F_AA_U01___void">#REF!</definedName>
    <definedName name="COUNT_IA_05F_AA_U02___BR1_dresser">#REF!</definedName>
    <definedName name="COUNT_IA_05F_AA_U02___BR1_rm.">#REF!</definedName>
    <definedName name="COUNT_IA_05F_AA_U02___BR1_t_b">#REF!</definedName>
    <definedName name="COUNT_IA_05F_AA_U02___BR2_lobby">#REF!</definedName>
    <definedName name="COUNT_IA_05F_AA_U02___BR2_rm.">#REF!</definedName>
    <definedName name="COUNT_IA_05F_AA_U02___BR2_t_b">#REF!</definedName>
    <definedName name="COUNT_IA_05F_AA_U02___corridor">#REF!</definedName>
    <definedName name="COUNT_IA_05F_AA_U02___foyer">#REF!</definedName>
    <definedName name="COUNT_IA_05F_AA_U02___kitchen">#REF!</definedName>
    <definedName name="COUNT_IA_05F_AA_U02___living_dining">#REF!</definedName>
    <definedName name="COUNT_IA_05F_AA_U02___maids_rm.">#REF!</definedName>
    <definedName name="COUNT_IA_05F_AA_U02___maids_toi.">#REF!</definedName>
    <definedName name="COUNT_IA_05F_AA_U02___shaft">#REF!</definedName>
    <definedName name="COUNT_IA_05F_AA_U02___toilet">#REF!</definedName>
    <definedName name="COUNT_IA_05F_AA_U02___utility_rm.">#REF!</definedName>
    <definedName name="COUNT_IA_05F_AA_U02___void">#REF!</definedName>
    <definedName name="COUNT_IA_05F_AA_U05___corridor">#REF!</definedName>
    <definedName name="COUNT_IA_05F_AA_U05___foyer">#REF!</definedName>
    <definedName name="COUNT_IA_05F_AA_U05___kitchen">#REF!</definedName>
    <definedName name="COUNT_IA_05F_AA_U05___living_dining">#REF!</definedName>
    <definedName name="COUNT_IA_05F_AA_U05___maids_lobby">#REF!</definedName>
    <definedName name="COUNT_IA_05F_AA_U05___maids_rm.">#REF!</definedName>
    <definedName name="COUNT_IA_05F_AA_U05___maids_toi.">#REF!</definedName>
    <definedName name="COUNT_IA_05F_AA_U05___shaft">#REF!</definedName>
    <definedName name="COUNT_IA_05F_AA_U05___stairs">#REF!</definedName>
    <definedName name="COUNT_IA_05F_AA_U05___toilet">#REF!</definedName>
    <definedName name="COUNT_IA_05F_AA_U05___utility_rm.">#REF!</definedName>
    <definedName name="COUNT_IA_05F_AA_U06___BR1_lobby">#REF!</definedName>
    <definedName name="COUNT_IA_05F_AA_U06___BR1_rm.">#REF!</definedName>
    <definedName name="COUNT_IA_05F_AA_U06___BR1_t_b">#REF!</definedName>
    <definedName name="COUNT_IA_05F_AA_U06___BR2_dresser">#REF!</definedName>
    <definedName name="COUNT_IA_05F_AA_U06___BR2_lobby">#REF!</definedName>
    <definedName name="COUNT_IA_05F_AA_U06___BR2_rm.">#REF!</definedName>
    <definedName name="COUNT_IA_05F_AA_U06___BR2_t_b">#REF!</definedName>
    <definedName name="COUNT_IA_05F_AA_U06___BR3_dresser">#REF!</definedName>
    <definedName name="COUNT_IA_05F_AA_U06___BR3_lobby">#REF!</definedName>
    <definedName name="COUNT_IA_05F_AA_U06___BR3_rm.">#REF!</definedName>
    <definedName name="COUNT_IA_05F_AA_U06___BR3_t_b">#REF!</definedName>
    <definedName name="COUNT_IA_05F_AA_U06___corridor">#REF!</definedName>
    <definedName name="COUNT_IA_05F_AA_U06___foyer">#REF!</definedName>
    <definedName name="COUNT_IA_05F_AA_U06___kitchen">#REF!</definedName>
    <definedName name="COUNT_IA_05F_AA_U06___living_dining">#REF!</definedName>
    <definedName name="COUNT_IA_05F_AA_U06___maids_rm.">#REF!</definedName>
    <definedName name="COUNT_IA_05F_AA_U06___maids_toi.">#REF!</definedName>
    <definedName name="COUNT_IA_05F_AA_U06___shaft">#REF!</definedName>
    <definedName name="COUNT_IA_05F_AA_U06___toilet">#REF!</definedName>
    <definedName name="COUNT_IA_05F_AA_U06___utility_rm.">#REF!</definedName>
    <definedName name="COUNT_IA_06F_AA_U05___BR1_rm.">#REF!</definedName>
    <definedName name="COUNT_IA_06F_AA_U05___BR1_t_b">#REF!</definedName>
    <definedName name="COUNT_IA_06F_AA_U05___BR2_lobby">#REF!</definedName>
    <definedName name="COUNT_IA_06F_AA_U05___BR2_rm.">#REF!</definedName>
    <definedName name="COUNT_IA_06F_AA_U05___BR2_t_b">#REF!</definedName>
    <definedName name="COUNT_IA_06F_AA_U05___double_vol.">#REF!</definedName>
    <definedName name="COUNT_IA_06F_AA_U05___foyer">#REF!</definedName>
    <definedName name="COUNT_IA_06F_AA_U05___living_rm.">#REF!</definedName>
    <definedName name="COUNT_IA_06F_AA_U05___shaft">#REF!</definedName>
    <definedName name="COUNT_IA_06F_AA_U05___stairs">#REF!</definedName>
    <definedName name="COUNT_IA_06F_AA_U05___void">#REF!</definedName>
    <definedName name="COUNT_IA_06F_AA_U06___BR1_lobby">#REF!</definedName>
    <definedName name="COUNT_IA_06F_AA_U06___BR1_rm.">#REF!</definedName>
    <definedName name="COUNT_IA_06F_AA_U06___BR1_t_b">#REF!</definedName>
    <definedName name="COUNT_IA_06F_AA_U06___BR2_dresser">#REF!</definedName>
    <definedName name="COUNT_IA_06F_AA_U06___BR2_lobby">#REF!</definedName>
    <definedName name="COUNT_IA_06F_AA_U06___BR2_rm.">#REF!</definedName>
    <definedName name="COUNT_IA_06F_AA_U06___BR2_t_b">#REF!</definedName>
    <definedName name="COUNT_IA_06F_AA_U06___BR3_dresser">#REF!</definedName>
    <definedName name="COUNT_IA_06F_AA_U06___BR3_lobby">#REF!</definedName>
    <definedName name="COUNT_IA_06F_AA_U06___BR3_rm.">#REF!</definedName>
    <definedName name="COUNT_IA_06F_AA_U06___BR3_t_b">#REF!</definedName>
    <definedName name="COUNT_IA_06F_AA_U06___corridor">#REF!</definedName>
    <definedName name="COUNT_IA_06F_AA_U06___foyer">#REF!</definedName>
    <definedName name="COUNT_IA_06F_AA_U06___kitchen">#REF!</definedName>
    <definedName name="COUNT_IA_06F_AA_U06___living_dining">#REF!</definedName>
    <definedName name="COUNT_IA_06F_AA_U06___maids_rm.">#REF!</definedName>
    <definedName name="COUNT_IA_06F_AA_U06___maids_toi.">#REF!</definedName>
    <definedName name="COUNT_IA_06F_AA_U06___shaft">#REF!</definedName>
    <definedName name="COUNT_IA_06F_AA_U06___toilet">#REF!</definedName>
    <definedName name="COUNT_IA_06F_AA_U06___utility_rm.">#REF!</definedName>
    <definedName name="COUNT_IA_07F_AA_U03___BR1_dresser">#REF!</definedName>
    <definedName name="COUNT_IA_07F_AA_U03___BR1_lobby">#REF!</definedName>
    <definedName name="COUNT_IA_07F_AA_U03___BR1_rm.">#REF!</definedName>
    <definedName name="COUNT_IA_07F_AA_U03___BR1_store">#REF!</definedName>
    <definedName name="COUNT_IA_07F_AA_U03___BR1_t_b">#REF!</definedName>
    <definedName name="COUNT_IA_07F_AA_U03___foyer">#REF!</definedName>
    <definedName name="COUNT_IA_07F_AA_U03___kitchen">#REF!</definedName>
    <definedName name="COUNT_IA_07F_AA_U03___living_dining">#REF!</definedName>
    <definedName name="COUNT_IA_07F_AA_U03___shaft">#REF!</definedName>
    <definedName name="COUNT_IA_07F_AA_U03___storage">#REF!</definedName>
    <definedName name="COUNT_IA_07F_AA_U03___toilet">#REF!</definedName>
    <definedName name="COUNT_IA_07F_AA_U03___utility_rm.">#REF!</definedName>
    <definedName name="COUNT_IA_07F_AA_U03___void">#REF!</definedName>
    <definedName name="COUNT_IA_07F_AA_U04___BR1_dresser">#REF!</definedName>
    <definedName name="COUNT_IA_07F_AA_U04___BR1_lobby">#REF!</definedName>
    <definedName name="COUNT_IA_07F_AA_U04___BR1_rm.">#REF!</definedName>
    <definedName name="COUNT_IA_07F_AA_U04___BR1_store">#REF!</definedName>
    <definedName name="COUNT_IA_07F_AA_U04___BR1_t_b">#REF!</definedName>
    <definedName name="COUNT_IA_07F_AA_U04___foyer">#REF!</definedName>
    <definedName name="COUNT_IA_07F_AA_U04___kitchen">#REF!</definedName>
    <definedName name="COUNT_IA_07F_AA_U04___living_dining">#REF!</definedName>
    <definedName name="COUNT_IA_07F_AA_U04___shaft">#REF!</definedName>
    <definedName name="COUNT_IA_07F_AA_U04___storage">#REF!</definedName>
    <definedName name="COUNT_IA_07F_AA_U04___toilet">#REF!</definedName>
    <definedName name="COUNT_IA_07F_AA_U04___utility_rm.">#REF!</definedName>
    <definedName name="COUNT_IA_07F_AA_U04___void">#REF!</definedName>
    <definedName name="COUNT_IA_07F_AA_U06___BR1_lobby">#REF!</definedName>
    <definedName name="COUNT_IA_07F_AA_U06___BR1_rm.">#REF!</definedName>
    <definedName name="COUNT_IA_07F_AA_U06___BR1_t_b">#REF!</definedName>
    <definedName name="COUNT_IA_07F_AA_U06___BR2_dresser">#REF!</definedName>
    <definedName name="COUNT_IA_07F_AA_U06___BR2_lobby">#REF!</definedName>
    <definedName name="COUNT_IA_07F_AA_U06___BR2_rm.">#REF!</definedName>
    <definedName name="COUNT_IA_07F_AA_U06___BR2_t_b">#REF!</definedName>
    <definedName name="COUNT_IA_07F_AA_U06___BR3_dresser">#REF!</definedName>
    <definedName name="COUNT_IA_07F_AA_U06___BR3_lobby">#REF!</definedName>
    <definedName name="COUNT_IA_07F_AA_U06___BR3_rm.">#REF!</definedName>
    <definedName name="COUNT_IA_07F_AA_U06___BR3_t_b">#REF!</definedName>
    <definedName name="COUNT_IA_07F_AA_U06___corridor">#REF!</definedName>
    <definedName name="COUNT_IA_07F_AA_U06___foyer">#REF!</definedName>
    <definedName name="COUNT_IA_07F_AA_U06___kitchen">#REF!</definedName>
    <definedName name="COUNT_IA_07F_AA_U06___living_dining">#REF!</definedName>
    <definedName name="COUNT_IA_07F_AA_U06___maids_rm.">#REF!</definedName>
    <definedName name="COUNT_IA_07F_AA_U06___maids_toi.">#REF!</definedName>
    <definedName name="COUNT_IA_07F_AA_U06___shaft">#REF!</definedName>
    <definedName name="COUNT_IA_07F_AA_U06___toilet">#REF!</definedName>
    <definedName name="COUNT_IA_07F_AA_U06___utility_rm.">#REF!</definedName>
    <definedName name="COUNT_IA_08F_AA_U03___BR1_dresser">#REF!</definedName>
    <definedName name="COUNT_IA_08F_AA_U03___BR1_lobby">#REF!</definedName>
    <definedName name="COUNT_IA_08F_AA_U03___BR1_rm.">#REF!</definedName>
    <definedName name="COUNT_IA_08F_AA_U03___BR1_t_b">#REF!</definedName>
    <definedName name="COUNT_IA_08F_AA_U03___foyer">#REF!</definedName>
    <definedName name="COUNT_IA_08F_AA_U03___kitchen">#REF!</definedName>
    <definedName name="COUNT_IA_08F_AA_U03___living_dining">#REF!</definedName>
    <definedName name="COUNT_IA_08F_AA_U03___shaft">#REF!</definedName>
    <definedName name="COUNT_IA_08F_AA_U03___storage">#REF!</definedName>
    <definedName name="COUNT_IA_08F_AA_U03___toilet">#REF!</definedName>
    <definedName name="COUNT_IA_08F_AA_U03___utility_rm.">#REF!</definedName>
    <definedName name="COUNT_IA_08F_AA_U04___BR1_dresser">#REF!</definedName>
    <definedName name="COUNT_IA_08F_AA_U04___BR1_lobby">#REF!</definedName>
    <definedName name="COUNT_IA_08F_AA_U04___BR1_rm.">#REF!</definedName>
    <definedName name="COUNT_IA_08F_AA_U04___BR1_t_b">#REF!</definedName>
    <definedName name="COUNT_IA_08F_AA_U04___foyer">#REF!</definedName>
    <definedName name="COUNT_IA_08F_AA_U04___kitchen">#REF!</definedName>
    <definedName name="COUNT_IA_08F_AA_U04___living_dining">#REF!</definedName>
    <definedName name="COUNT_IA_08F_AA_U04___shaft">#REF!</definedName>
    <definedName name="COUNT_IA_08F_AA_U04___storage">#REF!</definedName>
    <definedName name="COUNT_IA_08F_AA_U04___toilet">#REF!</definedName>
    <definedName name="COUNT_IA_08F_AA_U04___utility_rm.">#REF!</definedName>
    <definedName name="COUNT_IA_08F_AA_U06___BR1_lobby">#REF!</definedName>
    <definedName name="COUNT_IA_08F_AA_U06___BR1_rm.">#REF!</definedName>
    <definedName name="COUNT_IA_08F_AA_U06___BR1_t_b">#REF!</definedName>
    <definedName name="COUNT_IA_08F_AA_U06___BR2_dresser">#REF!</definedName>
    <definedName name="COUNT_IA_08F_AA_U06___BR2_lobby">#REF!</definedName>
    <definedName name="COUNT_IA_08F_AA_U06___BR2_rm.">#REF!</definedName>
    <definedName name="COUNT_IA_08F_AA_U06___BR2_t_b">#REF!</definedName>
    <definedName name="COUNT_IA_08F_AA_U06___BR3_dresser">#REF!</definedName>
    <definedName name="COUNT_IA_08F_AA_U06___BR3_lobby">#REF!</definedName>
    <definedName name="COUNT_IA_08F_AA_U06___BR3_rm.">#REF!</definedName>
    <definedName name="COUNT_IA_08F_AA_U06___BR3_t_b">#REF!</definedName>
    <definedName name="COUNT_IA_08F_AA_U06___corridor">#REF!</definedName>
    <definedName name="COUNT_IA_08F_AA_U06___foyer">#REF!</definedName>
    <definedName name="COUNT_IA_08F_AA_U06___kitchen">#REF!</definedName>
    <definedName name="COUNT_IA_08F_AA_U06___living_dining">#REF!</definedName>
    <definedName name="COUNT_IA_08F_AA_U06___maids_rm.">#REF!</definedName>
    <definedName name="COUNT_IA_08F_AA_U06___maids_toi.">#REF!</definedName>
    <definedName name="COUNT_IA_08F_AA_U06___shaft">#REF!</definedName>
    <definedName name="COUNT_IA_08F_AA_U06___toilet">#REF!</definedName>
    <definedName name="COUNT_IA_08F_AA_U06___utility_rm.">#REF!</definedName>
    <definedName name="COUNT_IA_09F_AA_U06___BR1_lobby">#REF!</definedName>
    <definedName name="COUNT_IA_09F_AA_U06___BR1_rm.">#REF!</definedName>
    <definedName name="COUNT_IA_09F_AA_U06___BR1_t_b">#REF!</definedName>
    <definedName name="COUNT_IA_09F_AA_U06___BR2_dresser">#REF!</definedName>
    <definedName name="COUNT_IA_09F_AA_U06___BR2_lobby">#REF!</definedName>
    <definedName name="COUNT_IA_09F_AA_U06___BR2_rm.">#REF!</definedName>
    <definedName name="COUNT_IA_09F_AA_U06___BR2_t_b">#REF!</definedName>
    <definedName name="COUNT_IA_09F_AA_U06___BR3_dresser">#REF!</definedName>
    <definedName name="COUNT_IA_09F_AA_U06___BR3_lobby">#REF!</definedName>
    <definedName name="COUNT_IA_09F_AA_U06___BR3_rm.">#REF!</definedName>
    <definedName name="COUNT_IA_09F_AA_U06___BR3_t_b">#REF!</definedName>
    <definedName name="COUNT_IA_09F_AA_U06___corridor">#REF!</definedName>
    <definedName name="COUNT_IA_09F_AA_U06___foyer">#REF!</definedName>
    <definedName name="COUNT_IA_09F_AA_U06___kitchen">#REF!</definedName>
    <definedName name="COUNT_IA_09F_AA_U06___living_dining">#REF!</definedName>
    <definedName name="COUNT_IA_09F_AA_U06___maids_rm.">#REF!</definedName>
    <definedName name="COUNT_IA_09F_AA_U06___maids_toi.">#REF!</definedName>
    <definedName name="COUNT_IA_09F_AA_U06___shaft">#REF!</definedName>
    <definedName name="COUNT_IA_09F_AA_U06___toilet">#REF!</definedName>
    <definedName name="COUNT_IA_09F_AA_U06___utility_rm.">#REF!</definedName>
    <definedName name="COUNT_IA_11F_AA_U01___BR1_lobby">#REF!</definedName>
    <definedName name="COUNT_IA_11F_AA_U01___BR1_rm.">#REF!</definedName>
    <definedName name="COUNT_IA_11F_AA_U01___BR1_t_b">#REF!</definedName>
    <definedName name="COUNT_IA_11F_AA_U01___BR2_dresser">#REF!</definedName>
    <definedName name="COUNT_IA_11F_AA_U01___BR2_lobby">#REF!</definedName>
    <definedName name="COUNT_IA_11F_AA_U01___BR2_rm.">#REF!</definedName>
    <definedName name="COUNT_IA_11F_AA_U01___BR2_t_b">#REF!</definedName>
    <definedName name="COUNT_IA_11F_AA_U01___corridor">#REF!</definedName>
    <definedName name="COUNT_IA_11F_AA_U01___foyer">#REF!</definedName>
    <definedName name="COUNT_IA_11F_AA_U01___kitchen">#REF!</definedName>
    <definedName name="COUNT_IA_11F_AA_U01___living_dining">#REF!</definedName>
    <definedName name="COUNT_IA_11F_AA_U01___maids_rm.">#REF!</definedName>
    <definedName name="COUNT_IA_11F_AA_U01___maids_toi.">#REF!</definedName>
    <definedName name="COUNT_IA_11F_AA_U01___shaft">#REF!</definedName>
    <definedName name="COUNT_IA_11F_AA_U01___toilet">#REF!</definedName>
    <definedName name="COUNT_IA_11F_AA_U01___utility_rm.">#REF!</definedName>
    <definedName name="COUNT_IA_11F_AA_U01___void">#REF!</definedName>
    <definedName name="COUNT_IA_11F_AA_U02___BR1_dresser">#REF!</definedName>
    <definedName name="COUNT_IA_11F_AA_U02___BR1_rm.">#REF!</definedName>
    <definedName name="COUNT_IA_11F_AA_U02___BR1_t_b">#REF!</definedName>
    <definedName name="COUNT_IA_11F_AA_U02___BR2_lobby">#REF!</definedName>
    <definedName name="COUNT_IA_11F_AA_U02___BR2_rm.">#REF!</definedName>
    <definedName name="COUNT_IA_11F_AA_U02___BR2_t_b">#REF!</definedName>
    <definedName name="COUNT_IA_11F_AA_U02___corridor">#REF!</definedName>
    <definedName name="COUNT_IA_11F_AA_U02___foyer">#REF!</definedName>
    <definedName name="COUNT_IA_11F_AA_U02___kitchen">#REF!</definedName>
    <definedName name="COUNT_IA_11F_AA_U02___living_dining">#REF!</definedName>
    <definedName name="COUNT_IA_11F_AA_U02___maids_rm.">#REF!</definedName>
    <definedName name="COUNT_IA_11F_AA_U02___maids_toi.">#REF!</definedName>
    <definedName name="COUNT_IA_11F_AA_U02___shaft">#REF!</definedName>
    <definedName name="COUNT_IA_11F_AA_U02___toilet">#REF!</definedName>
    <definedName name="COUNT_IA_11F_AA_U02___utility_rm.">#REF!</definedName>
    <definedName name="COUNT_IA_11F_AA_U02___void">#REF!</definedName>
    <definedName name="COUNT_IA_11F_AA_U03___BR1_dresser">#REF!</definedName>
    <definedName name="COUNT_IA_11F_AA_U03___BR1_lobby">#REF!</definedName>
    <definedName name="COUNT_IA_11F_AA_U03___BR1_rm.">#REF!</definedName>
    <definedName name="COUNT_IA_11F_AA_U03___BR1_t_b">#REF!</definedName>
    <definedName name="COUNT_IA_11F_AA_U03___foyer">#REF!</definedName>
    <definedName name="COUNT_IA_11F_AA_U03___kitchen">#REF!</definedName>
    <definedName name="COUNT_IA_11F_AA_U03___living_dining">#REF!</definedName>
    <definedName name="COUNT_IA_11F_AA_U03___shaft">#REF!</definedName>
    <definedName name="COUNT_IA_11F_AA_U03___storage">#REF!</definedName>
    <definedName name="COUNT_IA_11F_AA_U03___toilet">#REF!</definedName>
    <definedName name="COUNT_IA_11F_AA_U03___utility_rm.">#REF!</definedName>
    <definedName name="COUNT_IA_11F_AA_U04___BR1_dresser">#REF!</definedName>
    <definedName name="COUNT_IA_11F_AA_U04___BR1_lobby">#REF!</definedName>
    <definedName name="COUNT_IA_11F_AA_U04___BR1_rm.">#REF!</definedName>
    <definedName name="COUNT_IA_11F_AA_U04___BR1_t_b">#REF!</definedName>
    <definedName name="COUNT_IA_11F_AA_U04___foyer">#REF!</definedName>
    <definedName name="COUNT_IA_11F_AA_U04___kitchen">#REF!</definedName>
    <definedName name="COUNT_IA_11F_AA_U04___living_dining">#REF!</definedName>
    <definedName name="COUNT_IA_11F_AA_U04___shaft">#REF!</definedName>
    <definedName name="COUNT_IA_11F_AA_U04___storage">#REF!</definedName>
    <definedName name="COUNT_IA_11F_AA_U04___toilet">#REF!</definedName>
    <definedName name="COUNT_IA_11F_AA_U04___utility_rm.">#REF!</definedName>
    <definedName name="COUNT_IA_11F_AA_U06___BR1_lobby">#REF!</definedName>
    <definedName name="COUNT_IA_11F_AA_U06___BR1_rm.">#REF!</definedName>
    <definedName name="COUNT_IA_11F_AA_U06___BR1_t_b">#REF!</definedName>
    <definedName name="COUNT_IA_11F_AA_U06___BR2_dresser">#REF!</definedName>
    <definedName name="COUNT_IA_11F_AA_U06___BR2_lobby">#REF!</definedName>
    <definedName name="COUNT_IA_11F_AA_U06___BR2_rm.">#REF!</definedName>
    <definedName name="COUNT_IA_11F_AA_U06___BR2_t_b">#REF!</definedName>
    <definedName name="COUNT_IA_11F_AA_U06___BR3_dresser">#REF!</definedName>
    <definedName name="COUNT_IA_11F_AA_U06___BR3_lobby">#REF!</definedName>
    <definedName name="COUNT_IA_11F_AA_U06___BR3_rm.">#REF!</definedName>
    <definedName name="COUNT_IA_11F_AA_U06___BR3_t_b">#REF!</definedName>
    <definedName name="COUNT_IA_11F_AA_U06___corridor">#REF!</definedName>
    <definedName name="COUNT_IA_11F_AA_U06___foyer">#REF!</definedName>
    <definedName name="COUNT_IA_11F_AA_U06___kitchen">#REF!</definedName>
    <definedName name="COUNT_IA_11F_AA_U06___living_dining">#REF!</definedName>
    <definedName name="COUNT_IA_11F_AA_U06___maids_rm.">#REF!</definedName>
    <definedName name="COUNT_IA_11F_AA_U06___maids_toi.">#REF!</definedName>
    <definedName name="COUNT_IA_11F_AA_U06___shaft">#REF!</definedName>
    <definedName name="COUNT_IA_11F_AA_U06___toilet">#REF!</definedName>
    <definedName name="COUNT_IA_11F_AA_U06___utility_rm.">#REF!</definedName>
    <definedName name="COUNT_IA_11F_AB_U00___corridor">#REF!</definedName>
    <definedName name="COUNT_IA_11F_AB_U00___lift_lobby">#REF!</definedName>
    <definedName name="COUNT_IA_11F_AB_U00___lift_shaft">#REF!</definedName>
    <definedName name="COUNT_IA_11F_AC_U00___electrical_rm.">#REF!</definedName>
    <definedName name="COUNT_IA_11F_AC_U00___f.e._stair">#REF!</definedName>
    <definedName name="COUNT_IA_11F_AC_U00___f.h.c.">#REF!</definedName>
    <definedName name="COUNT_IA_11F_AC_U00___garbage_rm.">#REF!</definedName>
    <definedName name="COUNT_IA_11F_AC_U00___shaft">#REF!</definedName>
    <definedName name="COUNT_IA_11F_AC_U00___telephone_rm.">#REF!</definedName>
    <definedName name="COUNT_IA_31F_AA_U01___BR1_lobby">#REF!</definedName>
    <definedName name="COUNT_IA_31F_AA_U01___BR1_rm.">#REF!</definedName>
    <definedName name="COUNT_IA_31F_AA_U01___BR1_t_b">#REF!</definedName>
    <definedName name="COUNT_IA_31F_AA_U01___BR2_dresser">#REF!</definedName>
    <definedName name="COUNT_IA_31F_AA_U01___BR2_lobby">#REF!</definedName>
    <definedName name="COUNT_IA_31F_AA_U01___BR2_rm.">#REF!</definedName>
    <definedName name="COUNT_IA_31F_AA_U01___BR2_t_b">#REF!</definedName>
    <definedName name="COUNT_IA_31F_AA_U01___corridor">#REF!</definedName>
    <definedName name="COUNT_IA_31F_AA_U01___foyer">#REF!</definedName>
    <definedName name="COUNT_IA_31F_AA_U01___kitchen">#REF!</definedName>
    <definedName name="COUNT_IA_31F_AA_U01___living_dining">#REF!</definedName>
    <definedName name="COUNT_IA_31F_AA_U01___maids_rm.">#REF!</definedName>
    <definedName name="COUNT_IA_31F_AA_U01___maids_toi.">#REF!</definedName>
    <definedName name="COUNT_IA_31F_AA_U01___shaft">#REF!</definedName>
    <definedName name="COUNT_IA_31F_AA_U01___toilet">#REF!</definedName>
    <definedName name="COUNT_IA_31F_AA_U01___utility_rm.">#REF!</definedName>
    <definedName name="COUNT_IA_31F_AA_U01___void">#REF!</definedName>
    <definedName name="COUNT_IA_31F_AA_U02___BR1_dresser">#REF!</definedName>
    <definedName name="COUNT_IA_31F_AA_U02___BR1_rm.">#REF!</definedName>
    <definedName name="COUNT_IA_31F_AA_U02___BR1_t_b">#REF!</definedName>
    <definedName name="COUNT_IA_31F_AA_U02___BR2_lobby">#REF!</definedName>
    <definedName name="COUNT_IA_31F_AA_U02___BR2_rm.">#REF!</definedName>
    <definedName name="COUNT_IA_31F_AA_U02___BR2_t_b">#REF!</definedName>
    <definedName name="COUNT_IA_31F_AA_U02___corridor">#REF!</definedName>
    <definedName name="COUNT_IA_31F_AA_U02___foyer">#REF!</definedName>
    <definedName name="COUNT_IA_31F_AA_U02___kitchen">#REF!</definedName>
    <definedName name="COUNT_IA_31F_AA_U02___living_dining">#REF!</definedName>
    <definedName name="COUNT_IA_31F_AA_U02___maids_rm.">#REF!</definedName>
    <definedName name="COUNT_IA_31F_AA_U02___maids_toi.">#REF!</definedName>
    <definedName name="COUNT_IA_31F_AA_U02___shaft">#REF!</definedName>
    <definedName name="COUNT_IA_31F_AA_U02___toilet">#REF!</definedName>
    <definedName name="COUNT_IA_31F_AA_U02___utility_rm.">#REF!</definedName>
    <definedName name="COUNT_IA_31F_AA_U02___void">#REF!</definedName>
    <definedName name="COUNT_IA_31F_AA_U03___BR1_dresser">#REF!</definedName>
    <definedName name="COUNT_IA_31F_AA_U03___BR1_lobby">#REF!</definedName>
    <definedName name="COUNT_IA_31F_AA_U03___BR1_rm.">#REF!</definedName>
    <definedName name="COUNT_IA_31F_AA_U03___BR1_t_b">#REF!</definedName>
    <definedName name="COUNT_IA_31F_AA_U03___foyer">#REF!</definedName>
    <definedName name="COUNT_IA_31F_AA_U03___kitchen">#REF!</definedName>
    <definedName name="COUNT_IA_31F_AA_U03___living_dining">#REF!</definedName>
    <definedName name="COUNT_IA_31F_AA_U03___shaft">#REF!</definedName>
    <definedName name="COUNT_IA_31F_AA_U03___storage">#REF!</definedName>
    <definedName name="COUNT_IA_31F_AA_U03___toilet">#REF!</definedName>
    <definedName name="COUNT_IA_31F_AA_U03___utility_rm.">#REF!</definedName>
    <definedName name="COUNT_IA_31F_AA_U04___BR1_dresser">#REF!</definedName>
    <definedName name="COUNT_IA_31F_AA_U04___BR1_lobby">#REF!</definedName>
    <definedName name="COUNT_IA_31F_AA_U04___BR1_rm.">#REF!</definedName>
    <definedName name="COUNT_IA_31F_AA_U04___BR1_t_b">#REF!</definedName>
    <definedName name="COUNT_IA_31F_AA_U04___foyer">#REF!</definedName>
    <definedName name="COUNT_IA_31F_AA_U04___kitchen">#REF!</definedName>
    <definedName name="COUNT_IA_31F_AA_U04___living_dining">#REF!</definedName>
    <definedName name="COUNT_IA_31F_AA_U04___shaft">#REF!</definedName>
    <definedName name="COUNT_IA_31F_AA_U04___storage">#REF!</definedName>
    <definedName name="COUNT_IA_31F_AA_U04___toilet">#REF!</definedName>
    <definedName name="COUNT_IA_31F_AA_U04___utility_rm.">#REF!</definedName>
    <definedName name="COUNT_IA_31F_AA_U05___corridor">#REF!</definedName>
    <definedName name="COUNT_IA_31F_AA_U05___foyer">#REF!</definedName>
    <definedName name="COUNT_IA_31F_AA_U05___kitchen">#REF!</definedName>
    <definedName name="COUNT_IA_31F_AA_U05___living_dining">#REF!</definedName>
    <definedName name="COUNT_IA_31F_AA_U05___maids_lobby">#REF!</definedName>
    <definedName name="COUNT_IA_31F_AA_U05___maids_rm.">#REF!</definedName>
    <definedName name="COUNT_IA_31F_AA_U05___maids_toi.">#REF!</definedName>
    <definedName name="COUNT_IA_31F_AA_U05___shaft">#REF!</definedName>
    <definedName name="COUNT_IA_31F_AA_U05___stairs">#REF!</definedName>
    <definedName name="COUNT_IA_31F_AA_U05___toilet">#REF!</definedName>
    <definedName name="COUNT_IA_31F_AA_U05___utility_rm.">#REF!</definedName>
    <definedName name="COUNT_IA_31F_AA_U06___BR1_lobby">#REF!</definedName>
    <definedName name="COUNT_IA_31F_AA_U06___BR1_rm.">#REF!</definedName>
    <definedName name="COUNT_IA_31F_AA_U06___BR1_t_b">#REF!</definedName>
    <definedName name="COUNT_IA_31F_AA_U06___BR2_dresser">#REF!</definedName>
    <definedName name="COUNT_IA_31F_AA_U06___BR2_lobby">#REF!</definedName>
    <definedName name="COUNT_IA_31F_AA_U06___BR2_rm.">#REF!</definedName>
    <definedName name="COUNT_IA_31F_AA_U06___BR2_t_b">#REF!</definedName>
    <definedName name="COUNT_IA_31F_AA_U06___corridor">#REF!</definedName>
    <definedName name="COUNT_IA_31F_AA_U06___foyer">#REF!</definedName>
    <definedName name="COUNT_IA_31F_AA_U06___kitchen">#REF!</definedName>
    <definedName name="COUNT_IA_31F_AA_U06___living_dining">#REF!</definedName>
    <definedName name="COUNT_IA_31F_AA_U06___maids_rm.">#REF!</definedName>
    <definedName name="COUNT_IA_31F_AA_U06___maids_toi.">#REF!</definedName>
    <definedName name="COUNT_IA_31F_AA_U06___shaft">#REF!</definedName>
    <definedName name="COUNT_IA_31F_AA_U06___solaria">#REF!</definedName>
    <definedName name="COUNT_IA_31F_AA_U06___stair">#REF!</definedName>
    <definedName name="COUNT_IA_31F_AA_U06___toilet">#REF!</definedName>
    <definedName name="COUNT_IA_31F_AA_U06___utility_rm.">#REF!</definedName>
    <definedName name="COUNT_IA_31F_AA_U06___void">#REF!</definedName>
    <definedName name="COUNT_IA_31F_AB_U00___corridor">#REF!</definedName>
    <definedName name="COUNT_IA_31F_AB_U00___lift_lobby">#REF!</definedName>
    <definedName name="COUNT_IA_31F_AB_U00___lift_shaft">#REF!</definedName>
    <definedName name="COUNT_IA_31F_AC_U00___electrical_rm.">#REF!</definedName>
    <definedName name="COUNT_IA_31F_AC_U00___f.e._stair">#REF!</definedName>
    <definedName name="COUNT_IA_31F_AC_U00___f.h.c.">#REF!</definedName>
    <definedName name="COUNT_IA_31F_AC_U00___garbage_rm.">#REF!</definedName>
    <definedName name="COUNT_IA_31F_AC_U00___shaft">#REF!</definedName>
    <definedName name="COUNT_IA_31F_AC_U00___telephone_rm.">#REF!</definedName>
    <definedName name="COUNT_IA_32F_AA_U05___BR1_rm.">#REF!</definedName>
    <definedName name="COUNT_IA_32F_AA_U05___BR1_t_b">#REF!</definedName>
    <definedName name="COUNT_IA_32F_AA_U05___BR2_lobby">#REF!</definedName>
    <definedName name="COUNT_IA_32F_AA_U05___BR2_rm.">#REF!</definedName>
    <definedName name="COUNT_IA_32F_AA_U05___BR2_t_b">#REF!</definedName>
    <definedName name="COUNT_IA_32F_AA_U05___double_vol.">#REF!</definedName>
    <definedName name="COUNT_IA_32F_AA_U05___foyer">#REF!</definedName>
    <definedName name="COUNT_IA_32F_AA_U05___living_rm.">#REF!</definedName>
    <definedName name="COUNT_IA_32F_AA_U05___shaft">#REF!</definedName>
    <definedName name="COUNT_IA_32F_AA_U05___stairs">#REF!</definedName>
    <definedName name="COUNT_IA_32F_AA_U05___void">#REF!</definedName>
    <definedName name="COUNT_IA_32F_AA_U06___BR1_lobby">#REF!</definedName>
    <definedName name="COUNT_IA_32F_AA_U06___BR1_rm.">#REF!</definedName>
    <definedName name="COUNT_IA_32F_AA_U06___BR1_t_b">#REF!</definedName>
    <definedName name="COUNT_IA_32F_AA_U06___BR2_dresser">#REF!</definedName>
    <definedName name="COUNT_IA_32F_AA_U06___BR2_lobby">#REF!</definedName>
    <definedName name="COUNT_IA_32F_AA_U06___BR2_rm.">#REF!</definedName>
    <definedName name="COUNT_IA_32F_AA_U06___BR2_t_b">#REF!</definedName>
    <definedName name="COUNT_IA_32F_AA_U06___corridor">#REF!</definedName>
    <definedName name="COUNT_IA_32F_AA_U06___double_vol.">#REF!</definedName>
    <definedName name="COUNT_IA_32F_AA_U06___jacuzzi_area">#REF!</definedName>
    <definedName name="COUNT_IA_32F_AA_U06___living_foyer">#REF!</definedName>
    <definedName name="COUNT_IA_32F_AA_U06___pantry">#REF!</definedName>
    <definedName name="COUNT_IA_32F_AA_U06___shaft">#REF!</definedName>
    <definedName name="COUNT_IA_32F_AA_U06___stair">#REF!</definedName>
    <definedName name="COUNT_IA_32F_AA_U06___study">#REF!</definedName>
    <definedName name="COUNT_IA_33RF_AC_U00___electrical_rm.">#REF!</definedName>
    <definedName name="COUNT_IA_33RF_AC_U00___f.e._stair">#REF!</definedName>
    <definedName name="COUNT_IA_33RF_AC_U00___g.s.m._rm.">#REF!</definedName>
    <definedName name="COUNT_IA_33RF_AC_U00___lift_shaft">#REF!</definedName>
    <definedName name="COUNT_IA_33RF_AC_U00___shaft">#REF!</definedName>
    <definedName name="COUNT_IA_33RF_AC_U00___tech._rm.">#REF!</definedName>
    <definedName name="COUNT_IA_33RF_AC_U00___telephone_rm.">#REF!</definedName>
    <definedName name="COUNT_IA_33RF_AC_U00___water_tank">#REF!</definedName>
    <definedName name="COUNT_IA_34uRF_AC_U00___machine_rm.">#REF!</definedName>
    <definedName name="COUNT_IA_34uRF_AC_U00___machine_rm._lobby">#REF!</definedName>
    <definedName name="COUNT_IA_34uRF_AC_U00___pump_rm.">#REF!</definedName>
    <definedName name="COUNT_IA_34uRF_AC_U00___r.c._water_tank">#REF!</definedName>
    <definedName name="COUNT_IA_34uRF_AC_U00___shaft">#REF!</definedName>
    <definedName name="COUNT_Intelligent_Water_Meter_by_DEWA">#REF!</definedName>
    <definedName name="COUNT_Internal_Ceiling_Finishes__Bulkhead">#REF!</definedName>
    <definedName name="COUNT_Internal_Ceiling_Finishes__PF01">#REF!</definedName>
    <definedName name="COUNT_Internal_Ceiling_Finishes__PF02">#REF!</definedName>
    <definedName name="COUNT_Internal_Ceiling_Finishes__PH01">#REF!</definedName>
    <definedName name="COUNT_Internal_Doors__D_02">#REF!</definedName>
    <definedName name="COUNT_Internal_Doors__D_03">#REF!</definedName>
    <definedName name="COUNT_Internal_Doors__D_04">#REF!</definedName>
    <definedName name="COUNT_Internal_Doors__D_06">#REF!</definedName>
    <definedName name="COUNT_Internal_Floor_Finishes__FF01">#REF!</definedName>
    <definedName name="COUNT_Internal_Floor_Finishes__FF03">#REF!</definedName>
    <definedName name="COUNT_Internal_Floor_Finishes__FF05">#REF!</definedName>
    <definedName name="COUNT_Internal_Floor_Finishes__Wet_Areas">#REF!</definedName>
    <definedName name="COUNT_Internal_Wall__Blockwork___BW_1">#REF!</definedName>
    <definedName name="COUNT_Internal_Wall__Blockwork___BW_2">#REF!</definedName>
    <definedName name="COUNT_Internal_Wall__Blockwork___BW_3">#REF!</definedName>
    <definedName name="COUNT_Internal_Wall__Threshold">#REF!</definedName>
    <definedName name="COUNT_Internal_Wall_Finishes__PF03">#REF!</definedName>
    <definedName name="COUNT_Internal_Wall_Finishes__PF04">#REF!</definedName>
    <definedName name="COUNT_Internal_Wall_Finishes__Render">#REF!</definedName>
    <definedName name="COUNT_Internal_Wall_Finishes__W01">#REF!</definedName>
    <definedName name="COUNT_Internal_Wall_Finishes__W03">#REF!</definedName>
    <definedName name="COUNT_Internal_Wall_Finishes__WF05">#REF!</definedName>
    <definedName name="COUNT_Internal_Wall_Finishes__WF07">#REF!</definedName>
    <definedName name="COUNT_Isolation_Valve">#REF!</definedName>
    <definedName name="COUNT_L0__TW1_250">#REF!</definedName>
    <definedName name="COUNT_L0__TW2_200">#REF!</definedName>
    <definedName name="COUNT_L0__TW3_300">#REF!</definedName>
    <definedName name="COUNT_L0__TW3_400">#REF!</definedName>
    <definedName name="COUNT_L0__TW4_500">#REF!</definedName>
    <definedName name="COUNT_L0__TW4_600">#REF!</definedName>
    <definedName name="COUNT_L0__W1__300">#REF!</definedName>
    <definedName name="COUNT_L0__W1_300_Door_Overhead">#REF!</definedName>
    <definedName name="COUNT_L0_Beams">#REF!</definedName>
    <definedName name="COUNT_L0_DP1_3000x3000x350">#REF!</definedName>
    <definedName name="COUNT_L0_DP2_3000x1750x350">#REF!</definedName>
    <definedName name="COUNT_L0_DP5_3000x3000x400">#REF!</definedName>
    <definedName name="COUNT_L0_DP6_6500x4000x550">#REF!</definedName>
    <definedName name="COUNT_L0_DP7_3500x1900x400">#REF!</definedName>
    <definedName name="COUNT_L0_Ramp">#REF!</definedName>
    <definedName name="COUNT_L0_Slab_200">#REF!</definedName>
    <definedName name="COUNT_L0_Slab_220">#REF!</definedName>
    <definedName name="COUNT_L0_Slab_240">#REF!</definedName>
    <definedName name="COUNT_L0_Slab_250">#REF!</definedName>
    <definedName name="COUNT_L0_Slab_260">#REF!</definedName>
    <definedName name="COUNT_L0_Slab_400">#REF!</definedName>
    <definedName name="COUNT_L0_Slab_450">#REF!</definedName>
    <definedName name="COUNT_L00__Column_C1">#REF!</definedName>
    <definedName name="COUNT_L00__Column_C10">#REF!</definedName>
    <definedName name="COUNT_L00__Column_C11">#REF!</definedName>
    <definedName name="COUNT_L00__Column_C12">#REF!</definedName>
    <definedName name="COUNT_L00__Column_C2">#REF!</definedName>
    <definedName name="COUNT_L00__Column_C3">#REF!</definedName>
    <definedName name="COUNT_L00__Column_C4">#REF!</definedName>
    <definedName name="COUNT_L00__Column_C5">#REF!</definedName>
    <definedName name="COUNT_L00__Column_C6">#REF!</definedName>
    <definedName name="COUNT_L00__Column_C7">#REF!</definedName>
    <definedName name="COUNT_L00__Column_C8">#REF!</definedName>
    <definedName name="COUNT_L00__Column_C9">#REF!</definedName>
    <definedName name="COUNT_L00__Column_FC1">#REF!</definedName>
    <definedName name="COUNT_L00__Column_TC1">#REF!</definedName>
    <definedName name="COUNT_L00__Column_TC2">#REF!</definedName>
    <definedName name="COUNT_L00__Column_TC3">#REF!</definedName>
    <definedName name="COUNT_L00__Column_TC4">#REF!</definedName>
    <definedName name="COUNT_L00__Column_TC5">#REF!</definedName>
    <definedName name="COUNT_L01__Column_C10">#REF!</definedName>
    <definedName name="COUNT_L01__Column_C6">#REF!</definedName>
    <definedName name="COUNT_L01__Column_C7">#REF!</definedName>
    <definedName name="COUNT_L01__Column_TC1">#REF!</definedName>
    <definedName name="COUNT_L01__Column_TC2">#REF!</definedName>
    <definedName name="COUNT_L01__Column_TC3">#REF!</definedName>
    <definedName name="COUNT_L01__Column_TC4">#REF!</definedName>
    <definedName name="COUNT_L01__Column_TC5">#REF!</definedName>
    <definedName name="COUNT_L02__Column_TC1">#REF!</definedName>
    <definedName name="COUNT_L02__Column_TC2">#REF!</definedName>
    <definedName name="COUNT_L02__Column_TC3">#REF!</definedName>
    <definedName name="COUNT_L02__Column_TC4">#REF!</definedName>
    <definedName name="COUNT_L02__Column_TC5">#REF!</definedName>
    <definedName name="COUNT_L02_to_L03__CORE_Typical">#REF!</definedName>
    <definedName name="COUNT_L03_to_L05__CORE_TYPICAL">#REF!</definedName>
    <definedName name="COUNT_L03_to_L05__Opening">#REF!</definedName>
    <definedName name="COUNT_L05_to_L14__CORE_Typical">#REF!</definedName>
    <definedName name="COUNT_L1__TW1_250">#REF!</definedName>
    <definedName name="COUNT_L1__TW2_200">#REF!</definedName>
    <definedName name="COUNT_L1__TW3_300">#REF!</definedName>
    <definedName name="COUNT_L1__TW4_600">#REF!</definedName>
    <definedName name="COUNT_L1__TW5_300">#REF!</definedName>
    <definedName name="COUNT_L1_Beams">#REF!</definedName>
    <definedName name="COUNT_L1_DP">#REF!</definedName>
    <definedName name="COUNT_L1_DP1_3000x3000x350">#REF!</definedName>
    <definedName name="COUNT_L1_DP11_3250x1750x350">#REF!</definedName>
    <definedName name="COUNT_L1_DP13_3250x1750x600">#REF!</definedName>
    <definedName name="COUNT_L1_DP14_3000x3000x600">#REF!</definedName>
    <definedName name="COUNT_L1_DP15_3500x3500x600">#REF!</definedName>
    <definedName name="COUNT_L1_DP3_3500x1900x350">#REF!</definedName>
    <definedName name="COUNT_L1_DP4_3500x3500x400">#REF!</definedName>
    <definedName name="COUNT_L1_DP8_8000x5500x600">#REF!</definedName>
    <definedName name="COUNT_L1_Slab_200">#REF!</definedName>
    <definedName name="COUNT_L1_Slab_240">#REF!</definedName>
    <definedName name="COUNT_L1_Slab_280">#REF!</definedName>
    <definedName name="COUNT_L1_Slab_360">#REF!</definedName>
    <definedName name="COUNT_L14__COMFLOR_100">#REF!</definedName>
    <definedName name="COUNT_L14__CONC_SLAB">#REF!</definedName>
    <definedName name="COUNT_L14__RC_CORE_VOIDS">#REF!</definedName>
    <definedName name="COUNT_L15__COMFLOR_100">#REF!</definedName>
    <definedName name="COUNT_L15__HEA_320">#REF!</definedName>
    <definedName name="COUNT_L15__HEB_160">#REF!</definedName>
    <definedName name="COUNT_L15__HEM_180">#REF!</definedName>
    <definedName name="COUNT_L15__RHS_400x200x16">#REF!</definedName>
    <definedName name="COUNT_L15__TW1_250">#REF!</definedName>
    <definedName name="COUNT_L15__TW2_200">#REF!</definedName>
    <definedName name="COUNT_L15__TW3_300">#REF!</definedName>
    <definedName name="COUNT_L15__TW4_600">#REF!</definedName>
    <definedName name="COUNT_L15__TW5_300">#REF!</definedName>
    <definedName name="COUNT_L15_Beams">#REF!</definedName>
    <definedName name="COUNT_L15_Slab_250">#REF!</definedName>
    <definedName name="COUNT_L15_Slab_400">#REF!</definedName>
    <definedName name="COUNT_L15_to_L16__CONC_SLAB">#REF!</definedName>
    <definedName name="COUNT_L16__COMFLOR_100">#REF!</definedName>
    <definedName name="COUNT_L16__HEA_320">#REF!</definedName>
    <definedName name="COUNT_L16__HEB_160">#REF!</definedName>
    <definedName name="COUNT_L16__HEM_180">#REF!</definedName>
    <definedName name="COUNT_L16__RHS_400x200x16">#REF!</definedName>
    <definedName name="COUNT_L16__TW1_250">#REF!</definedName>
    <definedName name="COUNT_L16__TW2_200">#REF!</definedName>
    <definedName name="COUNT_L16__TW3_300">#REF!</definedName>
    <definedName name="COUNT_L16__TW4_600">#REF!</definedName>
    <definedName name="COUNT_L16_Beams">#REF!</definedName>
    <definedName name="COUNT_L16_Slab_200">#REF!</definedName>
    <definedName name="COUNT_L16_Slab_240">#REF!</definedName>
    <definedName name="COUNT_L16_Slab_280">#REF!</definedName>
    <definedName name="COUNT_L17__COMFLOR_100">#REF!</definedName>
    <definedName name="COUNT_L17__HEA_320">#REF!</definedName>
    <definedName name="COUNT_L17__HEB_160">#REF!</definedName>
    <definedName name="COUNT_L17__HEM_180">#REF!</definedName>
    <definedName name="COUNT_L17__RHS_400x200x16">#REF!</definedName>
    <definedName name="COUNT_L17__TW1_250">#REF!</definedName>
    <definedName name="COUNT_L17__TW2_200">#REF!</definedName>
    <definedName name="COUNT_L17__TW3_300">#REF!</definedName>
    <definedName name="COUNT_L17__TW4_600">#REF!</definedName>
    <definedName name="COUNT_L17_Beams">#REF!</definedName>
    <definedName name="COUNT_L17_Slab_200">#REF!</definedName>
    <definedName name="COUNT_L17_Slab_240">#REF!</definedName>
    <definedName name="COUNT_L17_Slab_280">#REF!</definedName>
    <definedName name="COUNT_L17_to_L35__CONC_SLAB">#REF!</definedName>
    <definedName name="COUNT_L18__COMFLOR_100">#REF!</definedName>
    <definedName name="COUNT_L18__HEA_320">#REF!</definedName>
    <definedName name="COUNT_L18__HEB_160">#REF!</definedName>
    <definedName name="COUNT_L18__HEM_180">#REF!</definedName>
    <definedName name="COUNT_L18__RC_CORE_VOIDS">#REF!</definedName>
    <definedName name="COUNT_L18__RHS_400x200x16">#REF!</definedName>
    <definedName name="COUNT_L19__COMFLOR_100">#REF!</definedName>
    <definedName name="COUNT_L19__HEA_320">#REF!</definedName>
    <definedName name="COUNT_L19__HEB_160">#REF!</definedName>
    <definedName name="COUNT_L19__HEM_180">#REF!</definedName>
    <definedName name="COUNT_L19__RHS_400x200x16">#REF!</definedName>
    <definedName name="COUNT_L2___1000x1500mm">#REF!</definedName>
    <definedName name="COUNT_L2___1000x1500mm_curved">#REF!</definedName>
    <definedName name="COUNT_L2___1200x1200x1500mm">#REF!</definedName>
    <definedName name="COUNT_L2___1200x1500mm">#REF!</definedName>
    <definedName name="COUNT_L2___1200x3000x1500mm">#REF!</definedName>
    <definedName name="COUNT_L2___1500x1500x1500mm">#REF!</definedName>
    <definedName name="COUNT_L2___1800x1800x1500mm">#REF!</definedName>
    <definedName name="COUNT_L2___1800x4500x1500mm">#REF!</definedName>
    <definedName name="COUNT_L2___400mm_raft_slab">#REF!</definedName>
    <definedName name="COUNT_L2___400mm_Retaining_wall">#REF!</definedName>
    <definedName name="COUNT_L2___400mm_Retaining_wall_curved">#REF!</definedName>
    <definedName name="COUNT_L2___400x1500mm">#REF!</definedName>
    <definedName name="COUNT_L2___500mm_Retaining_wall">#REF!</definedName>
    <definedName name="COUNT_L2___500mm_Retaining_wall_curved">#REF!</definedName>
    <definedName name="COUNT_L2___600mm_diameter">#REF!</definedName>
    <definedName name="COUNT_L2___750mm_diameter">#REF!</definedName>
    <definedName name="COUNT_L2___800x1500mm">#REF!</definedName>
    <definedName name="COUNT_L2___900mm_diameter">#REF!</definedName>
    <definedName name="COUNT_L2___Pilecaps">#REF!</definedName>
    <definedName name="COUNT_L2__Column__550dia__assumed_size_as_per_plan_">#REF!</definedName>
    <definedName name="COUNT_L2__TW1_250">#REF!</definedName>
    <definedName name="COUNT_L2__TW2_200">#REF!</definedName>
    <definedName name="COUNT_L2__TW3_300">#REF!</definedName>
    <definedName name="COUNT_L2__TW4_600">#REF!</definedName>
    <definedName name="COUNT_L2__TW5_300">#REF!</definedName>
    <definedName name="COUNT_L2__Wall__250__assumed_">#REF!</definedName>
    <definedName name="COUNT_L2__Wall__250_curved__assumed_">#REF!</definedName>
    <definedName name="COUNT_L2_Beams">#REF!</definedName>
    <definedName name="COUNT_L2_Slab_200">#REF!</definedName>
    <definedName name="COUNT_L2_Slab_240">#REF!</definedName>
    <definedName name="COUNT_L2_Slab_280">#REF!</definedName>
    <definedName name="COUNT_L20__COMFLOR_100">#REF!</definedName>
    <definedName name="COUNT_L20__HEA_320">#REF!</definedName>
    <definedName name="COUNT_L20__HEB_160">#REF!</definedName>
    <definedName name="COUNT_L20__HEM_180">#REF!</definedName>
    <definedName name="COUNT_L20__RHS_400x400x16">#REF!</definedName>
    <definedName name="COUNT_L21__COMFLOR_100">#REF!</definedName>
    <definedName name="COUNT_L21__HEA_320">#REF!</definedName>
    <definedName name="COUNT_L21__HEB_160">#REF!</definedName>
    <definedName name="COUNT_L21__HEM_180">#REF!</definedName>
    <definedName name="COUNT_L21__RHS_400x400x16">#REF!</definedName>
    <definedName name="COUNT_L22__COMFLOR_100">#REF!</definedName>
    <definedName name="COUNT_L22__HEA_320">#REF!</definedName>
    <definedName name="COUNT_L22__HEB_160">#REF!</definedName>
    <definedName name="COUNT_L22__HEM_180">#REF!</definedName>
    <definedName name="COUNT_L22__RHS_400x400x16">#REF!</definedName>
    <definedName name="COUNT_L23__COMFLOR_100">#REF!</definedName>
    <definedName name="COUNT_L23__HEA_320">#REF!</definedName>
    <definedName name="COUNT_L23__HEB_160">#REF!</definedName>
    <definedName name="COUNT_L23__HEM_180">#REF!</definedName>
    <definedName name="COUNT_L23__RHS_400x400x16">#REF!</definedName>
    <definedName name="COUNT_L24__COMFLOR_100">#REF!</definedName>
    <definedName name="COUNT_L24__HEA_320">#REF!</definedName>
    <definedName name="COUNT_L24__HEB_160">#REF!</definedName>
    <definedName name="COUNT_L24__HEM_180">#REF!</definedName>
    <definedName name="COUNT_L24__RHS_400x400x16">#REF!</definedName>
    <definedName name="COUNT_L25__COMFLOR_100">#REF!</definedName>
    <definedName name="COUNT_L25__HEA_320">#REF!</definedName>
    <definedName name="COUNT_L25__HEB_160">#REF!</definedName>
    <definedName name="COUNT_L25__HEM_180">#REF!</definedName>
    <definedName name="COUNT_L25__RHS_400x200x16">#REF!</definedName>
    <definedName name="COUNT_L26__COMFLOR_100">#REF!</definedName>
    <definedName name="COUNT_L26__HEA_320">#REF!</definedName>
    <definedName name="COUNT_L26__HEB_160">#REF!</definedName>
    <definedName name="COUNT_L26__HEM_180">#REF!</definedName>
    <definedName name="COUNT_L26__RC_CORE_VOIDS">#REF!</definedName>
    <definedName name="COUNT_L26__RHS_400x200x16">#REF!</definedName>
    <definedName name="COUNT_L27__COMFLOR_100">#REF!</definedName>
    <definedName name="COUNT_L27__HEA_320">#REF!</definedName>
    <definedName name="COUNT_L27__HEB_160">#REF!</definedName>
    <definedName name="COUNT_L27__HEM_180">#REF!</definedName>
    <definedName name="COUNT_L27__RHS_400x200x16">#REF!</definedName>
    <definedName name="COUNT_L28__COMFLOR_100">#REF!</definedName>
    <definedName name="COUNT_L28__HEA_320">#REF!</definedName>
    <definedName name="COUNT_L28__HEB_160">#REF!</definedName>
    <definedName name="COUNT_L28__HEM_180">#REF!</definedName>
    <definedName name="COUNT_L28__rHS_400x200x16">#REF!</definedName>
    <definedName name="COUNT_L29__COMFLOR_100">#REF!</definedName>
    <definedName name="COUNT_L29__HEA_320">#REF!</definedName>
    <definedName name="COUNT_L29__HEB_160">#REF!</definedName>
    <definedName name="COUNT_L29__HEM_180">#REF!</definedName>
    <definedName name="COUNT_L29__RHS_400x200x16">#REF!</definedName>
    <definedName name="COUNT_L3___1000x1500mm">#REF!</definedName>
    <definedName name="COUNT_L3___1200x1200x1500mm">#REF!</definedName>
    <definedName name="COUNT_L3___1200x3000x1500mm">#REF!</definedName>
    <definedName name="COUNT_L3___1500x1500mm">#REF!</definedName>
    <definedName name="COUNT_L3___1500x3000x1500mm">#REF!</definedName>
    <definedName name="COUNT_L3___1800x1800x1500mm">#REF!</definedName>
    <definedName name="COUNT_L3___1800x4500x1500mm">#REF!</definedName>
    <definedName name="COUNT_L3___400mm_Retaining_wall">#REF!</definedName>
    <definedName name="COUNT_L3___400mm_Retaining_wall_curved">#REF!</definedName>
    <definedName name="COUNT_L3___500mm_thick_W3_curved">#REF!</definedName>
    <definedName name="COUNT_L3___600mm_diameter">#REF!</definedName>
    <definedName name="COUNT_L3___650mm_thick_W4_curved">#REF!</definedName>
    <definedName name="COUNT_L3___700x1500mm">#REF!</definedName>
    <definedName name="COUNT_L3___700x1500mm_curved">#REF!</definedName>
    <definedName name="COUNT_L3___800x1500mm">#REF!</definedName>
    <definedName name="COUNT_L3___800x1500mm_curved">#REF!</definedName>
    <definedName name="COUNT_L3___900mm_diameter">#REF!</definedName>
    <definedName name="COUNT_L3___Pilecaps">#REF!</definedName>
    <definedName name="COUNT_L3__Beam__1000x800__assumed_">#REF!</definedName>
    <definedName name="COUNT_L3__Beam__1100x800__assumed_">#REF!</definedName>
    <definedName name="COUNT_L3__Beam__1300x800__assumed_">#REF!</definedName>
    <definedName name="COUNT_L3__Beam__700x800__assumed_">#REF!</definedName>
    <definedName name="COUNT_L3__Beam__800x800__assumed_">#REF!</definedName>
    <definedName name="COUNT_L3__C1__800x800">#REF!</definedName>
    <definedName name="COUNT_L3__C10__400x1000">#REF!</definedName>
    <definedName name="COUNT_L3__C2__600x1200__assumed_size_as_per_plan_">#REF!</definedName>
    <definedName name="COUNT_L3__C2__800x800">#REF!</definedName>
    <definedName name="COUNT_L3__C3__800dia">#REF!</definedName>
    <definedName name="COUNT_L3__C4__600x600">#REF!</definedName>
    <definedName name="COUNT_L3__C5__400x400">#REF!</definedName>
    <definedName name="COUNT_L3__C6__600x1200">#REF!</definedName>
    <definedName name="COUNT_L3__C7__600x800">#REF!</definedName>
    <definedName name="COUNT_L3__C8__550dia">#REF!</definedName>
    <definedName name="COUNT_L3__C9__600dia">#REF!</definedName>
    <definedName name="COUNT_L3__Column_Head__3000x3000x400">#REF!</definedName>
    <definedName name="COUNT_L3__TW1_250">#REF!</definedName>
    <definedName name="COUNT_L3__TW2_200">#REF!</definedName>
    <definedName name="COUNT_L3__TW3_300">#REF!</definedName>
    <definedName name="COUNT_L3__TW4_600">#REF!</definedName>
    <definedName name="COUNT_L3__TW5_300">#REF!</definedName>
    <definedName name="COUNT_L3__W1__250">#REF!</definedName>
    <definedName name="COUNT_L3__W1__250_curved">#REF!</definedName>
    <definedName name="COUNT_L3_Beams">#REF!</definedName>
    <definedName name="COUNT_L3_Slab_200">#REF!</definedName>
    <definedName name="COUNT_L3_Slab_240">#REF!</definedName>
    <definedName name="COUNT_L3_Slab_280">#REF!</definedName>
    <definedName name="COUNT_L30__COMFLOR_100">#REF!</definedName>
    <definedName name="COUNT_L30__HEA_320">#REF!</definedName>
    <definedName name="COUNT_L30__HEB_160">#REF!</definedName>
    <definedName name="COUNT_L30__HEM_180">#REF!</definedName>
    <definedName name="COUNT_L30__RHS_400x200x16">#REF!</definedName>
    <definedName name="COUNT_L30__TW1_250">#REF!</definedName>
    <definedName name="COUNT_L30__TW2_200">#REF!</definedName>
    <definedName name="COUNT_L30__TW3_300">#REF!</definedName>
    <definedName name="COUNT_L30__TW4_600">#REF!</definedName>
    <definedName name="COUNT_L30_Beams">#REF!</definedName>
    <definedName name="COUNT_L30_Slab_200">#REF!</definedName>
    <definedName name="COUNT_L30_Slab_240">#REF!</definedName>
    <definedName name="COUNT_L30_Slab_280">#REF!</definedName>
    <definedName name="COUNT_L31__COMFLOR_100">#REF!</definedName>
    <definedName name="COUNT_L31__HEA_320">#REF!</definedName>
    <definedName name="COUNT_L31__HEB_160">#REF!</definedName>
    <definedName name="COUNT_L31__HEM_180">#REF!</definedName>
    <definedName name="COUNT_L31__RHS_400x200x16">#REF!</definedName>
    <definedName name="COUNT_L31__TW1_250">#REF!</definedName>
    <definedName name="COUNT_L31__TW2_200">#REF!</definedName>
    <definedName name="COUNT_L31__TW3_300">#REF!</definedName>
    <definedName name="COUNT_L31__TW4_600">#REF!</definedName>
    <definedName name="COUNT_L31__TW5_300">#REF!</definedName>
    <definedName name="COUNT_L31_Beams">#REF!</definedName>
    <definedName name="COUNT_L31_Slab_200">#REF!</definedName>
    <definedName name="COUNT_L31_Slab_240">#REF!</definedName>
    <definedName name="COUNT_L31_Slab_280">#REF!</definedName>
    <definedName name="COUNT_L32__RC_SLAB_500mm_THICK">#REF!</definedName>
    <definedName name="COUNT_L33__COMFLOR_100">#REF!</definedName>
    <definedName name="COUNT_L33__HEA_320">#REF!</definedName>
    <definedName name="COUNT_L33__HEB_160">#REF!</definedName>
    <definedName name="COUNT_L33__HEM_180">#REF!</definedName>
    <definedName name="COUNT_L33__RHS_400x200x16">#REF!</definedName>
    <definedName name="COUNT_L34__COMFLOR_100">#REF!</definedName>
    <definedName name="COUNT_L34__HEA_320">#REF!</definedName>
    <definedName name="COUNT_L34__HEB_160">#REF!</definedName>
    <definedName name="COUNT_L34__HEM_180">#REF!</definedName>
    <definedName name="COUNT_L34__RHS_400x200x16">#REF!</definedName>
    <definedName name="COUNT_L35__COMFLOR_100">#REF!</definedName>
    <definedName name="COUNT_L35__HEA_320">#REF!</definedName>
    <definedName name="COUNT_L35__HEB_160">#REF!</definedName>
    <definedName name="COUNT_L35__HEM_180">#REF!</definedName>
    <definedName name="COUNT_L35__RHS_400x200x16">#REF!</definedName>
    <definedName name="COUNT_L36__COMFLOR_100">#REF!</definedName>
    <definedName name="COUNT_L36__CONC_SLAB">#REF!</definedName>
    <definedName name="COUNT_L36__HEA_320">#REF!</definedName>
    <definedName name="COUNT_L36__HEB_160">#REF!</definedName>
    <definedName name="COUNT_L36__HEM_180">#REF!</definedName>
    <definedName name="COUNT_L36__RHS_400x200x16">#REF!</definedName>
    <definedName name="COUNT_L36__TW1_250">#REF!</definedName>
    <definedName name="COUNT_L36__TW2_200">#REF!</definedName>
    <definedName name="COUNT_L36__TW3_300">#REF!</definedName>
    <definedName name="COUNT_L36__TW5_300">#REF!</definedName>
    <definedName name="COUNT_L36_Beams">#REF!</definedName>
    <definedName name="COUNT_L36_Slab_200">#REF!</definedName>
    <definedName name="COUNT_L36_Slab_240">#REF!</definedName>
    <definedName name="COUNT_L36_Slab_280">#REF!</definedName>
    <definedName name="COUNT_L36_Slab_500">#REF!</definedName>
    <definedName name="COUNT_L37__COMFLOR_100">#REF!</definedName>
    <definedName name="COUNT_L37__HEA_320">#REF!</definedName>
    <definedName name="COUNT_L37__HEB_160">#REF!</definedName>
    <definedName name="COUNT_L37__HEM_180">#REF!</definedName>
    <definedName name="COUNT_L37__RHS_400x200x16">#REF!</definedName>
    <definedName name="COUNT_L37__TW1_250">#REF!</definedName>
    <definedName name="COUNT_L37__TW2_200">#REF!</definedName>
    <definedName name="COUNT_L37__TW3_300">#REF!</definedName>
    <definedName name="COUNT_L37__TW5_300">#REF!</definedName>
    <definedName name="COUNT_L37_Beams">#REF!</definedName>
    <definedName name="COUNT_L37_Slab_200">#REF!</definedName>
    <definedName name="COUNT_L37_Slab_350">#REF!</definedName>
    <definedName name="COUNT_L38__Bracing_Elemnt_Passing_Lift_Over_Run">#REF!</definedName>
    <definedName name="COUNT_L38__COMFLOR_100">#REF!</definedName>
    <definedName name="COUNT_L38__HEA_320">#REF!</definedName>
    <definedName name="COUNT_L38__HEB_160">#REF!</definedName>
    <definedName name="COUNT_L38__HEM_180">#REF!</definedName>
    <definedName name="COUNT_L38__RHS_400x200x16">#REF!</definedName>
    <definedName name="COUNT_L38__TW1_250">#REF!</definedName>
    <definedName name="COUNT_L38__TW2_200">#REF!</definedName>
    <definedName name="COUNT_L38__TW3_300">#REF!</definedName>
    <definedName name="COUNT_L38__TW5_300">#REF!</definedName>
    <definedName name="COUNT_L38_Beams">#REF!</definedName>
    <definedName name="COUNT_L38_Slab_200">#REF!</definedName>
    <definedName name="COUNT_L38_Slab_350">#REF!</definedName>
    <definedName name="COUNT_L39__2nd_Layer__HEA_320">#REF!</definedName>
    <definedName name="COUNT_L39__2nd_Layer__HEB_160">#REF!</definedName>
    <definedName name="COUNT_L39__2nd_Layer__HEM_180">#REF!</definedName>
    <definedName name="COUNT_L39__2nd_Layer__RHS_400x200x16">#REF!</definedName>
    <definedName name="COUNT_L39__Bracing_Elemnt_Passing_Lift_Over_Run">#REF!</definedName>
    <definedName name="COUNT_L39__COMFLOR_100">#REF!</definedName>
    <definedName name="COUNT_L39__HEA_320">#REF!</definedName>
    <definedName name="COUNT_L39__HEB_160">#REF!</definedName>
    <definedName name="COUNT_L39__HEM_180">#REF!</definedName>
    <definedName name="COUNT_L39__RHS_400x200x16">#REF!</definedName>
    <definedName name="COUNT_L4___1000x1500mm_curved">#REF!</definedName>
    <definedName name="COUNT_L4___1500x1500x1500mm">#REF!</definedName>
    <definedName name="COUNT_L4___600mm_diameter">#REF!</definedName>
    <definedName name="COUNT_L4___750mm_diameter">#REF!</definedName>
    <definedName name="COUNT_L4___800x1500mm">#REF!</definedName>
    <definedName name="COUNT_L4___800x1500mm_curved">#REF!</definedName>
    <definedName name="COUNT_L4__B1__800x600">#REF!</definedName>
    <definedName name="COUNT_L4__B1__800x600_curved">#REF!</definedName>
    <definedName name="COUNT_L4__B2__800x1000">#REF!</definedName>
    <definedName name="COUNT_L4__B2__800x1000_curved">#REF!</definedName>
    <definedName name="COUNT_L4__B3__800x1300">#REF!</definedName>
    <definedName name="COUNT_L4__B3__800x1300_curved">#REF!</definedName>
    <definedName name="COUNT_L4__B4__1500x1600_curved">#REF!</definedName>
    <definedName name="COUNT_L4__Beam__300x600__assumed_">#REF!</definedName>
    <definedName name="COUNT_L4__C3__800dia">#REF!</definedName>
    <definedName name="COUNT_L4__C6__550dia__assumed_size_as_per_plan_">#REF!</definedName>
    <definedName name="COUNT_L4__C9__600dia">#REF!</definedName>
    <definedName name="COUNT_L4__Column_Head__4000x4000x400">#REF!</definedName>
    <definedName name="COUNT_L4__W1__250">#REF!</definedName>
    <definedName name="COUNT_L4__W1__250_curved">#REF!</definedName>
    <definedName name="COUNT_L4__W2__350">#REF!</definedName>
    <definedName name="COUNT_L4__W2__350_curved">#REF!</definedName>
    <definedName name="COUNT_L40__2nd_Layer__RHS_400x200x16">#REF!</definedName>
    <definedName name="COUNT_L40__Bracing_Elemnt_Passing_Lift_Over_Run">#REF!</definedName>
    <definedName name="COUNT_L40__COMFLOR_100">#REF!</definedName>
    <definedName name="COUNT_L40__HEB_320">#REF!</definedName>
    <definedName name="COUNT_L40__RHS_400x200x16">#REF!</definedName>
    <definedName name="COUNT_L40__RHS_450x450x25">#REF!</definedName>
    <definedName name="COUNT_L40__RHS_500x300x20">#REF!</definedName>
    <definedName name="COUNT_L40__Trussing_spanning_column_restrai">#REF!</definedName>
    <definedName name="COUNT_L41__2nd_Layer__RHS_400x200x16">#REF!</definedName>
    <definedName name="COUNT_L41__Bracing_Elemnt_Passing_Lift_Over_Run">#REF!</definedName>
    <definedName name="COUNT_L41__COMFLOR_100">#REF!</definedName>
    <definedName name="COUNT_L41__Flying_Strut">#REF!</definedName>
    <definedName name="COUNT_L41__HEB_320">#REF!</definedName>
    <definedName name="COUNT_L41__RHS_400x200x16">#REF!</definedName>
    <definedName name="COUNT_L41__RHS_450x450x25">#REF!</definedName>
    <definedName name="COUNT_L41__RHS_500x300x20">#REF!</definedName>
    <definedName name="COUNT_L42__2nd_Layer__RHS_400x200x16">#REF!</definedName>
    <definedName name="COUNT_L42__COMFLOR_100">#REF!</definedName>
    <definedName name="COUNT_L42__HEB_320">#REF!</definedName>
    <definedName name="COUNT_L42__RHS_400x420x16">#REF!</definedName>
    <definedName name="COUNT_L42__RHS_450x450x25">#REF!</definedName>
    <definedName name="COUNT_L42__RHS_500x300x20">#REF!</definedName>
    <definedName name="COUNT_L43__COMFLOR_100">#REF!</definedName>
    <definedName name="COUNT_L43__HE_320">#REF!</definedName>
    <definedName name="COUNT_L44__COMFLOR_100">#REF!</definedName>
    <definedName name="COUNT_L44__HEA_320">#REF!</definedName>
    <definedName name="COUNT_L45__COMFLOR_100">#REF!</definedName>
    <definedName name="COUNT_L46__COMFLOR_100">#REF!</definedName>
    <definedName name="COUNT_L47__COMFLOR_100">#REF!</definedName>
    <definedName name="COUNT_L48__RC_SLAB_350mm_THICK">#REF!</definedName>
    <definedName name="COUNT_L49__COMFLOR_100">#REF!</definedName>
    <definedName name="COUNT_L49__HEB_260">#REF!</definedName>
    <definedName name="COUNT_L5___Slab_on_grade">#REF!</definedName>
    <definedName name="COUNT_L5__B1__500x1300_curved">#REF!</definedName>
    <definedName name="COUNT_L5__B2__800x1300">#REF!</definedName>
    <definedName name="COUNT_L5__B2__800x1300_curved">#REF!</definedName>
    <definedName name="COUNT_L5__B3__800x1100">#REF!</definedName>
    <definedName name="COUNT_L5__B3__800x1100_curved">#REF!</definedName>
    <definedName name="COUNT_L5__B4__800x1600">#REF!</definedName>
    <definedName name="COUNT_L5__B5__400x800">#REF!</definedName>
    <definedName name="COUNT_L5__B6__600x1250">#REF!</definedName>
    <definedName name="COUNT_L5__B6__600x1250_curved">#REF!</definedName>
    <definedName name="COUNT_L5__B7__800x1250">#REF!</definedName>
    <definedName name="COUNT_L5__B7__800x1250_curved">#REF!</definedName>
    <definedName name="COUNT_L5__B8__1400x1250_curved">#REF!</definedName>
    <definedName name="COUNT_L5__B9__1800x1250">#REF!</definedName>
    <definedName name="COUNT_L5__B9__1800x1250_curved">#REF!</definedName>
    <definedName name="COUNT_L5__Beam__800x1600_curved__assumed_">#REF!</definedName>
    <definedName name="COUNT_L50__COMFLOR_100">#REF!</definedName>
    <definedName name="COUNT_L50__HEB_260">#REF!</definedName>
    <definedName name="COUNT_L51__COMFLOR_100">#REF!</definedName>
    <definedName name="COUNT_Land_Area">#REF!</definedName>
    <definedName name="COUNT_Lettable_Area__lvl_3_">#REF!</definedName>
    <definedName name="COUNT_Lettable_areas__lvl_2_">#REF!</definedName>
    <definedName name="COUNT_Level_3_balcony_handrails">#REF!</definedName>
    <definedName name="COUNT_Lift_voids__GF_">#REF!</definedName>
    <definedName name="COUNT_Lift_voids__lvl_1_">#REF!</definedName>
    <definedName name="COUNT_Lift_voids__lvl_2_">#REF!</definedName>
    <definedName name="COUNT_Lift_voids__lvl_3_">#REF!</definedName>
    <definedName name="COUNT_Lift_voids__Podium_1_">#REF!</definedName>
    <definedName name="COUNT_Lift_Voids__Podium_2_">#REF!</definedName>
    <definedName name="COUNT_Lift_voids__Roof_">#REF!</definedName>
    <definedName name="COUNT_Louver_1A">#REF!</definedName>
    <definedName name="COUNT_lvl_1__BOH_">#REF!</definedName>
    <definedName name="COUNT_lvl_1__Car_Park_">#REF!</definedName>
    <definedName name="COUNT_lvl_1__Externals_">#REF!</definedName>
    <definedName name="COUNT_lvl_1__FOH_Areas_">#REF!</definedName>
    <definedName name="COUNT_lvl_1__FOH_Circulation_">#REF!</definedName>
    <definedName name="COUNT_lvl_1__GFA_">#REF!</definedName>
    <definedName name="COUNT_lvl_1__GIFA_">#REF!</definedName>
    <definedName name="COUNT_lvl_1__offices_">#REF!</definedName>
    <definedName name="COUNT_lvl_1__Stairs_">#REF!</definedName>
    <definedName name="COUNT_lvl_1__vertical_storage_">#REF!</definedName>
    <definedName name="COUNT_lvl_1__Voids_">#REF!</definedName>
    <definedName name="COUNT_lvl_1__WCs_">#REF!</definedName>
    <definedName name="COUNT_lvl_1_BOH">#REF!</definedName>
    <definedName name="COUNT_lvl_1_Doors_Internal_Double__FOH_">#REF!</definedName>
    <definedName name="COUNT_lvl_1_Doors_Internal_Single__BOH_">#REF!</definedName>
    <definedName name="COUNT_lvl_1_Doors_Internal_Single__FOH_">#REF!</definedName>
    <definedName name="COUNT_lvl_1_External_Double_door__FOH_">#REF!</definedName>
    <definedName name="COUNT_lvl_1_External_double_doors__FOH_">#REF!</definedName>
    <definedName name="COUNT_lvl_1_FOH">#REF!</definedName>
    <definedName name="COUNT_lvl_1_GFA">#REF!</definedName>
    <definedName name="COUNT_lvl_1_GIFA">#REF!</definedName>
    <definedName name="COUNT_lvl_1_Internal_Double_doors__BOH_">#REF!</definedName>
    <definedName name="COUNT_lvl_1_Internal_double_doors__FOH_">#REF!</definedName>
    <definedName name="COUNT_lvl_1_Internal_single_doors__BOH_">#REF!</definedName>
    <definedName name="COUNT_lvl_1_Internal_single_doors__FOH_">#REF!</definedName>
    <definedName name="COUNT_lvl_1_Internal_single_doors__Stairs_">#REF!</definedName>
    <definedName name="COUNT_lvl_1_Offices">#REF!</definedName>
    <definedName name="COUNT_lvl_1_Stairs">#REF!</definedName>
    <definedName name="COUNT_lvl_1_Store">#REF!</definedName>
    <definedName name="COUNT_lvl_1_Voids">#REF!</definedName>
    <definedName name="COUNT_lvl_2__Apartments_">#REF!</definedName>
    <definedName name="COUNT_lvl_2__BOH_">#REF!</definedName>
    <definedName name="COUNT_lvl_2__FOH_Circulation_">#REF!</definedName>
    <definedName name="COUNT_lvl_2__GFA_">#REF!</definedName>
    <definedName name="COUNT_lvl_2__GIFA_">#REF!</definedName>
    <definedName name="COUNT_lvl_2__Stairs_">#REF!</definedName>
    <definedName name="COUNT_lvl_2__Voids_">#REF!</definedName>
    <definedName name="COUNT_lvl_2_External_dble_doors__FOH_">#REF!</definedName>
    <definedName name="COUNT_lvl_2_Internal_dble_doors__Aprt_">#REF!</definedName>
    <definedName name="COUNT_lvl_2_Internal_double_doors__BOH_">#REF!</definedName>
    <definedName name="COUNT_lvl_2_Internal_Single_doors__Apartments_">#REF!</definedName>
    <definedName name="COUNT_lvl_2_Internal_Single_doors__Apartments_Entrances_">#REF!</definedName>
    <definedName name="COUNT_lvl_2_Internal_single_doors__Aprt_">#REF!</definedName>
    <definedName name="COUNT_lvl_2_Internal_single_doors__Aprt_Entrance_">#REF!</definedName>
    <definedName name="COUNT_lvl_2_Internal_Single_doors__BOH_">#REF!</definedName>
    <definedName name="COUNT_lvl_2_Internal_Sliding_doors__Apartments_">#REF!</definedName>
    <definedName name="COUNT_lvl_2_Internal_sliding_doors__Aprt_">#REF!</definedName>
    <definedName name="COUNT_lvl_3__Apartments_">#REF!</definedName>
    <definedName name="COUNT_lvl_3__BOH_">#REF!</definedName>
    <definedName name="COUNT_lvl_3__Car_Park_">#REF!</definedName>
    <definedName name="COUNT_lvl_3__FOH_Circulation_">#REF!</definedName>
    <definedName name="COUNT_lvl_3__GFA_">#REF!</definedName>
    <definedName name="COUNT_lvl_3__GIFA_">#REF!</definedName>
    <definedName name="COUNT_lvl_3__Stairs_">#REF!</definedName>
    <definedName name="COUNT_lvl_3__voids_">#REF!</definedName>
    <definedName name="COUNT_lvl_3_External_balcony_doors__Aprt_">#REF!</definedName>
    <definedName name="COUNT_lvl_3_Internal_dble_doors__Aprt_">#REF!</definedName>
    <definedName name="COUNT_lvl_3_Internal_Double_doors__BOH_">#REF!</definedName>
    <definedName name="COUNT_lvl_3_Internal_Single_doors__Apartment_">#REF!</definedName>
    <definedName name="COUNT_lvl_3_Internal_Single_doors__Apartment_entrances_">#REF!</definedName>
    <definedName name="COUNT_lvl_3_Internal_single_doors__Aprt_">#REF!</definedName>
    <definedName name="COUNT_lvl_3_Internal_single_doors__Aprt_entrance_">#REF!</definedName>
    <definedName name="COUNT_lvl_3_Internal_Single_doors__BOH_">#REF!</definedName>
    <definedName name="COUNT_lvl_3_Internal_Single_doors__FOH_">#REF!</definedName>
    <definedName name="COUNT_lvl_3_Internal_Sliding_doors__Apartment_">#REF!</definedName>
    <definedName name="COUNT_lvl_3_Internal_sliding_doors__Aprt_">#REF!</definedName>
    <definedName name="COUNT_lvl_5__BOH_">#REF!</definedName>
    <definedName name="COUNT_lvl_5__Externals_">#REF!</definedName>
    <definedName name="COUNT_lvl_5__GFA_">#REF!</definedName>
    <definedName name="COUNT_lvl_5__GIFA_">#REF!</definedName>
    <definedName name="COUNT_lvl_5__Stairs_">#REF!</definedName>
    <definedName name="COUNT_lvl_5__voids_">#REF!</definedName>
    <definedName name="COUNT_lvl_5_External_Single_Door__BOH_">#REF!</definedName>
    <definedName name="COUNT_lvl_6__BOH_">#REF!</definedName>
    <definedName name="COUNT_lvl_6__Externals_">#REF!</definedName>
    <definedName name="COUNT_lvl_6__FOH_amenities_">#REF!</definedName>
    <definedName name="COUNT_lvl_6__FOH_Circulation_">#REF!</definedName>
    <definedName name="COUNT_lvl_6__GFA_">#REF!</definedName>
    <definedName name="COUNT_lvl_6__GIFA_">#REF!</definedName>
    <definedName name="COUNT_lvl_6__Pool_">#REF!</definedName>
    <definedName name="COUNT_lvl_6__Roof___Pool_deck_">#REF!</definedName>
    <definedName name="COUNT_lvl_6__Stairs_">#REF!</definedName>
    <definedName name="COUNT_lvl_6__Voids_">#REF!</definedName>
    <definedName name="COUNT_lvl_6_External_double_doors__BOH_">#REF!</definedName>
    <definedName name="COUNT_lvl_6_External_double_doors__FOH_">#REF!</definedName>
    <definedName name="COUNT_lvl_6_External_single_doors__BOH_">#REF!</definedName>
    <definedName name="COUNT_lvl_6_Internal_Single_doors__BOH_">#REF!</definedName>
    <definedName name="COUNT_lvl_6_Internal_Single_doors__FOH_">#REF!</definedName>
    <definedName name="COUNT_M01__Column_C1">#REF!</definedName>
    <definedName name="COUNT_M01__Column_C10">#REF!</definedName>
    <definedName name="COUNT_M01__Column_C11">#REF!</definedName>
    <definedName name="COUNT_M01__Column_C12">#REF!</definedName>
    <definedName name="COUNT_M01__Column_C2">#REF!</definedName>
    <definedName name="COUNT_M01__Column_C3">#REF!</definedName>
    <definedName name="COUNT_M01__Column_C4">#REF!</definedName>
    <definedName name="COUNT_M01__Column_C5">#REF!</definedName>
    <definedName name="COUNT_M01__Column_C6">#REF!</definedName>
    <definedName name="COUNT_M01__Column_C7">#REF!</definedName>
    <definedName name="COUNT_M01__Column_C8">#REF!</definedName>
    <definedName name="COUNT_M01__Column_C9">#REF!</definedName>
    <definedName name="COUNT_M01__Column_FC1">#REF!</definedName>
    <definedName name="COUNT_M01__Column_TC1">#REF!</definedName>
    <definedName name="COUNT_M01__Column_TC2">#REF!</definedName>
    <definedName name="COUNT_M01__Column_TC3">#REF!</definedName>
    <definedName name="COUNT_M01__Column_TC4">#REF!</definedName>
    <definedName name="COUNT_M01__Column_TC5">#REF!</definedName>
    <definedName name="COUNT_M1__TW1_250">#REF!</definedName>
    <definedName name="COUNT_M1__TW2_200">#REF!</definedName>
    <definedName name="COUNT_M1__TW3_300">#REF!</definedName>
    <definedName name="COUNT_M1__TW3_400">#REF!</definedName>
    <definedName name="COUNT_M1__TW4_500">#REF!</definedName>
    <definedName name="COUNT_M1__TW4_600">#REF!</definedName>
    <definedName name="COUNT_M1__TW5_300">#REF!</definedName>
    <definedName name="COUNT_M1_Beams">#REF!</definedName>
    <definedName name="COUNT_M1_DP">#REF!</definedName>
    <definedName name="COUNT_M1_DP1">#REF!</definedName>
    <definedName name="COUNT_M1_DP10">#REF!</definedName>
    <definedName name="COUNT_M1_DP2">#REF!</definedName>
    <definedName name="COUNT_M1_DP3">#REF!</definedName>
    <definedName name="COUNT_M1_DP4">#REF!</definedName>
    <definedName name="COUNT_M1_DP7">#REF!</definedName>
    <definedName name="COUNT_M1_DP8">#REF!</definedName>
    <definedName name="COUNT_M1_DP9">#REF!</definedName>
    <definedName name="COUNT_M1_Ramp">#REF!</definedName>
    <definedName name="COUNT_M1_Slab_200">#REF!</definedName>
    <definedName name="COUNT_M1_Slab_220">#REF!</definedName>
    <definedName name="COUNT_M1_Slab_250">#REF!</definedName>
    <definedName name="COUNT_M1_Slab_280">#REF!</definedName>
    <definedName name="COUNT_Mezz">#REF!</definedName>
    <definedName name="COUNT_Mezzanine___BOH___Admin_Support">#REF!</definedName>
    <definedName name="COUNT_Mezzanine___BOH___Administration_Offices">#REF!</definedName>
    <definedName name="COUNT_Mezzanine___BOH___Administration_Offices_Toilet">#REF!</definedName>
    <definedName name="COUNT_Mezzanine___BOH___Conference___Meeting">#REF!</definedName>
    <definedName name="COUNT_Mezzanine___BOH___Event_Center_Core">#REF!</definedName>
    <definedName name="COUNT_Mezzanine___BOH___Event_Center_Core_lift_shafts">#REF!</definedName>
    <definedName name="COUNT_Mezzanine___BOH___Event_Center_Pantry___Service">#REF!</definedName>
    <definedName name="COUNT_Mezzanine___BOH___Event_Center_Service">#REF!</definedName>
    <definedName name="COUNT_Mezzanine___BOH___Finance___Accounting">#REF!</definedName>
    <definedName name="COUNT_Mezzanine___BOH___Fire_Escape_Stairs">#REF!</definedName>
    <definedName name="COUNT_Mezzanine___BOH___Guest_Core">#REF!</definedName>
    <definedName name="COUNT_Mezzanine___BOH___Guest_Core_lift_shafts">#REF!</definedName>
    <definedName name="COUNT_Mezzanine___BOH___Reservation___PABX">#REF!</definedName>
    <definedName name="COUNT_Mezzanine___BOH___Service_Core">#REF!</definedName>
    <definedName name="COUNT_Mezzanine___BOH___Service_Core_ducts">#REF!</definedName>
    <definedName name="COUNT_Mezzanine___BOH___Service_Core_lift_shafts">#REF!</definedName>
    <definedName name="COUNT_Mezzanine___BOH___Staff_Core">#REF!</definedName>
    <definedName name="COUNT_Mezzanine___BOH___Staff_Core_lift_shafts">#REF!</definedName>
    <definedName name="COUNT_Mezzanine___Double_Volume__Conference___Meeting_">#REF!</definedName>
    <definedName name="COUNT_Mezzanine___Double_Volume__Lobby_Bar_">#REF!</definedName>
    <definedName name="COUNT_Mezzanine___Double_Volume__Reception_Lobby_">#REF!</definedName>
    <definedName name="COUNT_Mezzanine___FOH___Ball_Room">#REF!</definedName>
    <definedName name="COUNT_Mezzanine___FOH___Ball_Room_Pre_Function">#REF!</definedName>
    <definedName name="COUNT_Mezzanine___FOH___Circulation">#REF!</definedName>
    <definedName name="COUNT_Mezzanine___FOH___Guestroom_Terrace">#REF!</definedName>
    <definedName name="COUNT_Mezzanine___FOH___Guestrooms">#REF!</definedName>
    <definedName name="COUNT_MF_Admin._Offices_area">#REF!</definedName>
    <definedName name="COUNT_MF_BOH_Service_and_Utility_area">#REF!</definedName>
    <definedName name="COUNT_MF_BOH_Staircase">#REF!</definedName>
    <definedName name="COUNT_MF_Circulation_Corr._to_Admin._Offices">#REF!</definedName>
    <definedName name="COUNT_MF_Guest_Core">#REF!</definedName>
    <definedName name="COUNT_MF_Guestrooms">#REF!</definedName>
    <definedName name="COUNT_MF_HGR_BOH">#REF!</definedName>
    <definedName name="COUNT_MF_HGR_Circulation">#REF!</definedName>
    <definedName name="COUNT_MF_HGR_Covered_Balcony">#REF!</definedName>
    <definedName name="COUNT_MF_HGR_Fire_Staircase">#REF!</definedName>
    <definedName name="COUNT_MF_Lift_Shaft">#REF!</definedName>
    <definedName name="COUNT_MF_Roof_of_MEP_area">#REF!</definedName>
    <definedName name="COUNT_MF_Services_Core">#REF!</definedName>
    <definedName name="COUNT_MF_Voids___Dead_space">#REF!</definedName>
    <definedName name="COUNT_Non_return_valve">#REF!</definedName>
    <definedName name="COUNT_Open_Terrace___2F">#REF!</definedName>
    <definedName name="COUNT_Open_Terrace___3F">#REF!</definedName>
    <definedName name="COUNT_Open_Terrace___4F">#REF!</definedName>
    <definedName name="COUNT_Parapet_capping">#REF!</definedName>
    <definedName name="COUNT_Parapet_capping_1CRF">#REF!</definedName>
    <definedName name="COUNT_Parapet_capping1BRF">#REF!</definedName>
    <definedName name="COUNT_Pedestrian_Access">#REF!</definedName>
    <definedName name="COUNT_PLATE___1F">#REF!</definedName>
    <definedName name="COUNT_PLATE___2F">#REF!</definedName>
    <definedName name="COUNT_PLATE___3F">#REF!</definedName>
    <definedName name="COUNT_PLATE___4F">#REF!</definedName>
    <definedName name="COUNT_PLATE___5F">#REF!</definedName>
    <definedName name="COUNT_PLATE___B1">#REF!</definedName>
    <definedName name="COUNT_PLATE___B2">#REF!</definedName>
    <definedName name="COUNT_PLATE___GF">#REF!</definedName>
    <definedName name="COUNT_PLATE___MF">#REF!</definedName>
    <definedName name="COUNT_Plot_Area">#REF!</definedName>
    <definedName name="COUNT_Pod_1_Internal_single_doors__BOH_">#REF!</definedName>
    <definedName name="COUNT_Pod_1_Internal_single_doors__FOH_">#REF!</definedName>
    <definedName name="COUNT_Pod_2___Internal_single_doors__BOH_">#REF!</definedName>
    <definedName name="COUNT_Pod_2___Internal_single_doors__FOH_">#REF!</definedName>
    <definedName name="COUNT_Pond">#REF!</definedName>
    <definedName name="COUNT_Public_Toilets__GF_">#REF!</definedName>
    <definedName name="COUNT_Raft___13800mm_thick_raft">#REF!</definedName>
    <definedName name="COUNT_Rainwater_Drain">#REF!</definedName>
    <definedName name="COUNT_Rainwater_Drain_GF">#REF!</definedName>
    <definedName name="COUNT_Rainwater_Drain_Pipe">#REF!</definedName>
    <definedName name="COUNT_RANGE">#N/A</definedName>
    <definedName name="COUNT_RF__Isolation_Valve" localSheetId="1">#REF!</definedName>
    <definedName name="COUNT_RF__Isolation_Valve">#REF!</definedName>
    <definedName name="COUNT_Roof__Canopies">#REF!</definedName>
    <definedName name="COUNT_Roof__Suspened_Roof">#REF!</definedName>
    <definedName name="COUNT_Roof_External_single_doors__FOH_">#REF!</definedName>
    <definedName name="COUNT_Roof_Internal_Single_doors__BOH_">#REF!</definedName>
    <definedName name="COUNT_Roof_Internal_single_doors__FOH_">#REF!</definedName>
    <definedName name="COUNT_Roof_Terrace___3F">#REF!</definedName>
    <definedName name="COUNT_Roof_Terrace___4F">#REF!</definedName>
    <definedName name="COUNT_Roof_Terrace___5F">#REF!</definedName>
    <definedName name="COUNT_RWO">#REF!</definedName>
    <definedName name="COUNT_Sellable">#REF!</definedName>
    <definedName name="COUNT_Shops__GF_">#REF!</definedName>
    <definedName name="COUNT_Stairs__GF_">#REF!</definedName>
    <definedName name="COUNT_Stairs__lvl_1_">#REF!</definedName>
    <definedName name="COUNT_Stairs__lvl_2_">#REF!</definedName>
    <definedName name="COUNT_Stairs__lvl_3_">#REF!</definedName>
    <definedName name="COUNT_Stairs__Podium_1_">#REF!</definedName>
    <definedName name="COUNT_Stairs__Podium_2_">#REF!</definedName>
    <definedName name="COUNT_Stairs__riser___Ceramic_floor_tile_ff05">#REF!</definedName>
    <definedName name="COUNT_Stairs__Risers_150mm___Ceramic_Floor_tile_FF05___Copy">#REF!</definedName>
    <definedName name="COUNT_stairs__Roof_">#REF!</definedName>
    <definedName name="COUNT_Stairs__Skirting">#REF!</definedName>
    <definedName name="COUNT_Stairs__step_200mm___Ceramic_Floor_tile_FF05">#REF!</definedName>
    <definedName name="COUNT_STRUT_RAFT">#REF!</definedName>
    <definedName name="COUNT_Studio_2_burner_hob">#REF!</definedName>
    <definedName name="COUNT_Studio_balcony">#REF!</definedName>
    <definedName name="COUNT_Studio_bath_tub">#REF!</definedName>
    <definedName name="COUNT_Studio_bath_tub_mixer">#REF!</definedName>
    <definedName name="COUNT_Studio_Bathroom">#REF!</definedName>
    <definedName name="COUNT_Studio_Bedroom">#REF!</definedName>
    <definedName name="COUNT_Studio_kitchen_sink">#REF!</definedName>
    <definedName name="COUNT_Studio_kitchen_sink_mixer">#REF!</definedName>
    <definedName name="COUNT_studio_kitchen_units">#REF!</definedName>
    <definedName name="COUNT_Studio_mirror">#REF!</definedName>
    <definedName name="COUNT_Studio_NIA">#REF!</definedName>
    <definedName name="COUNT_Studio_vanitys">#REF!</definedName>
    <definedName name="COUNT_Studio_wardrobe">#REF!</definedName>
    <definedName name="COUNT_Studio_Wash_basin">#REF!</definedName>
    <definedName name="COUNT_Studio_Wash_basin_mixer">#REF!</definedName>
    <definedName name="COUNT_Studio_Washing_machine">#REF!</definedName>
    <definedName name="COUNT_Studio_WC">#REF!</definedName>
    <definedName name="COUNT_T.C._A_01AF">#REF!</definedName>
    <definedName name="COUNT_T.C._A_01F___U01">#REF!</definedName>
    <definedName name="COUNT_T.C._A_01F___U02">#REF!</definedName>
    <definedName name="COUNT_T.C._A_01F___U03">#REF!</definedName>
    <definedName name="COUNT_T.C._A_01F___U04">#REF!</definedName>
    <definedName name="COUNT_T.C._A_01F___U05">#REF!</definedName>
    <definedName name="COUNT_T.C._A_01F___U06">#REF!</definedName>
    <definedName name="COUNT_T.C._A_02F___04F___U01">#REF!</definedName>
    <definedName name="COUNT_T.C._A_02F___04F___U02">#REF!</definedName>
    <definedName name="COUNT_T.C._A_02F___04F___U03">#REF!</definedName>
    <definedName name="COUNT_T.C._A_02F___04F___U04">#REF!</definedName>
    <definedName name="COUNT_T.C._A_02F___04F___U06">#REF!</definedName>
    <definedName name="COUNT_T.C._A_03F___U01">#REF!</definedName>
    <definedName name="COUNT_T.C._A_03F___U02">#REF!</definedName>
    <definedName name="COUNT_T.C._A_03F___U03">#REF!</definedName>
    <definedName name="COUNT_T.C._A_03F___U04">#REF!</definedName>
    <definedName name="COUNT_T.C._A_03F___U05">#REF!</definedName>
    <definedName name="COUNT_T.C._A_03F___U06">#REF!</definedName>
    <definedName name="COUNT_T.C._A_05F___U01">#REF!</definedName>
    <definedName name="COUNT_T.C._A_05F___U02">#REF!</definedName>
    <definedName name="COUNT_T.C._A_05F___U03">#REF!</definedName>
    <definedName name="COUNT_T.C._A_05F___U04">#REF!</definedName>
    <definedName name="COUNT_T.C._A_05F___U05">#REF!</definedName>
    <definedName name="COUNT_T.C._A_05F___U06">#REF!</definedName>
    <definedName name="COUNT_T.C._A_06F___U01">#REF!</definedName>
    <definedName name="COUNT_T.C._A_06F___U02">#REF!</definedName>
    <definedName name="COUNT_T.C._A_06F___U03">#REF!</definedName>
    <definedName name="COUNT_T.C._A_06F___U04">#REF!</definedName>
    <definedName name="COUNT_T.C._A_06F___U06">#REF!</definedName>
    <definedName name="COUNT_T.C._A_07F___U01">#REF!</definedName>
    <definedName name="COUNT_T.C._A_07F___U02">#REF!</definedName>
    <definedName name="COUNT_T.C._A_07F___U03">#REF!</definedName>
    <definedName name="COUNT_T.C._A_07F___U04">#REF!</definedName>
    <definedName name="COUNT_T.C._A_07F___U05">#REF!</definedName>
    <definedName name="COUNT_T.C._A_07F___U06">#REF!</definedName>
    <definedName name="COUNT_T.C._A_08f___10F___U01">#REF!</definedName>
    <definedName name="COUNT_T.C._A_08f___10F___U02">#REF!</definedName>
    <definedName name="COUNT_T.C._A_08f___10F___U03">#REF!</definedName>
    <definedName name="COUNT_T.C._A_08f___10F___U04">#REF!</definedName>
    <definedName name="COUNT_T.C._A_08f___10F___U06">#REF!</definedName>
    <definedName name="COUNT_T.C._A_09F___U01">#REF!</definedName>
    <definedName name="COUNT_T.C._A_09F___U02">#REF!</definedName>
    <definedName name="COUNT_T.C._A_09F___U03">#REF!</definedName>
    <definedName name="COUNT_T.C._A_09F___U04">#REF!</definedName>
    <definedName name="COUNT_T.C._A_09F___U05">#REF!</definedName>
    <definedName name="COUNT_T.C._A_09F___U06">#REF!</definedName>
    <definedName name="COUNT_T.C._A_11F___U01">#REF!</definedName>
    <definedName name="COUNT_T.C._A_11F___U02">#REF!</definedName>
    <definedName name="COUNT_T.C._A_11F___U03">#REF!</definedName>
    <definedName name="COUNT_T.C._A_11F___U04">#REF!</definedName>
    <definedName name="COUNT_T.C._A_11F___U05">#REF!</definedName>
    <definedName name="COUNT_T.C._A_11F___U06">#REF!</definedName>
    <definedName name="COUNT_T.C._A_12F___U01">#REF!</definedName>
    <definedName name="COUNT_T.C._A_12F___U02">#REF!</definedName>
    <definedName name="COUNT_T.C._A_12F___U03">#REF!</definedName>
    <definedName name="COUNT_T.C._A_12F___U04">#REF!</definedName>
    <definedName name="COUNT_T.C._A_12F___U06">#REF!</definedName>
    <definedName name="COUNT_T.C._A_31F___U01">#REF!</definedName>
    <definedName name="COUNT_T.C._A_31F___U02">#REF!</definedName>
    <definedName name="COUNT_T.C._A_31F___U03">#REF!</definedName>
    <definedName name="COUNT_T.C._A_31F___U04">#REF!</definedName>
    <definedName name="COUNT_T.C._B_GF___main_entrance">#REF!</definedName>
    <definedName name="COUNT_T.C._B_GF___near_escape_corridor">#REF!</definedName>
    <definedName name="COUNT_T.C._B_GF___near_ramp">#REF!</definedName>
    <definedName name="COUNT_T.C._B_GF___near_tech._area">#REF!</definedName>
    <definedName name="COUNT_T.C._B_GF___stair_3">#REF!</definedName>
    <definedName name="COUNT_T.U._A_01AF">#REF!</definedName>
    <definedName name="COUNT_T.U._A_01AF___swimming_pool">#REF!</definedName>
    <definedName name="COUNT_T.U._A_07F___U03">#REF!</definedName>
    <definedName name="COUNT_T.U._A_07F___U04">#REF!</definedName>
    <definedName name="COUNT_T.U._A_31F___U02">#REF!</definedName>
    <definedName name="COUNT_T.U._A_31F___U05">#REF!</definedName>
    <definedName name="COUNT_T.U._A_32F___U01">#REF!</definedName>
    <definedName name="COUNT_T.U._A_32F___U02">#REF!</definedName>
    <definedName name="COUNT_T.U._A_32F___U03">#REF!</definedName>
    <definedName name="COUNT_T.U._A_32F___U04">#REF!</definedName>
    <definedName name="COUNT_T.U._A_33F__">#REF!</definedName>
    <definedName name="COUNT_T.U._A_35uRF__">#REF!</definedName>
    <definedName name="COUNT_T.U._B_GF___external_double_volume">#REF!</definedName>
    <definedName name="COUNT_T.U._B_GF___external_driveway">#REF!</definedName>
    <definedName name="COUNT_T.U._B_GF___external_ramp">#REF!</definedName>
    <definedName name="COUNT_T.U._B_GF___external_sidewalk">#REF!</definedName>
    <definedName name="COUNT_T.U._B_GF___external_stair">#REF!</definedName>
    <definedName name="COUNT_T.U._B_GF___external_stair___ramp">#REF!</definedName>
    <definedName name="COUNT_T.U._B_P2F__waterfall">#REF!</definedName>
    <definedName name="COUNT_Test_Length">#REF!</definedName>
    <definedName name="COUNT_TH__L02__Column_500_x_1000">#REF!</definedName>
    <definedName name="COUNT_TH__L02__Column_500_x_1100">#REF!</definedName>
    <definedName name="COUNT_TH__L02__Column_500_x_1200">#REF!</definedName>
    <definedName name="COUNT_TH__L02__TW1_250">#REF!</definedName>
    <definedName name="COUNT_TH__L03__Column_500_x_1000">#REF!</definedName>
    <definedName name="COUNT_TH__L03__Column_500_x_1100">#REF!</definedName>
    <definedName name="COUNT_TH__L03__Column_500_x_1200">#REF!</definedName>
    <definedName name="COUNT_TH__L03__TW1_250">#REF!</definedName>
    <definedName name="COUNT_TH_L02_Beams">#REF!</definedName>
    <definedName name="COUNT_TH_L02_Slab_200">#REF!</definedName>
    <definedName name="COUNT_TH_L02_Slab_250">#REF!</definedName>
    <definedName name="COUNT_TH_L02_Slab_300">#REF!</definedName>
    <definedName name="COUNT_TH_L03_Beams">#REF!</definedName>
    <definedName name="COUNT_TH_L03_Slab_250">#REF!</definedName>
    <definedName name="COUNT_TH2_V2__Shared_Unit_1_2____1000g_Polystyrene_Sheet_to_Footing">#REF!</definedName>
    <definedName name="COUNT_TH2_V2__Shared_Unit_1_2____200mm_thk_Suitable_Well_Graded_Compacted_Materiall_90__to_footing">#REF!</definedName>
    <definedName name="COUNT_TH2_V2__Shared_Unit_1_2____50mm_thk_PCC_to_Footing">#REF!</definedName>
    <definedName name="COUNT_TH2_V2__Shared_Unit_1_2____Excavation_to_Footing">#REF!</definedName>
    <definedName name="COUNT_TH2_V2__Shared_Unit_1_2____Soil_Compaction_to_Footing">#REF!</definedName>
    <definedName name="COUNT_TH2_V2__Shared_Unit_1_2___Concrete_to_Beams__FF">#REF!</definedName>
    <definedName name="COUNT_TH2_V2__Shared_Unit_1_2___Concrete_to_Beams_GF">#REF!</definedName>
    <definedName name="COUNT_TH2_V2__Shared_Unit_1_2___Concrete_to_Colum_FF">#REF!</definedName>
    <definedName name="COUNT_TH2_V2__Shared_Unit_1_2___Concrete_to_Column_below_grade">#REF!</definedName>
    <definedName name="COUNT_TH2_V2__Shared_Unit_1_2___Concrete_to_Column_GF">#REF!</definedName>
    <definedName name="COUNT_TH2_V2__Shared_Unit_1_2___Concrete_to_Column_RF">#REF!</definedName>
    <definedName name="COUNT_TH2_V2__Shared_Unit_1_2___Concrete_to_Footing">#REF!</definedName>
    <definedName name="COUNT_TH2_V2__Shared_Unit_1_2___Concrete_to_Grade_Beam">#REF!</definedName>
    <definedName name="COUNT_TH2_V2__Shared_Unit_1_2___Concrete_to_ST_Beams">#REF!</definedName>
    <definedName name="COUNT_TH2_V2__Shared_Unit_1_2___Excavation_to_ST_Beam">#REF!</definedName>
    <definedName name="COUNT_TH2_V2__Shared_Unit_1_2___Formworks_to_Sides_of_Beams_FF">#REF!</definedName>
    <definedName name="COUNT_TH2_V2__Shared_Unit_1_2___Formworks_to_Sides_of_Beams_GF">#REF!</definedName>
    <definedName name="COUNT_TH2_V2__Shared_Unit_1_2___Formworks_to_Sides_of_Colum___Copy">#REF!</definedName>
    <definedName name="COUNT_TH2_V2__Shared_Unit_1_2___Formworks_to_Sides_of_Column_GF">#REF!</definedName>
    <definedName name="COUNT_TH2_V2__Shared_Unit_1_2___Formworks_to_Sides_of_Column_RF">#REF!</definedName>
    <definedName name="COUNT_TH2_V2__Shared_Unit_1_2___Formworks_to_Sides_of_Columns">#REF!</definedName>
    <definedName name="COUNT_TH2_V2__Shared_Unit_1_2___Formworks_to_Sides_of_Grade_Beams">#REF!</definedName>
    <definedName name="COUNT_TH2_V2__Shared_Unit_1_2___Formworks_to_Soffit_of_Beams_FF">#REF!</definedName>
    <definedName name="COUNT_TH2_V2__Shared_Unit_1_2___Formworks_to_Soffit_of_Beams_GF">#REF!</definedName>
    <definedName name="COUNT_TH2_V2__Shared_Unit_1_2___Formworks_to_Soffit_of_Grade_Beams">#REF!</definedName>
    <definedName name="COUNT_TH2_V2__Shared_Unit_1_2___Reinforcement_to_Column">#REF!</definedName>
    <definedName name="COUNT_TH2_V2__Shared_Unit_1_2___Reinforcement_to_Footing">#REF!</definedName>
    <definedName name="COUNT_TH2_V2__Unit_1____1000g_polystyrene_Sheet_to_footing">#REF!</definedName>
    <definedName name="COUNT_TH2_V2__Unit_1____200_thk._Suitable_Well_Graded_Compacted_Materials_to_Footing">#REF!</definedName>
    <definedName name="COUNT_TH2_V2__Unit_1____50_mm_thk_PCC_to_footing">#REF!</definedName>
    <definedName name="COUNT_TH2_V2__Unit_1____Excavation_to_Footing">#REF!</definedName>
    <definedName name="COUNT_TH2_V2__Unit_1____Soil_Compaction_to_Footing">#REF!</definedName>
    <definedName name="COUNT_TH2_V2__Unit_1___Compacted_Soil_95__ready_to_receive_pavers">#REF!</definedName>
    <definedName name="COUNT_TH2_V2__Unit_1___Concrete_to_Beams_FF">#REF!</definedName>
    <definedName name="COUNT_TH2_V2__Unit_1___Concrete_to_Beams_GF">#REF!</definedName>
    <definedName name="COUNT_TH2_V2__Unit_1___Concrete_to_Column_below_grade">#REF!</definedName>
    <definedName name="COUNT_TH2_V2__Unit_1___Concrete_to_Column_FF">#REF!</definedName>
    <definedName name="COUNT_TH2_V2__Unit_1___Concrete_to_Column_GF">#REF!</definedName>
    <definedName name="COUNT_TH2_V2__Unit_1___Concrete_to_Column_RF">#REF!</definedName>
    <definedName name="COUNT_TH2_V2__Unit_1___Concrete_to_entry_slabs">#REF!</definedName>
    <definedName name="COUNT_TH2_V2__Unit_1___Concrete_to_Footing">#REF!</definedName>
    <definedName name="COUNT_TH2_V2__Unit_1___Concrete_to_Grade_Beams">#REF!</definedName>
    <definedName name="COUNT_TH2_V2__Unit_1___Concrete_to_Grade_Slab">#REF!</definedName>
    <definedName name="COUNT_TH2_V2__Unit_1___Concrete_to_Roof">#REF!</definedName>
    <definedName name="COUNT_TH2_V2__Unit_1___Concrete_to_Roof_Slab_GF">#REF!</definedName>
    <definedName name="COUNT_TH2_V2__Unit_1___Concrete_to_ST_Beams">#REF!</definedName>
    <definedName name="COUNT_TH2_V2__Unit_1___Concrete_to_steps">#REF!</definedName>
    <definedName name="COUNT_TH2_V2__Unit_1___Concrete_to_Suspended_Slab_GF">#REF!</definedName>
    <definedName name="COUNT_TH2_V2__Unit_1___Concrete_to_Suspended_Slabs_FF">#REF!</definedName>
    <definedName name="COUNT_TH2_V2__Unit_1___Concrete_to_terrace_slabs">#REF!</definedName>
    <definedName name="COUNT_TH2_V2__Unit_1___Excavation_to_Footing">#REF!</definedName>
    <definedName name="COUNT_TH2_V2__Unit_1___Excavation_to_ST_Beams">#REF!</definedName>
    <definedName name="COUNT_TH2_V2__Unit_1___Formworks_to_Roof">#REF!</definedName>
    <definedName name="COUNT_TH2_V2__Unit_1___Formworks_to_Roof_Slab_GF">#REF!</definedName>
    <definedName name="COUNT_TH2_V2__Unit_1___Formworks_to_Sides_Beams_FF">#REF!</definedName>
    <definedName name="COUNT_TH2_V2__Unit_1___Formworks_to_Sides_of_Beams_GF">#REF!</definedName>
    <definedName name="COUNT_TH2_V2__Unit_1___Formworks_to_Sides_of_Column">#REF!</definedName>
    <definedName name="COUNT_TH2_V2__Unit_1___Formworks_to_Sides_of_Column_FF___Copy">#REF!</definedName>
    <definedName name="COUNT_TH2_V2__Unit_1___Formworks_to_Sides_of_Column_RF">#REF!</definedName>
    <definedName name="COUNT_TH2_V2__Unit_1___Formworks_to_Sides_of_Columns_GF">#REF!</definedName>
    <definedName name="COUNT_TH2_V2__Unit_1___Formworks_to_Sides_of_Grade_Beams">#REF!</definedName>
    <definedName name="COUNT_TH2_V2__Unit_1___Formworks_to_Soffit_of_Beams_FF">#REF!</definedName>
    <definedName name="COUNT_TH2_V2__Unit_1___Formworks_to_Soffit_of_Beams_GF">#REF!</definedName>
    <definedName name="COUNT_TH2_V2__Unit_1___Formworks_to_Soffit_of_Grade_Beams">#REF!</definedName>
    <definedName name="COUNT_TH2_V2__Unit_1___Formworks_to_Suspended_Slab__FF">#REF!</definedName>
    <definedName name="COUNT_TH2_V2__Unit_1___Formworks_to_Suspended_Slab_GF">#REF!</definedName>
    <definedName name="COUNT_TH2_V2__Unit_1___Reinforcement_to_Column_below_grade">#REF!</definedName>
    <definedName name="COUNT_TH2_V2__Unit_1___Reinforcement_to_Footing">#REF!</definedName>
    <definedName name="COUNT_TH2_V2__Unit_1___Reinforcement_to_ST_Beams">#REF!</definedName>
    <definedName name="COUNT_TH2_V2__Unit_2____1000g_Polystyrene_to_Footing">#REF!</definedName>
    <definedName name="COUNT_TH2_V2__Unit_2____200_mm_thk_Suitable_Well_Graded_Compacted_Materials_to_Footing">#REF!</definedName>
    <definedName name="COUNT_TH2_V2__Unit_2____50_mm_thk_PCC_to_Footing">#REF!</definedName>
    <definedName name="COUNT_TH2_V2__Unit_2____Excavation_to_Footing">#REF!</definedName>
    <definedName name="COUNT_TH2_V2__Unit_2____Soil_Compaction_to_Footing">#REF!</definedName>
    <definedName name="COUNT_TH2_V2__Unit_2___Compacted_Soil_95__ready_t_o_receive_pavers">#REF!</definedName>
    <definedName name="COUNT_TH2_V2__Unit_2___Concrete_to_Beams_FF">#REF!</definedName>
    <definedName name="COUNT_TH2_V2__Unit_2___Concrete_to_Beams_GF">#REF!</definedName>
    <definedName name="COUNT_TH2_V2__Unit_2___Concrete_to_Column_below_grade">#REF!</definedName>
    <definedName name="COUNT_TH2_V2__Unit_2___Concrete_to_Column_FF">#REF!</definedName>
    <definedName name="COUNT_TH2_V2__Unit_2___Concrete_to_Column_RF">#REF!</definedName>
    <definedName name="COUNT_TH2_V2__Unit_2___Concrete_to_Columns_GF">#REF!</definedName>
    <definedName name="COUNT_TH2_V2__Unit_2___Concrete_to_entry_slabs">#REF!</definedName>
    <definedName name="COUNT_TH2_V2__Unit_2___Concrete_to_Footing">#REF!</definedName>
    <definedName name="COUNT_TH2_V2__UNit_2___Concrete_to_Grade_Beam">#REF!</definedName>
    <definedName name="COUNT_TH2_V2__Unit_2___Concrete_to_Grade_Slab">#REF!</definedName>
    <definedName name="COUNT_TH2_V2__Unit_2___Concrete_to_Roof">#REF!</definedName>
    <definedName name="COUNT_TH2_V2__Unit_2___Concrete_to_Roof_Slab_GF">#REF!</definedName>
    <definedName name="COUNT_TH2_V2__Unit_2___Concrete_to_ST_Beams">#REF!</definedName>
    <definedName name="COUNT_TH2_V2__Unit_2___Concrete_to_steps">#REF!</definedName>
    <definedName name="COUNT_TH2_V2__Unit_2___Concrete_to_Suspended_Slab__FF">#REF!</definedName>
    <definedName name="COUNT_TH2_V2__Unit_2___Concrete_to_Suspended_Slab_GF">#REF!</definedName>
    <definedName name="COUNT_TH2_V2__Unit_2___Concrete_to_terrace_slabs">#REF!</definedName>
    <definedName name="COUNT_TH2_V2__Unit_2___Excavation_to_Footing">#REF!</definedName>
    <definedName name="COUNT_TH2_V2__Unit_2___Excavation_to_ST_Beams">#REF!</definedName>
    <definedName name="COUNT_TH2_V2__Unit_2___Formworks_to_Roof">#REF!</definedName>
    <definedName name="COUNT_TH2_V2__Unit_2___Formworks_to_Roof_Slab_GF">#REF!</definedName>
    <definedName name="COUNT_TH2_V2__Unit_2___Formworks_to_Sides_of_Beams_FF">#REF!</definedName>
    <definedName name="COUNT_TH2_V2__Unit_2___Formworks_to_Sides_of_Beams_GF">#REF!</definedName>
    <definedName name="COUNT_TH2_V2__Unit_2___Formworks_to_Sides_of_Column">#REF!</definedName>
    <definedName name="COUNT_TH2_V2__Unit_2___Formworks_to_Sides_of_Column_FF___Copy">#REF!</definedName>
    <definedName name="COUNT_TH2_V2__Unit_2___Formworks_to_Sides_of_Column_RF">#REF!</definedName>
    <definedName name="COUNT_TH2_V2__Unit_2___Formworks_to_Sides_of_Columns_GF">#REF!</definedName>
    <definedName name="COUNT_TH2_V2__UNit_2___Formworks_to_Sides_of_Grade_Beam">#REF!</definedName>
    <definedName name="COUNT_TH2_V2__Unit_2___Formworks_to_Soffit_of_Beam_FF">#REF!</definedName>
    <definedName name="COUNT_TH2_V2__Unit_2___Formworks_to_Soffit_of_Beams_GF">#REF!</definedName>
    <definedName name="COUNT_TH2_V2__UNit_2___Formworks_to_Soffit_of_Grade_Beam">#REF!</definedName>
    <definedName name="COUNT_TH2_V2__Unit_2___Formworks_to_Suspended_Slab_FF">#REF!</definedName>
    <definedName name="COUNT_TH2_V2__Unit_2___Formworks_to_Suspended_Slab_GF">#REF!</definedName>
    <definedName name="COUNT_TH2_V2__Unit_2___Reinforcement_to_Column_below_grade">#REF!</definedName>
    <definedName name="COUNT_TH2_V2__Unit_2___Reinforcement_to_Footing">#REF!</definedName>
    <definedName name="COUNT_TH2_V2__Unit_2__Reinforcement_to_ST_Beams">#REF!</definedName>
    <definedName name="COUNT_TH2_V2__units_1___Blockworks_100mm_thick">#REF!</definedName>
    <definedName name="COUNT_TH2_V2__units_1___Blockworks_BW_1">#REF!</definedName>
    <definedName name="COUNT_TH2_V2__units_1___Blockworks_BW_2">#REF!</definedName>
    <definedName name="COUNT_TH2_V2__units_1___Blockworks_BW_3">#REF!</definedName>
    <definedName name="COUNT_TH2_V2__units_1___Blockworks_BW_3_External">#REF!</definedName>
    <definedName name="COUNT_TH2_V2__units_1___Blockworks_BW_4">#REF!</definedName>
    <definedName name="COUNT_TH2_V2__units_1___Ceiling_Finishes__390mm_high_BH">#REF!</definedName>
    <definedName name="COUNT_TH2_V2__units_1___Ceiling_Finishes__450mm_high_BH">#REF!</definedName>
    <definedName name="COUNT_TH2_V2__units_1___Ceiling_Finishes__460mm_high_BH">#REF!</definedName>
    <definedName name="COUNT_TH2_V2__units_1___Ceiling_Finishes__490mm_high_BH">#REF!</definedName>
    <definedName name="COUNT_TH2_V2__units_1___Ceiling_Finishes__560mm_high_BH">#REF!</definedName>
    <definedName name="COUNT_TH2_V2__units_1___Ceiling_Finishes_Plaster_w__Paint__Moisture_">#REF!</definedName>
    <definedName name="COUNT_TH2_V2__units_1___Ceiling_Finishes_Plaster_w__Paint_PF01">#REF!</definedName>
    <definedName name="COUNT_TH2_V2__units_1___Ceiling_Finishes_Plasterboard_w__Paint_PF01">#REF!</definedName>
    <definedName name="COUNT_TH2_V2__units_1___Ceiling_Finishes_Plasterboard_w__Paint_PF02">#REF!</definedName>
    <definedName name="COUNT_TH2_V2__units_1___Floor_Finishes_Ceramic_Tiles">#REF!</definedName>
    <definedName name="COUNT_TH2_V2__units_1___Floor_Finishes_FF01">#REF!</definedName>
    <definedName name="COUNT_TH2_V2__units_1___Floor_Finishes_FF03">#REF!</definedName>
    <definedName name="COUNT_TH2_V2__units_1___Floor_Finishes_Interlock">#REF!</definedName>
    <definedName name="COUNT_TH2_V2__units_1___Floor_Finishes_Pavers">#REF!</definedName>
    <definedName name="COUNT_TH2_V2__units_1___Floor_Finishes_Pavers_Kerbs">#REF!</definedName>
    <definedName name="COUNT_TH2_V2__units_1___Floor_Finishes_Screed_only">#REF!</definedName>
    <definedName name="COUNT_TH2_V2__units_1___Handrail__1100mm_high">#REF!</definedName>
    <definedName name="COUNT_TH2_V2__units_1___Roof_Finishes_Precast_Concrete">#REF!</definedName>
    <definedName name="COUNT_TH2_V2__units_1___Roof_Finishes_Waterproofing_w__Paint">#REF!</definedName>
    <definedName name="COUNT_TH2_V2__units_1___Skirting_External">#REF!</definedName>
    <definedName name="COUNT_TH2_V2__units_1___Skirting_FF01">#REF!</definedName>
    <definedName name="COUNT_TH2_V2__units_1___Staircase_Finishes_FF05">#REF!</definedName>
    <definedName name="COUNT_TH2_V2__units_1___Type_AL_01__1000_x_2100mm_high">#REF!</definedName>
    <definedName name="COUNT_TH2_V2__units_1___Type_AL_02__600_x_1350mm_high">#REF!</definedName>
    <definedName name="COUNT_TH2_V2__units_1___Type_AL_03__350_x_1350mm_high">#REF!</definedName>
    <definedName name="COUNT_TH2_V2__units_1___Type_AL_04__800_x_1350mm_high">#REF!</definedName>
    <definedName name="COUNT_TH2_V2__units_1___Type_D_01__1100_x_2400mm_high">#REF!</definedName>
    <definedName name="COUNT_TH2_V2__units_1___Type_D_02__900_x_2200mm_high">#REF!</definedName>
    <definedName name="COUNT_TH2_V2__units_1___Type_D_03__850_x_2200mm_high">#REF!</definedName>
    <definedName name="COUNT_TH2_V2__units_1___Type_D_03__850_x_2200mm_high_Internal">#REF!</definedName>
    <definedName name="COUNT_TH2_V2__units_1___Type_D_04__900_x_2200mm_high">#REF!</definedName>
    <definedName name="COUNT_TH2_V2__units_1___Type_GL_01__750_x_1250mm_high">#REF!</definedName>
    <definedName name="COUNT_TH2_V2__units_1___Type_GL_02__600_x_1250mm_high">#REF!</definedName>
    <definedName name="COUNT_TH2_V2__units_1___Type_GL_03__2225_x_3750mm_high__corner">#REF!</definedName>
    <definedName name="COUNT_TH2_V2__units_1___Type_GL_04__2200_x_2700mm_high">#REF!</definedName>
    <definedName name="COUNT_TH2_V2__units_1___Type_GL_05__2700_x_2550mm_high__corner">#REF!</definedName>
    <definedName name="COUNT_TH2_V2__units_1___Type_GL_06__1400_x_1250mm_high">#REF!</definedName>
    <definedName name="COUNT_TH2_V2__units_1___Type_GL_16__2400_x_2400mm_high__corner">#REF!</definedName>
    <definedName name="COUNT_TH2_V2__units_1___Type_GL_17__750_x_2550mm_high">#REF!</definedName>
    <definedName name="COUNT_TH2_V2__units_1___Type_GL_18__750_x_2100mm_high">#REF!</definedName>
    <definedName name="COUNT_TH2_V2__units_1___Type_GL_19__700_x_1250mm_high">#REF!</definedName>
    <definedName name="COUNT_TH2_V2__units_1___Type_GL_20__2850_x_2400mm_high">#REF!</definedName>
    <definedName name="COUNT_TH2_V2__units_1___Type_GL_21__1400_x_2400mm_high">#REF!</definedName>
    <definedName name="COUNT_TH2_V2__units_1___Type_GL_22__900_x_2200mm_high">#REF!</definedName>
    <definedName name="COUNT_TH2_V2__units_1___Type_GL_23__1900_x_2700mm_high">#REF!</definedName>
    <definedName name="COUNT_TH2_V2__units_1___Wall_Finishes_PF03">#REF!</definedName>
    <definedName name="COUNT_TH2_V2__units_1___Wall_Finishes_PF04">#REF!</definedName>
    <definedName name="COUNT_TH2_V2__units_1___Wall_Finishes_Plaster_w__paint">#REF!</definedName>
    <definedName name="COUNT_TH2_V2__units_1___Wall_Finishes_Plaster_w__paint__dark_">#REF!</definedName>
    <definedName name="COUNT_TH2_V2__units_1___Wall_Finishes_SS">#REF!</definedName>
    <definedName name="COUNT_TH2_V2__units_1___Wall_Finishes_WF01">#REF!</definedName>
    <definedName name="COUNT_TH2_V2__units_1___Wall_Finishes_WF02">#REF!</definedName>
    <definedName name="COUNT_TH2_V2__units_1___Wall_Finishes_WF03">#REF!</definedName>
    <definedName name="COUNT_TH2_V2__units_1___Wall_Finishes_WF04">#REF!</definedName>
    <definedName name="COUNT_TH2_V2__units_1___Wall_Finishes_WF05">#REF!</definedName>
    <definedName name="COUNT_TH2_V2__units_1___Wall_Finishes_WF06">#REF!</definedName>
    <definedName name="COUNT_TH2_V2__units_1___Wall_Finishes_WF07">#REF!</definedName>
    <definedName name="COUNT_TH2_V2__units_1___Wall_Finishes_WF08">#REF!</definedName>
    <definedName name="COUNT_TH2_V2__units_1___Wall_Insulation">#REF!</definedName>
    <definedName name="COUNT_TH2_V2__units_1___Waterproofing_to_walls">#REF!</definedName>
    <definedName name="COUNT_TH2_V2__units_1___Waterproofing_to_wet_areas">#REF!</definedName>
    <definedName name="COUNT_Trees___Around_Perimeter">#REF!</definedName>
    <definedName name="COUNT_Trees___Inside_Plot">#REF!</definedName>
    <definedName name="COUNT_TYPICAL__ADDL_SLAB">#REF!</definedName>
    <definedName name="COUNT_TYPICAL__HEB_100">#REF!</definedName>
    <definedName name="COUNT_TYPICAL__HEB_160">#REF!</definedName>
    <definedName name="COUNT_TYPICAL__L_150x150x15">#REF!</definedName>
    <definedName name="COUNT_TYPICAL__MEP_FLOOR">#REF!</definedName>
    <definedName name="COUNT_Unallocated_Rooms">#REF!</definedName>
    <definedName name="COUNT_uPVC_Sewage_Pipe_1F">#REF!</definedName>
    <definedName name="COUNT_uPVC_Sewage_Pipe_GF">#REF!</definedName>
    <definedName name="COUNT_uPVC_Waste_Pipe_1F">#REF!</definedName>
    <definedName name="COUNT_uPVC_Waste_Pipe_1F_collection">#REF!</definedName>
    <definedName name="COUNT_uPVC_Waste_Pipe_GF">#REF!</definedName>
    <definedName name="COUNT_uPVC_Waste_Pipe_GF_Collection">#REF!</definedName>
    <definedName name="COUNT_Water_Feature">#REF!</definedName>
    <definedName name="COUNT_Water_Hammer_Arrestor">#REF!</definedName>
    <definedName name="COUNT_Water_jets">#REF!</definedName>
    <definedName name="COUNTER" localSheetId="1">#REF!</definedName>
    <definedName name="COUNTER">#REF!</definedName>
    <definedName name="Country" localSheetId="1">#REF!</definedName>
    <definedName name="Country">#REF!</definedName>
    <definedName name="CountryOfOrigin" localSheetId="1">#REF!</definedName>
    <definedName name="CountryOfOrigin">#REF!</definedName>
    <definedName name="cover" localSheetId="1">#REF!</definedName>
    <definedName name="cover">#REF!</definedName>
    <definedName name="COVERA">#REF!</definedName>
    <definedName name="COVERB">#REF!</definedName>
    <definedName name="COVERC">#REF!</definedName>
    <definedName name="COVERD">#REF!</definedName>
    <definedName name="COVERDATE">#REF!</definedName>
    <definedName name="COVERDES">#REF!</definedName>
    <definedName name="COVERE" localSheetId="1">#REF!</definedName>
    <definedName name="COVERE">#REF!</definedName>
    <definedName name="COVERS" localSheetId="1">#REF!</definedName>
    <definedName name="COVERS">#REF!</definedName>
    <definedName name="COVERSNO">#REF!</definedName>
    <definedName name="COWC">#REF!</definedName>
    <definedName name="cp" localSheetId="1">#REF!</definedName>
    <definedName name="cp">#REF!</definedName>
    <definedName name="cp_1">0</definedName>
    <definedName name="CPC">#REF!</definedName>
    <definedName name="CPC_1631FXItem">#REF!</definedName>
    <definedName name="CPC_1641_CItem">#REF!</definedName>
    <definedName name="CPC_1641_DItem">#REF!</definedName>
    <definedName name="CPC_1641_TItem">#REF!</definedName>
    <definedName name="CPC_1641SMItem">#REF!</definedName>
    <definedName name="CPC_1651SMItem">#REF!</definedName>
    <definedName name="CPC_1664OAItem">#REF!</definedName>
    <definedName name="CPC_1664SMItem">#REF!</definedName>
    <definedName name="CPC_1686WMItem">#REF!</definedName>
    <definedName name="CPC_axlcpcItem">#REF!</definedName>
    <definedName name="CPC_PCItem">#REF!</definedName>
    <definedName name="CPCAxlItem">#REF!</definedName>
    <definedName name="CPCAxlItem1">#REF!</definedName>
    <definedName name="CPCItem">#REF!</definedName>
    <definedName name="cpdpvol">#REF!</definedName>
    <definedName name="cphase">#REF!</definedName>
    <definedName name="cpierends">#REF!</definedName>
    <definedName name="CPLG">#REF!</definedName>
    <definedName name="CPNMB">"1"</definedName>
    <definedName name="CPP" localSheetId="1">#REF!</definedName>
    <definedName name="CPP">#REF!</definedName>
    <definedName name="CPP_2002" localSheetId="1">#REF!</definedName>
    <definedName name="CPP_2002">#REF!</definedName>
    <definedName name="CPP_2003" localSheetId="1">#REF!</definedName>
    <definedName name="CPP_2003">#REF!</definedName>
    <definedName name="CPP_2004">#REF!</definedName>
    <definedName name="CPP_2005">#REF!</definedName>
    <definedName name="CPP_2006">#REF!</definedName>
    <definedName name="CPP_2007">#REF!</definedName>
    <definedName name="CPP_2008">#REF!</definedName>
    <definedName name="CPP_2009">#REF!</definedName>
    <definedName name="CPP_2010">#REF!</definedName>
    <definedName name="CPTB">#REF!</definedName>
    <definedName name="CR">10000000</definedName>
    <definedName name="cr_preus_2003_v_2_hoja1">#REF!</definedName>
    <definedName name="crd">#REF!</definedName>
    <definedName name="CREDENZA">#REF!</definedName>
    <definedName name="CRIT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EXECUTION">#REF!</definedName>
    <definedName name="CRIT_OPPORTUNITY">#REF!</definedName>
    <definedName name="CRIT_VALVE" localSheetId="1">#REF!</definedName>
    <definedName name="CRIT_VALVE">#REF!</definedName>
    <definedName name="_xlnm.Criteria">#REF!</definedName>
    <definedName name="Criteria_MI">#REF!</definedName>
    <definedName name="CRITERIA1">#REF!</definedName>
    <definedName name="Criterion">#REF!</definedName>
    <definedName name="CRITICAL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NST">#REF!</definedName>
    <definedName name="CRITPURC" localSheetId="1">#REF!</definedName>
    <definedName name="CRITPURC">#REF!</definedName>
    <definedName name="cross">#REF!</definedName>
    <definedName name="crsobpl">#REF!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rusher">#REF!</definedName>
    <definedName name="CS" localSheetId="1">#REF!</definedName>
    <definedName name="CS">#REF!</definedName>
    <definedName name="Cs___0" localSheetId="1">#REF!</definedName>
    <definedName name="Cs___0">#REF!</definedName>
    <definedName name="Cs___13" localSheetId="1">#REF!</definedName>
    <definedName name="Cs___13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FMF">#REF!</definedName>
    <definedName name="CS_STD">#REF!</definedName>
    <definedName name="CS_XS">#REF!</definedName>
    <definedName name="CS_XXS">#REF!</definedName>
    <definedName name="CSA">#N/A</definedName>
    <definedName name="CSA_BTS">#REF!</definedName>
    <definedName name="CSA_Conductor">#REF!</definedName>
    <definedName name="csacz" localSheetId="1">#REF!</definedName>
    <definedName name="csacz">#REF!</definedName>
    <definedName name="CSB" localSheetId="1" hidden="1">{#N/A,#N/A,TRUE,"Cover";#N/A,#N/A,TRUE,"Conts";#N/A,#N/A,TRUE,"VOS";#N/A,#N/A,TRUE,"Warrington";#N/A,#N/A,TRUE,"Widnes"}</definedName>
    <definedName name="CSB" hidden="1">{#N/A,#N/A,TRUE,"Cover";#N/A,#N/A,TRUE,"Conts";#N/A,#N/A,TRUE,"VOS";#N/A,#N/A,TRUE,"Warrington";#N/A,#N/A,TRUE,"Widnes"}</definedName>
    <definedName name="CSC">#REF!</definedName>
    <definedName name="CSCAALC" localSheetId="1">#REF!</definedName>
    <definedName name="CSCAALC">#REF!</definedName>
    <definedName name="CSCALC" localSheetId="1">#REF!</definedName>
    <definedName name="CSCALC">#REF!</definedName>
    <definedName name="cscsd">#REF!</definedName>
    <definedName name="CSDCSDSAS" localSheetId="1" hidden="1">#REF!</definedName>
    <definedName name="CSDCSDSAS" hidden="1">#REF!</definedName>
    <definedName name="csDesignMode">1</definedName>
    <definedName name="csl" localSheetId="1">#REF!</definedName>
    <definedName name="csl">#REF!</definedName>
    <definedName name="CSS">#N/A</definedName>
    <definedName name="csshade" localSheetId="1">#REF!</definedName>
    <definedName name="csshade">#REF!</definedName>
    <definedName name="cst">#REF!</definedName>
    <definedName name="Cst_score">#REF!</definedName>
    <definedName name="cstf" localSheetId="1">#REF!</definedName>
    <definedName name="cstf">#REF!</definedName>
    <definedName name="CSTOTAL">#REF!</definedName>
    <definedName name="CSUMF">#REF!</definedName>
    <definedName name="ct">#REF!</definedName>
    <definedName name="CT_KSTK">#REF!</definedName>
    <definedName name="CTOPCORIAN">#REF!</definedName>
    <definedName name="CTOPGRANITE">#REF!</definedName>
    <definedName name="CTOPITALIAN">#REF!</definedName>
    <definedName name="ctr">#REF!</definedName>
    <definedName name="CTS_1C_PVC_Armoured">#REF!</definedName>
    <definedName name="CTS_1C_PVC_Unarmoured">#REF!</definedName>
    <definedName name="CTS_1C_XLPE_Armoured">#REF!</definedName>
    <definedName name="CTS_1C_XLPE_Unarmoured">#REF!</definedName>
    <definedName name="CTS_3C_PVC_Armoured">#REF!</definedName>
    <definedName name="CTS_3C_PVC_Unarmoured">#REF!</definedName>
    <definedName name="CTS_3C_XLPE_Armoured">#REF!</definedName>
    <definedName name="CTS_3C_XLPE_Unarmoured">#REF!</definedName>
    <definedName name="CTS_4C_PVC_Armoured">#REF!</definedName>
    <definedName name="CTS_4C_PVC_Unarmoured">#REF!</definedName>
    <definedName name="CTS_4C_XLPE_Armoured">#REF!</definedName>
    <definedName name="CTS_ECC_Size">#REF!</definedName>
    <definedName name="CTS_Installation_Method">#REF!</definedName>
    <definedName name="CU_ADJ" localSheetId="1">#REF!</definedName>
    <definedName name="CU_ADJ">#REF!</definedName>
    <definedName name="CU_ADJ_MV">#REF!</definedName>
    <definedName name="cua">#REF!</definedName>
    <definedName name="Cum_Int">#REF!</definedName>
    <definedName name="cummeas_June1006">#REF!</definedName>
    <definedName name="cummeas_may1006">#REF!</definedName>
    <definedName name="cummeas_up_to_mar">#REF!</definedName>
    <definedName name="CumulativeFinancialProgress">#REF!</definedName>
    <definedName name="CumulativePercentCompletion">#REF!</definedName>
    <definedName name="curex">#REF!</definedName>
    <definedName name="CurFrom_13">NA()</definedName>
    <definedName name="curr">#REF!</definedName>
    <definedName name="CURR_4" localSheetId="1">#REF!</definedName>
    <definedName name="CURR_4">#REF!</definedName>
    <definedName name="CURR_4_1" localSheetId="1">#REF!</definedName>
    <definedName name="CURR_4_1">#REF!</definedName>
    <definedName name="CURR_6" localSheetId="1">#REF!</definedName>
    <definedName name="CURR_6">#REF!</definedName>
    <definedName name="curr_liab_prov">#REF!</definedName>
    <definedName name="curr_option">#REF!</definedName>
    <definedName name="Curr_table" localSheetId="1">#REF!</definedName>
    <definedName name="Curr_table">#REF!</definedName>
    <definedName name="CURR45">#REF!</definedName>
    <definedName name="currencies" localSheetId="1">#REF!</definedName>
    <definedName name="currencies">#REF!</definedName>
    <definedName name="currencies1" localSheetId="1">#REF!</definedName>
    <definedName name="currencies1">#REF!</definedName>
    <definedName name="CURRENCY">#REF!</definedName>
    <definedName name="CurrencyName">#REF!</definedName>
    <definedName name="CurrencyRate">#REF!</definedName>
    <definedName name="CurrencyRate_4">#REF!</definedName>
    <definedName name="CurrencyRate_4_1">#REF!</definedName>
    <definedName name="CurrencyRate_6">#REF!</definedName>
    <definedName name="CURREN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App">#REF!</definedName>
    <definedName name="CurrentOther">#REF!</definedName>
    <definedName name="CurrentPortion">#REF!</definedName>
    <definedName name="CurrentUnits">" ft2"</definedName>
    <definedName name="CURRIE">#REF!</definedName>
    <definedName name="Curtain_Wall" localSheetId="1">#REF!</definedName>
    <definedName name="Curtain_Wall">#REF!</definedName>
    <definedName name="Curtain_Wall_System" localSheetId="1">#REF!</definedName>
    <definedName name="Curtain_Wall_System">#REF!</definedName>
    <definedName name="curtainwall">#N/A</definedName>
    <definedName name="CurThru_13">NA()</definedName>
    <definedName name="CURVE" localSheetId="1" hidden="1">{#N/A,#N/A,FALSE,"COVER1.XLS ";#N/A,#N/A,FALSE,"RACT1.XLS";#N/A,#N/A,FALSE,"RACT2.XLS";#N/A,#N/A,FALSE,"ECCMP";#N/A,#N/A,FALSE,"WELDER.XLS"}</definedName>
    <definedName name="CURVE" hidden="1">{#N/A,#N/A,FALSE,"COVER1.XLS ";#N/A,#N/A,FALSE,"RACT1.XLS";#N/A,#N/A,FALSE,"RACT2.XLS";#N/A,#N/A,FALSE,"ECCMP";#N/A,#N/A,FALSE,"WELDER.XLS"}</definedName>
    <definedName name="CUS">#REF!</definedName>
    <definedName name="CUSTOM1__C1A__Standard_Guestroom" localSheetId="1">#REF!</definedName>
    <definedName name="CUSTOM1__C1A__Standard_Guestroom">#REF!</definedName>
    <definedName name="CUSTOM1__C1C__Junior_Suites" localSheetId="1">#REF!</definedName>
    <definedName name="CUSTOM1__C1C__Junior_Suites">#REF!</definedName>
    <definedName name="CUSTOM1__C1D__One_Bedroom_Suites">#REF!</definedName>
    <definedName name="CUSTOM1__C1E__Two_bedroom_Suites">#REF!</definedName>
    <definedName name="CUSTOM1__C1F1__Public_Circulation_Areas">#REF!</definedName>
    <definedName name="CUSTOM1__C1G4__Shafts">#REF!</definedName>
    <definedName name="CUSTOM1__C1G6__Fire_Escape_Stairs">#REF!</definedName>
    <definedName name="CUSTOM1__C1H1__Standard_Guestrooms">#REF!</definedName>
    <definedName name="CUSTOM1__C1H3__Junior_Suites">#REF!</definedName>
    <definedName name="CUSTOM1__C1H4__One_Bedroom_Suites">#REF!</definedName>
    <definedName name="CUSTOM1__C1H5__Two_Bedroom_Suites">#REF!</definedName>
    <definedName name="CUSTOM1__C1H6__One_Bedroom_Suites_Type_2">#REF!</definedName>
    <definedName name="CUSTOM1__C1I__General_Works_Guestrooms">#REF!</definedName>
    <definedName name="CUSTOM1__C1J__One_Bedroom_Suites_Type_2">#REF!</definedName>
    <definedName name="CUSTOM1__C2A2__Arrival_and_Reception_Lobby">#REF!</definedName>
    <definedName name="CUSTOM1__C2A3__Front_Offices___Concierge">#REF!</definedName>
    <definedName name="CUSTOM1__C2A4__Luggage_Scanner">#REF!</definedName>
    <definedName name="CUSTOM1__C2A5__Hotel_Retail">#REF!</definedName>
    <definedName name="CUSTOM1__C2A6__Prayer_Rooms">#REF!</definedName>
    <definedName name="CUSTOM1__C2A7__Kids_Club">#REF!</definedName>
    <definedName name="CUSTOM1__C2A8__Public_Toilets">#REF!</definedName>
    <definedName name="CUSTOM1__C2A9__Changing_Rooms">#REF!</definedName>
    <definedName name="CUSTOM1__C2C1__Hotel_Restaurant">#REF!</definedName>
    <definedName name="CUSTOM1__C2C2__Lobby_Lounge">#REF!</definedName>
    <definedName name="CUSTOM1__C2C3__Lobby_Bar">#REF!</definedName>
    <definedName name="CUSTOM1__C2C4__Lobby_Bar___Covered_Terrace">#REF!</definedName>
    <definedName name="CUSTOM1__C2C5__Speciality_Restaurant__1">#REF!</definedName>
    <definedName name="CUSTOM1__C2C6__Speciality_Restaurant__2">#REF!</definedName>
    <definedName name="CUSTOM1__C2C7__Speciality_Restaurant__2___Covered_Terrace">#REF!</definedName>
    <definedName name="CUSTOM1__C2C8__Pool_Bar___Grill">#REF!</definedName>
    <definedName name="CUSTOM1__C2D2__Gymnasium">#REF!</definedName>
    <definedName name="CUSTOM1__C2G1__Circulation">#REF!</definedName>
    <definedName name="CUSTOM1__C2G2__Outdoor_Lobby">#REF!</definedName>
    <definedName name="CUSTOM1__C3A1__Front_Offices">#REF!</definedName>
    <definedName name="CUSTOM1__C3A2__Administration_Offices">#REF!</definedName>
    <definedName name="CUSTOM1__C3A3__Accounting_Offices">#REF!</definedName>
    <definedName name="CUSTOM1__C3A4__Human_Resources_and_Training">#REF!</definedName>
    <definedName name="CUSTOM1__C3B__IT_Department">#REF!</definedName>
    <definedName name="CUSTOM1__C3C1__Kitchen___Main_Kitchen">#REF!</definedName>
    <definedName name="CUSTOM1__C3C2__Kitchen___Speciality_Restaurant__1">#REF!</definedName>
    <definedName name="CUSTOM1__C3C3__Kitchen___Speciality_Restaurant__2">#REF!</definedName>
    <definedName name="CUSTOM1__C3C5__Pantry___Lobby_Bar">#REF!</definedName>
    <definedName name="CUSTOM1__C3D__Housekeeping_and_Linen">#REF!</definedName>
    <definedName name="CUSTOM1__C3E__Central_Laundry___Dry_Cleaning___Valet_Only">#REF!</definedName>
    <definedName name="CUSTOM1__C3F5__Dining_Room_Seating">#REF!</definedName>
    <definedName name="CUSTOM1__C3F8__Staff_Changing_Rooms">#REF!</definedName>
    <definedName name="CUSTOM1__C3F9__Staff_Prayer_Rooms">#REF!</definedName>
    <definedName name="CUSTOM1__C3G__Maintenance_and_Engineering">#REF!</definedName>
    <definedName name="CUSTOM1__C3H1__Plant_and_Equipment_Rooms">#REF!</definedName>
    <definedName name="CUSTOM1__C3H2__MEP_Shafts">#REF!</definedName>
    <definedName name="CUSTOM1__C3J__Security">#REF!</definedName>
    <definedName name="CUSTOM1__C3K__Purchasing__Goods_Receiving_and_Storage">#REF!</definedName>
    <definedName name="CUSTOM1__C3L__BOH_Circulation_Areas">#REF!</definedName>
    <definedName name="CUSTOM1__C4B__General_Works_Parking">#REF!</definedName>
    <definedName name="CUSTOM1__C5__Unallocated_Rooms">#REF!</definedName>
    <definedName name="CUSTOM1__G1__Conference_Centre">#REF!</definedName>
    <definedName name="CUSTOM1__G1A__Conference_Hall">#REF!</definedName>
    <definedName name="CUSTOM1__G1B__Reception">#REF!</definedName>
    <definedName name="CUSTOM1__G1C__Meeting_Rooms">#REF!</definedName>
    <definedName name="CUSTOM1__G2__Pre_function">#REF!</definedName>
    <definedName name="CUSTOM1__G3__Toilets">#REF!</definedName>
    <definedName name="CUSTOM1__G4__FOH_Circulation">#REF!</definedName>
    <definedName name="CUSTOM1__G5__BOH_Circulation">#REF!</definedName>
    <definedName name="CUSTOM1__G6__Fire_Escape_Stairs">#REF!</definedName>
    <definedName name="CUSTOM1__G7__Plant_and_Equipment_Rooms">#REF!</definedName>
    <definedName name="CUSTOM1__G8__Storage">#REF!</definedName>
    <definedName name="CUSTOM1__G9__Kitchen_and_Service_Area">#REF!</definedName>
    <definedName name="CUSTOM1_1__Internal_Walls">#REF!</definedName>
    <definedName name="CUSTOM1_1__Internal_Walls___D1">#REF!</definedName>
    <definedName name="CUSTOM1_1_bed_Balcony_area" localSheetId="1">#REF!</definedName>
    <definedName name="CUSTOM1_1_bed_Balcony_area">#REF!</definedName>
    <definedName name="CUSTOM1_1_bed_bath_screen">#REF!</definedName>
    <definedName name="CUSTOM1_1_bed_bath_shelf">#REF!</definedName>
    <definedName name="CUSTOM1_1_bed_Bath_tub">#REF!</definedName>
    <definedName name="CUSTOM1_1_bed_Bath_tub_mixer">#REF!</definedName>
    <definedName name="CUSTOM1_1_bed_Bathroom_area">#REF!</definedName>
    <definedName name="CUSTOM1_1_bed_Bedroom_area">#REF!</definedName>
    <definedName name="CUSTOM1_1_bed_Cistern_cover">#REF!</definedName>
    <definedName name="CUSTOM1_1_bed_Cooker_hob">#REF!</definedName>
    <definedName name="CUSTOM1_1_bed_Fridge_freezer">#REF!</definedName>
    <definedName name="CUSTOM1_1_bed_Kitchen_sink">#REF!</definedName>
    <definedName name="CUSTOM1_1_bed_Kitchen_sink_mixer">#REF!</definedName>
    <definedName name="CUSTOM1_1_bed_kitchen_units">#REF!</definedName>
    <definedName name="CUSTOM1_1_bed_living_area">#REF!</definedName>
    <definedName name="CUSTOM1_1_bed_mirror">#REF!</definedName>
    <definedName name="CUSTOM1_1_bed_NIA">#REF!</definedName>
    <definedName name="CUSTOM1_1_bed_Oven">#REF!</definedName>
    <definedName name="CUSTOM1_1_bed_shower_mixer">#REF!</definedName>
    <definedName name="CUSTOM1_1_bed_vanitys">#REF!</definedName>
    <definedName name="CUSTOM1_1_bed_Wardrobes">#REF!</definedName>
    <definedName name="CUSTOM1_1_bed_Wash_basin">#REF!</definedName>
    <definedName name="CUSTOM1_1_bed_Wash_basin_mixer">#REF!</definedName>
    <definedName name="CUSTOM1_1_bed_Washing_machine">#REF!</definedName>
    <definedName name="CUSTOM1_1_bed_WC">#REF!</definedName>
    <definedName name="CUSTOM1_10__Kitchen_Unit">#REF!</definedName>
    <definedName name="CUSTOM1_110_mm_dia._RWP" localSheetId="1">#REF!</definedName>
    <definedName name="CUSTOM1_110_mm_dia._RWP">#REF!</definedName>
    <definedName name="CUSTOM1_110mm_dia_RWP">#REF!</definedName>
    <definedName name="CUSTOM1_110mm_dia._opening_for_rain_water">#REF!</definedName>
    <definedName name="CUSTOM1_110mm_dia._Rainwater_pipe">#REF!</definedName>
    <definedName name="CUSTOM1_15mm_dia_Copper_pipe">#REF!</definedName>
    <definedName name="CUSTOM1_15mm_dia._CWS_Buried_Underground">#REF!</definedName>
    <definedName name="CUSTOM1_1F__25mm_dia._BCWS_Pipe">#REF!</definedName>
    <definedName name="CUSTOM1_1F__25mm_dia._HWS_Pipe">#REF!</definedName>
    <definedName name="CUSTOM1_1F__Isolation_valve">#REF!</definedName>
    <definedName name="CUSTOM1_1F__Water_Hammer_Arrestor">#REF!</definedName>
    <definedName name="CUSTOM1_1F_BOH_Service_and_Utility_area">#REF!</definedName>
    <definedName name="CUSTOM1_1F_BOH_Staircase">#REF!</definedName>
    <definedName name="CUSTOM1_1F_Guest_Core">#REF!</definedName>
    <definedName name="CUSTOM1_1F_Guestrooms">#REF!</definedName>
    <definedName name="CUSTOM1_1F_HGR_BOH">#REF!</definedName>
    <definedName name="CUSTOM1_1F_HGR_Circulation">#REF!</definedName>
    <definedName name="CUSTOM1_1F_HGR_Covered_Balcony">#REF!</definedName>
    <definedName name="CUSTOM1_1F_HGR_Fire_Staircase">#REF!</definedName>
    <definedName name="CUSTOM1_1F_HGR_Open_Terrace">#REF!</definedName>
    <definedName name="CUSTOM1_1F_Lift_Shaft">#REF!</definedName>
    <definedName name="CUSTOM1_1F_Roof_Terrace">#REF!</definedName>
    <definedName name="CUSTOM1_1F_Services_Core">#REF!</definedName>
    <definedName name="CUSTOM1_1F_Void___Dead_space">#REF!</definedName>
    <definedName name="CUSTOM1_1st_Floor">#REF!</definedName>
    <definedName name="CUSTOM1_1st_Floor___BOH___FIre_Escape_Stairs">#REF!</definedName>
    <definedName name="CUSTOM1_1st_Floor___BOH___Guest_Core">#REF!</definedName>
    <definedName name="CUSTOM1_1st_Floor___BOH___Guest_Core_lifts">#REF!</definedName>
    <definedName name="CUSTOM1_1st_Floor___BOH___Service_Core">#REF!</definedName>
    <definedName name="CUSTOM1_1st_Floor___BOH___Service_Core_ducts">#REF!</definedName>
    <definedName name="CUSTOM1_1st_Floor___BOH___Service_Core_lift_shafts">#REF!</definedName>
    <definedName name="CUSTOM1_1st_Floor___FOH___Guest_Circulation">#REF!</definedName>
    <definedName name="CUSTOM1_1st_Floor___FOH___Guestroom_Terrace">#REF!</definedName>
    <definedName name="CUSTOM1_1st_Floor___FOH___Guestrooms">#REF!</definedName>
    <definedName name="CUSTOM1_1st_Floor___Guest_Core_ducts">#REF!</definedName>
    <definedName name="CUSTOM1_2__Internal_Doors">#REF!</definedName>
    <definedName name="CUSTOM1_2__Internal_Doors___D1">#REF!</definedName>
    <definedName name="CUSTOM1_2_bed_2nd_bathroom_area" localSheetId="1">#REF!</definedName>
    <definedName name="CUSTOM1_2_bed_2nd_bathroom_area">#REF!</definedName>
    <definedName name="CUSTOM1_2_bed_2nd_bedroom_area">#REF!</definedName>
    <definedName name="CUSTOM1_2_bed_4_burner_hob">#REF!</definedName>
    <definedName name="CUSTOM1_2_bed_Balcony_area">#REF!</definedName>
    <definedName name="CUSTOM1_2_bed_bath_screen">#REF!</definedName>
    <definedName name="CUSTOM1_2_bed_bath_tub">#REF!</definedName>
    <definedName name="CUSTOM1_2_bed_bath_tub_mixer">#REF!</definedName>
    <definedName name="CUSTOM1_2_bed_bidet">#REF!</definedName>
    <definedName name="CUSTOM1_2_bed_cistern_cover">#REF!</definedName>
    <definedName name="CUSTOM1_2_bed_fridge_freezer">#REF!</definedName>
    <definedName name="CUSTOM1_2_bed_kitchen_sink">#REF!</definedName>
    <definedName name="CUSTOM1_2_bed_kitchen_sink_mixer">#REF!</definedName>
    <definedName name="CUSTOM1_2_bed_Kitchen_units">#REF!</definedName>
    <definedName name="CUSTOM1_2_bed_living_area">#REF!</definedName>
    <definedName name="CUSTOM1_2_bed_Master_bathroom_area">#REF!</definedName>
    <definedName name="CUSTOM1_2_bed_Master_bedroom_area">#REF!</definedName>
    <definedName name="CUSTOM1_2_bed_mirror">#REF!</definedName>
    <definedName name="CUSTOM1_2_bed_NIA">#REF!</definedName>
    <definedName name="CUSTOM1_2_bed_shower_mixer_set">#REF!</definedName>
    <definedName name="CUSTOM1_2_bed_shower_partition_inc_door">#REF!</definedName>
    <definedName name="CUSTOM1_2_bed_vanity_unit">#REF!</definedName>
    <definedName name="CUSTOM1_2_bed_wardrobes">#REF!</definedName>
    <definedName name="CUSTOM1_2_bed_wash_basin">#REF!</definedName>
    <definedName name="CUSTOM1_2_bed_wash_basin_mixer">#REF!</definedName>
    <definedName name="CUSTOM1_2_bed_washing_machine">#REF!</definedName>
    <definedName name="CUSTOM1_2_bed_WC">#REF!</definedName>
    <definedName name="CUSTOM1_2.2.1___Upper_Floors_240mm_thk_slab">#REF!</definedName>
    <definedName name="CUSTOM1_2.2.1___Upper_Floors_300mm_thk_slab">#REF!</definedName>
    <definedName name="CUSTOM1_2.3.1___Stairs__FF05_Steps_280mm">#REF!</definedName>
    <definedName name="CUSTOM1_2.3.2___Stairs__FF05_Risers_170mm">#REF!</definedName>
    <definedName name="CUSTOM1_2.3.3___Stairs__FF05_Skirting_100mm_high">#REF!</definedName>
    <definedName name="CUSTOM1_2.3.4___Stairs__Balustrade___Fixed_to_floor">#REF!</definedName>
    <definedName name="CUSTOM1_2.3.4___Stairs__Balustrade___Handrails_50mm_to_wall">#REF!</definedName>
    <definedName name="CUSTOM1_2.3.4___Stairs__Balustrade___Sloping_Fixed_to_floor">#REF!</definedName>
    <definedName name="CUSTOM1_2.4.1___Roof___Shuttering__Paint_incl_waterproofing_to_roof_canopies">#REF!</definedName>
    <definedName name="CUSTOM1_2.4.1___Roof___Shuttering__Precast_cement_incl_waterproofing">#REF!</definedName>
    <definedName name="CUSTOM1_2.4.1___Roof___Shuttering__Suspended_Reinforced_Concrete_Slab">#REF!</definedName>
    <definedName name="CUSTOM1_2.4.2___Roof___Shuttering__Roof_Access_panel_750mmx900mm">#REF!</definedName>
    <definedName name="CUSTOM1_20mm_dia_Bib_tap">#REF!</definedName>
    <definedName name="CUSTOM1_20mm_dia_HSW_pipe">#REF!</definedName>
    <definedName name="CUSTOM1_25mm_dia_BCWS_pipe">#REF!</definedName>
    <definedName name="CUSTOM1_25mm_dia_HSW_pipe">#REF!</definedName>
    <definedName name="CUSTOM1_2F_BOH_Roof_Terrace">#REF!</definedName>
    <definedName name="CUSTOM1_2F_BOH_Service_and_Utility_area">#REF!</definedName>
    <definedName name="CUSTOM1_2F_BOH_Staircase">#REF!</definedName>
    <definedName name="CUSTOM1_2F_Guest_Core">#REF!</definedName>
    <definedName name="CUSTOM1_2F_Guestrooms">#REF!</definedName>
    <definedName name="CUSTOM1_2F_HGR_BOH">#REF!</definedName>
    <definedName name="CUSTOM1_2F_HGR_Circulation">#REF!</definedName>
    <definedName name="CUSTOM1_2F_HGR_Covered_Balcony">#REF!</definedName>
    <definedName name="CUSTOM1_2F_HGR_Fire_Staircase">#REF!</definedName>
    <definedName name="CUSTOM1_2F_Lift_Shaft">#REF!</definedName>
    <definedName name="CUSTOM1_2F_Services_Core">#REF!</definedName>
    <definedName name="CUSTOM1_2F_Voids___Dead_space">#REF!</definedName>
    <definedName name="CUSTOM1_2nd_Floor">#REF!</definedName>
    <definedName name="CUSTOM1_2nd_Floor___BOH___Event_Center_Core">#REF!</definedName>
    <definedName name="CUSTOM1_2nd_Floor___BOH___Event_Center_Core_lift_shafts">#REF!</definedName>
    <definedName name="CUSTOM1_2nd_Floor___BOH___Event_Center_Service">#REF!</definedName>
    <definedName name="CUSTOM1_2nd_Floor___BOH___Event_Center_Service_lift_shafts">#REF!</definedName>
    <definedName name="CUSTOM1_2nd_Floor___BOH___Fire_Escape_Stairs">#REF!</definedName>
    <definedName name="CUSTOM1_2nd_Floor___BOH___Guest_Core">#REF!</definedName>
    <definedName name="CUSTOM1_2nd_Floor___BOH___Guest_Core_ducts">#REF!</definedName>
    <definedName name="CUSTOM1_2nd_Floor___BOH___Guest_Core_lift_shafts">#REF!</definedName>
    <definedName name="CUSTOM1_2nd_Floor___BOH___Service_Core">#REF!</definedName>
    <definedName name="CUSTOM1_2nd_Floor___BOH___Service_Core_ducts">#REF!</definedName>
    <definedName name="CUSTOM1_2nd_Floor___BOH___Service_Core_lift_shafts">#REF!</definedName>
    <definedName name="CUSTOM1_2nd_Floor___FOH___Guestroom_Circulation">#REF!</definedName>
    <definedName name="CUSTOM1_2nd_Floor___FOH___Guestroom_Terrace">#REF!</definedName>
    <definedName name="CUSTOM1_2nd_Floor___FOH___Guestrooms">#REF!</definedName>
    <definedName name="CUSTOM1_3__Wall_Finishes">#REF!</definedName>
    <definedName name="CUSTOM1_3__Wall_Finishes___D1">#REF!</definedName>
    <definedName name="CUSTOM1_3.1__Balustrade">#REF!</definedName>
    <definedName name="CUSTOM1_3.1__External_Walls" localSheetId="1">#REF!</definedName>
    <definedName name="CUSTOM1_3.1__External_Walls">#REF!</definedName>
    <definedName name="CUSTOM1_3.1.1___BW2__150mm_thk">#REF!</definedName>
    <definedName name="CUSTOM1_3.1.1___BW3__200mm_thk">#REF!</definedName>
    <definedName name="CUSTOM1_3.1.1___BW4__250mm_thk">#REF!</definedName>
    <definedName name="CUSTOM1_3.2.2___Timber__D_01___1600mmx2250mm" localSheetId="1">#REF!</definedName>
    <definedName name="CUSTOM1_3.2.2___Timber__D_01___1600mmx2250mm">#REF!</definedName>
    <definedName name="CUSTOM1_3.2.2___Timber__D_02___1000mmx2200mm">#REF!</definedName>
    <definedName name="CUSTOM1_3.2.2___Timber__D_04___1100mmx2200mm">#REF!</definedName>
    <definedName name="CUSTOM1_3.3.1___GL01___800mmx1350mm">#REF!</definedName>
    <definedName name="CUSTOM1_3.3.1___GL02___2350mmx2600mm">#REF!</definedName>
    <definedName name="CUSTOM1_3.3.1___GL03___2500mmx2600mm">#REF!</definedName>
    <definedName name="CUSTOM1_3.3.1___GL04___2000mmx2600mm">#REF!</definedName>
    <definedName name="CUSTOM1_3.3.1___GL05___2600mmx2700mm">#REF!</definedName>
    <definedName name="CUSTOM1_3.3.1___GL06___3600mmx2700mm">#REF!</definedName>
    <definedName name="CUSTOM1_3.3.1___GL07___1600mmx1350mm">#REF!</definedName>
    <definedName name="CUSTOM1_3.3.1___GL08___800mmx1350mm">#REF!</definedName>
    <definedName name="CUSTOM1_3.3.1___GL09___500mmx1200mm">#REF!</definedName>
    <definedName name="CUSTOM1_3.3.1___GL10___3600mmx2700mm">#REF!</definedName>
    <definedName name="CUSTOM1_3.3.1___GL11___2100mmx2700mm">#REF!</definedName>
    <definedName name="CUSTOM1_3.3.1___GL12___1600mmx2700mm">#REF!</definedName>
    <definedName name="CUSTOM1_3.3.1___GL13___1200mmx1800mm">#REF!</definedName>
    <definedName name="CUSTOM1_3.3.1___GL14___1000mmx1500mm">#REF!</definedName>
    <definedName name="CUSTOM1_3.3.1___GL15___5000mmx2700mm">#REF!</definedName>
    <definedName name="CUSTOM1_3.3.1___GL16___1700mmx1350mm">#REF!</definedName>
    <definedName name="CUSTOM1_3.3.1___GL17___600mmx1200mm">#REF!</definedName>
    <definedName name="CUSTOM1_3.4.1___Cement_render_and_paint">#REF!</definedName>
    <definedName name="CUSTOM1_3.4.2___50mmthk_Insulation">#REF!</definedName>
    <definedName name="CUSTOM1_3.4.3___External_Soffits">#REF!</definedName>
    <definedName name="CUSTOM1_3.4.5___Metal_railing_to_balcony">#REF!</definedName>
    <definedName name="CUSTOM1_32_dia._CWS_Main_Buried_underground" localSheetId="1">#REF!</definedName>
    <definedName name="CUSTOM1_32_dia._CWS_Main_Buried_underground">#REF!</definedName>
    <definedName name="CUSTOM1_32mm_dia_BCWS">#REF!</definedName>
    <definedName name="CUSTOM1_32mm_dia_BCWS_pipe">#REF!</definedName>
    <definedName name="CUSTOM1_32mm_dia_BCWS_Riser">#REF!</definedName>
    <definedName name="CUSTOM1_32mm_dia_HSW_pipe">#REF!</definedName>
    <definedName name="CUSTOM1_32mm_dia_HSW_Riser">#REF!</definedName>
    <definedName name="CUSTOM1_3F_BOH_Service___Utility_area">#REF!</definedName>
    <definedName name="CUSTOM1_3F_BOH_Staircase">#REF!</definedName>
    <definedName name="CUSTOM1_3F_Guest_Core">#REF!</definedName>
    <definedName name="CUSTOM1_3F_Guestrooms">#REF!</definedName>
    <definedName name="CUSTOM1_3F_HGR_BOH">#REF!</definedName>
    <definedName name="CUSTOM1_3F_HGR_Circulation">#REF!</definedName>
    <definedName name="CUSTOM1_3F_HGR_Covered_Balcony">#REF!</definedName>
    <definedName name="CUSTOM1_3F_HGR_Fire_Staircase">#REF!</definedName>
    <definedName name="CUSTOM1_3F_Lift_Shaft">#REF!</definedName>
    <definedName name="CUSTOM1_3F_Services_Core">#REF!</definedName>
    <definedName name="CUSTOM1_3F_Voids___Dead_space">#REF!</definedName>
    <definedName name="CUSTOM1_3rd_Floor">#REF!</definedName>
    <definedName name="CUSTOM1_3rd_Floor___BOH___Fire_Escape_Stairs">#REF!</definedName>
    <definedName name="CUSTOM1_3rd_Floor___BOH___Guest_Core">#REF!</definedName>
    <definedName name="CUSTOM1_3rd_Floor___BOH___Guest_Core_ducts">#REF!</definedName>
    <definedName name="CUSTOM1_3rd_Floor___BOH___Guest_Core_lift_shafts">#REF!</definedName>
    <definedName name="CUSTOM1_3rd_Floor___BOH___Service_Core">#REF!</definedName>
    <definedName name="CUSTOM1_3rd_Floor___BOH___Service_Core_ducts">#REF!</definedName>
    <definedName name="CUSTOM1_3rd_Floor___BOH___Service_Core_lift_shafts">#REF!</definedName>
    <definedName name="CUSTOM1_3rd_Floor___FOH___Guest_Circulation">#REF!</definedName>
    <definedName name="CUSTOM1_3rd_Floor___FOH___Guestroom_Terrace">#REF!</definedName>
    <definedName name="CUSTOM1_3rd_Floor___FOH___Guestrooms">#REF!</definedName>
    <definedName name="CUSTOM1_4__Floor_Finishes" localSheetId="1">#REF!</definedName>
    <definedName name="CUSTOM1_4__Floor_Finishes">#REF!</definedName>
    <definedName name="CUSTOM1_4__Floor_Finishes___D1" localSheetId="1">#REF!</definedName>
    <definedName name="CUSTOM1_4__Floor_Finishes___D1">#REF!</definedName>
    <definedName name="CUSTOM1_4.1__Skirting">#REF!</definedName>
    <definedName name="CUSTOM1_4.1__Threshold">#REF!</definedName>
    <definedName name="CUSTOM1_4.1__Threshold___S1">#REF!</definedName>
    <definedName name="CUSTOM1_4.1.1___BW1__100mm_thk">#REF!</definedName>
    <definedName name="CUSTOM1_4.1.1___BW2__150mm_thk">#REF!</definedName>
    <definedName name="CUSTOM1_4.1.1___BW3__200mm_thk">#REF!</definedName>
    <definedName name="CUSTOM1_4.1.2___Allow_for_joint_sealant">#REF!</definedName>
    <definedName name="CUSTOM1_4.2__Skirting">#REF!</definedName>
    <definedName name="CUSTOM1_4.2__Skirting___S1" localSheetId="1">#REF!</definedName>
    <definedName name="CUSTOM1_4.2__Skirting___S1">#REF!</definedName>
    <definedName name="CUSTOM1_4.2.1___D_02__1000mm_x_2200mm">#REF!</definedName>
    <definedName name="CUSTOM1_4.2.1___D_03__900mm_x_2200mm">#REF!</definedName>
    <definedName name="CUSTOM1_4.2.1___D_04">#REF!</definedName>
    <definedName name="CUSTOM1_4.2.2___Utility_Cupboard">#REF!</definedName>
    <definedName name="CUSTOM1_4F_BOH_Service___Utility_area" localSheetId="1">#REF!</definedName>
    <definedName name="CUSTOM1_4F_BOH_Service___Utility_area">#REF!</definedName>
    <definedName name="CUSTOM1_4F_BOH_Staircase" localSheetId="1">#REF!</definedName>
    <definedName name="CUSTOM1_4F_BOH_Staircase">#REF!</definedName>
    <definedName name="CUSTOM1_4F_Guest_Core" localSheetId="1">#REF!</definedName>
    <definedName name="CUSTOM1_4F_Guest_Core">#REF!</definedName>
    <definedName name="CUSTOM1_4F_Guestrooms">#REF!</definedName>
    <definedName name="CUSTOM1_4F_HGR_BOH">#REF!</definedName>
    <definedName name="CUSTOM1_4F_HGR_Circulation">#REF!</definedName>
    <definedName name="CUSTOM1_4F_HGR_Covered_Balcony">#REF!</definedName>
    <definedName name="CUSTOM1_4F_HGR_Fire_Staircase">#REF!</definedName>
    <definedName name="CUSTOM1_4F_Lift_Shaft">#REF!</definedName>
    <definedName name="CUSTOM1_4F_Services_Core">#REF!</definedName>
    <definedName name="CUSTOM1_4F_Voids___Dead_space">#REF!</definedName>
    <definedName name="CUSTOM1_4th_Floor___BOH___Fire_Escape_Stairs">#REF!</definedName>
    <definedName name="CUSTOM1_4th_Floor___BOH___Guest_Core">#REF!</definedName>
    <definedName name="CUSTOM1_4th_Floor___BOH___Guest_Core_ducts">#REF!</definedName>
    <definedName name="CUSTOM1_4th_Floor___BOH___Guest_Core_lift_shafts">#REF!</definedName>
    <definedName name="CUSTOM1_4th_Floor___BOH___Service_Core">#REF!</definedName>
    <definedName name="CUSTOM1_4th_Floor___BOH___Service_Core_ducts">#REF!</definedName>
    <definedName name="CUSTOM1_4th_Floor___BOH___Service_Core_lift_shafts">#REF!</definedName>
    <definedName name="CUSTOM1_4th_Floor___FOH___Guestroom_Circulation">#REF!</definedName>
    <definedName name="CUSTOM1_4th_Floor___FOH___Guestroom_Terrace">#REF!</definedName>
    <definedName name="CUSTOM1_4th_Floor___FOH___Guestrooms">#REF!</definedName>
    <definedName name="CUSTOM1_4th_Floor___FOH___Roof_Top_Pantry">#REF!</definedName>
    <definedName name="CUSTOM1_4th_Floor___FOH___Roof_Top_Restaurant">#REF!</definedName>
    <definedName name="CUSTOM1_4th_Floor___FOH___Roof_Top_Toilets">#REF!</definedName>
    <definedName name="CUSTOM1_4th_Floor___Roof_Top_Restaurant_open_terrace">#REF!</definedName>
    <definedName name="CUSTOM1_5__Ceiling_Finishes">#REF!</definedName>
    <definedName name="CUSTOM1_5__Ceiling_Finishes___D1">#REF!</definedName>
    <definedName name="CUSTOM1_5.1__Blukheads">#REF!</definedName>
    <definedName name="CUSTOM1_5.1__Blukheads___S1">#REF!</definedName>
    <definedName name="CUSTOM1_5.1.2___Paint_to_walls__PF03">#REF!</definedName>
    <definedName name="CUSTOM1_5.1.2___Paint_to_walls__PF04">#REF!</definedName>
    <definedName name="CUSTOM1_5.1.3___Ceramic_Tiles_to_walls__WF01">#REF!</definedName>
    <definedName name="CUSTOM1_5.1.3___Ceramic_Tiles_to_walls__WF03">#REF!</definedName>
    <definedName name="CUSTOM1_5.1.3___Ceramic_Tiles_to_walls__WF05">#REF!</definedName>
    <definedName name="CUSTOM1_5.1.3___Ceramic_Tiles_to_walls__WF07">#REF!</definedName>
    <definedName name="CUSTOM1_5.1.4___Waterproofing_to_wet_areas">#REF!</definedName>
    <definedName name="CUSTOM1_5.2.2___FF01__Porcelian_Tiles">#REF!</definedName>
    <definedName name="CUSTOM1_5.2.2___FF01__Porcelian_Tiles_Skirting">#REF!</definedName>
    <definedName name="CUSTOM1_5.2.3___FF03__Ceramic_Tiles">#REF!</definedName>
    <definedName name="CUSTOM1_5.2.3___FF03__Ceramic_Tiles____Balconies">#REF!</definedName>
    <definedName name="CUSTOM1_5.2.3___FF03__Ceramic_Tiles____Waterproofing_to_wet_areas">#REF!</definedName>
    <definedName name="CUSTOM1_5.2.3___FF03__Ceramic_Tiles_Skirting">#REF!</definedName>
    <definedName name="CUSTOM1_5.2.4___Threshold_Allowance_100mm_200mm_thk">#REF!</definedName>
    <definedName name="CUSTOM1_5.3.1___PF01__Gypsum_Board">#REF!</definedName>
    <definedName name="CUSTOM1_5.3.1___PF01__Slab_Soffits">#REF!</definedName>
    <definedName name="CUSTOM1_5.3.1___PF03__Gypsum_Board">#REF!</definedName>
    <definedName name="CUSTOM1_5.3.2___Bulkheads">#REF!</definedName>
    <definedName name="CUSTOM1_50mm_dia_WP">#REF!</definedName>
    <definedName name="CUSTOM1_50mm_dia._Balcony_Drain" localSheetId="1">#REF!</definedName>
    <definedName name="CUSTOM1_50mm_dia._Balcony_Drain">#REF!</definedName>
    <definedName name="CUSTOM1_5A_CEILING">#REF!</definedName>
    <definedName name="CUSTOM1_5A_FS01">#REF!</definedName>
    <definedName name="CUSTOM1_5A_FS02">#REF!</definedName>
    <definedName name="CUSTOM1_5A_FS02_2F">#REF!</definedName>
    <definedName name="CUSTOM1_5A_FS03">#REF!</definedName>
    <definedName name="CUSTOM1_5A_FS03_AREA">#REF!</definedName>
    <definedName name="CUSTOM1_5A_FS03_GRILL">#REF!</definedName>
    <definedName name="CUSTOM1_5A_FS04">#REF!</definedName>
    <definedName name="CUSTOM1_5A_FS04_1F">#REF!</definedName>
    <definedName name="CUSTOM1_5A_FS04_2F">#REF!</definedName>
    <definedName name="CUSTOM1_5A_FS05">#REF!</definedName>
    <definedName name="CUSTOM1_5A_FS05_RF">#REF!</definedName>
    <definedName name="CUSTOM1_5A_FS07">#REF!</definedName>
    <definedName name="CUSTOM1_5A_FS08">#REF!</definedName>
    <definedName name="CUSTOM1_5A_FS08_RF">#REF!</definedName>
    <definedName name="CUSTOM1_5A_FS12_1F">#REF!</definedName>
    <definedName name="CUSTOM1_5A_FS15_2F">#REF!</definedName>
    <definedName name="CUSTOM1_5A_FS16">#REF!</definedName>
    <definedName name="CUSTOM1_5B_FS01">#REF!</definedName>
    <definedName name="CUSTOM1_5B_FS02_1F">#REF!</definedName>
    <definedName name="CUSTOM1_5B_FS02_RF">#REF!</definedName>
    <definedName name="CUSTOM1_5B_FS03">#REF!</definedName>
    <definedName name="CUSTOM1_5B_FS03_AREA">#REF!</definedName>
    <definedName name="CUSTOM1_5B_FS03_GRILL">#REF!</definedName>
    <definedName name="CUSTOM1_5B_FS03_RF">#REF!</definedName>
    <definedName name="CUSTOM1_5B_FS04_1F">#REF!</definedName>
    <definedName name="CUSTOM1_5B_FS04_2F">#REF!</definedName>
    <definedName name="CUSTOM1_5B_FS04_RF">#REF!</definedName>
    <definedName name="CUSTOM1_5B_FS05">#REF!</definedName>
    <definedName name="CUSTOM1_5B_FS05_GARDEN">#REF!</definedName>
    <definedName name="CUSTOM1_5B_FS05_PARAPET">#REF!</definedName>
    <definedName name="CUSTOM1_5B_FS06">#REF!</definedName>
    <definedName name="CUSTOM1_5B_FS07_1F">#REF!</definedName>
    <definedName name="CUSTOM1_5B_FS08_RF">#REF!</definedName>
    <definedName name="CUSTOM1_5B_FS11_1F">#REF!</definedName>
    <definedName name="CUSTOM1_5B_FS11_2F">#REF!</definedName>
    <definedName name="CUSTOM1_5B_FS12_2F">#REF!</definedName>
    <definedName name="CUSTOM1_5B_FS15_1F">#REF!</definedName>
    <definedName name="CUSTOM1_5B_FS15_2F">#REF!</definedName>
    <definedName name="CUSTOM1_5B_FS15_RF">#REF!</definedName>
    <definedName name="CUSTOM1_5B_FS16">#REF!</definedName>
    <definedName name="CUSTOM1_5B_LOUVRE">#REF!</definedName>
    <definedName name="CUSTOM1_5B_PARAPET_COPING">#REF!</definedName>
    <definedName name="CUSTOM1_5C_FS01">#REF!</definedName>
    <definedName name="CUSTOM1_5C_FS02">#REF!</definedName>
    <definedName name="CUSTOM1_5C_FS02_1F">#REF!</definedName>
    <definedName name="CUSTOM1_5C_FS02_COPING">#REF!</definedName>
    <definedName name="CUSTOM1_5C_FS03">#REF!</definedName>
    <definedName name="CUSTOM1_5C_FS03_GRILL">#REF!</definedName>
    <definedName name="CUSTOM1_5C_FS05_RF">#REF!</definedName>
    <definedName name="CUSTOM1_5C_FS07_RF">#REF!</definedName>
    <definedName name="CUSTOM1_5C_FS08_1F">#REF!</definedName>
    <definedName name="CUSTOM1_5C_FS08_RF">#REF!</definedName>
    <definedName name="CUSTOM1_5C_FS16">#REF!</definedName>
    <definedName name="CUSTOM1_5C_LINK_BRIDGE">#REF!</definedName>
    <definedName name="CUSTOM1_5F_BOH_Circulation">#REF!</definedName>
    <definedName name="CUSTOM1_5F_BOH_Service___Utility_area">#REF!</definedName>
    <definedName name="CUSTOM1_5F_BOH_Staircase">#REF!</definedName>
    <definedName name="CUSTOM1_5F_Lift_Shaft">#REF!</definedName>
    <definedName name="CUSTOM1_5F_MEP">#REF!</definedName>
    <definedName name="CUSTOM1_5F_Services_Core">#REF!</definedName>
    <definedName name="CUSTOM1_5F_Voids___Dead_area">#REF!</definedName>
    <definedName name="CUSTOM1_6__FF_E_Fixed">#REF!</definedName>
    <definedName name="CUSTOM1_6__FF_E_Fixed___D1">#REF!</definedName>
    <definedName name="CUSTOM1_6.1.1___U_Shaped_Base_Cabinet___3400___2250___2300_x_700_x_900">#REF!</definedName>
    <definedName name="CUSTOM1_6.1.2___Kitchen_Wall_Cabinet_____600_x340_x_830">#REF!</definedName>
    <definedName name="CUSTOM1_6.1.2___Kitchen_Wall_Cabinet_____650_x340_x_830">#REF!</definedName>
    <definedName name="CUSTOM1_6.1.2___Kitchen_Wall_Cabinet_____850_x340_x_830">#REF!</definedName>
    <definedName name="CUSTOM1_6.1.2___Kitchen_Wall_Cabinet_____900_x340_x_400">#REF!</definedName>
    <definedName name="CUSTOM1_6.1.3___Cooker_Hood__4_series">#REF!</definedName>
    <definedName name="CUSTOM1_6.2.1___Wardrobe__1000mm_x_600mm__walkin_">#REF!</definedName>
    <definedName name="CUSTOM1_6.2.1___Wardrobe__2000mm_x_600mm__Bed3_">#REF!</definedName>
    <definedName name="CUSTOM1_6.2.1___Wardrobe__2200mm_x_600mm__Bed2_">#REF!</definedName>
    <definedName name="CUSTOM1_6.2.1___Wardrobe_L_shape__2500mm___2300mm_x_600mm__walkin_">#REF!</definedName>
    <definedName name="CUSTOM1_6.3.1___Base_Cabinet__1000mm_x_600mm_x_900mm">#REF!</definedName>
    <definedName name="CUSTOM1_6.3.1___Base_Cabinet__1800mm_x_600mm_x_900m">#REF!</definedName>
    <definedName name="CUSTOM1_6.3.1___Base_Cabinet__1900mm_x_600mm_x_900m">#REF!</definedName>
    <definedName name="CUSTOM1_8__Sanitary_Ware">#REF!</definedName>
    <definedName name="CUSTOM1_8__Sanitary_Ware___D1">#REF!</definedName>
    <definedName name="CUSTOM1_82mm_dia_Vent_pipe_1F" localSheetId="1">#REF!</definedName>
    <definedName name="CUSTOM1_82mm_dia_Vent_pipe_1F">#REF!</definedName>
    <definedName name="CUSTOM1_82mm_dia_Vent_pipe_GF">#REF!</definedName>
    <definedName name="CUSTOM1_9__Kitchen_Unit">#REF!</definedName>
    <definedName name="CUSTOM1_9__Stairs">#REF!</definedName>
    <definedName name="CUSTOM1_AM_Beams" localSheetId="1">#REF!</definedName>
    <definedName name="CUSTOM1_AM_Beams">#REF!</definedName>
    <definedName name="CUSTOM1_AM_Slab_1200">#REF!</definedName>
    <definedName name="CUSTOM1_AM_Slab_300">#REF!</definedName>
    <definedName name="CUSTOM1_Assume_Roof">#REF!</definedName>
    <definedName name="CUSTOM1_Assumed_Stair_Roof">#REF!</definedName>
    <definedName name="CUSTOM1_B1">#REF!</definedName>
    <definedName name="CUSTOM1_B1___BOH____Loading_Unloading">#REF!</definedName>
    <definedName name="CUSTOM1_B1___BOH____Service_Corridor">#REF!</definedName>
    <definedName name="CUSTOM1_B1___BOH___Bulk_Storage">#REF!</definedName>
    <definedName name="CUSTOM1_B1___BOH___Event_Center_Core">#REF!</definedName>
    <definedName name="CUSTOM1_B1___BOH___Event_Center_Core_lift_shafts">#REF!</definedName>
    <definedName name="CUSTOM1_B1___BOH___Event_Center_Kitchen">#REF!</definedName>
    <definedName name="CUSTOM1_B1___BOH___Event_Center_Service">#REF!</definedName>
    <definedName name="CUSTOM1_B1___BOH___Fire_Escape_Stairs">#REF!</definedName>
    <definedName name="CUSTOM1_B1___BOH___Food___Beverage_Dept">#REF!</definedName>
    <definedName name="CUSTOM1_B1___BOH___General_Areas">#REF!</definedName>
    <definedName name="CUSTOM1_B1___BOH___Guest_Core">#REF!</definedName>
    <definedName name="CUSTOM1_B1___BOH___Guest_Core_ducts">#REF!</definedName>
    <definedName name="CUSTOM1_B1___BOH___Guest_Core_lift_shafts">#REF!</definedName>
    <definedName name="CUSTOM1_B1___BOH___Human_Resources">#REF!</definedName>
    <definedName name="CUSTOM1_B1___BOH___Main_Kitchen">#REF!</definedName>
    <definedName name="CUSTOM1_B1___BOH___Pool_Bar___Grill_Pantry">#REF!</definedName>
    <definedName name="CUSTOM1_B1___BOH___Ramp__B1___GF_">#REF!</definedName>
    <definedName name="CUSTOM1_B1___BOH___Ramp_B1_to_B2__loading_unloading_">#REF!</definedName>
    <definedName name="CUSTOM1_B1___BOH___Receiving___Purchasing">#REF!</definedName>
    <definedName name="CUSTOM1_B1___BOH___Service_Core">#REF!</definedName>
    <definedName name="CUSTOM1_B1___BOH___Service_Core_ducts">#REF!</definedName>
    <definedName name="CUSTOM1_B1___BOH___Service_Core_lift_shaft">#REF!</definedName>
    <definedName name="CUSTOM1_B1___BOH___Service_Corridor">#REF!</definedName>
    <definedName name="CUSTOM1_B1___BOH___Speciality_Restaurant_01_Pantry">#REF!</definedName>
    <definedName name="CUSTOM1_B1___BOH___Staff_Core">#REF!</definedName>
    <definedName name="CUSTOM1_B1___BOH___Staff_Core_lift_shafts">#REF!</definedName>
    <definedName name="CUSTOM1_B1___BOH___Staff_Facilities">#REF!</definedName>
    <definedName name="CUSTOM1_B1___BOH___Waste_Management">#REF!</definedName>
    <definedName name="CUSTOM1_B1___Double_Volume_internal_Plant_RM">#REF!</definedName>
    <definedName name="CUSTOM1_B1___FOH____Day_Care_Center">#REF!</definedName>
    <definedName name="CUSTOM1_B1___FOH___All_Day_Dining">#REF!</definedName>
    <definedName name="CUSTOM1_B1___FOH___Circulation">#REF!</definedName>
    <definedName name="CUSTOM1_B1___FOH___Day_Care_Center_Terrace">#REF!</definedName>
    <definedName name="CUSTOM1_B1___FOH___Guest_Circulation">#REF!</definedName>
    <definedName name="CUSTOM1_B1___FOH___Guestroom_Terrace">#REF!</definedName>
    <definedName name="CUSTOM1_B1___FOH___Guestrooms">#REF!</definedName>
    <definedName name="CUSTOM1_B1___FOH___Gym">#REF!</definedName>
    <definedName name="CUSTOM1_B1___FOH___Pool_Bar___Grill">#REF!</definedName>
    <definedName name="CUSTOM1_B1___FOH___Pool_Bar___Grill_Terrace">#REF!</definedName>
    <definedName name="CUSTOM1_B1___FOH___Spa">#REF!</definedName>
    <definedName name="CUSTOM1_B1___FOH___Speciality_Restauarant_02_Toilets">#REF!</definedName>
    <definedName name="CUSTOM1_B1___FOH___Speciality_Restaurant_01">#REF!</definedName>
    <definedName name="CUSTOM1_B1___FOH___Speciality_Restaurant_02">#REF!</definedName>
    <definedName name="CUSTOM1_B1___FOH___Speciality_Restaurant_02_Terrace__covered_terrace_area_">#REF!</definedName>
    <definedName name="CUSTOM1_B1___FOH___Speciality_Restaurant_02_Terrace__open_terrace_area_">#REF!</definedName>
    <definedName name="CUSTOM1_B1___Parking">#REF!</definedName>
    <definedName name="CUSTOM1_B1__BOH_">#REF!</definedName>
    <definedName name="CUSTOM1_B1__Car_Park_">#REF!</definedName>
    <definedName name="CUSTOM1_B1__Column_C1">#REF!</definedName>
    <definedName name="CUSTOM1_B1__Column_C10">#REF!</definedName>
    <definedName name="CUSTOM1_B1__Column_C11">#REF!</definedName>
    <definedName name="CUSTOM1_B1__Column_C12">#REF!</definedName>
    <definedName name="CUSTOM1_B1__Column_C2">#REF!</definedName>
    <definedName name="CUSTOM1_B1__Column_C3">#REF!</definedName>
    <definedName name="CUSTOM1_B1__Column_C4">#REF!</definedName>
    <definedName name="CUSTOM1_B1__Column_C5">#REF!</definedName>
    <definedName name="CUSTOM1_B1__Column_C6">#REF!</definedName>
    <definedName name="CUSTOM1_B1__Column_C7">#REF!</definedName>
    <definedName name="CUSTOM1_B1__Column_C8">#REF!</definedName>
    <definedName name="CUSTOM1_B1__Column_C9">#REF!</definedName>
    <definedName name="CUSTOM1_B1__Column_TC1">#REF!</definedName>
    <definedName name="CUSTOM1_B1__Column_TC2">#REF!</definedName>
    <definedName name="CUSTOM1_B1__Column_TC3">#REF!</definedName>
    <definedName name="CUSTOM1_B1__Column_TC4">#REF!</definedName>
    <definedName name="CUSTOM1_B1__Column_TC5">#REF!</definedName>
    <definedName name="CUSTOM1_B1__FOH_circulation_">#REF!</definedName>
    <definedName name="CUSTOM1_B1__GIFA_">#REF!</definedName>
    <definedName name="CUSTOM1_B1__RW1_400">#REF!</definedName>
    <definedName name="CUSTOM1_B1__RW2_600">#REF!</definedName>
    <definedName name="CUSTOM1_B1__Stairs_">#REF!</definedName>
    <definedName name="CUSTOM1_B1__TW1_250">#REF!</definedName>
    <definedName name="CUSTOM1_B1__TW2_200">#REF!</definedName>
    <definedName name="CUSTOM1_B1__TW3_300">#REF!</definedName>
    <definedName name="CUSTOM1_B1__TW3_400">#REF!</definedName>
    <definedName name="CUSTOM1_B1__TW4_500">#REF!</definedName>
    <definedName name="CUSTOM1_B1__TW4_500_Door_Overhead">#REF!</definedName>
    <definedName name="CUSTOM1_B1__TW4_600">#REF!</definedName>
    <definedName name="CUSTOM1_B1__voids_">#REF!</definedName>
    <definedName name="CUSTOM1_B1__W1__300">#REF!</definedName>
    <definedName name="CUSTOM1_B1__W1_300_Door_Overhead">#REF!</definedName>
    <definedName name="CUSTOM1_B1_Beams">#REF!</definedName>
    <definedName name="CUSTOM1_B1_BOH">#REF!</definedName>
    <definedName name="CUSTOM1_B1_BOH_Area" localSheetId="1">#REF!</definedName>
    <definedName name="CUSTOM1_B1_BOH_Area">#REF!</definedName>
    <definedName name="CUSTOM1_B1_BOH_Service___Utility_area" localSheetId="1">#REF!</definedName>
    <definedName name="CUSTOM1_B1_BOH_Service___Utility_area">#REF!</definedName>
    <definedName name="CUSTOM1_B1_Car_Park" localSheetId="1">#REF!</definedName>
    <definedName name="CUSTOM1_B1_Car_Park">#REF!</definedName>
    <definedName name="CUSTOM1_B1_Double_Internal_Doors__BOH_" localSheetId="1">#REF!</definedName>
    <definedName name="CUSTOM1_B1_Double_Internal_Doors__BOH_">#REF!</definedName>
    <definedName name="CUSTOM1_B1_Double_Internal_Doors__FOH_">#REF!</definedName>
    <definedName name="CUSTOM1_B1_Double_Volume_area" localSheetId="1">#REF!</definedName>
    <definedName name="CUSTOM1_B1_Double_Volume_area">#REF!</definedName>
    <definedName name="CUSTOM1_B1_Executive_Club" localSheetId="1">#REF!</definedName>
    <definedName name="CUSTOM1_B1_Executive_Club">#REF!</definedName>
    <definedName name="CUSTOM1_B1_FOH_Circulation" localSheetId="1">#REF!</definedName>
    <definedName name="CUSTOM1_B1_FOH_Circulation">#REF!</definedName>
    <definedName name="CUSTOM1_B1_FOH_Circulation_area" localSheetId="1">#REF!</definedName>
    <definedName name="CUSTOM1_B1_FOH_Circulation_area">#REF!</definedName>
    <definedName name="CUSTOM1_B1_FOH_Lobby" localSheetId="1">#REF!</definedName>
    <definedName name="CUSTOM1_B1_FOH_Lobby">#REF!</definedName>
    <definedName name="CUSTOM1_B1_GIFA" localSheetId="1">#REF!</definedName>
    <definedName name="CUSTOM1_B1_GIFA">#REF!</definedName>
    <definedName name="CUSTOM1_B1_Guest_Core" localSheetId="1">#REF!</definedName>
    <definedName name="CUSTOM1_B1_Guest_Core">#REF!</definedName>
    <definedName name="CUSTOM1_B1_Gym" localSheetId="1">#REF!</definedName>
    <definedName name="CUSTOM1_B1_Gym">#REF!</definedName>
    <definedName name="CUSTOM1_B1_Gym_Toilets" localSheetId="1">#REF!</definedName>
    <definedName name="CUSTOM1_B1_Gym_Toilets">#REF!</definedName>
    <definedName name="CUSTOM1_B1_Internal_Double_doors__BOH_">#REF!</definedName>
    <definedName name="CUSTOM1_B1_Internal_Double_doors__FOH_">#REF!</definedName>
    <definedName name="CUSTOM1_B1_Internal_Single_doors__BOH_">#REF!</definedName>
    <definedName name="CUSTOM1_B1_Kids_Area">#REF!</definedName>
    <definedName name="CUSTOM1_B1_Kitchen">#REF!</definedName>
    <definedName name="CUSTOM1_B1_Lift_Shaft">#REF!</definedName>
    <definedName name="CUSTOM1_B1_Main_Restaurant">#REF!</definedName>
    <definedName name="CUSTOM1_B1_MEP_Area">#REF!</definedName>
    <definedName name="CUSTOM1_B1_Mezz">#REF!</definedName>
    <definedName name="CUSTOM1_B1_Mezzanine___BOH___Event_Center_Admin">#REF!</definedName>
    <definedName name="CUSTOM1_B1_Mezzanine___BOH___Event_Center_Core">#REF!</definedName>
    <definedName name="CUSTOM1_B1_Mezzanine___BOH___Event_Center_Valet">#REF!</definedName>
    <definedName name="CUSTOM1_B1_Mezzanine___BOH___Event_Service_Core_lift_shafts">#REF!</definedName>
    <definedName name="CUSTOM1_B1_Mezzanine___BOH___Fire_Escape_Stairs">#REF!</definedName>
    <definedName name="CUSTOM1_B1_Mezzanine___BOH___General_Areas">#REF!</definedName>
    <definedName name="CUSTOM1_B1_Mezzanine___BOH___Guest_Core">#REF!</definedName>
    <definedName name="CUSTOM1_B1_Mezzanine___BOH___Guest_Core_ducts">#REF!</definedName>
    <definedName name="CUSTOM1_B1_Mezzanine___BOH___Guest_Core_lift_shafts">#REF!</definedName>
    <definedName name="CUSTOM1_B1_Mezzanine___BOH___RMU">#REF!</definedName>
    <definedName name="CUSTOM1_B1_Mezzanine___BOH___Service_Core">#REF!</definedName>
    <definedName name="CUSTOM1_B1_Mezzanine___BOH___Service_Core_ducts">#REF!</definedName>
    <definedName name="CUSTOM1_B1_Mezzanine___BOH___Service_Core_lift_shafts">#REF!</definedName>
    <definedName name="CUSTOM1_B1_Mezzanine___Double_Volume__left_wing_">#REF!</definedName>
    <definedName name="CUSTOM1_B1_Mezzanine___Double_Volume__left_wing_stairs___">#REF!</definedName>
    <definedName name="CUSTOM1_B1_Mezzanine___Double_Volume__main_hotel___">#REF!</definedName>
    <definedName name="CUSTOM1_B1_Mezzanine___Double_Volume__right_wing_">#REF!</definedName>
    <definedName name="CUSTOM1_B1_Mezzanine___Double_Volume__right_wing_stairs___">#REF!</definedName>
    <definedName name="CUSTOM1_B1_Mezzanine___Double_Volume__Speciality_Restaurant___">#REF!</definedName>
    <definedName name="CUSTOM1_B1_Mezzanine___FOH___Business_Center">#REF!</definedName>
    <definedName name="CUSTOM1_B1_Mezzanine___FOH___Circulation">#REF!</definedName>
    <definedName name="CUSTOM1_B1_Mezzanine___FOH___Event_Center_Core_lift_shafts">#REF!</definedName>
    <definedName name="CUSTOM1_B1_Mezzanine___FOH___Event_Center_Port_Corchere">#REF!</definedName>
    <definedName name="CUSTOM1_B1_Mezzanine___FOH___Event_Center_Reception">#REF!</definedName>
    <definedName name="CUSTOM1_B1_Mezzanine___FOH___Event_Center_Wind_Lobby">#REF!</definedName>
    <definedName name="CUSTOM1_B1_Mezzanine___FOH___Guestroom_Terrace">#REF!</definedName>
    <definedName name="CUSTOM1_B1_Mezzanine___FOH___Guestrooms">#REF!</definedName>
    <definedName name="CUSTOM1_B1_Mezzanine___FOH___Meeting_Prefunction">#REF!</definedName>
    <definedName name="CUSTOM1_B1_Mezzanine___FOH___Meeting_Rooms">#REF!</definedName>
    <definedName name="CUSTOM1_B1_Mezzanine___FOH___Meeting_Rooms_Pantry">#REF!</definedName>
    <definedName name="CUSTOM1_B1_Mezzanine___FOH___Meeting_Rooms_Terrace">#REF!</definedName>
    <definedName name="CUSTOM1_B1_Mezzanine___FOH___Meeting_Rooms_Toilet">#REF!</definedName>
    <definedName name="CUSTOM1_B1_Mezzanine___FOH___Retail">#REF!</definedName>
    <definedName name="CUSTOM1_B1_Parking_area">#REF!</definedName>
    <definedName name="CUSTOM1_B1_Public_Toilets">#REF!</definedName>
    <definedName name="CUSTOM1_B1_Ramp">#REF!</definedName>
    <definedName name="CUSTOM1_B1_Service_Lift_Lobby">#REF!</definedName>
    <definedName name="CUSTOM1_B1_Services_Core">#REF!</definedName>
    <definedName name="CUSTOM1_B1_Single_Internal_Doors__BOH_">#REF!</definedName>
    <definedName name="CUSTOM1_B1_Slab_200" localSheetId="1">#REF!</definedName>
    <definedName name="CUSTOM1_B1_Slab_200">#REF!</definedName>
    <definedName name="CUSTOM1_B1_Slab_220">#REF!</definedName>
    <definedName name="CUSTOM1_B1_Slab_240">#REF!</definedName>
    <definedName name="CUSTOM1_B1_Slab_260">#REF!</definedName>
    <definedName name="CUSTOM1_B1_Spa">#REF!</definedName>
    <definedName name="CUSTOM1_B1_Speciality_Kitchen">#REF!</definedName>
    <definedName name="CUSTOM1_B1_Speciality_Restaurant">#REF!</definedName>
    <definedName name="CUSTOM1_B1_Staicase_Lobby">#REF!</definedName>
    <definedName name="CUSTOM1_B1_Staircase">#REF!</definedName>
    <definedName name="CUSTOM1_B1_Stairs">#REF!</definedName>
    <definedName name="CUSTOM1_B1_Voids" localSheetId="1">#REF!</definedName>
    <definedName name="CUSTOM1_B1_Voids">#REF!</definedName>
    <definedName name="CUSTOM1_B2" localSheetId="1">#REF!</definedName>
    <definedName name="CUSTOM1_B2">#REF!</definedName>
    <definedName name="CUSTOM1_B2___BOH____Tank" localSheetId="1">#REF!</definedName>
    <definedName name="CUSTOM1_B2___BOH____Tank">#REF!</definedName>
    <definedName name="CUSTOM1_B2___BOH___AHU">#REF!</definedName>
    <definedName name="CUSTOM1_B2___BOH___Engineering___Maintenance">#REF!</definedName>
    <definedName name="CUSTOM1_B2___BOH___Event_Center_Core">#REF!</definedName>
    <definedName name="CUSTOM1_B2___BOH___Event_Center_Core_lift_shafts">#REF!</definedName>
    <definedName name="CUSTOM1_B2___BOH___Fire_Escape_Stairs">#REF!</definedName>
    <definedName name="CUSTOM1_B2___BOH___Guest_Core">#REF!</definedName>
    <definedName name="CUSTOM1_B2___BOH___Guest_Core_lift_shafts">#REF!</definedName>
    <definedName name="CUSTOM1_B2___BOH___Heat_Exchange">#REF!</definedName>
    <definedName name="CUSTOM1_B2___BOH___IT_Department">#REF!</definedName>
    <definedName name="CUSTOM1_B2___BOH___Laundry___Housekeeping">#REF!</definedName>
    <definedName name="CUSTOM1_B2___BOH___LV_Room">#REF!</definedName>
    <definedName name="CUSTOM1_B2___BOH___Plant">#REF!</definedName>
    <definedName name="CUSTOM1_B2___BOH___Pump_Room">#REF!</definedName>
    <definedName name="CUSTOM1_B2___BOH___Ramp_B2_to_B1">#REF!</definedName>
    <definedName name="CUSTOM1_B2___BOH___Ramp_B2_to_B1__loading___unloading_">#REF!</definedName>
    <definedName name="CUSTOM1_B2___BOH___Service_Core">#REF!</definedName>
    <definedName name="CUSTOM1_B2___BOH___Service_Core_duct">#REF!</definedName>
    <definedName name="CUSTOM1_B2___BOH___Service_Core_lift_shafts">#REF!</definedName>
    <definedName name="CUSTOM1_B2___BOH___Service_Corridor">#REF!</definedName>
    <definedName name="CUSTOM1_B2___BOH___Substation">#REF!</definedName>
    <definedName name="CUSTOM1_B2___BOH___Unknown_areas">#REF!</definedName>
    <definedName name="CUSTOM1_B2___FOH___Pool_Toilets">#REF!</definedName>
    <definedName name="CUSTOM1_B2___FOH___Speciality_Restaurant_01_Toilets">#REF!</definedName>
    <definedName name="CUSTOM1_B2___Parking">#REF!</definedName>
    <definedName name="CUSTOM1_B2__BOH_">#REF!</definedName>
    <definedName name="CUSTOM1_B2__Car_Parking_">#REF!</definedName>
    <definedName name="CUSTOM1_B2__Column_C1">#REF!</definedName>
    <definedName name="CUSTOM1_B2__Column_C10">#REF!</definedName>
    <definedName name="CUSTOM1_B2__Column_C11">#REF!</definedName>
    <definedName name="CUSTOM1_B2__Column_C12">#REF!</definedName>
    <definedName name="CUSTOM1_B2__Column_C2">#REF!</definedName>
    <definedName name="CUSTOM1_B2__Column_C3">#REF!</definedName>
    <definedName name="CUSTOM1_B2__Column_C4">#REF!</definedName>
    <definedName name="CUSTOM1_B2__Column_C5">#REF!</definedName>
    <definedName name="CUSTOM1_B2__Column_C6">#REF!</definedName>
    <definedName name="CUSTOM1_B2__Column_C7">#REF!</definedName>
    <definedName name="CUSTOM1_B2__Column_C8">#REF!</definedName>
    <definedName name="CUSTOM1_B2__Column_C9">#REF!</definedName>
    <definedName name="CUSTOM1_B2__Column_TC1">#REF!</definedName>
    <definedName name="CUSTOM1_B2__Column_TC2">#REF!</definedName>
    <definedName name="CUSTOM1_B2__Column_TC3">#REF!</definedName>
    <definedName name="CUSTOM1_B2__Column_TC4">#REF!</definedName>
    <definedName name="CUSTOM1_B2__Column_TC5">#REF!</definedName>
    <definedName name="CUSTOM1_B2__FOH_Circulation_">#REF!</definedName>
    <definedName name="CUSTOM1_B2__GIFA_">#REF!</definedName>
    <definedName name="CUSTOM1_B2__Loading__Unloading_Area">#REF!</definedName>
    <definedName name="CUSTOM1_B2__RW1_400">#REF!</definedName>
    <definedName name="CUSTOM1_B2__RW2_600">#REF!</definedName>
    <definedName name="CUSTOM1_B2__Stairs_">#REF!</definedName>
    <definedName name="CUSTOM1_B2__TW1_250">#REF!</definedName>
    <definedName name="CUSTOM1_B2__TW2_200">#REF!</definedName>
    <definedName name="CUSTOM1_B2__TW3_300">#REF!</definedName>
    <definedName name="CUSTOM1_B2__TW3_400">#REF!</definedName>
    <definedName name="CUSTOM1_B2__TW4_500">#REF!</definedName>
    <definedName name="CUSTOM1_B2__TW4_600">#REF!</definedName>
    <definedName name="CUSTOM1_B2__Voids_">#REF!</definedName>
    <definedName name="CUSTOM1_B2__W1__300">#REF!</definedName>
    <definedName name="CUSTOM1_B2__W1__300_Door_Overhead">#REF!</definedName>
    <definedName name="CUSTOM1_B2_BOH">#REF!</definedName>
    <definedName name="CUSTOM1_B2_BOH___Services_Area" localSheetId="1">#REF!</definedName>
    <definedName name="CUSTOM1_B2_BOH___Services_Area">#REF!</definedName>
    <definedName name="CUSTOM1_B2_BOH_Area" localSheetId="1">#REF!</definedName>
    <definedName name="CUSTOM1_B2_BOH_Area">#REF!</definedName>
    <definedName name="CUSTOM1_B2_Car_Park" localSheetId="1">#REF!</definedName>
    <definedName name="CUSTOM1_B2_Car_Park">#REF!</definedName>
    <definedName name="CUSTOM1_B2_Dirty_Room" localSheetId="1">#REF!</definedName>
    <definedName name="CUSTOM1_B2_Dirty_Room">#REF!</definedName>
    <definedName name="CUSTOM1_B2_Double_Internal_Doors__BOH_" localSheetId="1">#REF!</definedName>
    <definedName name="CUSTOM1_B2_Double_Internal_Doors__BOH_">#REF!</definedName>
    <definedName name="CUSTOM1_B2_Double_Internal_Doors__FOH_" localSheetId="1">#REF!</definedName>
    <definedName name="CUSTOM1_B2_Double_Internal_Doors__FOH_">#REF!</definedName>
    <definedName name="CUSTOM1_B2_FOH" localSheetId="1">#REF!</definedName>
    <definedName name="CUSTOM1_B2_FOH">#REF!</definedName>
    <definedName name="CUSTOM1_B2_GIFA">#REF!</definedName>
    <definedName name="CUSTOM1_B2_Kitchen" localSheetId="1">#REF!</definedName>
    <definedName name="CUSTOM1_B2_Kitchen">#REF!</definedName>
    <definedName name="CUSTOM1_B2_Lift_Shaft" localSheetId="1">#REF!</definedName>
    <definedName name="CUSTOM1_B2_Lift_Shaft">#REF!</definedName>
    <definedName name="CUSTOM1_B2_MEP_Area" localSheetId="1">#REF!</definedName>
    <definedName name="CUSTOM1_B2_MEP_Area">#REF!</definedName>
    <definedName name="CUSTOM1_B2_Raft_2500">#REF!</definedName>
    <definedName name="CUSTOM1_B2_Raft_600">#REF!</definedName>
    <definedName name="CUSTOM1_B2_Services_Core">#REF!</definedName>
    <definedName name="CUSTOM1_B2_Single_Internal_Doors__BOH_">#REF!</definedName>
    <definedName name="CUSTOM1_B2_Staircase" localSheetId="1">#REF!</definedName>
    <definedName name="CUSTOM1_B2_Staircase">#REF!</definedName>
    <definedName name="CUSTOM1_B2_Stairs" localSheetId="1">#REF!</definedName>
    <definedName name="CUSTOM1_B2_Stairs">#REF!</definedName>
    <definedName name="CUSTOM1_B2_Voids" localSheetId="1">#REF!</definedName>
    <definedName name="CUSTOM1_B2_Voids">#REF!</definedName>
    <definedName name="CUSTOM1_B3_Beams" localSheetId="1">#REF!</definedName>
    <definedName name="CUSTOM1_B3_Beams">#REF!</definedName>
    <definedName name="CUSTOM1_B3_Wall">#REF!</definedName>
    <definedName name="CUSTOM1_B3_Wall_Link">#REF!</definedName>
    <definedName name="CUSTOM1_B4_Beams">#REF!</definedName>
    <definedName name="CUSTOM1_B4_Tower_Wall___same_as_B5">#REF!</definedName>
    <definedName name="CUSTOM1_B4_Wall_Length">#REF!</definedName>
    <definedName name="CUSTOM1_B4_Wall_Link">#REF!</definedName>
    <definedName name="CUSTOM1_B5_Beams">#REF!</definedName>
    <definedName name="CUSTOM1_B5_Tower_Wall">#REF!</definedName>
    <definedName name="CUSTOM1_B5_Wall_Length">#REF!</definedName>
    <definedName name="CUSTOM1_B5_Wall_Link">#REF!</definedName>
    <definedName name="CUSTOM1_B6_Beams">#REF!</definedName>
    <definedName name="CUSTOM1_B7_Tower_Wall">#REF!</definedName>
    <definedName name="CUSTOM1_B7_Wall_Length">#REF!</definedName>
    <definedName name="CUSTOM1_B7_Wall_Link">#REF!</definedName>
    <definedName name="CUSTOM1_Balconies_Entry">#REF!</definedName>
    <definedName name="CUSTOM1_Balcony_Drain">#REF!</definedName>
    <definedName name="CUSTOM1_Bib_Tap">#REF!</definedName>
    <definedName name="CUSTOM1_BOH__GF_">#REF!</definedName>
    <definedName name="CUSTOM1_BOH__Podium_1_">#REF!</definedName>
    <definedName name="CUSTOM1_BOH__Podium_2_">#REF!</definedName>
    <definedName name="CUSTOM1_BOH__Roof_">#REF!</definedName>
    <definedName name="CUSTOM1_BOH_areas__lvl_1_">#REF!</definedName>
    <definedName name="CUSTOM1_BOH_areas__lvl_2_">#REF!</definedName>
    <definedName name="CUSTOM1_BOH_areas__lvl_3_">#REF!</definedName>
    <definedName name="CUSTOM1_BUA">#REF!</definedName>
    <definedName name="CUSTOM1_Bypass_Valve__Normally_Closed_">#REF!</definedName>
    <definedName name="CUSTOM1_Cable_Foundation_Length">#REF!</definedName>
    <definedName name="CUSTOM1_Cable_raft">#REF!</definedName>
    <definedName name="CUSTOM1_Cable_Retaining_wall">#REF!</definedName>
    <definedName name="CUSTOM1_Cable_Waterproofing">#REF!</definedName>
    <definedName name="CUSTOM1_capping">#REF!</definedName>
    <definedName name="CUSTOM1_Car_Park__Podium_1_">#REF!</definedName>
    <definedName name="CUSTOM1_Car_Park__Podium_2_">#REF!</definedName>
    <definedName name="CUSTOM1_Car_Parking__lvl_1_">#REF!</definedName>
    <definedName name="CUSTOM1_Conference_Centre">#REF!</definedName>
    <definedName name="CUSTOM1_Counterweight">#REF!</definedName>
    <definedName name="CUSTOM1_DP1_3000x3000x350">#REF!</definedName>
    <definedName name="CUSTOM1_DP11_3250x1750x350">#REF!</definedName>
    <definedName name="CUSTOM1_DP2_3000x1750x350">#REF!</definedName>
    <definedName name="CUSTOM1_DP3_3500x1900x350">#REF!</definedName>
    <definedName name="CUSTOM1_DP5_3000x3000x400">#REF!</definedName>
    <definedName name="CUSTOM1_DP6_6500x4000x550">#REF!</definedName>
    <definedName name="CUSTOM1_DP7_3500x1900x400">#REF!</definedName>
    <definedName name="CUSTOM1_Entrance_lobby__GF_">#REF!</definedName>
    <definedName name="CUSTOM1_External_areas__lvl_2_">#REF!</definedName>
    <definedName name="CUSTOM1_External_areas__Roof_">#REF!</definedName>
    <definedName name="CUSTOM1_External_Doors__AL_01">#REF!</definedName>
    <definedName name="CUSTOM1_External_Doors__AL_02">#REF!</definedName>
    <definedName name="CUSTOM1_External_Doors__AL_03">#REF!</definedName>
    <definedName name="CUSTOM1_External_Doors__AL_04">#REF!</definedName>
    <definedName name="CUSTOM1_External_Doors__AL_05">#REF!</definedName>
    <definedName name="CUSTOM1_External_Doors__D_01">#REF!</definedName>
    <definedName name="CUSTOM1_External_Doors__D_02">#REF!</definedName>
    <definedName name="CUSTOM1_External_Doors__D_05">#REF!</definedName>
    <definedName name="CUSTOM1_External_Doors__Threshold">#REF!</definedName>
    <definedName name="CUSTOM1_External_Floor_Finishes__Interlocking_Paving">#REF!</definedName>
    <definedName name="CUSTOM1_External_Wall__Blockwork___BW_2">#REF!</definedName>
    <definedName name="CUSTOM1_External_Wall__Blockwork___BW_3">#REF!</definedName>
    <definedName name="CUSTOM1_External_Wall__Blockwork___BW_4">#REF!</definedName>
    <definedName name="CUSTOM1_External_Wall_Finishes__50mm_thk_insulation">#REF!</definedName>
    <definedName name="CUSTOM1_External_Wall_finishes__Cast_Aluminium_handrail___Balustrade">#REF!</definedName>
    <definedName name="CUSTOM1_External_Wall_Finishes__Cement_render___Paint">#REF!</definedName>
    <definedName name="CUSTOM1_External_Wall_finishes__Elevation_projection_with_painted_finish">#REF!</definedName>
    <definedName name="CUSTOM1_External_Wall_Finishes__Skirting">#REF!</definedName>
    <definedName name="CUSTOM1_External_Wall_finishes__Soffits">#REF!</definedName>
    <definedName name="CUSTOM1_External_Window__GL_01">#REF!</definedName>
    <definedName name="CUSTOM1_External_Window__GL_02">#REF!</definedName>
    <definedName name="CUSTOM1_External_Window__GL_02_a">#REF!</definedName>
    <definedName name="CUSTOM1_External_Window__GL_03">#REF!</definedName>
    <definedName name="CUSTOM1_External_Window__GL_04">#REF!</definedName>
    <definedName name="CUSTOM1_External_Window__GL_05">#REF!</definedName>
    <definedName name="CUSTOM1_External_Window__GL_06">#REF!</definedName>
    <definedName name="CUSTOM1_External_Window__GL_07">#REF!</definedName>
    <definedName name="CUSTOM1_External_Window__GL_08">#REF!</definedName>
    <definedName name="CUSTOM1_External_Window__GL_16">#REF!</definedName>
    <definedName name="CUSTOM1_External_Window__GL_18">#REF!</definedName>
    <definedName name="CUSTOM1_External_Window__GL_19">#REF!</definedName>
    <definedName name="CUSTOM1_External_Window__GL_19_a">#REF!</definedName>
    <definedName name="CUSTOM1_External_Window__GL_20">#REF!</definedName>
    <definedName name="CUSTOM1_External_Window__GL_21">#REF!</definedName>
    <definedName name="CUSTOM1_External_Window__GL_22">#REF!</definedName>
    <definedName name="CUSTOM1_External_Window__GL_23">#REF!</definedName>
    <definedName name="CUSTOM1_External_Window__GL_24">#REF!</definedName>
    <definedName name="CUSTOM1_External_Window__GL_25">#REF!</definedName>
    <definedName name="CUSTOM1_Fence">#REF!</definedName>
    <definedName name="CUSTOM1_Floor_Plate___B1_Mezzanine">#REF!</definedName>
    <definedName name="CUSTOM1_Floor_Plate___Basement_1">#REF!</definedName>
    <definedName name="CUSTOM1_Floor_Plate___Basement_2">#REF!</definedName>
    <definedName name="CUSTOM1_Floor_Plate___First_Floor">#REF!</definedName>
    <definedName name="CUSTOM1_Floor_Plate___Fourth_Floor">#REF!</definedName>
    <definedName name="CUSTOM1_Floor_Plate___Ground_Floor">#REF!</definedName>
    <definedName name="CUSTOM1_Floor_Plate___Mezanine_Floor">#REF!</definedName>
    <definedName name="CUSTOM1_Floor_Plate___Second_Floor">#REF!</definedName>
    <definedName name="CUSTOM1_Floor_Plate___Third_Floor">#REF!</definedName>
    <definedName name="CUSTOM1_FOH_areas__GF_">#REF!</definedName>
    <definedName name="CUSTOM1_FOH_Areas__Roof_">#REF!</definedName>
    <definedName name="CUSTOM1_FOH_Circulation__GF_">#REF!</definedName>
    <definedName name="CUSTOM1_FOH_circulation__lvl_1_">#REF!</definedName>
    <definedName name="CUSTOM1_FOH_circulation__lvl_2_">#REF!</definedName>
    <definedName name="CUSTOM1_FOH_Circulation__lvl_3_">#REF!</definedName>
    <definedName name="CUSTOM1_FOH_Circulation__Podium_1_">#REF!</definedName>
    <definedName name="CUSTOM1_FOH_Circulation__Podium_2_">#REF!</definedName>
    <definedName name="CUSTOM1_FOH_Circulation__Roof_">#REF!</definedName>
    <definedName name="CUSTOM1_FP_A_00AF">#REF!</definedName>
    <definedName name="CUSTOM1_FP_A_01F">#REF!</definedName>
    <definedName name="CUSTOM1_FP_A_02F___4F">#REF!</definedName>
    <definedName name="CUSTOM1_FP_A_03F">#REF!</definedName>
    <definedName name="CUSTOM1_FP_A_05F">#REF!</definedName>
    <definedName name="CUSTOM1_FP_A_06F">#REF!</definedName>
    <definedName name="CUSTOM1_FP_A_07F">#REF!</definedName>
    <definedName name="CUSTOM1_FP_A_08F___10F">#REF!</definedName>
    <definedName name="CUSTOM1_FP_A_09F">#REF!</definedName>
    <definedName name="CUSTOM1_FP_A_11F_to_29F_alt_">#REF!</definedName>
    <definedName name="CUSTOM1_FP_A_12F_to_30F_alt_">#REF!</definedName>
    <definedName name="CUSTOM1_FP_A_31F">#REF!</definedName>
    <definedName name="CUSTOM1_FP_A_32F">#REF!</definedName>
    <definedName name="CUSTOM1_FP_A_33RF__">#REF!</definedName>
    <definedName name="CUSTOM1_FP_A_34uRF__">#REF!</definedName>
    <definedName name="CUSTOM1_FP_A_35uRF__">#REF!</definedName>
    <definedName name="CUSTOM1_FP_B_00BF_1">#REF!</definedName>
    <definedName name="CUSTOM1_FP_B_00BF_1_intermediate">#REF!</definedName>
    <definedName name="CUSTOM1_FP_B_00BF_2">#REF!</definedName>
    <definedName name="CUSTOM1_FP_B_00GF">#REF!</definedName>
    <definedName name="CUSTOM1_FP_B_00MF">#REF!</definedName>
    <definedName name="CUSTOM1_FP_B_00PF___1">#REF!</definedName>
    <definedName name="CUSTOM1_FP_B_00PF___2">#REF!</definedName>
    <definedName name="CUSTOM1_FP_B_00PF___3">#REF!</definedName>
    <definedName name="CUSTOM1_FS01">#REF!</definedName>
    <definedName name="CUSTOM1_FS01_1B">#REF!</definedName>
    <definedName name="CUSTOM1_FS01_1C">#REF!</definedName>
    <definedName name="CUSTOM1_FS012_1B2">#REF!</definedName>
    <definedName name="CUSTOM1_FS02_1A">#REF!</definedName>
    <definedName name="CUSTOM1_FS02_1B">#REF!</definedName>
    <definedName name="CUSTOM1_FS02_1B_RF">#REF!</definedName>
    <definedName name="CUSTOM1_FS02_1B1">#REF!</definedName>
    <definedName name="CUSTOM1_FS02_1C">#REF!</definedName>
    <definedName name="CUSTOM1_FS02_1C1">#REF!</definedName>
    <definedName name="CUSTOM1_FS03_1A">#REF!</definedName>
    <definedName name="CUSTOM1_FS03_1B">#REF!</definedName>
    <definedName name="CUSTOM1_FS03_1C">#REF!</definedName>
    <definedName name="CUSTOM1_FS04">#REF!</definedName>
    <definedName name="CUSTOM1_FS04_1A">#REF!</definedName>
    <definedName name="CUSTOM1_FS04_1B">#REF!</definedName>
    <definedName name="CUSTOM1_FS04_1B1">#REF!</definedName>
    <definedName name="CUSTOM1_FS04_1B2">#REF!</definedName>
    <definedName name="CUSTOM1_FS04_1C">#REF!</definedName>
    <definedName name="CUSTOM1_FS04_1C1">#REF!</definedName>
    <definedName name="CUSTOM1_FS04_1C2">#REF!</definedName>
    <definedName name="CUSTOM1_FS04_Rail">#REF!</definedName>
    <definedName name="CUSTOM1_FS05_1A">#REF!</definedName>
    <definedName name="CUSTOM1_FS05_1A_RF">#REF!</definedName>
    <definedName name="CUSTOM1_FS05_1B">#REF!</definedName>
    <definedName name="CUSTOM1_FS05_1B1">#REF!</definedName>
    <definedName name="CUSTOM1_FS05_1B2">#REF!</definedName>
    <definedName name="CUSTOM1_FS05_1C">#REF!</definedName>
    <definedName name="CUSTOM1_FS05_1C_RF">#REF!</definedName>
    <definedName name="CUSTOM1_FS05_1C1">#REF!</definedName>
    <definedName name="CUSTOM1_FS05_1C2">#REF!</definedName>
    <definedName name="CUSTOM1_FS05_GARDEN">#REF!</definedName>
    <definedName name="CUSTOM1_FS05_GARDEN_1C">#REF!</definedName>
    <definedName name="CUSTOM1_FS05_IB_RF">#REF!</definedName>
    <definedName name="CUSTOM1_FS06_1A">#REF!</definedName>
    <definedName name="CUSTOM1_FS06_1C_RF">#REF!</definedName>
    <definedName name="CUSTOM1_FS06_RF">#REF!</definedName>
    <definedName name="CUSTOM1_FS06_Skybridge">#REF!</definedName>
    <definedName name="CUSTOM1_FS07_1B1">#REF!</definedName>
    <definedName name="CUSTOM1_FS07_1C">#REF!</definedName>
    <definedName name="CUSTOM1_FS11_1B1">#REF!</definedName>
    <definedName name="CUSTOM1_FS11_1B2">#REF!</definedName>
    <definedName name="CUSTOM1_FS11_1C1">#REF!</definedName>
    <definedName name="CUSTOM1_FS11_1C2">#REF!</definedName>
    <definedName name="CUSTOM1_FS12_1C2">#REF!</definedName>
    <definedName name="CUSTOM1_FS12_IC_RF">#REF!</definedName>
    <definedName name="CUSTOM1_FS12_RAIL_1C">#REF!</definedName>
    <definedName name="CUSTOM1_FS12_RAIL_RF">#REF!</definedName>
    <definedName name="CUSTOM1_FS12_RF">#REF!</definedName>
    <definedName name="CUSTOM1_Garage">#REF!</definedName>
    <definedName name="CUSTOM1_Garden">#REF!</definedName>
    <definedName name="CUSTOM1_GF">#REF!</definedName>
    <definedName name="CUSTOM1_GF___BOH____General_areas">#REF!</definedName>
    <definedName name="CUSTOM1_GF___BOH___Admin_Support">#REF!</definedName>
    <definedName name="CUSTOM1_GF___BOH___Boiler_Room">#REF!</definedName>
    <definedName name="CUSTOM1_GF___BOH___Ducts">#REF!</definedName>
    <definedName name="CUSTOM1_GF___BOH___Executive_Offices">#REF!</definedName>
    <definedName name="CUSTOM1_GF___BOH___Fire_Escape_Stairs">#REF!</definedName>
    <definedName name="CUSTOM1_GF___BOH___Front_Desk">#REF!</definedName>
    <definedName name="CUSTOM1_GF___BOH___Front_Office_Devision">#REF!</definedName>
    <definedName name="CUSTOM1_GF___BOH___Guest_Core">#REF!</definedName>
    <definedName name="CUSTOM1_GF___BOH___Guest_Core_ducts">#REF!</definedName>
    <definedName name="CUSTOM1_GF___BOH___Guest_Core_lift_shafts">#REF!</definedName>
    <definedName name="CUSTOM1_GF___BOH___Lobby_Bar_Pantry">#REF!</definedName>
    <definedName name="CUSTOM1_GF___BOH___Luggage">#REF!</definedName>
    <definedName name="CUSTOM1_GF___BOH___Prayer_Rooms">#REF!</definedName>
    <definedName name="CUSTOM1_GF___BOH___Sales_Offices">#REF!</definedName>
    <definedName name="CUSTOM1_GF___BOH___Security_and_Valet">#REF!</definedName>
    <definedName name="CUSTOM1_GF___BOH___Service_Core">#REF!</definedName>
    <definedName name="CUSTOM1_GF___BOH___Service_Core_ducts">#REF!</definedName>
    <definedName name="CUSTOM1_GF___BOH___Staff_Core">#REF!</definedName>
    <definedName name="CUSTOM1_GF___BOH___Staff_Core_lift_shafts">#REF!</definedName>
    <definedName name="CUSTOM1_GF___Double_Volume_internal_Reception">#REF!</definedName>
    <definedName name="CUSTOM1_GF___FOH___Circulation">#REF!</definedName>
    <definedName name="CUSTOM1_GF___FOH___Guest_Circulation">#REF!</definedName>
    <definedName name="CUSTOM1_GF___FOH___Guestroom_Terrace">#REF!</definedName>
    <definedName name="CUSTOM1_GF___FOH___Guestrooms">#REF!</definedName>
    <definedName name="CUSTOM1_GF___FOH___Hotel_Port_Corchere">#REF!</definedName>
    <definedName name="CUSTOM1_GF___FOH___Lobby_Bar___Lounge">#REF!</definedName>
    <definedName name="CUSTOM1_GF___FOH___Lobby_Bar___Lounge_Toilets">#REF!</definedName>
    <definedName name="CUSTOM1_GF___FOH___Reception_and_Lobby_BR_Terrace">#REF!</definedName>
    <definedName name="CUSTOM1_GF___FOH___Reception_Lobby">#REF!</definedName>
    <definedName name="CUSTOM1_GF___FOH___Speciality_Restaurant_01_Roof_Terrace">#REF!</definedName>
    <definedName name="CUSTOM1_GF___FOH___Wind_Lobby">#REF!</definedName>
    <definedName name="CUSTOM1_GF__15mm_dia._CWS_Buried_Underground">#REF!</definedName>
    <definedName name="CUSTOM1_GF__25mm_dia._CWS_20mm_dia_HSW">#REF!</definedName>
    <definedName name="CUSTOM1_GF__32_dia._CWS_Main_Buried_underground">#REF!</definedName>
    <definedName name="CUSTOM1_GF__32mm_dia_BCWS_25mm_dia_HWS">#REF!</definedName>
    <definedName name="CUSTOM1_GF_Bell_Captain">#REF!</definedName>
    <definedName name="CUSTOM1_GF_BOH_Service___Utility_area">#REF!</definedName>
    <definedName name="CUSTOM1_GF_BOH_Staircase">#REF!</definedName>
    <definedName name="CUSTOM1_GF_Business_Center">#REF!</definedName>
    <definedName name="CUSTOM1_GF_Double_Vol._at_Parking_ramp__2.5m_high_">#REF!</definedName>
    <definedName name="CUSTOM1_GF_Double_Volume">#REF!</definedName>
    <definedName name="CUSTOM1_GF_ENT._LOBBY_TO_LUGGAGE_BELL_CAPT">#REF!</definedName>
    <definedName name="CUSTOM1_GF_External_Double_doors__FOH_">#REF!</definedName>
    <definedName name="CUSTOM1_GF_External_Revolving_doors__FOH_">#REF!</definedName>
    <definedName name="CUSTOM1_GF_External_Single_doors__BOH_">#REF!</definedName>
    <definedName name="CUSTOM1_GF_External_Single_doors__FOH_">#REF!</definedName>
    <definedName name="CUSTOM1_GF_FOH_Circulation_Area">#REF!</definedName>
    <definedName name="CUSTOM1_GF_FOH_Staircase">#REF!</definedName>
    <definedName name="CUSTOM1_GF_Front_Office">#REF!</definedName>
    <definedName name="CUSTOM1_GF_Guest_Core">#REF!</definedName>
    <definedName name="CUSTOM1_GF_Guest_Rooms">#REF!</definedName>
    <definedName name="CUSTOM1_GF_HGR_BOH">#REF!</definedName>
    <definedName name="CUSTOM1_GF_HGR_Circulation">#REF!</definedName>
    <definedName name="CUSTOM1_GF_HGR_Covered_Balcony">#REF!</definedName>
    <definedName name="CUSTOM1_GF_HGR_Fire_Staircase">#REF!</definedName>
    <definedName name="CUSTOM1_GF_Internal_Single_doors__BOH_">#REF!</definedName>
    <definedName name="CUSTOM1_GF_Internal_Single_doors__FOH_">#REF!</definedName>
    <definedName name="CUSTOM1_GF_Lift_Shaft">#REF!</definedName>
    <definedName name="CUSTOM1_GF_Lobby_Bar">#REF!</definedName>
    <definedName name="CUSTOM1_GF_Lobby_Lounge">#REF!</definedName>
    <definedName name="CUSTOM1_GF_Lobby_Lounge_pantry">#REF!</definedName>
    <definedName name="CUSTOM1_GF_Luggage_Room">#REF!</definedName>
    <definedName name="CUSTOM1_GF_MEP_Area">#REF!</definedName>
    <definedName name="CUSTOM1_GF_Prayer_Room">#REF!</definedName>
    <definedName name="CUSTOM1_GF_Public_Toilets">#REF!</definedName>
    <definedName name="CUSTOM1_GF_Ramp_B1_to_GF">#REF!</definedName>
    <definedName name="CUSTOM1_GF_Ramp_GF_to_B1">#REF!</definedName>
    <definedName name="CUSTOM1_GF_Reception">#REF!</definedName>
    <definedName name="CUSTOM1_GF_Roller_shutter_doors__BOH_">#REF!</definedName>
    <definedName name="CUSTOM1_GF_Service_Core">#REF!</definedName>
    <definedName name="CUSTOM1_GF_Toilet_cubicle_doors">#REF!</definedName>
    <definedName name="CUSTOM1_GF_Toilet_to_Prayer_rooms">#REF!</definedName>
    <definedName name="CUSTOM1_GF_Voids_Dead_areas">#REF!</definedName>
    <definedName name="CUSTOM1_GFA">#REF!</definedName>
    <definedName name="CUSTOM1_GFA__GF_">#REF!</definedName>
    <definedName name="CUSTOM1_GFA__lvl_1_">#REF!</definedName>
    <definedName name="CUSTOM1_GFA__lvl_2_">#REF!</definedName>
    <definedName name="CUSTOM1_GFA__lvl_3_">#REF!</definedName>
    <definedName name="CUSTOM1_GFA__Podium_1_">#REF!</definedName>
    <definedName name="CUSTOM1_GFA__Podium_2_">#REF!</definedName>
    <definedName name="CUSTOM1_GFA__Roof_">#REF!</definedName>
    <definedName name="CUSTOM1_GIFA">#REF!</definedName>
    <definedName name="CUSTOM1_GIFA__GF_">#REF!</definedName>
    <definedName name="CUSTOM1_GIFA__lvl_1_">#REF!</definedName>
    <definedName name="CUSTOM1_GIFA__lvl_2_">#REF!</definedName>
    <definedName name="CUSTOM1_GIFA__Podium_1_">#REF!</definedName>
    <definedName name="CUSTOM1_GIFA__Podium_2_">#REF!</definedName>
    <definedName name="CUSTOM1_GIFA__Roof_">#REF!</definedName>
    <definedName name="CUSTOM1_GR1__150mm_Thk_Hollow_Block_Wall">#REF!</definedName>
    <definedName name="CUSTOM1_GR1__Ceiling_Finishes___Dropped_Ceiling">#REF!</definedName>
    <definedName name="CUSTOM1_GR1__Ceiling_Finishes___False_Ceiling">#REF!</definedName>
    <definedName name="CUSTOM1_GR1__FF_E_Fixed">#REF!</definedName>
    <definedName name="CUSTOM1_GR1__FF_E_Loose">#REF!</definedName>
    <definedName name="CUSTOM1_GR1__FLoor_Finishes___Stone">#REF!</definedName>
    <definedName name="CUSTOM1_GR1__Sanitary_Ware">#REF!</definedName>
    <definedName name="CUSTOM1_GR1__Single_Door">#REF!</definedName>
    <definedName name="CUSTOM1_GR1__Skirting____Blacken_Steel_Finish">#REF!</definedName>
    <definedName name="CUSTOM1_GR1__Skirting____Bronze_Finish">#REF!</definedName>
    <definedName name="CUSTOM1_GR1__Skirting____Chrome_metal_skirting">#REF!</definedName>
    <definedName name="CUSTOM1_GR1__Sliding_Door">#REF!</definedName>
    <definedName name="CUSTOM1_GR1__Threshold">#REF!</definedName>
    <definedName name="CUSTOM1_GR1__Wall_Finishes___Dark_mirror_finish_w_black">#REF!</definedName>
    <definedName name="CUSTOM1_GR1__Wall_Finishes___Glass_panel">#REF!</definedName>
    <definedName name="CUSTOM1_GR1__Wall_Finishes___High_Gloss_laquered_warm_grey">#REF!</definedName>
    <definedName name="CUSTOM1_GR1__Wall_Finishes___Light_Box_with_printed_Art">#REF!</definedName>
    <definedName name="CUSTOM1_GR1__Wall_Finishes___Painted_Finish">#REF!</definedName>
    <definedName name="CUSTOM1_GR1__Wall_Finishes___PU_Leather_Finish_w_double">#REF!</definedName>
    <definedName name="CUSTOM1_GR1__Wall_Finishes___Sandblasted_Granite">#REF!</definedName>
    <definedName name="CUSTOM1_GR1__Wall_Finishes___Wall_Stone_finish">#REF!</definedName>
    <definedName name="CUSTOM1_GR2__150mm_Tkh_Hollow_Block_Wall">#REF!</definedName>
    <definedName name="CUSTOM1_GR2__50mm_Tkh_Hollow_Block_Wall___Copy">#REF!</definedName>
    <definedName name="CUSTOM1_GR2__Ceiling_Finishes___Dropped_Ceiling">#REF!</definedName>
    <definedName name="CUSTOM1_GR2__Ceiling_Finishes___False_Ceiling">#REF!</definedName>
    <definedName name="CUSTOM1_GR2__FF_E_Fixed">#REF!</definedName>
    <definedName name="CUSTOM1_GR2__FF_E_Loose">#REF!</definedName>
    <definedName name="CUSTOM1_GR2__FLoor_Finishes___Stone">#REF!</definedName>
    <definedName name="CUSTOM1_GR2__Sanitary_Ware">#REF!</definedName>
    <definedName name="CUSTOM1_GR2__Single_Door">#REF!</definedName>
    <definedName name="CUSTOM1_GR2__Skirting____Blacken_Steel_Finish">#REF!</definedName>
    <definedName name="CUSTOM1_GR2__Skirting____Bronze_Finish">#REF!</definedName>
    <definedName name="CUSTOM1_GR2__Skirting____Chrome_metal_skirting">#REF!</definedName>
    <definedName name="CUSTOM1_GR2__Sliding_Door">#REF!</definedName>
    <definedName name="CUSTOM1_GR2__Threshold">#REF!</definedName>
    <definedName name="CUSTOM1_GR2__Wall_Finishes___Dark_mirror_finish_w_b">#REF!</definedName>
    <definedName name="CUSTOM1_GR2__Wall_Finishes___Glass_panel">#REF!</definedName>
    <definedName name="CUSTOM1_GR2__Wall_Finishes___Painted_Finish">#REF!</definedName>
    <definedName name="CUSTOM1_GR2__Wall_Finishes___Sandblasted_Granite">#REF!</definedName>
    <definedName name="CUSTOM1_GR2__Wall_Finishes___Wall_Stone_finish">#REF!</definedName>
    <definedName name="CUSTOM1_GR3__150mm_thk_hollow_block_Wall">#REF!</definedName>
    <definedName name="CUSTOM1_GR3__200mm_thk_hollow_block_Wall">#REF!</definedName>
    <definedName name="CUSTOM1_GR3__75mm_thk_hollow_block_Wall">#REF!</definedName>
    <definedName name="CUSTOM1_GR3__Ceiling_Finishes___Dropped_Ceiling">#REF!</definedName>
    <definedName name="CUSTOM1_GR3__Ceiling_Finishes___False_Ceiling">#REF!</definedName>
    <definedName name="CUSTOM1_GR3__FF_E_Fixed">#REF!</definedName>
    <definedName name="CUSTOM1_GR3__FF_E_Loose">#REF!</definedName>
    <definedName name="CUSTOM1_GR3__FLoor_Finishes___Stone">#REF!</definedName>
    <definedName name="CUSTOM1_GR3__Sanitary_Ware">#REF!</definedName>
    <definedName name="CUSTOM1_GR3__Single_Door">#REF!</definedName>
    <definedName name="CUSTOM1_GR3__Skirting____Bronze_Finish">#REF!</definedName>
    <definedName name="CUSTOM1_GR3__Skirting____Chrome_metal_skirting">#REF!</definedName>
    <definedName name="CUSTOM1_GR3__Sliding_Door">#REF!</definedName>
    <definedName name="CUSTOM1_GR3__Threshold">#REF!</definedName>
    <definedName name="CUSTOM1_GR3__Wall_Finishes___Dark_mirror_finish_w_b">#REF!</definedName>
    <definedName name="CUSTOM1_GR3__Wall_Finishes___Glass_panel">#REF!</definedName>
    <definedName name="CUSTOM1_GR3__Wall_Finishes___Light_Box_with_printed">#REF!</definedName>
    <definedName name="CUSTOM1_GR3__Wall_Finishes___Painted_Finish">#REF!</definedName>
    <definedName name="CUSTOM1_GR3__Wall_Finishes___Wall_Stone_finish">#REF!</definedName>
    <definedName name="CUSTOM1_GR4__200mm_Thk_Hollow_Block_Wall">#REF!</definedName>
    <definedName name="CUSTOM1_GR4__Ceiling_Finishes___Dropped_Ceiling">#REF!</definedName>
    <definedName name="CUSTOM1_GR4__Ceiling_Finishes___False_Ceiling">#REF!</definedName>
    <definedName name="CUSTOM1_GR4__FF_E_Fixed">#REF!</definedName>
    <definedName name="CUSTOM1_GR4__FF_E_Loose">#REF!</definedName>
    <definedName name="CUSTOM1_GR4__FLoor_Finishes___Stone">#REF!</definedName>
    <definedName name="CUSTOM1_GR4__Sanitary_Ware">#REF!</definedName>
    <definedName name="CUSTOM1_GR4__Single_Door">#REF!</definedName>
    <definedName name="CUSTOM1_GR4__Skirting____Blacken_Steel_Finish">#REF!</definedName>
    <definedName name="CUSTOM1_GR4__Skirting____Bronze_Finish">#REF!</definedName>
    <definedName name="CUSTOM1_GR4__Skirting____Chrome_metal_skirting">#REF!</definedName>
    <definedName name="CUSTOM1_GR4__Sliding_Door">#REF!</definedName>
    <definedName name="CUSTOM1_GR4__Threshold">#REF!</definedName>
    <definedName name="CUSTOM1_GR4__Wall_Finishes___Dark_mirror_finish_w_b">#REF!</definedName>
    <definedName name="CUSTOM1_GR4__Wall_Finishes___Glass_Panel">#REF!</definedName>
    <definedName name="CUSTOM1_GR4__Wall_Finishes___Light_Box_with_printed">#REF!</definedName>
    <definedName name="CUSTOM1_GR4__Wall_Finishes___Painted_Finish">#REF!</definedName>
    <definedName name="CUSTOM1_GR4__Wall_Finishes___Sandblasted_Granite">#REF!</definedName>
    <definedName name="CUSTOM1_GR4__Wall_Finishes___Wall_Stone_finish">#REF!</definedName>
    <definedName name="CUSTOM1_GR5__150mm_Thk_hollow_block_wall">#REF!</definedName>
    <definedName name="CUSTOM1_GR5__200mm_Thk_hollow_block_wall">#REF!</definedName>
    <definedName name="CUSTOM1_GR5__75mm_Thk_hollow_block_wall">#REF!</definedName>
    <definedName name="CUSTOM1_GR5__Ceiling_Finishes___Dropped_Ceiling">#REF!</definedName>
    <definedName name="CUSTOM1_GR5__Ceiling_Finishes___False_Ceiling">#REF!</definedName>
    <definedName name="CUSTOM1_GR5__FF_E_Fixed">#REF!</definedName>
    <definedName name="CUSTOM1_GR5__FF_E_Loose">#REF!</definedName>
    <definedName name="CUSTOM1_GR5__FLoor_Finishes___Stone">#REF!</definedName>
    <definedName name="CUSTOM1_GR5__Sanitary_Ware">#REF!</definedName>
    <definedName name="CUSTOM1_GR5__Single_Doors">#REF!</definedName>
    <definedName name="CUSTOM1_GR5__Skirting____Blacken_Steel_Finish">#REF!</definedName>
    <definedName name="CUSTOM1_GR5__Skirting____Stone_Finish">#REF!</definedName>
    <definedName name="CUSTOM1_GR5__Skirting____Timber_Finish">#REF!</definedName>
    <definedName name="CUSTOM1_GR5__Sliding_Doors">#REF!</definedName>
    <definedName name="CUSTOM1_GR5__Threshold">#REF!</definedName>
    <definedName name="CUSTOM1_GR5__Wall_Finishes___Blacken_Steel_Panel">#REF!</definedName>
    <definedName name="CUSTOM1_GR5__Wall_Finishes___Curtain_Wall">#REF!</definedName>
    <definedName name="CUSTOM1_GR5__Wall_Finishes___Dark_mirror_finish_w_b">#REF!</definedName>
    <definedName name="CUSTOM1_GR5__Wall_Finishes___Glass_Panel">#REF!</definedName>
    <definedName name="CUSTOM1_GR5__Wall_Finishes___High_Gloss_laquered_wa">#REF!</definedName>
    <definedName name="CUSTOM1_GR5__Wall_Finishes___Leather_panel_with_double_stitches">#REF!</definedName>
    <definedName name="CUSTOM1_GR5__Wall_Finishes___Light_Box_with_printed">#REF!</definedName>
    <definedName name="CUSTOM1_GR5__Wall_Finishes___Painted_Finish">#REF!</definedName>
    <definedName name="CUSTOM1_GR5__Wall_Finishes___Wall_Stone_finish">#REF!</definedName>
    <definedName name="CUSTOM1_GR6__200mm_Thk_Hollow_Block_Wall">#REF!</definedName>
    <definedName name="CUSTOM1_GR6__Ceiling_Finishes___Dropped_Ceiling">#REF!</definedName>
    <definedName name="CUSTOM1_GR6__Ceiling_Finishes___False_Ceiling">#REF!</definedName>
    <definedName name="CUSTOM1_GR6__FF_E_Fixed">#REF!</definedName>
    <definedName name="CUSTOM1_GR6__FF_E_Loose">#REF!</definedName>
    <definedName name="CUSTOM1_GR6__Floor_Finishes___Stone">#REF!</definedName>
    <definedName name="CUSTOM1_GR6__Sanitary_Ware">#REF!</definedName>
    <definedName name="CUSTOM1_GR6__Single_Door">#REF!</definedName>
    <definedName name="CUSTOM1_GR6__Skirting___Blacken_Steel_Finish">#REF!</definedName>
    <definedName name="CUSTOM1_GR6__Skirting___Stone_finish">#REF!</definedName>
    <definedName name="CUSTOM1_GR6__Skirting___Threshold">#REF!</definedName>
    <definedName name="CUSTOM1_GR6__Skirting___Timber_Finish">#REF!</definedName>
    <definedName name="CUSTOM1_GR6__Sliding_Doors">#REF!</definedName>
    <definedName name="CUSTOM1_GR6__Wall_Finishes___Blacken_Steel_Panel">#REF!</definedName>
    <definedName name="CUSTOM1_GR6__Wall_Finishes___Dark_Mirror_Finish_w_b">#REF!</definedName>
    <definedName name="CUSTOM1_GR6__Wall_Finishes___Fixed_Glass">#REF!</definedName>
    <definedName name="CUSTOM1_GR6__Wall_Finishes___Glass_Panel">#REF!</definedName>
    <definedName name="CUSTOM1_GR6__Wall_Finishes___Leather_panel_with_dou">#REF!</definedName>
    <definedName name="CUSTOM1_GR6__Wall_Finishes___Mirror_Column">#REF!</definedName>
    <definedName name="CUSTOM1_GR6__Wall_Finishes___Painted_Finish">#REF!</definedName>
    <definedName name="CUSTOM1_GR6__Wall_Finishes___Sandblasted_Grainte">#REF!</definedName>
    <definedName name="CUSTOM1_GR6__Wall_Finishes___Wall_Stone_Finish">#REF!</definedName>
    <definedName name="CUSTOM1_GR7__100mm_Thk_Hollow_block__wall">#REF!</definedName>
    <definedName name="CUSTOM1_GR7__150mm_Thk_Hollow_block__wall">#REF!</definedName>
    <definedName name="CUSTOM1_GR7__Ceiling_Finishes___Dropped_Ceiling">#REF!</definedName>
    <definedName name="CUSTOM1_GR7__Ceiling_Finishes___False_Celining">#REF!</definedName>
    <definedName name="CUSTOM1_GR7__FF_E_Fixed">#REF!</definedName>
    <definedName name="CUSTOM1_GR7__FF_E_Loose">#REF!</definedName>
    <definedName name="CUSTOM1_GR7__Floor_Finishes___Stone">#REF!</definedName>
    <definedName name="CUSTOM1_GR7__Sanitary_Ware">#REF!</definedName>
    <definedName name="CUSTOM1_GR7__Single_Door">#REF!</definedName>
    <definedName name="CUSTOM1_GR7__Skirting___Blacken_Steel_Finish">#REF!</definedName>
    <definedName name="CUSTOM1_GR7__Skirting___Stone_finish">#REF!</definedName>
    <definedName name="CUSTOM1_GR7__Skirting___Threshold">#REF!</definedName>
    <definedName name="CUSTOM1_GR7__Skirting___Timber_Finish">#REF!</definedName>
    <definedName name="CUSTOM1_GR7__Sliding_Door">#REF!</definedName>
    <definedName name="CUSTOM1_GR7__Wall_Finishes___Back_Lit_Screne">#REF!</definedName>
    <definedName name="CUSTOM1_GR7__Wall_Finishes___Blacken_Steel_Panel">#REF!</definedName>
    <definedName name="CUSTOM1_GR7__Wall_Finishes___Dark_Mirror_Finish_w_b">#REF!</definedName>
    <definedName name="CUSTOM1_GR7__Wall_Finishes___Glass_Panel">#REF!</definedName>
    <definedName name="CUSTOM1_GR7__Wall_Finishes___Leather_Panel_with_double_stitch">#REF!</definedName>
    <definedName name="CUSTOM1_GR7__Wall_Finishes___Mirror_Column">#REF!</definedName>
    <definedName name="CUSTOM1_GR7__Wall_Finishes___Painted_Finish">#REF!</definedName>
    <definedName name="CUSTOM1_GR7__Wall_Finishes___Wall_Stone_Finish">#REF!</definedName>
    <definedName name="CUSTOM1_GR8__100mm_thk_hollow_block">#REF!</definedName>
    <definedName name="CUSTOM1_GR8__150mm_thk_hollow_block">#REF!</definedName>
    <definedName name="CUSTOM1_GR8__Balistrade___Handrail">#REF!</definedName>
    <definedName name="CUSTOM1_GR8__Ceiling_Finishes___Dropped_Ceiling">#REF!</definedName>
    <definedName name="CUSTOM1_GR8__Ceiling_Finishes___False_Celining">#REF!</definedName>
    <definedName name="CUSTOM1_GR8__FF_E_Fixed">#REF!</definedName>
    <definedName name="CUSTOM1_GR8__FF_E_Loose">#REF!</definedName>
    <definedName name="CUSTOM1_GR8__Floor_Finishes___Stone">#REF!</definedName>
    <definedName name="CUSTOM1_GR8__Sanitary_Ware">#REF!</definedName>
    <definedName name="CUSTOM1_GR8__Single_Doors">#REF!</definedName>
    <definedName name="CUSTOM1_GR8__Skirting___Blacken_Steel_Finish">#REF!</definedName>
    <definedName name="CUSTOM1_GR8__Skirting___Stone_finish">#REF!</definedName>
    <definedName name="CUSTOM1_GR8__Skirting___Threshold">#REF!</definedName>
    <definedName name="CUSTOM1_GR8__Skirting___Timber_Finish">#REF!</definedName>
    <definedName name="CUSTOM1_GR8__Wall_Finishes___Blacken_Steel_Panel">#REF!</definedName>
    <definedName name="CUSTOM1_GR8__Wall_Finishes___Full_Height_Glass">#REF!</definedName>
    <definedName name="CUSTOM1_GR8__Wall_Finishes___Glass_Panel">#REF!</definedName>
    <definedName name="CUSTOM1_GR8__Wall_Finishes___Mirror_cladded_Column">#REF!</definedName>
    <definedName name="CUSTOM1_GR8__Wall_Finishes___Painted_Finish">#REF!</definedName>
    <definedName name="CUSTOM1_GR8__Wall_Finishes___Tiled_Finish">#REF!</definedName>
    <definedName name="CUSTOM1_GR8__Wall_Finishes___Wall_Stone_Finish">#REF!</definedName>
    <definedName name="CUSTOM1_GR9__150mm_hollow_Block_Wall">#REF!</definedName>
    <definedName name="CUSTOM1_GR9__Ceiling_Finishes___Dropped_Ceiling">#REF!</definedName>
    <definedName name="CUSTOM1_GR9__Ceiling_Finishes___False_Ceiling">#REF!</definedName>
    <definedName name="CUSTOM1_GR9__FF_E_Fixed">#REF!</definedName>
    <definedName name="CUSTOM1_GR9__FF_E_Loose">#REF!</definedName>
    <definedName name="CUSTOM1_GR9__Floor_Finishes___Ceramic_Tile">#REF!</definedName>
    <definedName name="CUSTOM1_GR9__Floor_Finishes___Stone">#REF!</definedName>
    <definedName name="CUSTOM1_GR9__Sanitary_Ware">#REF!</definedName>
    <definedName name="CUSTOM1_GR9__Skirting___Blacken_Steel_Finish">#REF!</definedName>
    <definedName name="CUSTOM1_GR9__Skirting___Stone_finish">#REF!</definedName>
    <definedName name="CUSTOM1_GR9__Skirting___Threshold">#REF!</definedName>
    <definedName name="CUSTOM1_GR9__Skirting___Timber_Finish">#REF!</definedName>
    <definedName name="CUSTOM1_GR9__Wall_Finishes___Blacken_Steel_Panel">#REF!</definedName>
    <definedName name="CUSTOM1_GR9__Wall_Finishes___Dark_Mirror_Finish_w_b">#REF!</definedName>
    <definedName name="CUSTOM1_GR9__Wall_Finishes___Full_Height_Glass">#REF!</definedName>
    <definedName name="CUSTOM1_GR9__Wall_Finishes___Glass_Panel">#REF!</definedName>
    <definedName name="CUSTOM1_GR9__Wall_Finishes___Leather_Panel_with_double_stitch">#REF!</definedName>
    <definedName name="CUSTOM1_GR9__Wall_Finishes___Mirror_Column">#REF!</definedName>
    <definedName name="CUSTOM1_GR9__Wall_Finishes___Painted_Finish">#REF!</definedName>
    <definedName name="CUSTOM1_GR9__Wall_Finishes___Tiled_Finish">#REF!</definedName>
    <definedName name="CUSTOM1_GR9__Wall_Finishes___Wall_Stone_Finish">#REF!</definedName>
    <definedName name="CUSTOM1_Hotel_F_B__GF_" localSheetId="1">#REF!</definedName>
    <definedName name="CUSTOM1_Hotel_F_B__GF_">#REF!</definedName>
    <definedName name="CUSTOM1_IA_001mPF_BA_A_U00___lift_lobby">#REF!</definedName>
    <definedName name="CUSTOM1_IA_001mPF_BA_A_U00___lift_shaft">#REF!</definedName>
    <definedName name="CUSTOM1_IA_001mPF_BB_B_U00___double_vol._e.t.s._rm.">#REF!</definedName>
    <definedName name="CUSTOM1_IA_001mPF_BB_B_U00___double_volume">#REF!</definedName>
    <definedName name="CUSTOM1_IA_001mPF_BB_B_U00___electrical_rm.">#REF!</definedName>
    <definedName name="CUSTOM1_IA_001mPF_BB_B_U00___f.e._stairs">#REF!</definedName>
    <definedName name="CUSTOM1_IA_001mPF_BB_B_U00___f.h.c.">#REF!</definedName>
    <definedName name="CUSTOM1_IA_001mPF_BB_B_U00___garbage_rm.">#REF!</definedName>
    <definedName name="CUSTOM1_IA_001mPF_BB_B_U00___services_trans._area">#REF!</definedName>
    <definedName name="CUSTOM1_IA_001mPF_BB_B_U00___shaft">#REF!</definedName>
    <definedName name="CUSTOM1_IA_001mPF_BB_B_U00___stair_3">#REF!</definedName>
    <definedName name="CUSTOM1_IA_001mPF_BB_B_U00___telephone_rm.">#REF!</definedName>
    <definedName name="CUSTOM1_IA_001mPF_BB_B_U00___void">#REF!</definedName>
    <definedName name="CUSTOM1_IA_001mPF_BB_C_U00___driveway">#REF!</definedName>
    <definedName name="CUSTOM1_IA_001mPF_BB_C_U00___driveway_ramp">#REF!</definedName>
    <definedName name="CUSTOM1_IA_001mPF_BB_C_U00___driveway_zebra_lines">#REF!</definedName>
    <definedName name="CUSTOM1_IA_001mPF_BB_C_U00___parking_bay">#REF!</definedName>
    <definedName name="CUSTOM1_IA_001mPF_BB_C_U00___sidewalk">#REF!</definedName>
    <definedName name="CUSTOM1_IA_001mPF_BB_C_U00___sidewalk_ramp">#REF!</definedName>
    <definedName name="CUSTOM1_IA_001PF_BA_A_U00___lift_lobby">#REF!</definedName>
    <definedName name="CUSTOM1_IA_001PF_BA_A_U00___lift_shaft">#REF!</definedName>
    <definedName name="CUSTOM1_IA_001PF_BA_B_U00___electrical_rm.">#REF!</definedName>
    <definedName name="CUSTOM1_IA_001PF_BA_B_U00___f.e._stairs">#REF!</definedName>
    <definedName name="CUSTOM1_IA_001PF_BA_B_U00___f.h.c.">#REF!</definedName>
    <definedName name="CUSTOM1_IA_001PF_BA_B_U00___garbage_rm.">#REF!</definedName>
    <definedName name="CUSTOM1_IA_001PF_BA_B_U00___shaft">#REF!</definedName>
    <definedName name="CUSTOM1_IA_001PF_BA_B_U00___stair_3">#REF!</definedName>
    <definedName name="CUSTOM1_IA_001PF_BA_B_U00___telephone_rm.">#REF!</definedName>
    <definedName name="CUSTOM1_IA_001PF_BA_C_U00___driveway">#REF!</definedName>
    <definedName name="CUSTOM1_IA_001PF_BA_C_U00___driveway_zebra_line">#REF!</definedName>
    <definedName name="CUSTOM1_IA_001PF_BA_C_U00___parking_bay">#REF!</definedName>
    <definedName name="CUSTOM1_IA_001PF_BA_C_U00___sidewalk">#REF!</definedName>
    <definedName name="CUSTOM1_IA_002PF_BA_A_U00___lift_lobby">#REF!</definedName>
    <definedName name="CUSTOM1_IA_002PF_BA_A_U00___lift_shaft">#REF!</definedName>
    <definedName name="CUSTOM1_IA_002PF_BA_B_U00___electrical_rm.">#REF!</definedName>
    <definedName name="CUSTOM1_IA_002PF_BA_B_U00___f.e._stairs">#REF!</definedName>
    <definedName name="CUSTOM1_IA_002PF_BA_B_U00___f.h.c.">#REF!</definedName>
    <definedName name="CUSTOM1_IA_002PF_BA_B_U00___garbage_rm.">#REF!</definedName>
    <definedName name="CUSTOM1_IA_002PF_BA_B_U00___shaft">#REF!</definedName>
    <definedName name="CUSTOM1_IA_002PF_BA_B_U00___stair_3">#REF!</definedName>
    <definedName name="CUSTOM1_IA_002PF_BA_B_U00___telephone_rm.">#REF!</definedName>
    <definedName name="CUSTOM1_IA_002PF_BA_C_U00___driveway">#REF!</definedName>
    <definedName name="CUSTOM1_IA_002PF_BA_C_U00___driveway_zebra_line">#REF!</definedName>
    <definedName name="CUSTOM1_IA_002PF_BA_C_U00___parking_bay">#REF!</definedName>
    <definedName name="CUSTOM1_IA_002PF_BA_C_U00___sidewalk">#REF!</definedName>
    <definedName name="CUSTOM1_IA_003PF_BA_A_U00___lift_lobby">#REF!</definedName>
    <definedName name="CUSTOM1_IA_003PF_BA_A_U00___lift_shaft">#REF!</definedName>
    <definedName name="CUSTOM1_IA_003PF_BA_B_U00___electrical_rm.">#REF!</definedName>
    <definedName name="CUSTOM1_IA_003PF_BA_B_U00___f.e._stairs">#REF!</definedName>
    <definedName name="CUSTOM1_IA_003PF_BA_B_U00___f.h.c.">#REF!</definedName>
    <definedName name="CUSTOM1_IA_003PF_BA_B_U00___garbage_rm.">#REF!</definedName>
    <definedName name="CUSTOM1_IA_003PF_BA_B_U00___plant_rm.">#REF!</definedName>
    <definedName name="CUSTOM1_IA_003PF_BA_B_U00___shaft">#REF!</definedName>
    <definedName name="CUSTOM1_IA_003PF_BA_B_U00___stair_3">#REF!</definedName>
    <definedName name="CUSTOM1_IA_003PF_BA_B_U00___telephone_rm.">#REF!</definedName>
    <definedName name="CUSTOM1_IA_003PF_BA_C_U00___driveway">#REF!</definedName>
    <definedName name="CUSTOM1_IA_003PF_BA_C_U00___driveway_zebra_line">#REF!</definedName>
    <definedName name="CUSTOM1_IA_003PF_BA_C_U00___parking_bay">#REF!</definedName>
    <definedName name="CUSTOM1_IA_003PF_BA_C_U00___sidewalk">#REF!</definedName>
    <definedName name="CUSTOM1_IA_00AF_AB_U00___cafe">#REF!</definedName>
    <definedName name="CUSTOM1_IA_00AF_AB_U00___cafe_pantry">#REF!</definedName>
    <definedName name="CUSTOM1_IA_00AF_AB_U00___corridor">#REF!</definedName>
    <definedName name="CUSTOM1_IA_00AF_AB_U00___game_rm.">#REF!</definedName>
    <definedName name="CUSTOM1_IA_00AF_AB_U00___game_rm._store">#REF!</definedName>
    <definedName name="CUSTOM1_IA_00AF_AB_U00___gym_female">#REF!</definedName>
    <definedName name="CUSTOM1_IA_00AF_AB_U00___gym_female_lobby">#REF!</definedName>
    <definedName name="CUSTOM1_IA_00AF_AB_U00___gym_female_shaft">#REF!</definedName>
    <definedName name="CUSTOM1_IA_00AF_AB_U00___gym_female_store">#REF!</definedName>
    <definedName name="CUSTOM1_IA_00AF_AB_U00___gym_female_void">#REF!</definedName>
    <definedName name="CUSTOM1_IA_00AF_AB_U00___gym_male">#REF!</definedName>
    <definedName name="CUSTOM1_IA_00AF_AB_U00___gym_male_lobby">#REF!</definedName>
    <definedName name="CUSTOM1_IA_00AF_AB_U00___gym_male_shaft">#REF!</definedName>
    <definedName name="CUSTOM1_IA_00AF_AB_U00___gym_male_store">#REF!</definedName>
    <definedName name="CUSTOM1_IA_00AF_AB_U00___gym_male_void">#REF!</definedName>
    <definedName name="CUSTOM1_IA_00AF_AB_U00___handicap_toi._female">#REF!</definedName>
    <definedName name="CUSTOM1_IA_00AF_AB_U00___handicap_toi._male">#REF!</definedName>
    <definedName name="CUSTOM1_IA_00AF_AB_U00___lift_lobby">#REF!</definedName>
    <definedName name="CUSTOM1_IA_00AF_AB_U00___lift_shaft">#REF!</definedName>
    <definedName name="CUSTOM1_IA_00AF_AB_U00___multi_purpose_rm.">#REF!</definedName>
    <definedName name="CUSTOM1_IA_00AF_AB_U00___multi_purpose_shaft">#REF!</definedName>
    <definedName name="CUSTOM1_IA_00AF_AB_U00___multi_purpose_store">#REF!</definedName>
    <definedName name="CUSTOM1_IA_00AF_AB_U00___spa_f._hallway">#REF!</definedName>
    <definedName name="CUSTOM1_IA_00AF_AB_U00___spa_f._heater_rm.">#REF!</definedName>
    <definedName name="CUSTOM1_IA_00AF_AB_U00___spa_f._lobby">#REF!</definedName>
    <definedName name="CUSTOM1_IA_00AF_AB_U00___spa_f._lockers">#REF!</definedName>
    <definedName name="CUSTOM1_IA_00AF_AB_U00___spa_f._massage_rm.">#REF!</definedName>
    <definedName name="CUSTOM1_IA_00AF_AB_U00___spa_f._rec.">#REF!</definedName>
    <definedName name="CUSTOM1_IA_00AF_AB_U00___spa_f._sauna">#REF!</definedName>
    <definedName name="CUSTOM1_IA_00AF_AB_U00___spa_f._shaft">#REF!</definedName>
    <definedName name="CUSTOM1_IA_00AF_AB_U00___spa_f._shower_toilet">#REF!</definedName>
    <definedName name="CUSTOM1_IA_00AF_AB_U00___spa_f._steam_rm.">#REF!</definedName>
    <definedName name="CUSTOM1_IA_00AF_AB_U00___spa_m._hallway">#REF!</definedName>
    <definedName name="CUSTOM1_IA_00AF_AB_U00___spa_m._heater_rm.">#REF!</definedName>
    <definedName name="CUSTOM1_IA_00AF_AB_U00___spa_m._lobby">#REF!</definedName>
    <definedName name="CUSTOM1_IA_00AF_AB_U00___spa_m._lockers">#REF!</definedName>
    <definedName name="CUSTOM1_IA_00AF_AB_U00___spa_m._massage_rm.">#REF!</definedName>
    <definedName name="CUSTOM1_IA_00AF_AB_U00___spa_m._rec.">#REF!</definedName>
    <definedName name="CUSTOM1_IA_00AF_AB_U00___spa_m._sauna">#REF!</definedName>
    <definedName name="CUSTOM1_IA_00AF_AB_U00___spa_m._shaft">#REF!</definedName>
    <definedName name="CUSTOM1_IA_00AF_AB_U00___spa_m._shower_toilet">#REF!</definedName>
    <definedName name="CUSTOM1_IA_00AF_AB_U00___spa_m._steam_rm.">#REF!</definedName>
    <definedName name="CUSTOM1_IA_00AF_AC_U00___electrical_rm.">#REF!</definedName>
    <definedName name="CUSTOM1_IA_00AF_AC_U00___f.e._stair">#REF!</definedName>
    <definedName name="CUSTOM1_IA_00AF_AC_U00___fhc">#REF!</definedName>
    <definedName name="CUSTOM1_IA_00AF_AC_U00___garbage_rm.">#REF!</definedName>
    <definedName name="CUSTOM1_IA_00AF_AC_U00___shaft">#REF!</definedName>
    <definedName name="CUSTOM1_IA_00AF_AC_U00___stair_3">#REF!</definedName>
    <definedName name="CUSTOM1_IA_00AF_AC_U00___store_rm.">#REF!</definedName>
    <definedName name="CUSTOM1_IA_00AF_AC_U00___telephone_rm.">#REF!</definedName>
    <definedName name="CUSTOM1_IA_00B1F_BD_B_U00___double_volume">#REF!</definedName>
    <definedName name="CUSTOM1_IA_00B1F_BD_B_U00___f.e._stairs">#REF!</definedName>
    <definedName name="CUSTOM1_IA_00B1F_BD_B_U00___f.h.c.">#REF!</definedName>
    <definedName name="CUSTOM1_IA_00B1F_BD_B_U00___fire_pump_rm.">#REF!</definedName>
    <definedName name="CUSTOM1_IA_00B1F_BD_B_U00___lobby_rm.">#REF!</definedName>
    <definedName name="CUSTOM1_IA_00B1F_BD_B_U00___lobby_rm._ent.">#REF!</definedName>
    <definedName name="CUSTOM1_IA_00B1F_BD_B_U00___shaft">#REF!</definedName>
    <definedName name="CUSTOM1_IA_00B1F_BD_B_U00___stair_3">#REF!</definedName>
    <definedName name="CUSTOM1_IA_00B1F_BD_B_U00___tech._rm.">#REF!</definedName>
    <definedName name="CUSTOM1_IA_00B1F_BD_C_U00___double_volume">#REF!</definedName>
    <definedName name="CUSTOM1_IA_00B1F_BD_C_U00___driveway">#REF!</definedName>
    <definedName name="CUSTOM1_IA_00B1F_BD_C_U00___driveway_ramp_1">#REF!</definedName>
    <definedName name="CUSTOM1_IA_00B1F_BD_C_U00___driveway_zebra_lines">#REF!</definedName>
    <definedName name="CUSTOM1_IA_00B1F_BD_C_U00___parking_bay">#REF!</definedName>
    <definedName name="CUSTOM1_IA_00B1F_BD_C_U00___sidewalk">#REF!</definedName>
    <definedName name="CUSTOM1_IA_00B1F_BD_C_U00___sidewalk_ramp">#REF!</definedName>
    <definedName name="CUSTOM1_IA_00B1iF_BD_A_U00___lift_lobby">#REF!</definedName>
    <definedName name="CUSTOM1_IA_00B1iF_BD_A_U00___lift_shaft">#REF!</definedName>
    <definedName name="CUSTOM1_IA_00B1iF_BD_B_U00___electrical_rm.">#REF!</definedName>
    <definedName name="CUSTOM1_IA_00B1iF_BD_B_U00___f.e._stairs">#REF!</definedName>
    <definedName name="CUSTOM1_IA_00B1iF_BD_B_U00___f.h.c.">#REF!</definedName>
    <definedName name="CUSTOM1_IA_00B1iF_BD_B_U00___l.v._rm.">#REF!</definedName>
    <definedName name="CUSTOM1_IA_00B1iF_BD_B_U00___main_tel._rm.">#REF!</definedName>
    <definedName name="CUSTOM1_IA_00B1iF_BD_B_U00___shaft">#REF!</definedName>
    <definedName name="CUSTOM1_IA_00B1iF_BD_B_U00___stair_4">#REF!</definedName>
    <definedName name="CUSTOM1_IA_00B1iF_BD_B_U00___storage_1">#REF!</definedName>
    <definedName name="CUSTOM1_IA_00B1iF_BD_B_U00___tech._rm.1">#REF!</definedName>
    <definedName name="CUSTOM1_IA_00B1iF_BD_B_U00___tech._rm.2">#REF!</definedName>
    <definedName name="CUSTOM1_IA_00B1iF_BD_B_U00___tech._rm.3">#REF!</definedName>
    <definedName name="CUSTOM1_IA_00B1iF_BD_B_U00___water_tank_1_double_volume">#REF!</definedName>
    <definedName name="CUSTOM1_IA_00B1iF_BD_B_U00___water_tank_2_double_volume">#REF!</definedName>
    <definedName name="CUSTOM1_IA_00B1iF_BD_B_U00___water_tank_3_double_volume">#REF!</definedName>
    <definedName name="CUSTOM1_IA_00B1iF_BD_B_U00___water_tank_4_double_volume">#REF!</definedName>
    <definedName name="CUSTOM1_IA_00B1iF_BD_C_U00___driveway">#REF!</definedName>
    <definedName name="CUSTOM1_IA_00B1iF_BD_C_U00___driveway_zebra_lines">#REF!</definedName>
    <definedName name="CUSTOM1_IA_00B1iF_BD_C_U00___parking_bay">#REF!</definedName>
    <definedName name="CUSTOM1_IA_00B1iF_BD_C_U00___sidewalk">#REF!</definedName>
    <definedName name="CUSTOM1_IA_00B2F_BD_A_U00___lift_lobby">#REF!</definedName>
    <definedName name="CUSTOM1_IA_00B2F_BD_A_U00___lift_shaft">#REF!</definedName>
    <definedName name="CUSTOM1_IA_00B2F_BD_B_U00___electrical_rm.">#REF!</definedName>
    <definedName name="CUSTOM1_IA_00B2F_BD_B_U00___f.e._stair">#REF!</definedName>
    <definedName name="CUSTOM1_IA_00B2F_BD_B_U00___f.h.c.">#REF!</definedName>
    <definedName name="CUSTOM1_IA_00B2F_BD_B_U00___mechanical_rm.1">#REF!</definedName>
    <definedName name="CUSTOM1_IA_00B2F_BD_B_U00___pump_rm.">#REF!</definedName>
    <definedName name="CUSTOM1_IA_00B2F_BD_B_U00___pump_rm._2">#REF!</definedName>
    <definedName name="CUSTOM1_IA_00B2F_BD_B_U00___shaft">#REF!</definedName>
    <definedName name="CUSTOM1_IA_00B2F_BD_B_U00___stair_4">#REF!</definedName>
    <definedName name="CUSTOM1_IA_00B2F_BD_B_U00___store_rm.1">#REF!</definedName>
    <definedName name="CUSTOM1_IA_00B2F_BD_B_U00___store_rm.2">#REF!</definedName>
    <definedName name="CUSTOM1_IA_00B2F_BD_B_U00___store_rm.3">#REF!</definedName>
    <definedName name="CUSTOM1_IA_00B2F_BD_B_U00___store_rm.4">#REF!</definedName>
    <definedName name="CUSTOM1_IA_00B2F_BD_B_U00___store_rm.5">#REF!</definedName>
    <definedName name="CUSTOM1_IA_00B2F_BD_B_U00___tech_rm.1">#REF!</definedName>
    <definedName name="CUSTOM1_IA_00B2F_BD_B_U00___tech_rm.2">#REF!</definedName>
    <definedName name="CUSTOM1_IA_00B2F_BD_B_U00___tech_rm.3">#REF!</definedName>
    <definedName name="CUSTOM1_IA_00B2F_BD_B_U00___water_tank__1">#REF!</definedName>
    <definedName name="CUSTOM1_IA_00B2F_BD_B_U00___water_tank__2">#REF!</definedName>
    <definedName name="CUSTOM1_IA_00B2F_BD_B_U00___water_tank__3">#REF!</definedName>
    <definedName name="CUSTOM1_IA_00B2F_BD_B_U00___water_tank__4">#REF!</definedName>
    <definedName name="CUSTOM1_IA_00B2F_BD_C_U00___driveway_1">#REF!</definedName>
    <definedName name="CUSTOM1_IA_00B2F_BD_C_U00___driveway_1___zebra_line">#REF!</definedName>
    <definedName name="CUSTOM1_IA_00B2F_BD_C_U00___parking_bay_1">#REF!</definedName>
    <definedName name="CUSTOM1_IA_00B2F_BD_C_U00___sidewalk_1">#REF!</definedName>
    <definedName name="CUSTOM1_IA_00BF_BC_A_U00___entrance_lobby">#REF!</definedName>
    <definedName name="CUSTOM1_IA_00BF_BC_A_U00___lift_lobby">#REF!</definedName>
    <definedName name="CUSTOM1_IA_00BF_BC_A_U00___lift_shaft">#REF!</definedName>
    <definedName name="CUSTOM1_IA_00BF_BC_A_U00___main_entrance">#REF!</definedName>
    <definedName name="CUSTOM1_IA_00BF_BC_B_U00___b.m.s._rm.">#REF!</definedName>
    <definedName name="CUSTOM1_IA_00BF_BC_B_U00___e.t.s_rm.">#REF!</definedName>
    <definedName name="CUSTOM1_IA_00BF_BC_B_U00___e.t.s_rm._hallway">#REF!</definedName>
    <definedName name="CUSTOM1_IA_00BF_BC_B_U00___e.t.s_rm.1">#REF!</definedName>
    <definedName name="CUSTOM1_IA_00BF_BC_B_U00___elect._rm">#REF!</definedName>
    <definedName name="CUSTOM1_IA_00BF_BC_B_U00___elect._rm_1">#REF!</definedName>
    <definedName name="CUSTOM1_IA_00BF_BC_B_U00___f.e._stair">#REF!</definedName>
    <definedName name="CUSTOM1_IA_00BF_BC_B_U00___f.e._stair_corridor">#REF!</definedName>
    <definedName name="CUSTOM1_IA_00BF_BC_B_U00___f.e._stair_corridor_lobby">#REF!</definedName>
    <definedName name="CUSTOM1_IA_00BF_BC_B_U00___f.h.c.">#REF!</definedName>
    <definedName name="CUSTOM1_IA_00BF_BC_B_U00___g.s.m._rm.">#REF!</definedName>
    <definedName name="CUSTOM1_IA_00BF_BC_B_U00___garbage_rm.">#REF!</definedName>
    <definedName name="CUSTOM1_IA_00BF_BC_B_U00___garbage_rm._ramp">#REF!</definedName>
    <definedName name="CUSTOM1_IA_00BF_BC_B_U00___generator_rm.">#REF!</definedName>
    <definedName name="CUSTOM1_IA_00BF_BC_B_U00___guard_rm.">#REF!</definedName>
    <definedName name="CUSTOM1_IA_00BF_BC_B_U00___guard_rm._toilet">#REF!</definedName>
    <definedName name="CUSTOM1_IA_00BF_BC_B_U00___h.v._rm.">#REF!</definedName>
    <definedName name="CUSTOM1_IA_00BF_BC_B_U00___platform">#REF!</definedName>
    <definedName name="CUSTOM1_IA_00BF_BC_B_U00___shaft">#REF!</definedName>
    <definedName name="CUSTOM1_IA_00BF_BC_B_U00___stairs_3">#REF!</definedName>
    <definedName name="CUSTOM1_IA_00BF_BC_B_U00___tech._area_1">#REF!</definedName>
    <definedName name="CUSTOM1_IA_00BF_BC_B_U00___tech._area_2">#REF!</definedName>
    <definedName name="CUSTOM1_IA_00BF_BC_B_U00___tech._area_3">#REF!</definedName>
    <definedName name="CUSTOM1_IA_00BF_BC_B_U00___tech._area_3_lobby">#REF!</definedName>
    <definedName name="CUSTOM1_IA_00BF_BC_B_U00___tel_rm.">#REF!</definedName>
    <definedName name="CUSTOM1_IA_00BF_BC_B_U00___toilet">#REF!</definedName>
    <definedName name="CUSTOM1_IA_00BF_BC_B_U00___toilet_female">#REF!</definedName>
    <definedName name="CUSTOM1_IA_00BF_BC_B_U00___toilet_lobby">#REF!</definedName>
    <definedName name="CUSTOM1_IA_00BF_BC_B_U00___toilet_male">#REF!</definedName>
    <definedName name="CUSTOM1_IA_00BF_BC_B_U00___transformer_rm.">#REF!</definedName>
    <definedName name="CUSTOM1_IA_00BF_BC_C_U00___double_volume">#REF!</definedName>
    <definedName name="CUSTOM1_IA_00BF_BC_C_U00___driveway_1">#REF!</definedName>
    <definedName name="CUSTOM1_IA_00BF_BC_C_U00___driveway_ramp">#REF!</definedName>
    <definedName name="CUSTOM1_IA_00BF_BC_C_U00___driveway_zebra_line">#REF!</definedName>
    <definedName name="CUSTOM1_IA_00BF_BC_C_U00___sidewalk_1">#REF!</definedName>
    <definedName name="CUSTOM1_IA_00BF_BC_C_U00___sidewalk_1_ramp">#REF!</definedName>
    <definedName name="CUSTOM1_IA_00BF_BC_C_U00___void">#REF!</definedName>
    <definedName name="CUSTOM1_IA_01F_AA_U01___BR1_lobby">#REF!</definedName>
    <definedName name="CUSTOM1_IA_01F_AA_U01___BR1_rm.">#REF!</definedName>
    <definedName name="CUSTOM1_IA_01F_AA_U01___BR1_t_b">#REF!</definedName>
    <definedName name="CUSTOM1_IA_01F_AA_U01___BR2_dresser">#REF!</definedName>
    <definedName name="CUSTOM1_IA_01F_AA_U01___BR2_lobby">#REF!</definedName>
    <definedName name="CUSTOM1_IA_01F_AA_U01___BR2_rm.">#REF!</definedName>
    <definedName name="CUSTOM1_IA_01F_AA_U01___BR2_t_b">#REF!</definedName>
    <definedName name="CUSTOM1_IA_01F_AA_U01___corridor">#REF!</definedName>
    <definedName name="CUSTOM1_IA_01F_AA_U01___foyer">#REF!</definedName>
    <definedName name="CUSTOM1_IA_01F_AA_U01___kitchen">#REF!</definedName>
    <definedName name="CUSTOM1_IA_01F_AA_U01___living_dining">#REF!</definedName>
    <definedName name="CUSTOM1_IA_01F_AA_U01___maids_rm.">#REF!</definedName>
    <definedName name="CUSTOM1_IA_01F_AA_U01___maids_toi.">#REF!</definedName>
    <definedName name="CUSTOM1_IA_01F_AA_U01___shaft">#REF!</definedName>
    <definedName name="CUSTOM1_IA_01F_AA_U01___toilet">#REF!</definedName>
    <definedName name="CUSTOM1_IA_01F_AA_U01___utility_rm.">#REF!</definedName>
    <definedName name="CUSTOM1_IA_01F_AA_U01___void">#REF!</definedName>
    <definedName name="CUSTOM1_IA_01F_AA_U02___BR1_dresser">#REF!</definedName>
    <definedName name="CUSTOM1_IA_01F_AA_U02___BR1_rm.">#REF!</definedName>
    <definedName name="CUSTOM1_IA_01F_AA_U02___BR1_t_b">#REF!</definedName>
    <definedName name="CUSTOM1_IA_01F_AA_U02___BR2_lobby">#REF!</definedName>
    <definedName name="CUSTOM1_IA_01F_AA_U02___BR2_rm.">#REF!</definedName>
    <definedName name="CUSTOM1_IA_01F_AA_U02___BR2_t_b">#REF!</definedName>
    <definedName name="CUSTOM1_IA_01F_AA_U02___corridor">#REF!</definedName>
    <definedName name="CUSTOM1_IA_01F_AA_U02___foyer">#REF!</definedName>
    <definedName name="CUSTOM1_IA_01F_AA_U02___kitchen">#REF!</definedName>
    <definedName name="CUSTOM1_IA_01F_AA_U02___living_dining">#REF!</definedName>
    <definedName name="CUSTOM1_IA_01F_AA_U02___maids_rm.">#REF!</definedName>
    <definedName name="CUSTOM1_IA_01F_AA_U02___maids_toi.">#REF!</definedName>
    <definedName name="CUSTOM1_IA_01F_AA_U02___shaft">#REF!</definedName>
    <definedName name="CUSTOM1_IA_01F_AA_U02___toilet">#REF!</definedName>
    <definedName name="CUSTOM1_IA_01F_AA_U02___utility_rm.">#REF!</definedName>
    <definedName name="CUSTOM1_IA_01F_AA_U02___void">#REF!</definedName>
    <definedName name="CUSTOM1_IA_01F_AA_U03___BR1_dresser">#REF!</definedName>
    <definedName name="CUSTOM1_IA_01F_AA_U03___BR1_lobby">#REF!</definedName>
    <definedName name="CUSTOM1_IA_01F_AA_U03___BR1_rm.">#REF!</definedName>
    <definedName name="CUSTOM1_IA_01F_AA_U03___BR1_store">#REF!</definedName>
    <definedName name="CUSTOM1_IA_01F_AA_U03___BR1_t_b">#REF!</definedName>
    <definedName name="CUSTOM1_IA_01F_AA_U03___foyer">#REF!</definedName>
    <definedName name="CUSTOM1_IA_01F_AA_U03___kitchen">#REF!</definedName>
    <definedName name="CUSTOM1_IA_01F_AA_U03___living_dining">#REF!</definedName>
    <definedName name="CUSTOM1_IA_01F_AA_U03___shaft">#REF!</definedName>
    <definedName name="CUSTOM1_IA_01F_AA_U03___storage">#REF!</definedName>
    <definedName name="CUSTOM1_IA_01F_AA_U03___toilet">#REF!</definedName>
    <definedName name="CUSTOM1_IA_01F_AA_U03___utility_rm.">#REF!</definedName>
    <definedName name="CUSTOM1_IA_01F_AA_U03___void">#REF!</definedName>
    <definedName name="CUSTOM1_IA_01F_AA_U04___BR1_dresser">#REF!</definedName>
    <definedName name="CUSTOM1_IA_01F_AA_U04___BR1_lobby">#REF!</definedName>
    <definedName name="CUSTOM1_IA_01F_AA_U04___BR1_rm.">#REF!</definedName>
    <definedName name="CUSTOM1_IA_01F_AA_U04___BR1_store">#REF!</definedName>
    <definedName name="CUSTOM1_IA_01F_AA_U04___BR1_t_b">#REF!</definedName>
    <definedName name="CUSTOM1_IA_01F_AA_U04___foyer">#REF!</definedName>
    <definedName name="CUSTOM1_IA_01F_AA_U04___kitchen">#REF!</definedName>
    <definedName name="CUSTOM1_IA_01F_AA_U04___living_dining">#REF!</definedName>
    <definedName name="CUSTOM1_IA_01F_AA_U04___shaft">#REF!</definedName>
    <definedName name="CUSTOM1_IA_01F_AA_U04___storage">#REF!</definedName>
    <definedName name="CUSTOM1_IA_01F_AA_U04___toilet">#REF!</definedName>
    <definedName name="CUSTOM1_IA_01F_AA_U04___utility_rm.">#REF!</definedName>
    <definedName name="CUSTOM1_IA_01F_AA_U04___void">#REF!</definedName>
    <definedName name="CUSTOM1_IA_01F_AA_U05___corridor">#REF!</definedName>
    <definedName name="CUSTOM1_IA_01F_AA_U05___foyer">#REF!</definedName>
    <definedName name="CUSTOM1_IA_01F_AA_U05___kitchen">#REF!</definedName>
    <definedName name="CUSTOM1_IA_01F_AA_U05___living_dining">#REF!</definedName>
    <definedName name="CUSTOM1_IA_01F_AA_U05___maids_lobby">#REF!</definedName>
    <definedName name="CUSTOM1_IA_01F_AA_U05___maids_rm.">#REF!</definedName>
    <definedName name="CUSTOM1_IA_01F_AA_U05___maids_toi.">#REF!</definedName>
    <definedName name="CUSTOM1_IA_01F_AA_U05___shaft">#REF!</definedName>
    <definedName name="CUSTOM1_IA_01F_AA_U05___stairs">#REF!</definedName>
    <definedName name="CUSTOM1_IA_01F_AA_U05___toilet">#REF!</definedName>
    <definedName name="CUSTOM1_IA_01F_AA_U05___utility_rm.">#REF!</definedName>
    <definedName name="CUSTOM1_IA_01F_AA_U06___BR1_lobby">#REF!</definedName>
    <definedName name="CUSTOM1_IA_01F_AA_U06___BR1_rm.">#REF!</definedName>
    <definedName name="CUSTOM1_IA_01F_AA_U06___BR1_t_b">#REF!</definedName>
    <definedName name="CUSTOM1_IA_01F_AA_U06___BR2_dresser">#REF!</definedName>
    <definedName name="CUSTOM1_IA_01F_AA_U06___BR2_lobby">#REF!</definedName>
    <definedName name="CUSTOM1_IA_01F_AA_U06___BR2_rm.">#REF!</definedName>
    <definedName name="CUSTOM1_IA_01F_AA_U06___BR2_t_b">#REF!</definedName>
    <definedName name="CUSTOM1_IA_01F_AA_U06___BR3_dresser">#REF!</definedName>
    <definedName name="CUSTOM1_IA_01F_AA_U06___BR3_lobby">#REF!</definedName>
    <definedName name="CUSTOM1_IA_01F_AA_U06___BR3_rm.">#REF!</definedName>
    <definedName name="CUSTOM1_IA_01F_AA_U06___BR3_t_b">#REF!</definedName>
    <definedName name="CUSTOM1_IA_01F_AA_U06___corridor">#REF!</definedName>
    <definedName name="CUSTOM1_IA_01F_AA_U06___foyer">#REF!</definedName>
    <definedName name="CUSTOM1_IA_01F_AA_U06___kitchen">#REF!</definedName>
    <definedName name="CUSTOM1_IA_01F_AA_U06___living_dining">#REF!</definedName>
    <definedName name="CUSTOM1_IA_01F_AA_U06___maids_rm.">#REF!</definedName>
    <definedName name="CUSTOM1_IA_01F_AA_U06___maids_toi.">#REF!</definedName>
    <definedName name="CUSTOM1_IA_01F_AA_U06___shaft">#REF!</definedName>
    <definedName name="CUSTOM1_IA_01F_AA_U06___toilet">#REF!</definedName>
    <definedName name="CUSTOM1_IA_01F_AA_U06___utility_rm.">#REF!</definedName>
    <definedName name="CUSTOM1_IA_01F_AB_U00___corridor">#REF!</definedName>
    <definedName name="CUSTOM1_IA_01F_AB_U00___lift_lobby">#REF!</definedName>
    <definedName name="CUSTOM1_IA_01F_AB_U00___lift_shaft">#REF!</definedName>
    <definedName name="CUSTOM1_IA_01F_AC_U00___electrical_rm.">#REF!</definedName>
    <definedName name="CUSTOM1_IA_01F_AC_U00___f.e._stair">#REF!</definedName>
    <definedName name="CUSTOM1_IA_01F_AC_U00___f.h.c.">#REF!</definedName>
    <definedName name="CUSTOM1_IA_01F_AC_U00___garbage_rm.">#REF!</definedName>
    <definedName name="CUSTOM1_IA_01F_AC_U00___shaft">#REF!</definedName>
    <definedName name="CUSTOM1_IA_01F_AC_U00___telephone_rm.">#REF!</definedName>
    <definedName name="CUSTOM1_IA_02F_AA_U01___BR1_lobby">#REF!</definedName>
    <definedName name="CUSTOM1_IA_02F_AA_U01___BR1_rm.">#REF!</definedName>
    <definedName name="CUSTOM1_IA_02F_AA_U01___BR1_t_b">#REF!</definedName>
    <definedName name="CUSTOM1_IA_02F_AA_U01___BR2_dresser">#REF!</definedName>
    <definedName name="CUSTOM1_IA_02F_AA_U01___BR2_lobby">#REF!</definedName>
    <definedName name="CUSTOM1_IA_02F_AA_U01___BR2_rm.">#REF!</definedName>
    <definedName name="CUSTOM1_IA_02F_AA_U01___BR2_t_b">#REF!</definedName>
    <definedName name="CUSTOM1_IA_02F_AA_U01___corridor">#REF!</definedName>
    <definedName name="CUSTOM1_IA_02F_AA_U01___foyer">#REF!</definedName>
    <definedName name="CUSTOM1_IA_02F_AA_U01___kitchen">#REF!</definedName>
    <definedName name="CUSTOM1_IA_02F_AA_U01___living_dining">#REF!</definedName>
    <definedName name="CUSTOM1_IA_02F_AA_U01___maids_rm.">#REF!</definedName>
    <definedName name="CUSTOM1_IA_02F_AA_U01___maids_toi.">#REF!</definedName>
    <definedName name="CUSTOM1_IA_02F_AA_U01___shaft">#REF!</definedName>
    <definedName name="CUSTOM1_IA_02F_AA_U01___toilet">#REF!</definedName>
    <definedName name="CUSTOM1_IA_02F_AA_U01___utility_rm.">#REF!</definedName>
    <definedName name="CUSTOM1_IA_02F_AA_U01___void">#REF!</definedName>
    <definedName name="CUSTOM1_IA_02F_AA_U02___BR1_dresser">#REF!</definedName>
    <definedName name="CUSTOM1_IA_02F_AA_U02___BR1_rm.">#REF!</definedName>
    <definedName name="CUSTOM1_IA_02F_AA_U02___BR1_t_b">#REF!</definedName>
    <definedName name="CUSTOM1_IA_02F_AA_U02___BR2_lobby">#REF!</definedName>
    <definedName name="CUSTOM1_IA_02F_AA_U02___BR2_rm.">#REF!</definedName>
    <definedName name="CUSTOM1_IA_02F_AA_U02___BR2_t_b">#REF!</definedName>
    <definedName name="CUSTOM1_IA_02F_AA_U02___corridor">#REF!</definedName>
    <definedName name="CUSTOM1_IA_02F_AA_U02___foyer">#REF!</definedName>
    <definedName name="CUSTOM1_IA_02F_AA_U02___kitchen">#REF!</definedName>
    <definedName name="CUSTOM1_IA_02F_AA_U02___living_dining">#REF!</definedName>
    <definedName name="CUSTOM1_IA_02F_AA_U02___maids_rm.">#REF!</definedName>
    <definedName name="CUSTOM1_IA_02F_AA_U02___maids_toi.">#REF!</definedName>
    <definedName name="CUSTOM1_IA_02F_AA_U02___shaft">#REF!</definedName>
    <definedName name="CUSTOM1_IA_02F_AA_U02___toilet">#REF!</definedName>
    <definedName name="CUSTOM1_IA_02F_AA_U02___utility_rm.">#REF!</definedName>
    <definedName name="CUSTOM1_IA_02F_AA_U02___void">#REF!</definedName>
    <definedName name="CUSTOM1_IA_02F_AA_U05___BR1_rm.">#REF!</definedName>
    <definedName name="CUSTOM1_IA_02F_AA_U05___BR1_t_b">#REF!</definedName>
    <definedName name="CUSTOM1_IA_02F_AA_U05___BR2_lobby">#REF!</definedName>
    <definedName name="CUSTOM1_IA_02F_AA_U05___BR2_rm.">#REF!</definedName>
    <definedName name="CUSTOM1_IA_02F_AA_U05___BR2_t_b">#REF!</definedName>
    <definedName name="CUSTOM1_IA_02F_AA_U05___double_vol.">#REF!</definedName>
    <definedName name="CUSTOM1_IA_02F_AA_U05___foyer">#REF!</definedName>
    <definedName name="CUSTOM1_IA_02F_AA_U05___living_rm.">#REF!</definedName>
    <definedName name="CUSTOM1_IA_02F_AA_U05___shaft">#REF!</definedName>
    <definedName name="CUSTOM1_IA_02F_AA_U05___stairs">#REF!</definedName>
    <definedName name="CUSTOM1_IA_02F_AA_U05___void">#REF!</definedName>
    <definedName name="CUSTOM1_IA_02F_AA_U06___BR1_lobby">#REF!</definedName>
    <definedName name="CUSTOM1_IA_02F_AA_U06___BR1_rm.">#REF!</definedName>
    <definedName name="CUSTOM1_IA_02F_AA_U06___BR1_t_b">#REF!</definedName>
    <definedName name="CUSTOM1_IA_02F_AA_U06___BR2_dresser">#REF!</definedName>
    <definedName name="CUSTOM1_IA_02F_AA_U06___BR2_lobby">#REF!</definedName>
    <definedName name="CUSTOM1_IA_02F_AA_U06___BR2_rm.">#REF!</definedName>
    <definedName name="CUSTOM1_IA_02F_AA_U06___BR2_t_b">#REF!</definedName>
    <definedName name="CUSTOM1_IA_02F_AA_U06___BR3_dresser">#REF!</definedName>
    <definedName name="CUSTOM1_IA_02F_AA_U06___BR3_lobby">#REF!</definedName>
    <definedName name="CUSTOM1_IA_02F_AA_U06___BR3_rm.">#REF!</definedName>
    <definedName name="CUSTOM1_IA_02F_AA_U06___BR3_t_b">#REF!</definedName>
    <definedName name="CUSTOM1_IA_02F_AA_U06___corridor">#REF!</definedName>
    <definedName name="CUSTOM1_IA_02F_AA_U06___foyer">#REF!</definedName>
    <definedName name="CUSTOM1_IA_02F_AA_U06___kitchen">#REF!</definedName>
    <definedName name="CUSTOM1_IA_02F_AA_U06___living_dining">#REF!</definedName>
    <definedName name="CUSTOM1_IA_02F_AA_U06___maids_rm.">#REF!</definedName>
    <definedName name="CUSTOM1_IA_02F_AA_U06___maids_toi.">#REF!</definedName>
    <definedName name="CUSTOM1_IA_02F_AA_U06___shaft">#REF!</definedName>
    <definedName name="CUSTOM1_IA_02F_AA_U06___toilet">#REF!</definedName>
    <definedName name="CUSTOM1_IA_02F_AA_U06___utility_rm.">#REF!</definedName>
    <definedName name="CUSTOM1_IA_03F_AA_U05___corridor">#REF!</definedName>
    <definedName name="CUSTOM1_IA_03F_AA_U05___foyer">#REF!</definedName>
    <definedName name="CUSTOM1_IA_03F_AA_U05___kitchen">#REF!</definedName>
    <definedName name="CUSTOM1_IA_03F_AA_U05___living_dining">#REF!</definedName>
    <definedName name="CUSTOM1_IA_03F_AA_U05___maids_lobby">#REF!</definedName>
    <definedName name="CUSTOM1_IA_03F_AA_U05___maids_rm.">#REF!</definedName>
    <definedName name="CUSTOM1_IA_03F_AA_U05___maids_toi.">#REF!</definedName>
    <definedName name="CUSTOM1_IA_03F_AA_U05___shaft">#REF!</definedName>
    <definedName name="CUSTOM1_IA_03F_AA_U05___stairs">#REF!</definedName>
    <definedName name="CUSTOM1_IA_03F_AA_U05___toilet">#REF!</definedName>
    <definedName name="CUSTOM1_IA_03F_AA_U05___utility_rm.">#REF!</definedName>
    <definedName name="CUSTOM1_IA_05F_AA_U01___BR1_lobby">#REF!</definedName>
    <definedName name="CUSTOM1_IA_05F_AA_U01___BR1_rm.">#REF!</definedName>
    <definedName name="CUSTOM1_IA_05F_AA_U01___BR1_t_b">#REF!</definedName>
    <definedName name="CUSTOM1_IA_05F_AA_U01___BR2_dresser">#REF!</definedName>
    <definedName name="CUSTOM1_IA_05F_AA_U01___BR2_lobby">#REF!</definedName>
    <definedName name="CUSTOM1_IA_05F_AA_U01___BR2_rm.">#REF!</definedName>
    <definedName name="CUSTOM1_IA_05F_AA_U01___BR2_t_b">#REF!</definedName>
    <definedName name="CUSTOM1_IA_05F_AA_U01___corridor">#REF!</definedName>
    <definedName name="CUSTOM1_IA_05F_AA_U01___foyer">#REF!</definedName>
    <definedName name="CUSTOM1_IA_05F_AA_U01___kitchen">#REF!</definedName>
    <definedName name="CUSTOM1_IA_05F_AA_U01___living_dining">#REF!</definedName>
    <definedName name="CUSTOM1_IA_05F_AA_U01___maids_rm.">#REF!</definedName>
    <definedName name="CUSTOM1_IA_05F_AA_U01___maids_toi.">#REF!</definedName>
    <definedName name="CUSTOM1_IA_05F_AA_U01___shaft">#REF!</definedName>
    <definedName name="CUSTOM1_IA_05F_AA_U01___toilet">#REF!</definedName>
    <definedName name="CUSTOM1_IA_05F_AA_U01___utility_rm.">#REF!</definedName>
    <definedName name="CUSTOM1_IA_05F_AA_U01___void">#REF!</definedName>
    <definedName name="CUSTOM1_IA_05F_AA_U02___BR1_dresser">#REF!</definedName>
    <definedName name="CUSTOM1_IA_05F_AA_U02___BR1_rm.">#REF!</definedName>
    <definedName name="CUSTOM1_IA_05F_AA_U02___BR1_t_b">#REF!</definedName>
    <definedName name="CUSTOM1_IA_05F_AA_U02___BR2_lobby">#REF!</definedName>
    <definedName name="CUSTOM1_IA_05F_AA_U02___BR2_rm.">#REF!</definedName>
    <definedName name="CUSTOM1_IA_05F_AA_U02___BR2_t_b">#REF!</definedName>
    <definedName name="CUSTOM1_IA_05F_AA_U02___corridor">#REF!</definedName>
    <definedName name="CUSTOM1_IA_05F_AA_U02___foyer">#REF!</definedName>
    <definedName name="CUSTOM1_IA_05F_AA_U02___kitchen">#REF!</definedName>
    <definedName name="CUSTOM1_IA_05F_AA_U02___living_dining">#REF!</definedName>
    <definedName name="CUSTOM1_IA_05F_AA_U02___maids_rm.">#REF!</definedName>
    <definedName name="CUSTOM1_IA_05F_AA_U02___maids_toi.">#REF!</definedName>
    <definedName name="CUSTOM1_IA_05F_AA_U02___shaft">#REF!</definedName>
    <definedName name="CUSTOM1_IA_05F_AA_U02___toilet">#REF!</definedName>
    <definedName name="CUSTOM1_IA_05F_AA_U02___utility_rm.">#REF!</definedName>
    <definedName name="CUSTOM1_IA_05F_AA_U02___void">#REF!</definedName>
    <definedName name="CUSTOM1_IA_05F_AA_U05___corridor">#REF!</definedName>
    <definedName name="CUSTOM1_IA_05F_AA_U05___foyer">#REF!</definedName>
    <definedName name="CUSTOM1_IA_05F_AA_U05___kitchen">#REF!</definedName>
    <definedName name="CUSTOM1_IA_05F_AA_U05___living_dining">#REF!</definedName>
    <definedName name="CUSTOM1_IA_05F_AA_U05___maids_lobby">#REF!</definedName>
    <definedName name="CUSTOM1_IA_05F_AA_U05___maids_rm.">#REF!</definedName>
    <definedName name="CUSTOM1_IA_05F_AA_U05___maids_toi.">#REF!</definedName>
    <definedName name="CUSTOM1_IA_05F_AA_U05___shaft">#REF!</definedName>
    <definedName name="CUSTOM1_IA_05F_AA_U05___stairs">#REF!</definedName>
    <definedName name="CUSTOM1_IA_05F_AA_U05___toilet">#REF!</definedName>
    <definedName name="CUSTOM1_IA_05F_AA_U05___utility_rm.">#REF!</definedName>
    <definedName name="CUSTOM1_IA_05F_AA_U06___BR1_lobby">#REF!</definedName>
    <definedName name="CUSTOM1_IA_05F_AA_U06___BR1_rm.">#REF!</definedName>
    <definedName name="CUSTOM1_IA_05F_AA_U06___BR1_t_b">#REF!</definedName>
    <definedName name="CUSTOM1_IA_05F_AA_U06___BR2_dresser">#REF!</definedName>
    <definedName name="CUSTOM1_IA_05F_AA_U06___BR2_lobby">#REF!</definedName>
    <definedName name="CUSTOM1_IA_05F_AA_U06___BR2_rm.">#REF!</definedName>
    <definedName name="CUSTOM1_IA_05F_AA_U06___BR2_t_b">#REF!</definedName>
    <definedName name="CUSTOM1_IA_05F_AA_U06___BR3_dresser">#REF!</definedName>
    <definedName name="CUSTOM1_IA_05F_AA_U06___BR3_lobby">#REF!</definedName>
    <definedName name="CUSTOM1_IA_05F_AA_U06___BR3_rm.">#REF!</definedName>
    <definedName name="CUSTOM1_IA_05F_AA_U06___BR3_t_b">#REF!</definedName>
    <definedName name="CUSTOM1_IA_05F_AA_U06___corridor">#REF!</definedName>
    <definedName name="CUSTOM1_IA_05F_AA_U06___foyer">#REF!</definedName>
    <definedName name="CUSTOM1_IA_05F_AA_U06___kitchen">#REF!</definedName>
    <definedName name="CUSTOM1_IA_05F_AA_U06___living_dining">#REF!</definedName>
    <definedName name="CUSTOM1_IA_05F_AA_U06___maids_rm.">#REF!</definedName>
    <definedName name="CUSTOM1_IA_05F_AA_U06___maids_toi.">#REF!</definedName>
    <definedName name="CUSTOM1_IA_05F_AA_U06___shaft">#REF!</definedName>
    <definedName name="CUSTOM1_IA_05F_AA_U06___toilet">#REF!</definedName>
    <definedName name="CUSTOM1_IA_05F_AA_U06___utility_rm.">#REF!</definedName>
    <definedName name="CUSTOM1_IA_06F_AA_U05___BR1_rm.">#REF!</definedName>
    <definedName name="CUSTOM1_IA_06F_AA_U05___BR1_t_b">#REF!</definedName>
    <definedName name="CUSTOM1_IA_06F_AA_U05___BR2_lobby">#REF!</definedName>
    <definedName name="CUSTOM1_IA_06F_AA_U05___BR2_rm.">#REF!</definedName>
    <definedName name="CUSTOM1_IA_06F_AA_U05___BR2_t_b">#REF!</definedName>
    <definedName name="CUSTOM1_IA_06F_AA_U05___double_vol.">#REF!</definedName>
    <definedName name="CUSTOM1_IA_06F_AA_U05___foyer">#REF!</definedName>
    <definedName name="CUSTOM1_IA_06F_AA_U05___living_rm.">#REF!</definedName>
    <definedName name="CUSTOM1_IA_06F_AA_U05___shaft">#REF!</definedName>
    <definedName name="CUSTOM1_IA_06F_AA_U05___stairs">#REF!</definedName>
    <definedName name="CUSTOM1_IA_06F_AA_U05___void">#REF!</definedName>
    <definedName name="CUSTOM1_IA_06F_AA_U06___BR1_lobby">#REF!</definedName>
    <definedName name="CUSTOM1_IA_06F_AA_U06___BR1_rm.">#REF!</definedName>
    <definedName name="CUSTOM1_IA_06F_AA_U06___BR1_t_b">#REF!</definedName>
    <definedName name="CUSTOM1_IA_06F_AA_U06___BR2_dresser">#REF!</definedName>
    <definedName name="CUSTOM1_IA_06F_AA_U06___BR2_lobby">#REF!</definedName>
    <definedName name="CUSTOM1_IA_06F_AA_U06___BR2_rm.">#REF!</definedName>
    <definedName name="CUSTOM1_IA_06F_AA_U06___BR2_t_b">#REF!</definedName>
    <definedName name="CUSTOM1_IA_06F_AA_U06___BR3_dresser">#REF!</definedName>
    <definedName name="CUSTOM1_IA_06F_AA_U06___BR3_lobby">#REF!</definedName>
    <definedName name="CUSTOM1_IA_06F_AA_U06___BR3_rm.">#REF!</definedName>
    <definedName name="CUSTOM1_IA_06F_AA_U06___BR3_t_b">#REF!</definedName>
    <definedName name="CUSTOM1_IA_06F_AA_U06___corridor">#REF!</definedName>
    <definedName name="CUSTOM1_IA_06F_AA_U06___foyer">#REF!</definedName>
    <definedName name="CUSTOM1_IA_06F_AA_U06___kitchen">#REF!</definedName>
    <definedName name="CUSTOM1_IA_06F_AA_U06___living_dining">#REF!</definedName>
    <definedName name="CUSTOM1_IA_06F_AA_U06___maids_rm.">#REF!</definedName>
    <definedName name="CUSTOM1_IA_06F_AA_U06___maids_toi.">#REF!</definedName>
    <definedName name="CUSTOM1_IA_06F_AA_U06___shaft">#REF!</definedName>
    <definedName name="CUSTOM1_IA_06F_AA_U06___toilet">#REF!</definedName>
    <definedName name="CUSTOM1_IA_06F_AA_U06___utility_rm.">#REF!</definedName>
    <definedName name="CUSTOM1_IA_07F_AA_U03___BR1_dresser">#REF!</definedName>
    <definedName name="CUSTOM1_IA_07F_AA_U03___BR1_lobby">#REF!</definedName>
    <definedName name="CUSTOM1_IA_07F_AA_U03___BR1_rm.">#REF!</definedName>
    <definedName name="CUSTOM1_IA_07F_AA_U03___BR1_store">#REF!</definedName>
    <definedName name="CUSTOM1_IA_07F_AA_U03___BR1_t_b">#REF!</definedName>
    <definedName name="CUSTOM1_IA_07F_AA_U03___foyer">#REF!</definedName>
    <definedName name="CUSTOM1_IA_07F_AA_U03___kitchen">#REF!</definedName>
    <definedName name="CUSTOM1_IA_07F_AA_U03___living_dining">#REF!</definedName>
    <definedName name="CUSTOM1_IA_07F_AA_U03___shaft">#REF!</definedName>
    <definedName name="CUSTOM1_IA_07F_AA_U03___storage">#REF!</definedName>
    <definedName name="CUSTOM1_IA_07F_AA_U03___toilet">#REF!</definedName>
    <definedName name="CUSTOM1_IA_07F_AA_U03___utility_rm.">#REF!</definedName>
    <definedName name="CUSTOM1_IA_07F_AA_U03___void">#REF!</definedName>
    <definedName name="CUSTOM1_IA_07F_AA_U04___BR1_dresser">#REF!</definedName>
    <definedName name="CUSTOM1_IA_07F_AA_U04___BR1_lobby">#REF!</definedName>
    <definedName name="CUSTOM1_IA_07F_AA_U04___BR1_rm.">#REF!</definedName>
    <definedName name="CUSTOM1_IA_07F_AA_U04___BR1_store">#REF!</definedName>
    <definedName name="CUSTOM1_IA_07F_AA_U04___BR1_t_b">#REF!</definedName>
    <definedName name="CUSTOM1_IA_07F_AA_U04___foyer">#REF!</definedName>
    <definedName name="CUSTOM1_IA_07F_AA_U04___kitchen">#REF!</definedName>
    <definedName name="CUSTOM1_IA_07F_AA_U04___living_dining">#REF!</definedName>
    <definedName name="CUSTOM1_IA_07F_AA_U04___shaft">#REF!</definedName>
    <definedName name="CUSTOM1_IA_07F_AA_U04___storage">#REF!</definedName>
    <definedName name="CUSTOM1_IA_07F_AA_U04___toilet">#REF!</definedName>
    <definedName name="CUSTOM1_IA_07F_AA_U04___utility_rm.">#REF!</definedName>
    <definedName name="CUSTOM1_IA_07F_AA_U04___void">#REF!</definedName>
    <definedName name="CUSTOM1_IA_07F_AA_U06___BR1_lobby">#REF!</definedName>
    <definedName name="CUSTOM1_IA_07F_AA_U06___BR1_rm.">#REF!</definedName>
    <definedName name="CUSTOM1_IA_07F_AA_U06___BR1_t_b">#REF!</definedName>
    <definedName name="CUSTOM1_IA_07F_AA_U06___BR2_dresser">#REF!</definedName>
    <definedName name="CUSTOM1_IA_07F_AA_U06___BR2_lobby">#REF!</definedName>
    <definedName name="CUSTOM1_IA_07F_AA_U06___BR2_rm.">#REF!</definedName>
    <definedName name="CUSTOM1_IA_07F_AA_U06___BR2_t_b">#REF!</definedName>
    <definedName name="CUSTOM1_IA_07F_AA_U06___BR3_dresser">#REF!</definedName>
    <definedName name="CUSTOM1_IA_07F_AA_U06___BR3_lobby">#REF!</definedName>
    <definedName name="CUSTOM1_IA_07F_AA_U06___BR3_rm.">#REF!</definedName>
    <definedName name="CUSTOM1_IA_07F_AA_U06___BR3_t_b">#REF!</definedName>
    <definedName name="CUSTOM1_IA_07F_AA_U06___corridor">#REF!</definedName>
    <definedName name="CUSTOM1_IA_07F_AA_U06___foyer">#REF!</definedName>
    <definedName name="CUSTOM1_IA_07F_AA_U06___kitchen">#REF!</definedName>
    <definedName name="CUSTOM1_IA_07F_AA_U06___living_dining">#REF!</definedName>
    <definedName name="CUSTOM1_IA_07F_AA_U06___maids_rm.">#REF!</definedName>
    <definedName name="CUSTOM1_IA_07F_AA_U06___maids_toi.">#REF!</definedName>
    <definedName name="CUSTOM1_IA_07F_AA_U06___shaft">#REF!</definedName>
    <definedName name="CUSTOM1_IA_07F_AA_U06___toilet">#REF!</definedName>
    <definedName name="CUSTOM1_IA_07F_AA_U06___utility_rm.">#REF!</definedName>
    <definedName name="CUSTOM1_IA_08F_AA_U03___BR1_dresser">#REF!</definedName>
    <definedName name="CUSTOM1_IA_08F_AA_U03___BR1_lobby">#REF!</definedName>
    <definedName name="CUSTOM1_IA_08F_AA_U03___BR1_rm.">#REF!</definedName>
    <definedName name="CUSTOM1_IA_08F_AA_U03___BR1_t_b">#REF!</definedName>
    <definedName name="CUSTOM1_IA_08F_AA_U03___foyer">#REF!</definedName>
    <definedName name="CUSTOM1_IA_08F_AA_U03___kitchen">#REF!</definedName>
    <definedName name="CUSTOM1_IA_08F_AA_U03___living_dining">#REF!</definedName>
    <definedName name="CUSTOM1_IA_08F_AA_U03___shaft">#REF!</definedName>
    <definedName name="CUSTOM1_IA_08F_AA_U03___storage">#REF!</definedName>
    <definedName name="CUSTOM1_IA_08F_AA_U03___toilet">#REF!</definedName>
    <definedName name="CUSTOM1_IA_08F_AA_U03___utility_rm.">#REF!</definedName>
    <definedName name="CUSTOM1_IA_08F_AA_U04___BR1_dresser">#REF!</definedName>
    <definedName name="CUSTOM1_IA_08F_AA_U04___BR1_lobby">#REF!</definedName>
    <definedName name="CUSTOM1_IA_08F_AA_U04___BR1_rm.">#REF!</definedName>
    <definedName name="CUSTOM1_IA_08F_AA_U04___BR1_t_b">#REF!</definedName>
    <definedName name="CUSTOM1_IA_08F_AA_U04___foyer">#REF!</definedName>
    <definedName name="CUSTOM1_IA_08F_AA_U04___kitchen">#REF!</definedName>
    <definedName name="CUSTOM1_IA_08F_AA_U04___living_dining">#REF!</definedName>
    <definedName name="CUSTOM1_IA_08F_AA_U04___shaft">#REF!</definedName>
    <definedName name="CUSTOM1_IA_08F_AA_U04___storage">#REF!</definedName>
    <definedName name="CUSTOM1_IA_08F_AA_U04___toilet">#REF!</definedName>
    <definedName name="CUSTOM1_IA_08F_AA_U04___utility_rm.">#REF!</definedName>
    <definedName name="CUSTOM1_IA_08F_AA_U06___BR1_lobby">#REF!</definedName>
    <definedName name="CUSTOM1_IA_08F_AA_U06___BR1_rm.">#REF!</definedName>
    <definedName name="CUSTOM1_IA_08F_AA_U06___BR1_t_b">#REF!</definedName>
    <definedName name="CUSTOM1_IA_08F_AA_U06___BR2_dresser">#REF!</definedName>
    <definedName name="CUSTOM1_IA_08F_AA_U06___BR2_lobby">#REF!</definedName>
    <definedName name="CUSTOM1_IA_08F_AA_U06___BR2_rm.">#REF!</definedName>
    <definedName name="CUSTOM1_IA_08F_AA_U06___BR2_t_b">#REF!</definedName>
    <definedName name="CUSTOM1_IA_08F_AA_U06___BR3_dresser">#REF!</definedName>
    <definedName name="CUSTOM1_IA_08F_AA_U06___BR3_lobby">#REF!</definedName>
    <definedName name="CUSTOM1_IA_08F_AA_U06___BR3_rm.">#REF!</definedName>
    <definedName name="CUSTOM1_IA_08F_AA_U06___BR3_t_b">#REF!</definedName>
    <definedName name="CUSTOM1_IA_08F_AA_U06___corridor">#REF!</definedName>
    <definedName name="CUSTOM1_IA_08F_AA_U06___foyer">#REF!</definedName>
    <definedName name="CUSTOM1_IA_08F_AA_U06___kitchen">#REF!</definedName>
    <definedName name="CUSTOM1_IA_08F_AA_U06___living_dining">#REF!</definedName>
    <definedName name="CUSTOM1_IA_08F_AA_U06___maids_rm.">#REF!</definedName>
    <definedName name="CUSTOM1_IA_08F_AA_U06___maids_toi.">#REF!</definedName>
    <definedName name="CUSTOM1_IA_08F_AA_U06___shaft">#REF!</definedName>
    <definedName name="CUSTOM1_IA_08F_AA_U06___toilet">#REF!</definedName>
    <definedName name="CUSTOM1_IA_08F_AA_U06___utility_rm.">#REF!</definedName>
    <definedName name="CUSTOM1_IA_09F_AA_U06___BR1_lobby">#REF!</definedName>
    <definedName name="CUSTOM1_IA_09F_AA_U06___BR1_rm.">#REF!</definedName>
    <definedName name="CUSTOM1_IA_09F_AA_U06___BR1_t_b">#REF!</definedName>
    <definedName name="CUSTOM1_IA_09F_AA_U06___BR2_dresser">#REF!</definedName>
    <definedName name="CUSTOM1_IA_09F_AA_U06___BR2_lobby">#REF!</definedName>
    <definedName name="CUSTOM1_IA_09F_AA_U06___BR2_rm.">#REF!</definedName>
    <definedName name="CUSTOM1_IA_09F_AA_U06___BR2_t_b">#REF!</definedName>
    <definedName name="CUSTOM1_IA_09F_AA_U06___BR3_dresser">#REF!</definedName>
    <definedName name="CUSTOM1_IA_09F_AA_U06___BR3_lobby">#REF!</definedName>
    <definedName name="CUSTOM1_IA_09F_AA_U06___BR3_rm.">#REF!</definedName>
    <definedName name="CUSTOM1_IA_09F_AA_U06___BR3_t_b">#REF!</definedName>
    <definedName name="CUSTOM1_IA_09F_AA_U06___corridor">#REF!</definedName>
    <definedName name="CUSTOM1_IA_09F_AA_U06___foyer">#REF!</definedName>
    <definedName name="CUSTOM1_IA_09F_AA_U06___kitchen">#REF!</definedName>
    <definedName name="CUSTOM1_IA_09F_AA_U06___living_dining">#REF!</definedName>
    <definedName name="CUSTOM1_IA_09F_AA_U06___maids_rm.">#REF!</definedName>
    <definedName name="CUSTOM1_IA_09F_AA_U06___maids_toi.">#REF!</definedName>
    <definedName name="CUSTOM1_IA_09F_AA_U06___shaft">#REF!</definedName>
    <definedName name="CUSTOM1_IA_09F_AA_U06___toilet">#REF!</definedName>
    <definedName name="CUSTOM1_IA_09F_AA_U06___utility_rm.">#REF!</definedName>
    <definedName name="CUSTOM1_IA_11F_AA_U01___BR1_lobby">#REF!</definedName>
    <definedName name="CUSTOM1_IA_11F_AA_U01___BR1_rm.">#REF!</definedName>
    <definedName name="CUSTOM1_IA_11F_AA_U01___BR1_t_b">#REF!</definedName>
    <definedName name="CUSTOM1_IA_11F_AA_U01___BR2_dresser">#REF!</definedName>
    <definedName name="CUSTOM1_IA_11F_AA_U01___BR2_lobby">#REF!</definedName>
    <definedName name="CUSTOM1_IA_11F_AA_U01___BR2_rm.">#REF!</definedName>
    <definedName name="CUSTOM1_IA_11F_AA_U01___BR2_t_b">#REF!</definedName>
    <definedName name="CUSTOM1_IA_11F_AA_U01___corridor">#REF!</definedName>
    <definedName name="CUSTOM1_IA_11F_AA_U01___foyer">#REF!</definedName>
    <definedName name="CUSTOM1_IA_11F_AA_U01___kitchen">#REF!</definedName>
    <definedName name="CUSTOM1_IA_11F_AA_U01___living_dining">#REF!</definedName>
    <definedName name="CUSTOM1_IA_11F_AA_U01___maids_rm.">#REF!</definedName>
    <definedName name="CUSTOM1_IA_11F_AA_U01___maids_toi.">#REF!</definedName>
    <definedName name="CUSTOM1_IA_11F_AA_U01___shaft">#REF!</definedName>
    <definedName name="CUSTOM1_IA_11F_AA_U01___toilet">#REF!</definedName>
    <definedName name="CUSTOM1_IA_11F_AA_U01___utility_rm.">#REF!</definedName>
    <definedName name="CUSTOM1_IA_11F_AA_U01___void">#REF!</definedName>
    <definedName name="CUSTOM1_IA_11F_AA_U02___BR1_dresser">#REF!</definedName>
    <definedName name="CUSTOM1_IA_11F_AA_U02___BR1_rm.">#REF!</definedName>
    <definedName name="CUSTOM1_IA_11F_AA_U02___BR1_t_b">#REF!</definedName>
    <definedName name="CUSTOM1_IA_11F_AA_U02___BR2_lobby">#REF!</definedName>
    <definedName name="CUSTOM1_IA_11F_AA_U02___BR2_rm.">#REF!</definedName>
    <definedName name="CUSTOM1_IA_11F_AA_U02___BR2_t_b">#REF!</definedName>
    <definedName name="CUSTOM1_IA_11F_AA_U02___corridor">#REF!</definedName>
    <definedName name="CUSTOM1_IA_11F_AA_U02___foyer">#REF!</definedName>
    <definedName name="CUSTOM1_IA_11F_AA_U02___kitchen">#REF!</definedName>
    <definedName name="CUSTOM1_IA_11F_AA_U02___living_dining">#REF!</definedName>
    <definedName name="CUSTOM1_IA_11F_AA_U02___maids_rm.">#REF!</definedName>
    <definedName name="CUSTOM1_IA_11F_AA_U02___maids_toi.">#REF!</definedName>
    <definedName name="CUSTOM1_IA_11F_AA_U02___shaft">#REF!</definedName>
    <definedName name="CUSTOM1_IA_11F_AA_U02___toilet">#REF!</definedName>
    <definedName name="CUSTOM1_IA_11F_AA_U02___utility_rm.">#REF!</definedName>
    <definedName name="CUSTOM1_IA_11F_AA_U02___void">#REF!</definedName>
    <definedName name="CUSTOM1_IA_11F_AA_U03___BR1_dresser">#REF!</definedName>
    <definedName name="CUSTOM1_IA_11F_AA_U03___BR1_lobby">#REF!</definedName>
    <definedName name="CUSTOM1_IA_11F_AA_U03___BR1_rm.">#REF!</definedName>
    <definedName name="CUSTOM1_IA_11F_AA_U03___BR1_t_b">#REF!</definedName>
    <definedName name="CUSTOM1_IA_11F_AA_U03___foyer">#REF!</definedName>
    <definedName name="CUSTOM1_IA_11F_AA_U03___kitchen">#REF!</definedName>
    <definedName name="CUSTOM1_IA_11F_AA_U03___living_dining">#REF!</definedName>
    <definedName name="CUSTOM1_IA_11F_AA_U03___shaft">#REF!</definedName>
    <definedName name="CUSTOM1_IA_11F_AA_U03___storage">#REF!</definedName>
    <definedName name="CUSTOM1_IA_11F_AA_U03___toilet">#REF!</definedName>
    <definedName name="CUSTOM1_IA_11F_AA_U03___utility_rm.">#REF!</definedName>
    <definedName name="CUSTOM1_IA_11F_AA_U04___BR1_dresser">#REF!</definedName>
    <definedName name="CUSTOM1_IA_11F_AA_U04___BR1_lobby">#REF!</definedName>
    <definedName name="CUSTOM1_IA_11F_AA_U04___BR1_rm.">#REF!</definedName>
    <definedName name="CUSTOM1_IA_11F_AA_U04___BR1_t_b">#REF!</definedName>
    <definedName name="CUSTOM1_IA_11F_AA_U04___foyer">#REF!</definedName>
    <definedName name="CUSTOM1_IA_11F_AA_U04___kitchen">#REF!</definedName>
    <definedName name="CUSTOM1_IA_11F_AA_U04___living_dining">#REF!</definedName>
    <definedName name="CUSTOM1_IA_11F_AA_U04___shaft">#REF!</definedName>
    <definedName name="CUSTOM1_IA_11F_AA_U04___storage">#REF!</definedName>
    <definedName name="CUSTOM1_IA_11F_AA_U04___toilet">#REF!</definedName>
    <definedName name="CUSTOM1_IA_11F_AA_U04___utility_rm.">#REF!</definedName>
    <definedName name="CUSTOM1_IA_11F_AA_U06___BR1_lobby">#REF!</definedName>
    <definedName name="CUSTOM1_IA_11F_AA_U06___BR1_rm.">#REF!</definedName>
    <definedName name="CUSTOM1_IA_11F_AA_U06___BR1_t_b">#REF!</definedName>
    <definedName name="CUSTOM1_IA_11F_AA_U06___BR2_dresser">#REF!</definedName>
    <definedName name="CUSTOM1_IA_11F_AA_U06___BR2_lobby">#REF!</definedName>
    <definedName name="CUSTOM1_IA_11F_AA_U06___BR2_rm.">#REF!</definedName>
    <definedName name="CUSTOM1_IA_11F_AA_U06___BR2_t_b">#REF!</definedName>
    <definedName name="CUSTOM1_IA_11F_AA_U06___BR3_dresser">#REF!</definedName>
    <definedName name="CUSTOM1_IA_11F_AA_U06___BR3_lobby">#REF!</definedName>
    <definedName name="CUSTOM1_IA_11F_AA_U06___BR3_rm.">#REF!</definedName>
    <definedName name="CUSTOM1_IA_11F_AA_U06___BR3_t_b">#REF!</definedName>
    <definedName name="CUSTOM1_IA_11F_AA_U06___corridor">#REF!</definedName>
    <definedName name="CUSTOM1_IA_11F_AA_U06___foyer">#REF!</definedName>
    <definedName name="CUSTOM1_IA_11F_AA_U06___kitchen">#REF!</definedName>
    <definedName name="CUSTOM1_IA_11F_AA_U06___living_dining">#REF!</definedName>
    <definedName name="CUSTOM1_IA_11F_AA_U06___maids_rm.">#REF!</definedName>
    <definedName name="CUSTOM1_IA_11F_AA_U06___maids_toi.">#REF!</definedName>
    <definedName name="CUSTOM1_IA_11F_AA_U06___shaft">#REF!</definedName>
    <definedName name="CUSTOM1_IA_11F_AA_U06___toilet">#REF!</definedName>
    <definedName name="CUSTOM1_IA_11F_AA_U06___utility_rm.">#REF!</definedName>
    <definedName name="CUSTOM1_IA_11F_AB_U00___corridor">#REF!</definedName>
    <definedName name="CUSTOM1_IA_11F_AB_U00___lift_lobby">#REF!</definedName>
    <definedName name="CUSTOM1_IA_11F_AB_U00___lift_shaft">#REF!</definedName>
    <definedName name="CUSTOM1_IA_11F_AC_U00___electrical_rm.">#REF!</definedName>
    <definedName name="CUSTOM1_IA_11F_AC_U00___f.e._stair">#REF!</definedName>
    <definedName name="CUSTOM1_IA_11F_AC_U00___f.h.c.">#REF!</definedName>
    <definedName name="CUSTOM1_IA_11F_AC_U00___garbage_rm.">#REF!</definedName>
    <definedName name="CUSTOM1_IA_11F_AC_U00___shaft">#REF!</definedName>
    <definedName name="CUSTOM1_IA_11F_AC_U00___telephone_rm.">#REF!</definedName>
    <definedName name="CUSTOM1_IA_31F_AA_U01___BR1_lobby">#REF!</definedName>
    <definedName name="CUSTOM1_IA_31F_AA_U01___BR1_rm.">#REF!</definedName>
    <definedName name="CUSTOM1_IA_31F_AA_U01___BR1_t_b">#REF!</definedName>
    <definedName name="CUSTOM1_IA_31F_AA_U01___BR2_dresser">#REF!</definedName>
    <definedName name="CUSTOM1_IA_31F_AA_U01___BR2_lobby">#REF!</definedName>
    <definedName name="CUSTOM1_IA_31F_AA_U01___BR2_rm.">#REF!</definedName>
    <definedName name="CUSTOM1_IA_31F_AA_U01___BR2_t_b">#REF!</definedName>
    <definedName name="CUSTOM1_IA_31F_AA_U01___corridor">#REF!</definedName>
    <definedName name="CUSTOM1_IA_31F_AA_U01___foyer">#REF!</definedName>
    <definedName name="CUSTOM1_IA_31F_AA_U01___kitchen">#REF!</definedName>
    <definedName name="CUSTOM1_IA_31F_AA_U01___living_dining">#REF!</definedName>
    <definedName name="CUSTOM1_IA_31F_AA_U01___maids_rm.">#REF!</definedName>
    <definedName name="CUSTOM1_IA_31F_AA_U01___maids_toi.">#REF!</definedName>
    <definedName name="CUSTOM1_IA_31F_AA_U01___shaft">#REF!</definedName>
    <definedName name="CUSTOM1_IA_31F_AA_U01___toilet">#REF!</definedName>
    <definedName name="CUSTOM1_IA_31F_AA_U01___utility_rm.">#REF!</definedName>
    <definedName name="CUSTOM1_IA_31F_AA_U01___void">#REF!</definedName>
    <definedName name="CUSTOM1_IA_31F_AA_U02___BR1_dresser">#REF!</definedName>
    <definedName name="CUSTOM1_IA_31F_AA_U02___BR1_rm.">#REF!</definedName>
    <definedName name="CUSTOM1_IA_31F_AA_U02___BR1_t_b">#REF!</definedName>
    <definedName name="CUSTOM1_IA_31F_AA_U02___BR2_lobby">#REF!</definedName>
    <definedName name="CUSTOM1_IA_31F_AA_U02___BR2_rm.">#REF!</definedName>
    <definedName name="CUSTOM1_IA_31F_AA_U02___BR2_t_b">#REF!</definedName>
    <definedName name="CUSTOM1_IA_31F_AA_U02___corridor">#REF!</definedName>
    <definedName name="CUSTOM1_IA_31F_AA_U02___foyer">#REF!</definedName>
    <definedName name="CUSTOM1_IA_31F_AA_U02___kitchen">#REF!</definedName>
    <definedName name="CUSTOM1_IA_31F_AA_U02___living_dining">#REF!</definedName>
    <definedName name="CUSTOM1_IA_31F_AA_U02___maids_rm.">#REF!</definedName>
    <definedName name="CUSTOM1_IA_31F_AA_U02___maids_toi.">#REF!</definedName>
    <definedName name="CUSTOM1_IA_31F_AA_U02___shaft">#REF!</definedName>
    <definedName name="CUSTOM1_IA_31F_AA_U02___toilet">#REF!</definedName>
    <definedName name="CUSTOM1_IA_31F_AA_U02___utility_rm.">#REF!</definedName>
    <definedName name="CUSTOM1_IA_31F_AA_U02___void">#REF!</definedName>
    <definedName name="CUSTOM1_IA_31F_AA_U03___BR1_dresser">#REF!</definedName>
    <definedName name="CUSTOM1_IA_31F_AA_U03___BR1_lobby">#REF!</definedName>
    <definedName name="CUSTOM1_IA_31F_AA_U03___BR1_rm.">#REF!</definedName>
    <definedName name="CUSTOM1_IA_31F_AA_U03___BR1_t_b">#REF!</definedName>
    <definedName name="CUSTOM1_IA_31F_AA_U03___foyer">#REF!</definedName>
    <definedName name="CUSTOM1_IA_31F_AA_U03___kitchen">#REF!</definedName>
    <definedName name="CUSTOM1_IA_31F_AA_U03___living_dining">#REF!</definedName>
    <definedName name="CUSTOM1_IA_31F_AA_U03___shaft">#REF!</definedName>
    <definedName name="CUSTOM1_IA_31F_AA_U03___storage">#REF!</definedName>
    <definedName name="CUSTOM1_IA_31F_AA_U03___toilet">#REF!</definedName>
    <definedName name="CUSTOM1_IA_31F_AA_U03___utility_rm.">#REF!</definedName>
    <definedName name="CUSTOM1_IA_31F_AA_U04___BR1_dresser">#REF!</definedName>
    <definedName name="CUSTOM1_IA_31F_AA_U04___BR1_lobby">#REF!</definedName>
    <definedName name="CUSTOM1_IA_31F_AA_U04___BR1_rm.">#REF!</definedName>
    <definedName name="CUSTOM1_IA_31F_AA_U04___BR1_t_b">#REF!</definedName>
    <definedName name="CUSTOM1_IA_31F_AA_U04___foyer">#REF!</definedName>
    <definedName name="CUSTOM1_IA_31F_AA_U04___kitchen">#REF!</definedName>
    <definedName name="CUSTOM1_IA_31F_AA_U04___living_dining">#REF!</definedName>
    <definedName name="CUSTOM1_IA_31F_AA_U04___shaft">#REF!</definedName>
    <definedName name="CUSTOM1_IA_31F_AA_U04___storage">#REF!</definedName>
    <definedName name="CUSTOM1_IA_31F_AA_U04___toilet">#REF!</definedName>
    <definedName name="CUSTOM1_IA_31F_AA_U04___utility_rm.">#REF!</definedName>
    <definedName name="CUSTOM1_IA_31F_AA_U05___corridor">#REF!</definedName>
    <definedName name="CUSTOM1_IA_31F_AA_U05___foyer">#REF!</definedName>
    <definedName name="CUSTOM1_IA_31F_AA_U05___kitchen">#REF!</definedName>
    <definedName name="CUSTOM1_IA_31F_AA_U05___living_dining">#REF!</definedName>
    <definedName name="CUSTOM1_IA_31F_AA_U05___maids_lobby">#REF!</definedName>
    <definedName name="CUSTOM1_IA_31F_AA_U05___maids_rm.">#REF!</definedName>
    <definedName name="CUSTOM1_IA_31F_AA_U05___maids_toi.">#REF!</definedName>
    <definedName name="CUSTOM1_IA_31F_AA_U05___shaft">#REF!</definedName>
    <definedName name="CUSTOM1_IA_31F_AA_U05___stairs">#REF!</definedName>
    <definedName name="CUSTOM1_IA_31F_AA_U05___toilet">#REF!</definedName>
    <definedName name="CUSTOM1_IA_31F_AA_U05___utility_rm.">#REF!</definedName>
    <definedName name="CUSTOM1_IA_31F_AA_U06___BR1_lobby">#REF!</definedName>
    <definedName name="CUSTOM1_IA_31F_AA_U06___BR1_rm.">#REF!</definedName>
    <definedName name="CUSTOM1_IA_31F_AA_U06___BR1_t_b">#REF!</definedName>
    <definedName name="CUSTOM1_IA_31F_AA_U06___BR2_dresser">#REF!</definedName>
    <definedName name="CUSTOM1_IA_31F_AA_U06___BR2_lobby">#REF!</definedName>
    <definedName name="CUSTOM1_IA_31F_AA_U06___BR2_rm.">#REF!</definedName>
    <definedName name="CUSTOM1_IA_31F_AA_U06___BR2_t_b">#REF!</definedName>
    <definedName name="CUSTOM1_IA_31F_AA_U06___corridor">#REF!</definedName>
    <definedName name="CUSTOM1_IA_31F_AA_U06___foyer">#REF!</definedName>
    <definedName name="CUSTOM1_IA_31F_AA_U06___kitchen">#REF!</definedName>
    <definedName name="CUSTOM1_IA_31F_AA_U06___living_dining">#REF!</definedName>
    <definedName name="CUSTOM1_IA_31F_AA_U06___maids_rm.">#REF!</definedName>
    <definedName name="CUSTOM1_IA_31F_AA_U06___maids_toi.">#REF!</definedName>
    <definedName name="CUSTOM1_IA_31F_AA_U06___shaft">#REF!</definedName>
    <definedName name="CUSTOM1_IA_31F_AA_U06___solaria">#REF!</definedName>
    <definedName name="CUSTOM1_IA_31F_AA_U06___stair">#REF!</definedName>
    <definedName name="CUSTOM1_IA_31F_AA_U06___toilet">#REF!</definedName>
    <definedName name="CUSTOM1_IA_31F_AA_U06___utility_rm.">#REF!</definedName>
    <definedName name="CUSTOM1_IA_31F_AA_U06___void">#REF!</definedName>
    <definedName name="CUSTOM1_IA_31F_AB_U00___corridor">#REF!</definedName>
    <definedName name="CUSTOM1_IA_31F_AB_U00___lift_lobby">#REF!</definedName>
    <definedName name="CUSTOM1_IA_31F_AB_U00___lift_shaft">#REF!</definedName>
    <definedName name="CUSTOM1_IA_31F_AC_U00___electrical_rm.">#REF!</definedName>
    <definedName name="CUSTOM1_IA_31F_AC_U00___f.e._stair">#REF!</definedName>
    <definedName name="CUSTOM1_IA_31F_AC_U00___f.h.c.">#REF!</definedName>
    <definedName name="CUSTOM1_IA_31F_AC_U00___garbage_rm.">#REF!</definedName>
    <definedName name="CUSTOM1_IA_31F_AC_U00___shaft">#REF!</definedName>
    <definedName name="CUSTOM1_IA_31F_AC_U00___telephone_rm.">#REF!</definedName>
    <definedName name="CUSTOM1_IA_32F_AA_U05___BR1_rm.">#REF!</definedName>
    <definedName name="CUSTOM1_IA_32F_AA_U05___BR1_t_b">#REF!</definedName>
    <definedName name="CUSTOM1_IA_32F_AA_U05___BR2_lobby">#REF!</definedName>
    <definedName name="CUSTOM1_IA_32F_AA_U05___BR2_rm.">#REF!</definedName>
    <definedName name="CUSTOM1_IA_32F_AA_U05___BR2_t_b">#REF!</definedName>
    <definedName name="CUSTOM1_IA_32F_AA_U05___double_vol.">#REF!</definedName>
    <definedName name="CUSTOM1_IA_32F_AA_U05___foyer">#REF!</definedName>
    <definedName name="CUSTOM1_IA_32F_AA_U05___living_rm.">#REF!</definedName>
    <definedName name="CUSTOM1_IA_32F_AA_U05___shaft">#REF!</definedName>
    <definedName name="CUSTOM1_IA_32F_AA_U05___stairs">#REF!</definedName>
    <definedName name="CUSTOM1_IA_32F_AA_U05___void">#REF!</definedName>
    <definedName name="CUSTOM1_IA_32F_AA_U06___BR1_lobby">#REF!</definedName>
    <definedName name="CUSTOM1_IA_32F_AA_U06___BR1_rm.">#REF!</definedName>
    <definedName name="CUSTOM1_IA_32F_AA_U06___BR1_t_b">#REF!</definedName>
    <definedName name="CUSTOM1_IA_32F_AA_U06___BR2_dresser">#REF!</definedName>
    <definedName name="CUSTOM1_IA_32F_AA_U06___BR2_lobby">#REF!</definedName>
    <definedName name="CUSTOM1_IA_32F_AA_U06___BR2_rm.">#REF!</definedName>
    <definedName name="CUSTOM1_IA_32F_AA_U06___BR2_t_b">#REF!</definedName>
    <definedName name="CUSTOM1_IA_32F_AA_U06___corridor">#REF!</definedName>
    <definedName name="CUSTOM1_IA_32F_AA_U06___double_vol.">#REF!</definedName>
    <definedName name="CUSTOM1_IA_32F_AA_U06___jacuzzi_area">#REF!</definedName>
    <definedName name="CUSTOM1_IA_32F_AA_U06___living_foyer">#REF!</definedName>
    <definedName name="CUSTOM1_IA_32F_AA_U06___pantry">#REF!</definedName>
    <definedName name="CUSTOM1_IA_32F_AA_U06___shaft">#REF!</definedName>
    <definedName name="CUSTOM1_IA_32F_AA_U06___stair">#REF!</definedName>
    <definedName name="CUSTOM1_IA_32F_AA_U06___study">#REF!</definedName>
    <definedName name="CUSTOM1_IA_33RF_AC_U00___electrical_rm.">#REF!</definedName>
    <definedName name="CUSTOM1_IA_33RF_AC_U00___f.e._stair">#REF!</definedName>
    <definedName name="CUSTOM1_IA_33RF_AC_U00___g.s.m._rm.">#REF!</definedName>
    <definedName name="CUSTOM1_IA_33RF_AC_U00___lift_shaft">#REF!</definedName>
    <definedName name="CUSTOM1_IA_33RF_AC_U00___shaft">#REF!</definedName>
    <definedName name="CUSTOM1_IA_33RF_AC_U00___tech._rm.">#REF!</definedName>
    <definedName name="CUSTOM1_IA_33RF_AC_U00___telephone_rm.">#REF!</definedName>
    <definedName name="CUSTOM1_IA_33RF_AC_U00___water_tank">#REF!</definedName>
    <definedName name="CUSTOM1_IA_34uRF_AC_U00___machine_rm.">#REF!</definedName>
    <definedName name="CUSTOM1_IA_34uRF_AC_U00___machine_rm._lobby">#REF!</definedName>
    <definedName name="CUSTOM1_IA_34uRF_AC_U00___pump_rm.">#REF!</definedName>
    <definedName name="CUSTOM1_IA_34uRF_AC_U00___r.c._water_tank">#REF!</definedName>
    <definedName name="CUSTOM1_IA_34uRF_AC_U00___shaft">#REF!</definedName>
    <definedName name="CUSTOM1_Intelligent_Water_Meter_by_DEWA">#REF!</definedName>
    <definedName name="CUSTOM1_Internal_Ceiling_Finishes__Bulkhead">#REF!</definedName>
    <definedName name="CUSTOM1_Internal_Ceiling_Finishes__PF01">#REF!</definedName>
    <definedName name="CUSTOM1_Internal_Ceiling_Finishes__PF02">#REF!</definedName>
    <definedName name="CUSTOM1_Internal_Ceiling_Finishes__PH01">#REF!</definedName>
    <definedName name="CUSTOM1_Internal_Doors__D_02">#REF!</definedName>
    <definedName name="CUSTOM1_Internal_Doors__D_03">#REF!</definedName>
    <definedName name="CUSTOM1_Internal_Doors__D_04">#REF!</definedName>
    <definedName name="CUSTOM1_Internal_Doors__D_06">#REF!</definedName>
    <definedName name="CUSTOM1_Internal_Floor_Finishes__FF01">#REF!</definedName>
    <definedName name="CUSTOM1_Internal_Floor_Finishes__FF03">#REF!</definedName>
    <definedName name="CUSTOM1_Internal_Floor_Finishes__FF05">#REF!</definedName>
    <definedName name="CUSTOM1_Internal_Floor_Finishes__Wet_Areas">#REF!</definedName>
    <definedName name="CUSTOM1_Internal_Wall__Blockwork___BW_1">#REF!</definedName>
    <definedName name="CUSTOM1_Internal_Wall__Blockwork___BW_2">#REF!</definedName>
    <definedName name="CUSTOM1_Internal_Wall__Blockwork___BW_3">#REF!</definedName>
    <definedName name="CUSTOM1_Internal_Wall__Threshold">#REF!</definedName>
    <definedName name="CUSTOM1_Internal_Wall_Finishes__PF03">#REF!</definedName>
    <definedName name="CUSTOM1_Internal_Wall_Finishes__PF04">#REF!</definedName>
    <definedName name="CUSTOM1_Internal_Wall_Finishes__Render">#REF!</definedName>
    <definedName name="CUSTOM1_Internal_Wall_Finishes__W01">#REF!</definedName>
    <definedName name="CUSTOM1_Internal_Wall_Finishes__W03">#REF!</definedName>
    <definedName name="CUSTOM1_Internal_Wall_Finishes__WF05">#REF!</definedName>
    <definedName name="CUSTOM1_Internal_Wall_Finishes__WF07">#REF!</definedName>
    <definedName name="CUSTOM1_Isolation_Valve">#REF!</definedName>
    <definedName name="CUSTOM1_L0__TW1_250">#REF!</definedName>
    <definedName name="CUSTOM1_L0__TW2_200">#REF!</definedName>
    <definedName name="CUSTOM1_L0__TW3_300">#REF!</definedName>
    <definedName name="CUSTOM1_L0__TW3_400">#REF!</definedName>
    <definedName name="CUSTOM1_L0__TW4_500">#REF!</definedName>
    <definedName name="CUSTOM1_L0__TW4_600">#REF!</definedName>
    <definedName name="CUSTOM1_L0__W1__300">#REF!</definedName>
    <definedName name="CUSTOM1_L0__W1_300_Door_Overhead">#REF!</definedName>
    <definedName name="CUSTOM1_L0_Beams">#REF!</definedName>
    <definedName name="CUSTOM1_L0_DP1_3000x3000x350">#REF!</definedName>
    <definedName name="CUSTOM1_L0_DP2_3000x1750x350">#REF!</definedName>
    <definedName name="CUSTOM1_L0_DP5_3000x3000x400">#REF!</definedName>
    <definedName name="CUSTOM1_L0_DP6_6500x4000x550">#REF!</definedName>
    <definedName name="CUSTOM1_L0_DP7_3500x1900x400">#REF!</definedName>
    <definedName name="CUSTOM1_L0_Ramp">#REF!</definedName>
    <definedName name="CUSTOM1_L0_Slab_200">#REF!</definedName>
    <definedName name="CUSTOM1_L0_Slab_220">#REF!</definedName>
    <definedName name="CUSTOM1_L0_Slab_240">#REF!</definedName>
    <definedName name="CUSTOM1_L0_Slab_250">#REF!</definedName>
    <definedName name="CUSTOM1_L0_Slab_260">#REF!</definedName>
    <definedName name="CUSTOM1_L0_Slab_400">#REF!</definedName>
    <definedName name="CUSTOM1_L0_Slab_450">#REF!</definedName>
    <definedName name="CUSTOM1_L00__Column_C1">#REF!</definedName>
    <definedName name="CUSTOM1_L00__Column_C10">#REF!</definedName>
    <definedName name="CUSTOM1_L00__Column_C11">#REF!</definedName>
    <definedName name="CUSTOM1_L00__Column_C12">#REF!</definedName>
    <definedName name="CUSTOM1_L00__Column_C2">#REF!</definedName>
    <definedName name="CUSTOM1_L00__Column_C3">#REF!</definedName>
    <definedName name="CUSTOM1_L00__Column_C4">#REF!</definedName>
    <definedName name="CUSTOM1_L00__Column_C5">#REF!</definedName>
    <definedName name="CUSTOM1_L00__Column_C6">#REF!</definedName>
    <definedName name="CUSTOM1_L00__Column_C7">#REF!</definedName>
    <definedName name="CUSTOM1_L00__Column_C8">#REF!</definedName>
    <definedName name="CUSTOM1_L00__Column_C9">#REF!</definedName>
    <definedName name="CUSTOM1_L00__Column_FC1">#REF!</definedName>
    <definedName name="CUSTOM1_L00__Column_TC1">#REF!</definedName>
    <definedName name="CUSTOM1_L00__Column_TC2">#REF!</definedName>
    <definedName name="CUSTOM1_L00__Column_TC3">#REF!</definedName>
    <definedName name="CUSTOM1_L00__Column_TC4">#REF!</definedName>
    <definedName name="CUSTOM1_L00__Column_TC5">#REF!</definedName>
    <definedName name="CUSTOM1_L01__Column_C10">#REF!</definedName>
    <definedName name="CUSTOM1_L01__Column_C6">#REF!</definedName>
    <definedName name="CUSTOM1_L01__Column_C7">#REF!</definedName>
    <definedName name="CUSTOM1_L01__Column_TC1">#REF!</definedName>
    <definedName name="CUSTOM1_L01__Column_TC2">#REF!</definedName>
    <definedName name="CUSTOM1_L01__Column_TC3">#REF!</definedName>
    <definedName name="CUSTOM1_L01__Column_TC4">#REF!</definedName>
    <definedName name="CUSTOM1_L01__Column_TC5">#REF!</definedName>
    <definedName name="CUSTOM1_L02__Column_TC1">#REF!</definedName>
    <definedName name="CUSTOM1_L02__Column_TC2">#REF!</definedName>
    <definedName name="CUSTOM1_L02__Column_TC3">#REF!</definedName>
    <definedName name="CUSTOM1_L02__Column_TC4">#REF!</definedName>
    <definedName name="CUSTOM1_L02__Column_TC5">#REF!</definedName>
    <definedName name="CUSTOM1_L02_to_L03__CORE_Typical">#REF!</definedName>
    <definedName name="CUSTOM1_L03_to_L05__CORE_TYPICAL">#REF!</definedName>
    <definedName name="CUSTOM1_L03_to_L05__Opening">#REF!</definedName>
    <definedName name="CUSTOM1_L05_to_L14__CORE_Typical">#REF!</definedName>
    <definedName name="CUSTOM1_L1__TW1_250">#REF!</definedName>
    <definedName name="CUSTOM1_L1__TW2_200">#REF!</definedName>
    <definedName name="CUSTOM1_L1__TW3_300">#REF!</definedName>
    <definedName name="CUSTOM1_L1__TW4_600">#REF!</definedName>
    <definedName name="CUSTOM1_L1__TW5_300">#REF!</definedName>
    <definedName name="CUSTOM1_L1_Beams">#REF!</definedName>
    <definedName name="CUSTOM1_L1_DP">#REF!</definedName>
    <definedName name="CUSTOM1_L1_DP1_3000x3000x350">#REF!</definedName>
    <definedName name="CUSTOM1_L1_DP11_3250x1750x350">#REF!</definedName>
    <definedName name="CUSTOM1_L1_DP13_3250x1750x600">#REF!</definedName>
    <definedName name="CUSTOM1_L1_DP14_3000x3000x600">#REF!</definedName>
    <definedName name="CUSTOM1_L1_DP15_3500x3500x600">#REF!</definedName>
    <definedName name="CUSTOM1_L1_DP3_3500x1900x350">#REF!</definedName>
    <definedName name="CUSTOM1_L1_DP4_3500x3500x400">#REF!</definedName>
    <definedName name="CUSTOM1_L1_DP8_8000x5500x600">#REF!</definedName>
    <definedName name="CUSTOM1_L1_Slab_200">#REF!</definedName>
    <definedName name="CUSTOM1_L1_Slab_240">#REF!</definedName>
    <definedName name="CUSTOM1_L1_Slab_280">#REF!</definedName>
    <definedName name="CUSTOM1_L1_Slab_360">#REF!</definedName>
    <definedName name="CUSTOM1_L14__COMFLOR_100">#REF!</definedName>
    <definedName name="CUSTOM1_L14__CONC_SLAB">#REF!</definedName>
    <definedName name="CUSTOM1_L14__RC_CORE_VOIDS">#REF!</definedName>
    <definedName name="CUSTOM1_L15__COMFLOR_100">#REF!</definedName>
    <definedName name="CUSTOM1_L15__HEA_320">#REF!</definedName>
    <definedName name="CUSTOM1_L15__HEB_160">#REF!</definedName>
    <definedName name="CUSTOM1_L15__HEM_180">#REF!</definedName>
    <definedName name="CUSTOM1_L15__RHS_400x200x16">#REF!</definedName>
    <definedName name="CUSTOM1_L15__TW1_250">#REF!</definedName>
    <definedName name="CUSTOM1_L15__TW2_200">#REF!</definedName>
    <definedName name="CUSTOM1_L15__TW3_300">#REF!</definedName>
    <definedName name="CUSTOM1_L15__TW4_600">#REF!</definedName>
    <definedName name="CUSTOM1_L15__TW5_300">#REF!</definedName>
    <definedName name="CUSTOM1_L15_Beams">#REF!</definedName>
    <definedName name="CUSTOM1_L15_Slab_250">#REF!</definedName>
    <definedName name="CUSTOM1_L15_Slab_400">#REF!</definedName>
    <definedName name="CUSTOM1_L15_to_L16__CONC_SLAB">#REF!</definedName>
    <definedName name="CUSTOM1_L16__COMFLOR_100">#REF!</definedName>
    <definedName name="CUSTOM1_L16__HEA_320">#REF!</definedName>
    <definedName name="CUSTOM1_L16__HEB_160">#REF!</definedName>
    <definedName name="CUSTOM1_L16__HEM_180">#REF!</definedName>
    <definedName name="CUSTOM1_L16__RHS_400x200x16">#REF!</definedName>
    <definedName name="CUSTOM1_L16__TW1_250">#REF!</definedName>
    <definedName name="CUSTOM1_L16__TW2_200">#REF!</definedName>
    <definedName name="CUSTOM1_L16__TW3_300">#REF!</definedName>
    <definedName name="CUSTOM1_L16__TW4_600">#REF!</definedName>
    <definedName name="CUSTOM1_L16_Beams">#REF!</definedName>
    <definedName name="CUSTOM1_L16_Slab_200">#REF!</definedName>
    <definedName name="CUSTOM1_L16_Slab_240">#REF!</definedName>
    <definedName name="CUSTOM1_L16_Slab_280">#REF!</definedName>
    <definedName name="CUSTOM1_L17__COMFLOR_100">#REF!</definedName>
    <definedName name="CUSTOM1_L17__HEA_320">#REF!</definedName>
    <definedName name="CUSTOM1_L17__HEB_160">#REF!</definedName>
    <definedName name="CUSTOM1_L17__HEM_180">#REF!</definedName>
    <definedName name="CUSTOM1_L17__RHS_400x200x16">#REF!</definedName>
    <definedName name="CUSTOM1_L17__TW1_250">#REF!</definedName>
    <definedName name="CUSTOM1_L17__TW2_200">#REF!</definedName>
    <definedName name="CUSTOM1_L17__TW3_300">#REF!</definedName>
    <definedName name="CUSTOM1_L17__TW4_600">#REF!</definedName>
    <definedName name="CUSTOM1_L17_Beams">#REF!</definedName>
    <definedName name="CUSTOM1_L17_Slab_200">#REF!</definedName>
    <definedName name="CUSTOM1_L17_Slab_240">#REF!</definedName>
    <definedName name="CUSTOM1_L17_Slab_280">#REF!</definedName>
    <definedName name="CUSTOM1_L17_to_L35__CONC_SLAB">#REF!</definedName>
    <definedName name="CUSTOM1_L18__COMFLOR_100">#REF!</definedName>
    <definedName name="CUSTOM1_L18__HEA_320">#REF!</definedName>
    <definedName name="CUSTOM1_L18__HEB_160">#REF!</definedName>
    <definedName name="CUSTOM1_L18__HEM_180">#REF!</definedName>
    <definedName name="CUSTOM1_L18__RC_CORE_VOIDS">#REF!</definedName>
    <definedName name="CUSTOM1_L18__RHS_400x200x16">#REF!</definedName>
    <definedName name="CUSTOM1_L19__COMFLOR_100">#REF!</definedName>
    <definedName name="CUSTOM1_L19__HEA_320">#REF!</definedName>
    <definedName name="CUSTOM1_L19__HEB_160">#REF!</definedName>
    <definedName name="CUSTOM1_L19__HEM_180">#REF!</definedName>
    <definedName name="CUSTOM1_L19__RHS_400x200x16">#REF!</definedName>
    <definedName name="CUSTOM1_L2___1000x1500mm">#REF!</definedName>
    <definedName name="CUSTOM1_L2___1000x1500mm_curved">#REF!</definedName>
    <definedName name="CUSTOM1_L2___1200x1200x1500mm">#REF!</definedName>
    <definedName name="CUSTOM1_L2___1200x1500mm">#REF!</definedName>
    <definedName name="CUSTOM1_L2___1200x3000x1500mm">#REF!</definedName>
    <definedName name="CUSTOM1_L2___1500x1500x1500mm">#REF!</definedName>
    <definedName name="CUSTOM1_L2___1800x1800x1500mm">#REF!</definedName>
    <definedName name="CUSTOM1_L2___1800x4500x1500mm">#REF!</definedName>
    <definedName name="CUSTOM1_L2___400mm_raft_slab">#REF!</definedName>
    <definedName name="CUSTOM1_L2___400mm_Retaining_wall">#REF!</definedName>
    <definedName name="CUSTOM1_L2___400mm_Retaining_wall_curved">#REF!</definedName>
    <definedName name="CUSTOM1_L2___400x1500mm">#REF!</definedName>
    <definedName name="CUSTOM1_L2___500mm_Retaining_wall">#REF!</definedName>
    <definedName name="CUSTOM1_L2___500mm_Retaining_wall_curved">#REF!</definedName>
    <definedName name="CUSTOM1_L2___600mm_diameter">#REF!</definedName>
    <definedName name="CUSTOM1_L2___750mm_diameter">#REF!</definedName>
    <definedName name="CUSTOM1_L2___800x1500mm">#REF!</definedName>
    <definedName name="CUSTOM1_L2___900mm_diameter">#REF!</definedName>
    <definedName name="CUSTOM1_L2___Pilecaps">#REF!</definedName>
    <definedName name="CUSTOM1_L2__Column__550dia__assumed_size_as_per_plan_">#REF!</definedName>
    <definedName name="CUSTOM1_L2__TW1_250">#REF!</definedName>
    <definedName name="CUSTOM1_L2__TW2_200">#REF!</definedName>
    <definedName name="CUSTOM1_L2__TW3_300">#REF!</definedName>
    <definedName name="CUSTOM1_L2__TW4_600">#REF!</definedName>
    <definedName name="CUSTOM1_L2__TW5_300">#REF!</definedName>
    <definedName name="CUSTOM1_L2__Wall__250__assumed_">#REF!</definedName>
    <definedName name="CUSTOM1_L2__Wall__250_curved__assumed_">#REF!</definedName>
    <definedName name="CUSTOM1_L2_Beams">#REF!</definedName>
    <definedName name="CUSTOM1_L2_Slab_200">#REF!</definedName>
    <definedName name="CUSTOM1_L2_Slab_240">#REF!</definedName>
    <definedName name="CUSTOM1_L2_Slab_280">#REF!</definedName>
    <definedName name="CUSTOM1_L20__COMFLOR_100">#REF!</definedName>
    <definedName name="CUSTOM1_L20__HEA_320">#REF!</definedName>
    <definedName name="CUSTOM1_L20__HEB_160">#REF!</definedName>
    <definedName name="CUSTOM1_L20__HEM_180">#REF!</definedName>
    <definedName name="CUSTOM1_L20__RHS_400x400x16">#REF!</definedName>
    <definedName name="CUSTOM1_L21__COMFLOR_100">#REF!</definedName>
    <definedName name="CUSTOM1_L21__HEA_320">#REF!</definedName>
    <definedName name="CUSTOM1_L21__HEB_160">#REF!</definedName>
    <definedName name="CUSTOM1_L21__HEM_180">#REF!</definedName>
    <definedName name="CUSTOM1_L21__RHS_400x400x16">#REF!</definedName>
    <definedName name="CUSTOM1_L22__COMFLOR_100">#REF!</definedName>
    <definedName name="CUSTOM1_L22__HEA_320">#REF!</definedName>
    <definedName name="CUSTOM1_L22__HEB_160">#REF!</definedName>
    <definedName name="CUSTOM1_L22__HEM_180">#REF!</definedName>
    <definedName name="CUSTOM1_L22__RHS_400x400x16">#REF!</definedName>
    <definedName name="CUSTOM1_L23__COMFLOR_100">#REF!</definedName>
    <definedName name="CUSTOM1_L23__HEA_320">#REF!</definedName>
    <definedName name="CUSTOM1_L23__HEB_160">#REF!</definedName>
    <definedName name="CUSTOM1_L23__HEM_180">#REF!</definedName>
    <definedName name="CUSTOM1_L23__RHS_400x400x16">#REF!</definedName>
    <definedName name="CUSTOM1_L24__COMFLOR_100">#REF!</definedName>
    <definedName name="CUSTOM1_L24__HEA_320">#REF!</definedName>
    <definedName name="CUSTOM1_L24__HEB_160">#REF!</definedName>
    <definedName name="CUSTOM1_L24__HEM_180">#REF!</definedName>
    <definedName name="CUSTOM1_L24__RHS_400x400x16">#REF!</definedName>
    <definedName name="CUSTOM1_L25__COMFLOR_100">#REF!</definedName>
    <definedName name="CUSTOM1_L25__HEA_320">#REF!</definedName>
    <definedName name="CUSTOM1_L25__HEB_160">#REF!</definedName>
    <definedName name="CUSTOM1_L25__HEM_180">#REF!</definedName>
    <definedName name="CUSTOM1_L25__RHS_400x200x16">#REF!</definedName>
    <definedName name="CUSTOM1_L26__COMFLOR_100">#REF!</definedName>
    <definedName name="CUSTOM1_L26__HEA_320">#REF!</definedName>
    <definedName name="CUSTOM1_L26__HEB_160">#REF!</definedName>
    <definedName name="CUSTOM1_L26__HEM_180">#REF!</definedName>
    <definedName name="CUSTOM1_L26__RC_CORE_VOIDS">#REF!</definedName>
    <definedName name="CUSTOM1_L26__RHS_400x200x16">#REF!</definedName>
    <definedName name="CUSTOM1_L27__COMFLOR_100">#REF!</definedName>
    <definedName name="CUSTOM1_L27__HEA_320">#REF!</definedName>
    <definedName name="CUSTOM1_L27__HEB_160">#REF!</definedName>
    <definedName name="CUSTOM1_L27__HEM_180">#REF!</definedName>
    <definedName name="CUSTOM1_L27__RHS_400x200x16">#REF!</definedName>
    <definedName name="CUSTOM1_L28__COMFLOR_100">#REF!</definedName>
    <definedName name="CUSTOM1_L28__HEA_320">#REF!</definedName>
    <definedName name="CUSTOM1_L28__HEB_160">#REF!</definedName>
    <definedName name="CUSTOM1_L28__HEM_180">#REF!</definedName>
    <definedName name="CUSTOM1_L28__rHS_400x200x16">#REF!</definedName>
    <definedName name="CUSTOM1_L29__COMFLOR_100">#REF!</definedName>
    <definedName name="CUSTOM1_L29__HEA_320">#REF!</definedName>
    <definedName name="CUSTOM1_L29__HEB_160">#REF!</definedName>
    <definedName name="CUSTOM1_L29__HEM_180">#REF!</definedName>
    <definedName name="CUSTOM1_L29__RHS_400x200x16">#REF!</definedName>
    <definedName name="CUSTOM1_L3___1000x1500mm">#REF!</definedName>
    <definedName name="CUSTOM1_L3___1200x1200x1500mm">#REF!</definedName>
    <definedName name="CUSTOM1_L3___1200x3000x1500mm">#REF!</definedName>
    <definedName name="CUSTOM1_L3___1500x1500mm">#REF!</definedName>
    <definedName name="CUSTOM1_L3___1500x3000x1500mm">#REF!</definedName>
    <definedName name="CUSTOM1_L3___1800x1800x1500mm">#REF!</definedName>
    <definedName name="CUSTOM1_L3___1800x4500x1500mm">#REF!</definedName>
    <definedName name="CUSTOM1_L3___400mm_Retaining_wall">#REF!</definedName>
    <definedName name="CUSTOM1_L3___400mm_Retaining_wall_curved">#REF!</definedName>
    <definedName name="CUSTOM1_L3___500mm_thick_W3_curved">#REF!</definedName>
    <definedName name="CUSTOM1_L3___600mm_diameter">#REF!</definedName>
    <definedName name="CUSTOM1_L3___650mm_thick_W4_curved">#REF!</definedName>
    <definedName name="CUSTOM1_L3___700x1500mm">#REF!</definedName>
    <definedName name="CUSTOM1_L3___700x1500mm_curved">#REF!</definedName>
    <definedName name="CUSTOM1_L3___800x1500mm">#REF!</definedName>
    <definedName name="CUSTOM1_L3___800x1500mm_curved">#REF!</definedName>
    <definedName name="CUSTOM1_L3___900mm_diameter">#REF!</definedName>
    <definedName name="CUSTOM1_L3___Pilecaps">#REF!</definedName>
    <definedName name="CUSTOM1_L3__Beam__1000x800__assumed_">#REF!</definedName>
    <definedName name="CUSTOM1_L3__Beam__1100x800__assumed_">#REF!</definedName>
    <definedName name="CUSTOM1_L3__Beam__1300x800__assumed_">#REF!</definedName>
    <definedName name="CUSTOM1_L3__Beam__700x800__assumed_">#REF!</definedName>
    <definedName name="CUSTOM1_L3__Beam__800x800__assumed_">#REF!</definedName>
    <definedName name="CUSTOM1_L3__C1__800x800">#REF!</definedName>
    <definedName name="CUSTOM1_L3__C10__400x1000">#REF!</definedName>
    <definedName name="CUSTOM1_L3__C2__600x1200__assumed_size_as_per_plan_">#REF!</definedName>
    <definedName name="CUSTOM1_L3__C2__800x800">#REF!</definedName>
    <definedName name="CUSTOM1_L3__C3__800dia">#REF!</definedName>
    <definedName name="CUSTOM1_L3__C4__600x600">#REF!</definedName>
    <definedName name="CUSTOM1_L3__C5__400x400">#REF!</definedName>
    <definedName name="CUSTOM1_L3__C6__600x1200">#REF!</definedName>
    <definedName name="CUSTOM1_L3__C7__600x800">#REF!</definedName>
    <definedName name="CUSTOM1_L3__C8__550dia">#REF!</definedName>
    <definedName name="CUSTOM1_L3__C9__600dia">#REF!</definedName>
    <definedName name="CUSTOM1_L3__Column_Head__3000x3000x400">#REF!</definedName>
    <definedName name="CUSTOM1_L3__TW1_250">#REF!</definedName>
    <definedName name="CUSTOM1_L3__TW2_200">#REF!</definedName>
    <definedName name="CUSTOM1_L3__TW3_300">#REF!</definedName>
    <definedName name="CUSTOM1_L3__TW4_600">#REF!</definedName>
    <definedName name="CUSTOM1_L3__TW5_300">#REF!</definedName>
    <definedName name="CUSTOM1_L3__W1__250">#REF!</definedName>
    <definedName name="CUSTOM1_L3__W1__250_curved">#REF!</definedName>
    <definedName name="CUSTOM1_L3_Beams">#REF!</definedName>
    <definedName name="CUSTOM1_L3_Slab_200">#REF!</definedName>
    <definedName name="CUSTOM1_L3_Slab_240">#REF!</definedName>
    <definedName name="CUSTOM1_L3_Slab_280">#REF!</definedName>
    <definedName name="CUSTOM1_L30__COMFLOR_100">#REF!</definedName>
    <definedName name="CUSTOM1_L30__HEA_320">#REF!</definedName>
    <definedName name="CUSTOM1_L30__HEB_160">#REF!</definedName>
    <definedName name="CUSTOM1_L30__HEM_180">#REF!</definedName>
    <definedName name="CUSTOM1_L30__RHS_400x200x16">#REF!</definedName>
    <definedName name="CUSTOM1_L30__TW1_250">#REF!</definedName>
    <definedName name="CUSTOM1_L30__TW2_200">#REF!</definedName>
    <definedName name="CUSTOM1_L30__TW3_300">#REF!</definedName>
    <definedName name="CUSTOM1_L30__TW4_600">#REF!</definedName>
    <definedName name="CUSTOM1_L30_Beams">#REF!</definedName>
    <definedName name="CUSTOM1_L30_Slab_200">#REF!</definedName>
    <definedName name="CUSTOM1_L30_Slab_240">#REF!</definedName>
    <definedName name="CUSTOM1_L30_Slab_280">#REF!</definedName>
    <definedName name="CUSTOM1_L31__COMFLOR_100">#REF!</definedName>
    <definedName name="CUSTOM1_L31__HEA_320">#REF!</definedName>
    <definedName name="CUSTOM1_L31__HEB_160">#REF!</definedName>
    <definedName name="CUSTOM1_L31__HEM_180">#REF!</definedName>
    <definedName name="CUSTOM1_L31__RHS_400x200x16">#REF!</definedName>
    <definedName name="CUSTOM1_L31__TW1_250">#REF!</definedName>
    <definedName name="CUSTOM1_L31__TW2_200">#REF!</definedName>
    <definedName name="CUSTOM1_L31__TW3_300">#REF!</definedName>
    <definedName name="CUSTOM1_L31__TW4_600">#REF!</definedName>
    <definedName name="CUSTOM1_L31__TW5_300">#REF!</definedName>
    <definedName name="CUSTOM1_L31_Beams">#REF!</definedName>
    <definedName name="CUSTOM1_L31_Slab_200">#REF!</definedName>
    <definedName name="CUSTOM1_L31_Slab_240">#REF!</definedName>
    <definedName name="CUSTOM1_L31_Slab_280">#REF!</definedName>
    <definedName name="CUSTOM1_L32__RC_SLAB_500mm_THICK">#REF!</definedName>
    <definedName name="CUSTOM1_L33__COMFLOR_100">#REF!</definedName>
    <definedName name="CUSTOM1_L33__HEA_320">#REF!</definedName>
    <definedName name="CUSTOM1_L33__HEB_160">#REF!</definedName>
    <definedName name="CUSTOM1_L33__HEM_180">#REF!</definedName>
    <definedName name="CUSTOM1_L33__RHS_400x200x16">#REF!</definedName>
    <definedName name="CUSTOM1_L34__COMFLOR_100">#REF!</definedName>
    <definedName name="CUSTOM1_L34__HEA_320">#REF!</definedName>
    <definedName name="CUSTOM1_L34__HEB_160">#REF!</definedName>
    <definedName name="CUSTOM1_L34__HEM_180">#REF!</definedName>
    <definedName name="CUSTOM1_L34__RHS_400x200x16">#REF!</definedName>
    <definedName name="CUSTOM1_L35__COMFLOR_100">#REF!</definedName>
    <definedName name="CUSTOM1_L35__HEA_320">#REF!</definedName>
    <definedName name="CUSTOM1_L35__HEB_160">#REF!</definedName>
    <definedName name="CUSTOM1_L35__HEM_180">#REF!</definedName>
    <definedName name="CUSTOM1_L35__RHS_400x200x16">#REF!</definedName>
    <definedName name="CUSTOM1_L36__COMFLOR_100">#REF!</definedName>
    <definedName name="CUSTOM1_L36__CONC_SLAB">#REF!</definedName>
    <definedName name="CUSTOM1_L36__HEA_320">#REF!</definedName>
    <definedName name="CUSTOM1_L36__HEB_160">#REF!</definedName>
    <definedName name="CUSTOM1_L36__HEM_180">#REF!</definedName>
    <definedName name="CUSTOM1_L36__RHS_400x200x16">#REF!</definedName>
    <definedName name="CUSTOM1_L36__TW1_250">#REF!</definedName>
    <definedName name="CUSTOM1_L36__TW2_200">#REF!</definedName>
    <definedName name="CUSTOM1_L36__TW3_300">#REF!</definedName>
    <definedName name="CUSTOM1_L36__TW5_300">#REF!</definedName>
    <definedName name="CUSTOM1_L36_Beams">#REF!</definedName>
    <definedName name="CUSTOM1_L36_Slab_200">#REF!</definedName>
    <definedName name="CUSTOM1_L36_Slab_240">#REF!</definedName>
    <definedName name="CUSTOM1_L36_Slab_280">#REF!</definedName>
    <definedName name="CUSTOM1_L36_Slab_500">#REF!</definedName>
    <definedName name="CUSTOM1_L37__COMFLOR_100">#REF!</definedName>
    <definedName name="CUSTOM1_L37__HEA_320">#REF!</definedName>
    <definedName name="CUSTOM1_L37__HEB_160">#REF!</definedName>
    <definedName name="CUSTOM1_L37__HEM_180">#REF!</definedName>
    <definedName name="CUSTOM1_L37__RHS_400x200x16">#REF!</definedName>
    <definedName name="CUSTOM1_L37__TW1_250">#REF!</definedName>
    <definedName name="CUSTOM1_L37__TW2_200">#REF!</definedName>
    <definedName name="CUSTOM1_L37__TW3_300">#REF!</definedName>
    <definedName name="CUSTOM1_L37__TW5_300">#REF!</definedName>
    <definedName name="CUSTOM1_L37_Beams">#REF!</definedName>
    <definedName name="CUSTOM1_L37_Slab_200">#REF!</definedName>
    <definedName name="CUSTOM1_L37_Slab_350">#REF!</definedName>
    <definedName name="CUSTOM1_L38__Bracing_Elemnt_Passing_Lift_Over_Run">#REF!</definedName>
    <definedName name="CUSTOM1_L38__COMFLOR_100">#REF!</definedName>
    <definedName name="CUSTOM1_L38__HEA_320">#REF!</definedName>
    <definedName name="CUSTOM1_L38__HEB_160">#REF!</definedName>
    <definedName name="CUSTOM1_L38__HEM_180">#REF!</definedName>
    <definedName name="CUSTOM1_L38__RHS_400x200x16">#REF!</definedName>
    <definedName name="CUSTOM1_L38__TW1_250">#REF!</definedName>
    <definedName name="CUSTOM1_L38__TW2_200">#REF!</definedName>
    <definedName name="CUSTOM1_L38__TW3_300">#REF!</definedName>
    <definedName name="CUSTOM1_L38__TW5_300">#REF!</definedName>
    <definedName name="CUSTOM1_L38_Beams">#REF!</definedName>
    <definedName name="CUSTOM1_L38_Slab_200">#REF!</definedName>
    <definedName name="CUSTOM1_L38_Slab_350">#REF!</definedName>
    <definedName name="CUSTOM1_L39__2nd_Layer__HEA_320">#REF!</definedName>
    <definedName name="CUSTOM1_L39__2nd_Layer__HEB_160">#REF!</definedName>
    <definedName name="CUSTOM1_L39__2nd_Layer__HEM_180">#REF!</definedName>
    <definedName name="CUSTOM1_L39__2nd_Layer__RHS_400x200x16">#REF!</definedName>
    <definedName name="CUSTOM1_L39__Bracing_Elemnt_Passing_Lift_Over_Run">#REF!</definedName>
    <definedName name="CUSTOM1_L39__COMFLOR_100">#REF!</definedName>
    <definedName name="CUSTOM1_L39__HEA_320">#REF!</definedName>
    <definedName name="CUSTOM1_L39__HEB_160">#REF!</definedName>
    <definedName name="CUSTOM1_L39__HEM_180">#REF!</definedName>
    <definedName name="CUSTOM1_L39__RHS_400x200x16">#REF!</definedName>
    <definedName name="CUSTOM1_L4___1000x1500mm_curved">#REF!</definedName>
    <definedName name="CUSTOM1_L4___1500x1500x1500mm">#REF!</definedName>
    <definedName name="CUSTOM1_L4___600mm_diameter">#REF!</definedName>
    <definedName name="CUSTOM1_L4___750mm_diameter">#REF!</definedName>
    <definedName name="CUSTOM1_L4___800x1500mm">#REF!</definedName>
    <definedName name="CUSTOM1_L4___800x1500mm_curved">#REF!</definedName>
    <definedName name="CUSTOM1_L4__B1__800x600">#REF!</definedName>
    <definedName name="CUSTOM1_L4__B1__800x600_curved">#REF!</definedName>
    <definedName name="CUSTOM1_L4__B2__800x1000">#REF!</definedName>
    <definedName name="CUSTOM1_L4__B2__800x1000_curved">#REF!</definedName>
    <definedName name="CUSTOM1_L4__B3__800x1300">#REF!</definedName>
    <definedName name="CUSTOM1_L4__B3__800x1300_curved">#REF!</definedName>
    <definedName name="CUSTOM1_L4__B4__1500x1600_curved">#REF!</definedName>
    <definedName name="CUSTOM1_L4__Beam__300x600__assumed_">#REF!</definedName>
    <definedName name="CUSTOM1_L4__C3__800dia">#REF!</definedName>
    <definedName name="CUSTOM1_L4__C6__550dia__assumed_size_as_per_plan_">#REF!</definedName>
    <definedName name="CUSTOM1_L4__C9__600dia">#REF!</definedName>
    <definedName name="CUSTOM1_L4__Column_Head__4000x4000x400">#REF!</definedName>
    <definedName name="CUSTOM1_L4__W1__250">#REF!</definedName>
    <definedName name="CUSTOM1_L4__W1__250_curved">#REF!</definedName>
    <definedName name="CUSTOM1_L4__W2__350">#REF!</definedName>
    <definedName name="CUSTOM1_L4__W2__350_curved">#REF!</definedName>
    <definedName name="CUSTOM1_L40__2nd_Layer__RHS_400x200x16">#REF!</definedName>
    <definedName name="CUSTOM1_L40__Bracing_Elemnt_Passing_Lift_Over_Run">#REF!</definedName>
    <definedName name="CUSTOM1_L40__COMFLOR_100">#REF!</definedName>
    <definedName name="CUSTOM1_L40__HEB_320">#REF!</definedName>
    <definedName name="CUSTOM1_L40__RHS_400x200x16">#REF!</definedName>
    <definedName name="CUSTOM1_L40__RHS_450x450x25">#REF!</definedName>
    <definedName name="CUSTOM1_L40__RHS_500x300x20">#REF!</definedName>
    <definedName name="CUSTOM1_L40__Trussing_spanning_column_restrai">#REF!</definedName>
    <definedName name="CUSTOM1_L41__2nd_Layer__RHS_400x200x16">#REF!</definedName>
    <definedName name="CUSTOM1_L41__Bracing_Elemnt_Passing_Lift_Over_Run">#REF!</definedName>
    <definedName name="CUSTOM1_L41__COMFLOR_100">#REF!</definedName>
    <definedName name="CUSTOM1_L41__Flying_Strut">#REF!</definedName>
    <definedName name="CUSTOM1_L41__HEB_320">#REF!</definedName>
    <definedName name="CUSTOM1_L41__RHS_400x200x16">#REF!</definedName>
    <definedName name="CUSTOM1_L41__RHS_450x450x25">#REF!</definedName>
    <definedName name="CUSTOM1_L41__RHS_500x300x20">#REF!</definedName>
    <definedName name="CUSTOM1_L42__2nd_Layer__RHS_400x200x16">#REF!</definedName>
    <definedName name="CUSTOM1_L42__COMFLOR_100">#REF!</definedName>
    <definedName name="CUSTOM1_L42__HEB_320">#REF!</definedName>
    <definedName name="CUSTOM1_L42__RHS_400x420x16">#REF!</definedName>
    <definedName name="CUSTOM1_L42__RHS_450x450x25">#REF!</definedName>
    <definedName name="CUSTOM1_L42__RHS_500x300x20">#REF!</definedName>
    <definedName name="CUSTOM1_L43__COMFLOR_100">#REF!</definedName>
    <definedName name="CUSTOM1_L43__HE_320">#REF!</definedName>
    <definedName name="CUSTOM1_L44__COMFLOR_100">#REF!</definedName>
    <definedName name="CUSTOM1_L44__HEA_320">#REF!</definedName>
    <definedName name="CUSTOM1_L45__COMFLOR_100">#REF!</definedName>
    <definedName name="CUSTOM1_L46__COMFLOR_100">#REF!</definedName>
    <definedName name="CUSTOM1_L47__COMFLOR_100">#REF!</definedName>
    <definedName name="CUSTOM1_L48__RC_SLAB_350mm_THICK">#REF!</definedName>
    <definedName name="CUSTOM1_L49__COMFLOR_100">#REF!</definedName>
    <definedName name="CUSTOM1_L49__HEB_260">#REF!</definedName>
    <definedName name="CUSTOM1_L5___Slab_on_grade">#REF!</definedName>
    <definedName name="CUSTOM1_L5__B1__500x1300_curved">#REF!</definedName>
    <definedName name="CUSTOM1_L5__B2__800x1300">#REF!</definedName>
    <definedName name="CUSTOM1_L5__B2__800x1300_curved">#REF!</definedName>
    <definedName name="CUSTOM1_L5__B3__800x1100">#REF!</definedName>
    <definedName name="CUSTOM1_L5__B3__800x1100_curved">#REF!</definedName>
    <definedName name="CUSTOM1_L5__B4__800x1600">#REF!</definedName>
    <definedName name="CUSTOM1_L5__B5__400x800">#REF!</definedName>
    <definedName name="CUSTOM1_L5__B6__600x1250">#REF!</definedName>
    <definedName name="CUSTOM1_L5__B6__600x1250_curved">#REF!</definedName>
    <definedName name="CUSTOM1_L5__B7__800x1250">#REF!</definedName>
    <definedName name="CUSTOM1_L5__B7__800x1250_curved">#REF!</definedName>
    <definedName name="CUSTOM1_L5__B8__1400x1250_curved">#REF!</definedName>
    <definedName name="CUSTOM1_L5__B9__1800x1250">#REF!</definedName>
    <definedName name="CUSTOM1_L5__B9__1800x1250_curved">#REF!</definedName>
    <definedName name="CUSTOM1_L5__Beam__800x1600_curved__assumed_">#REF!</definedName>
    <definedName name="CUSTOM1_L50__COMFLOR_100">#REF!</definedName>
    <definedName name="CUSTOM1_L50__HEB_260">#REF!</definedName>
    <definedName name="CUSTOM1_L51__COMFLOR_100">#REF!</definedName>
    <definedName name="CUSTOM1_Land_Area">#REF!</definedName>
    <definedName name="CUSTOM1_Lettable_Area__lvl_3_">#REF!</definedName>
    <definedName name="CUSTOM1_Lettable_areas__lvl_2_">#REF!</definedName>
    <definedName name="CUSTOM1_Level_3_balcony_handrails">#REF!</definedName>
    <definedName name="CUSTOM1_Lift_voids__GF_">#REF!</definedName>
    <definedName name="CUSTOM1_Lift_voids__lvl_1_">#REF!</definedName>
    <definedName name="CUSTOM1_Lift_voids__lvl_2_">#REF!</definedName>
    <definedName name="CUSTOM1_Lift_voids__lvl_3_">#REF!</definedName>
    <definedName name="CUSTOM1_Lift_voids__Podium_1_">#REF!</definedName>
    <definedName name="CUSTOM1_Lift_Voids__Podium_2_">#REF!</definedName>
    <definedName name="CUSTOM1_Lift_voids__Roof_">#REF!</definedName>
    <definedName name="CUSTOM1_Louver_1A">#REF!</definedName>
    <definedName name="CUSTOM1_lvl_1__BOH_">#REF!</definedName>
    <definedName name="CUSTOM1_lvl_1__Car_Park_">#REF!</definedName>
    <definedName name="CUSTOM1_lvl_1__Externals_">#REF!</definedName>
    <definedName name="CUSTOM1_lvl_1__FOH_Areas_">#REF!</definedName>
    <definedName name="CUSTOM1_lvl_1__FOH_Circulation_">#REF!</definedName>
    <definedName name="CUSTOM1_lvl_1__GFA_">#REF!</definedName>
    <definedName name="CUSTOM1_lvl_1__GIFA_">#REF!</definedName>
    <definedName name="CUSTOM1_lvl_1__offices_">#REF!</definedName>
    <definedName name="CUSTOM1_lvl_1__Stairs_">#REF!</definedName>
    <definedName name="CUSTOM1_lvl_1__vertical_storage_">#REF!</definedName>
    <definedName name="CUSTOM1_lvl_1__Voids_">#REF!</definedName>
    <definedName name="CUSTOM1_lvl_1__WCs_">#REF!</definedName>
    <definedName name="CUSTOM1_lvl_1_BOH">#REF!</definedName>
    <definedName name="CUSTOM1_lvl_1_Doors_Internal_Double__FOH_">#REF!</definedName>
    <definedName name="CUSTOM1_lvl_1_Doors_Internal_Single__BOH_">#REF!</definedName>
    <definedName name="CUSTOM1_lvl_1_Doors_Internal_Single__FOH_">#REF!</definedName>
    <definedName name="CUSTOM1_lvl_1_External_Double_door__FOH_">#REF!</definedName>
    <definedName name="CUSTOM1_lvl_1_External_double_doors__FOH_">#REF!</definedName>
    <definedName name="CUSTOM1_lvl_1_FOH">#REF!</definedName>
    <definedName name="CUSTOM1_lvl_1_GFA">#REF!</definedName>
    <definedName name="CUSTOM1_lvl_1_GIFA">#REF!</definedName>
    <definedName name="CUSTOM1_lvl_1_Internal_Double_doors__BOH_">#REF!</definedName>
    <definedName name="CUSTOM1_lvl_1_Internal_double_doors__FOH_">#REF!</definedName>
    <definedName name="CUSTOM1_lvl_1_Internal_single_doors__BOH_">#REF!</definedName>
    <definedName name="CUSTOM1_lvl_1_Internal_single_doors__FOH_">#REF!</definedName>
    <definedName name="CUSTOM1_lvl_1_Internal_single_doors__Stairs_">#REF!</definedName>
    <definedName name="CUSTOM1_lvl_1_Offices">#REF!</definedName>
    <definedName name="CUSTOM1_lvl_1_Stairs">#REF!</definedName>
    <definedName name="CUSTOM1_lvl_1_Store">#REF!</definedName>
    <definedName name="CUSTOM1_lvl_1_Voids">#REF!</definedName>
    <definedName name="CUSTOM1_lvl_2__Apartments_">#REF!</definedName>
    <definedName name="CUSTOM1_lvl_2__BOH_">#REF!</definedName>
    <definedName name="CUSTOM1_lvl_2__FOH_Circulation_">#REF!</definedName>
    <definedName name="CUSTOM1_lvl_2__GFA_">#REF!</definedName>
    <definedName name="CUSTOM1_lvl_2__GIFA_">#REF!</definedName>
    <definedName name="CUSTOM1_lvl_2__Stairs_">#REF!</definedName>
    <definedName name="CUSTOM1_lvl_2__Voids_">#REF!</definedName>
    <definedName name="CUSTOM1_lvl_2_External_dble_doors__FOH_">#REF!</definedName>
    <definedName name="CUSTOM1_lvl_2_Internal_dble_doors__Aprt_">#REF!</definedName>
    <definedName name="CUSTOM1_lvl_2_Internal_double_doors__BOH_">#REF!</definedName>
    <definedName name="CUSTOM1_lvl_2_Internal_Single_doors__Apartments_">#REF!</definedName>
    <definedName name="CUSTOM1_lvl_2_Internal_Single_doors__Apartments_Entrances_">#REF!</definedName>
    <definedName name="CUSTOM1_lvl_2_Internal_single_doors__Aprt_">#REF!</definedName>
    <definedName name="CUSTOM1_lvl_2_Internal_single_doors__Aprt_Entrance_">#REF!</definedName>
    <definedName name="CUSTOM1_lvl_2_Internal_Single_doors__BOH_">#REF!</definedName>
    <definedName name="CUSTOM1_lvl_2_Internal_Sliding_doors__Apartments_">#REF!</definedName>
    <definedName name="CUSTOM1_lvl_2_Internal_sliding_doors__Aprt_">#REF!</definedName>
    <definedName name="CUSTOM1_lvl_3__Apartments_">#REF!</definedName>
    <definedName name="CUSTOM1_lvl_3__BOH_">#REF!</definedName>
    <definedName name="CUSTOM1_lvl_3__Car_Park_">#REF!</definedName>
    <definedName name="CUSTOM1_lvl_3__FOH_Circulation_">#REF!</definedName>
    <definedName name="CUSTOM1_lvl_3__GFA_">#REF!</definedName>
    <definedName name="CUSTOM1_lvl_3__GIFA_">#REF!</definedName>
    <definedName name="CUSTOM1_lvl_3__Stairs_">#REF!</definedName>
    <definedName name="CUSTOM1_lvl_3__voids_">#REF!</definedName>
    <definedName name="CUSTOM1_lvl_3_External_balcony_doors__Aprt_">#REF!</definedName>
    <definedName name="CUSTOM1_lvl_3_Internal_dble_doors__Aprt_">#REF!</definedName>
    <definedName name="CUSTOM1_lvl_3_Internal_Double_doors__BOH_">#REF!</definedName>
    <definedName name="CUSTOM1_lvl_3_Internal_Single_doors__Apartment_">#REF!</definedName>
    <definedName name="CUSTOM1_lvl_3_Internal_Single_doors__Apartment_entrances_">#REF!</definedName>
    <definedName name="CUSTOM1_lvl_3_Internal_single_doors__Aprt_">#REF!</definedName>
    <definedName name="CUSTOM1_lvl_3_Internal_single_doors__Aprt_entrance_">#REF!</definedName>
    <definedName name="CUSTOM1_lvl_3_Internal_Single_doors__BOH_">#REF!</definedName>
    <definedName name="CUSTOM1_lvl_3_Internal_Single_doors__FOH_">#REF!</definedName>
    <definedName name="CUSTOM1_lvl_3_Internal_Sliding_doors__Apartment_">#REF!</definedName>
    <definedName name="CUSTOM1_lvl_3_Internal_sliding_doors__Aprt_">#REF!</definedName>
    <definedName name="CUSTOM1_lvl_5__BOH_">#REF!</definedName>
    <definedName name="CUSTOM1_lvl_5__Externals_">#REF!</definedName>
    <definedName name="CUSTOM1_lvl_5__GFA_">#REF!</definedName>
    <definedName name="CUSTOM1_lvl_5__GIFA_">#REF!</definedName>
    <definedName name="CUSTOM1_lvl_5__Stairs_">#REF!</definedName>
    <definedName name="CUSTOM1_lvl_5__voids_">#REF!</definedName>
    <definedName name="CUSTOM1_lvl_5_External_Single_Door__BOH_">#REF!</definedName>
    <definedName name="CUSTOM1_lvl_6__BOH_">#REF!</definedName>
    <definedName name="CUSTOM1_lvl_6__Externals_">#REF!</definedName>
    <definedName name="CUSTOM1_lvl_6__FOH_amenities_">#REF!</definedName>
    <definedName name="CUSTOM1_lvl_6__FOH_Circulation_">#REF!</definedName>
    <definedName name="CUSTOM1_lvl_6__GFA_">#REF!</definedName>
    <definedName name="CUSTOM1_lvl_6__GIFA_">#REF!</definedName>
    <definedName name="CUSTOM1_lvl_6__Pool_">#REF!</definedName>
    <definedName name="CUSTOM1_lvl_6__Roof___Pool_deck_">#REF!</definedName>
    <definedName name="CUSTOM1_lvl_6__Stairs_">#REF!</definedName>
    <definedName name="CUSTOM1_lvl_6__Voids_">#REF!</definedName>
    <definedName name="CUSTOM1_lvl_6_External_double_doors__BOH_">#REF!</definedName>
    <definedName name="CUSTOM1_lvl_6_External_double_doors__FOH_">#REF!</definedName>
    <definedName name="CUSTOM1_lvl_6_External_single_doors__BOH_">#REF!</definedName>
    <definedName name="CUSTOM1_lvl_6_Internal_Single_doors__BOH_">#REF!</definedName>
    <definedName name="CUSTOM1_lvl_6_Internal_Single_doors__FOH_">#REF!</definedName>
    <definedName name="CUSTOM1_M01__Column_C1">#REF!</definedName>
    <definedName name="CUSTOM1_M01__Column_C10">#REF!</definedName>
    <definedName name="CUSTOM1_M01__Column_C11">#REF!</definedName>
    <definedName name="CUSTOM1_M01__Column_C12">#REF!</definedName>
    <definedName name="CUSTOM1_M01__Column_C2">#REF!</definedName>
    <definedName name="CUSTOM1_M01__Column_C3">#REF!</definedName>
    <definedName name="CUSTOM1_M01__Column_C4">#REF!</definedName>
    <definedName name="CUSTOM1_M01__Column_C5">#REF!</definedName>
    <definedName name="CUSTOM1_M01__Column_C6">#REF!</definedName>
    <definedName name="CUSTOM1_M01__Column_C7">#REF!</definedName>
    <definedName name="CUSTOM1_M01__Column_C8">#REF!</definedName>
    <definedName name="CUSTOM1_M01__Column_C9">#REF!</definedName>
    <definedName name="CUSTOM1_M01__Column_FC1">#REF!</definedName>
    <definedName name="CUSTOM1_M01__Column_TC1">#REF!</definedName>
    <definedName name="CUSTOM1_M01__Column_TC2">#REF!</definedName>
    <definedName name="CUSTOM1_M01__Column_TC3">#REF!</definedName>
    <definedName name="CUSTOM1_M01__Column_TC4">#REF!</definedName>
    <definedName name="CUSTOM1_M01__Column_TC5">#REF!</definedName>
    <definedName name="CUSTOM1_M1__TW1_250">#REF!</definedName>
    <definedName name="CUSTOM1_M1__TW2_200">#REF!</definedName>
    <definedName name="CUSTOM1_M1__TW3_300">#REF!</definedName>
    <definedName name="CUSTOM1_M1__TW3_400">#REF!</definedName>
    <definedName name="CUSTOM1_M1__TW4_500">#REF!</definedName>
    <definedName name="CUSTOM1_M1__TW4_600">#REF!</definedName>
    <definedName name="CUSTOM1_M1__TW5_300">#REF!</definedName>
    <definedName name="CUSTOM1_M1_Beams">#REF!</definedName>
    <definedName name="CUSTOM1_M1_DP">#REF!</definedName>
    <definedName name="CUSTOM1_M1_DP1">#REF!</definedName>
    <definedName name="CUSTOM1_M1_DP10">#REF!</definedName>
    <definedName name="CUSTOM1_M1_DP2">#REF!</definedName>
    <definedName name="CUSTOM1_M1_DP3">#REF!</definedName>
    <definedName name="CUSTOM1_M1_DP4">#REF!</definedName>
    <definedName name="CUSTOM1_M1_DP7">#REF!</definedName>
    <definedName name="CUSTOM1_M1_DP8">#REF!</definedName>
    <definedName name="CUSTOM1_M1_DP9">#REF!</definedName>
    <definedName name="CUSTOM1_M1_Ramp">#REF!</definedName>
    <definedName name="CUSTOM1_M1_Slab_200">#REF!</definedName>
    <definedName name="CUSTOM1_M1_Slab_220">#REF!</definedName>
    <definedName name="CUSTOM1_M1_Slab_250">#REF!</definedName>
    <definedName name="CUSTOM1_M1_Slab_280">#REF!</definedName>
    <definedName name="CUSTOM1_Mezz">#REF!</definedName>
    <definedName name="CUSTOM1_Mezzanine___BOH___Admin_Support">#REF!</definedName>
    <definedName name="CUSTOM1_Mezzanine___BOH___Administration_Offices">#REF!</definedName>
    <definedName name="CUSTOM1_Mezzanine___BOH___Administration_Offices_Toilet">#REF!</definedName>
    <definedName name="CUSTOM1_Mezzanine___BOH___Conference___Meeting">#REF!</definedName>
    <definedName name="CUSTOM1_Mezzanine___BOH___Event_Center_Core">#REF!</definedName>
    <definedName name="CUSTOM1_Mezzanine___BOH___Event_Center_Core_lift_shafts">#REF!</definedName>
    <definedName name="CUSTOM1_Mezzanine___BOH___Event_Center_Pantry___Service">#REF!</definedName>
    <definedName name="CUSTOM1_Mezzanine___BOH___Event_Center_Service">#REF!</definedName>
    <definedName name="CUSTOM1_Mezzanine___BOH___Finance___Accounting">#REF!</definedName>
    <definedName name="CUSTOM1_Mezzanine___BOH___Fire_Escape_Stairs">#REF!</definedName>
    <definedName name="CUSTOM1_Mezzanine___BOH___Guest_Core">#REF!</definedName>
    <definedName name="CUSTOM1_Mezzanine___BOH___Guest_Core_lift_shafts">#REF!</definedName>
    <definedName name="CUSTOM1_Mezzanine___BOH___Reservation___PABX">#REF!</definedName>
    <definedName name="CUSTOM1_Mezzanine___BOH___Service_Core">#REF!</definedName>
    <definedName name="CUSTOM1_Mezzanine___BOH___Service_Core_ducts">#REF!</definedName>
    <definedName name="CUSTOM1_Mezzanine___BOH___Service_Core_lift_shafts">#REF!</definedName>
    <definedName name="CUSTOM1_Mezzanine___BOH___Staff_Core">#REF!</definedName>
    <definedName name="CUSTOM1_Mezzanine___BOH___Staff_Core_lift_shafts">#REF!</definedName>
    <definedName name="CUSTOM1_Mezzanine___Double_Volume__Conference___Meeting_">#REF!</definedName>
    <definedName name="CUSTOM1_Mezzanine___Double_Volume__Lobby_Bar_">#REF!</definedName>
    <definedName name="CUSTOM1_Mezzanine___Double_Volume__Reception_Lobby_">#REF!</definedName>
    <definedName name="CUSTOM1_Mezzanine___FOH___Ball_Room">#REF!</definedName>
    <definedName name="CUSTOM1_Mezzanine___FOH___Ball_Room_Pre_Function">#REF!</definedName>
    <definedName name="CUSTOM1_Mezzanine___FOH___Circulation">#REF!</definedName>
    <definedName name="CUSTOM1_Mezzanine___FOH___Guestroom_Terrace">#REF!</definedName>
    <definedName name="CUSTOM1_Mezzanine___FOH___Guestrooms">#REF!</definedName>
    <definedName name="CUSTOM1_MF_Admin._Offices_area">#REF!</definedName>
    <definedName name="CUSTOM1_MF_BOH_Service_and_Utility_area">#REF!</definedName>
    <definedName name="CUSTOM1_MF_BOH_Staircase">#REF!</definedName>
    <definedName name="CUSTOM1_MF_Circulation_Corr._to_Admin._Offices">#REF!</definedName>
    <definedName name="CUSTOM1_MF_Guest_Core">#REF!</definedName>
    <definedName name="CUSTOM1_MF_Guestrooms">#REF!</definedName>
    <definedName name="CUSTOM1_MF_HGR_BOH">#REF!</definedName>
    <definedName name="CUSTOM1_MF_HGR_Circulation">#REF!</definedName>
    <definedName name="CUSTOM1_MF_HGR_Covered_Balcony">#REF!</definedName>
    <definedName name="CUSTOM1_MF_HGR_Fire_Staircase">#REF!</definedName>
    <definedName name="CUSTOM1_MF_Lift_Shaft">#REF!</definedName>
    <definedName name="CUSTOM1_MF_Roof_of_MEP_area">#REF!</definedName>
    <definedName name="CUSTOM1_MF_Services_Core">#REF!</definedName>
    <definedName name="CUSTOM1_MF_Voids___Dead_space">#REF!</definedName>
    <definedName name="CUSTOM1_Non_return_valve">#REF!</definedName>
    <definedName name="CUSTOM1_Open_Terrace___2F">#REF!</definedName>
    <definedName name="CUSTOM1_Open_Terrace___3F">#REF!</definedName>
    <definedName name="CUSTOM1_Open_Terrace___4F">#REF!</definedName>
    <definedName name="CUSTOM1_Parapet_capping">#REF!</definedName>
    <definedName name="CUSTOM1_Parapet_capping_1CRF">#REF!</definedName>
    <definedName name="CUSTOM1_Parapet_capping1BRF">#REF!</definedName>
    <definedName name="CUSTOM1_Pedestrian_Access">#REF!</definedName>
    <definedName name="CUSTOM1_PLATE___1F">#REF!</definedName>
    <definedName name="CUSTOM1_PLATE___2F">#REF!</definedName>
    <definedName name="CUSTOM1_PLATE___3F">#REF!</definedName>
    <definedName name="CUSTOM1_PLATE___4F">#REF!</definedName>
    <definedName name="CUSTOM1_PLATE___5F">#REF!</definedName>
    <definedName name="CUSTOM1_PLATE___B1">#REF!</definedName>
    <definedName name="CUSTOM1_PLATE___B2">#REF!</definedName>
    <definedName name="CUSTOM1_PLATE___GF">#REF!</definedName>
    <definedName name="CUSTOM1_PLATE___MF">#REF!</definedName>
    <definedName name="CUSTOM1_Plot_Area">#REF!</definedName>
    <definedName name="CUSTOM1_Pod_1_Internal_single_doors__BOH_">#REF!</definedName>
    <definedName name="CUSTOM1_Pod_1_Internal_single_doors__FOH_">#REF!</definedName>
    <definedName name="CUSTOM1_Pod_2___Internal_single_doors__BOH_">#REF!</definedName>
    <definedName name="CUSTOM1_Pod_2___Internal_single_doors__FOH_">#REF!</definedName>
    <definedName name="CUSTOM1_Pond">#REF!</definedName>
    <definedName name="CUSTOM1_Public_Toilets__GF_">#REF!</definedName>
    <definedName name="CUSTOM1_Raft___13800mm_thick_raft">#REF!</definedName>
    <definedName name="CUSTOM1_Rainwater_Drain">#REF!</definedName>
    <definedName name="CUSTOM1_Rainwater_Drain_GF">#REF!</definedName>
    <definedName name="CUSTOM1_Rainwater_Drain_Pipe">#REF!</definedName>
    <definedName name="CUSTOM1_RF__Isolation_Valve">#REF!</definedName>
    <definedName name="CUSTOM1_Roof__Canopies">#REF!</definedName>
    <definedName name="CUSTOM1_Roof__Suspened_Roof">#REF!</definedName>
    <definedName name="CUSTOM1_Roof_External_single_doors__FOH_">#REF!</definedName>
    <definedName name="CUSTOM1_Roof_Internal_Single_doors__BOH_">#REF!</definedName>
    <definedName name="CUSTOM1_Roof_Internal_single_doors__FOH_">#REF!</definedName>
    <definedName name="CUSTOM1_Roof_Terrace___3F">#REF!</definedName>
    <definedName name="CUSTOM1_Roof_Terrace___4F">#REF!</definedName>
    <definedName name="CUSTOM1_Roof_Terrace___5F">#REF!</definedName>
    <definedName name="CUSTOM1_RWO">#REF!</definedName>
    <definedName name="CUSTOM1_Sellable">#REF!</definedName>
    <definedName name="CUSTOM1_Shops__GF_">#REF!</definedName>
    <definedName name="CUSTOM1_Stairs__GF_">#REF!</definedName>
    <definedName name="CUSTOM1_Stairs__lvl_1_">#REF!</definedName>
    <definedName name="CUSTOM1_Stairs__lvl_2_">#REF!</definedName>
    <definedName name="CUSTOM1_Stairs__lvl_3_">#REF!</definedName>
    <definedName name="CUSTOM1_Stairs__Podium_1_">#REF!</definedName>
    <definedName name="CUSTOM1_Stairs__Podium_2_">#REF!</definedName>
    <definedName name="CUSTOM1_Stairs__riser___Ceramic_floor_tile_ff05">#REF!</definedName>
    <definedName name="CUSTOM1_Stairs__Risers_150mm___Ceramic_Floor_tile_FF05___Copy">#REF!</definedName>
    <definedName name="CUSTOM1_stairs__Roof_">#REF!</definedName>
    <definedName name="CUSTOM1_Stairs__Skirting">#REF!</definedName>
    <definedName name="CUSTOM1_Stairs__step_200mm___Ceramic_Floor_tile_FF05">#REF!</definedName>
    <definedName name="CUSTOM1_STRUT_RAFT">#REF!</definedName>
    <definedName name="CUSTOM1_Studio_2_burner_hob">#REF!</definedName>
    <definedName name="CUSTOM1_Studio_balcony">#REF!</definedName>
    <definedName name="CUSTOM1_Studio_bath_tub">#REF!</definedName>
    <definedName name="CUSTOM1_Studio_bath_tub_mixer">#REF!</definedName>
    <definedName name="CUSTOM1_Studio_Bathroom">#REF!</definedName>
    <definedName name="CUSTOM1_Studio_Bedroom">#REF!</definedName>
    <definedName name="CUSTOM1_Studio_kitchen_sink">#REF!</definedName>
    <definedName name="CUSTOM1_Studio_kitchen_sink_mixer">#REF!</definedName>
    <definedName name="CUSTOM1_studio_kitchen_units">#REF!</definedName>
    <definedName name="CUSTOM1_Studio_mirror">#REF!</definedName>
    <definedName name="CUSTOM1_Studio_NIA">#REF!</definedName>
    <definedName name="CUSTOM1_Studio_vanitys">#REF!</definedName>
    <definedName name="CUSTOM1_Studio_wardrobe">#REF!</definedName>
    <definedName name="CUSTOM1_Studio_Wash_basin">#REF!</definedName>
    <definedName name="CUSTOM1_Studio_Wash_basin_mixer">#REF!</definedName>
    <definedName name="CUSTOM1_Studio_Washing_machine">#REF!</definedName>
    <definedName name="CUSTOM1_Studio_WC">#REF!</definedName>
    <definedName name="CUSTOM1_T.C._A_01AF">#REF!</definedName>
    <definedName name="CUSTOM1_T.C._A_01F___U01">#REF!</definedName>
    <definedName name="CUSTOM1_T.C._A_01F___U02">#REF!</definedName>
    <definedName name="CUSTOM1_T.C._A_01F___U03">#REF!</definedName>
    <definedName name="CUSTOM1_T.C._A_01F___U04">#REF!</definedName>
    <definedName name="CUSTOM1_T.C._A_01F___U05">#REF!</definedName>
    <definedName name="CUSTOM1_T.C._A_01F___U06">#REF!</definedName>
    <definedName name="CUSTOM1_T.C._A_02F___04F___U01">#REF!</definedName>
    <definedName name="CUSTOM1_T.C._A_02F___04F___U02">#REF!</definedName>
    <definedName name="CUSTOM1_T.C._A_02F___04F___U03">#REF!</definedName>
    <definedName name="CUSTOM1_T.C._A_02F___04F___U04">#REF!</definedName>
    <definedName name="CUSTOM1_T.C._A_02F___04F___U06">#REF!</definedName>
    <definedName name="CUSTOM1_T.C._A_03F___U01">#REF!</definedName>
    <definedName name="CUSTOM1_T.C._A_03F___U02">#REF!</definedName>
    <definedName name="CUSTOM1_T.C._A_03F___U03">#REF!</definedName>
    <definedName name="CUSTOM1_T.C._A_03F___U04">#REF!</definedName>
    <definedName name="CUSTOM1_T.C._A_03F___U05">#REF!</definedName>
    <definedName name="CUSTOM1_T.C._A_03F___U06">#REF!</definedName>
    <definedName name="CUSTOM1_T.C._A_05F___U01">#REF!</definedName>
    <definedName name="CUSTOM1_T.C._A_05F___U02">#REF!</definedName>
    <definedName name="CUSTOM1_T.C._A_05F___U03">#REF!</definedName>
    <definedName name="CUSTOM1_T.C._A_05F___U04">#REF!</definedName>
    <definedName name="CUSTOM1_T.C._A_05F___U05">#REF!</definedName>
    <definedName name="CUSTOM1_T.C._A_05F___U06">#REF!</definedName>
    <definedName name="CUSTOM1_T.C._A_06F___U01">#REF!</definedName>
    <definedName name="CUSTOM1_T.C._A_06F___U02">#REF!</definedName>
    <definedName name="CUSTOM1_T.C._A_06F___U03">#REF!</definedName>
    <definedName name="CUSTOM1_T.C._A_06F___U04">#REF!</definedName>
    <definedName name="CUSTOM1_T.C._A_06F___U06">#REF!</definedName>
    <definedName name="CUSTOM1_T.C._A_07F___U01">#REF!</definedName>
    <definedName name="CUSTOM1_T.C._A_07F___U02">#REF!</definedName>
    <definedName name="CUSTOM1_T.C._A_07F___U03">#REF!</definedName>
    <definedName name="CUSTOM1_T.C._A_07F___U04">#REF!</definedName>
    <definedName name="CUSTOM1_T.C._A_07F___U05">#REF!</definedName>
    <definedName name="CUSTOM1_T.C._A_07F___U06">#REF!</definedName>
    <definedName name="CUSTOM1_T.C._A_08f___10F___U01">#REF!</definedName>
    <definedName name="CUSTOM1_T.C._A_08f___10F___U02">#REF!</definedName>
    <definedName name="CUSTOM1_T.C._A_08f___10F___U03">#REF!</definedName>
    <definedName name="CUSTOM1_T.C._A_08f___10F___U04">#REF!</definedName>
    <definedName name="CUSTOM1_T.C._A_08f___10F___U06">#REF!</definedName>
    <definedName name="CUSTOM1_T.C._A_09F___U01">#REF!</definedName>
    <definedName name="CUSTOM1_T.C._A_09F___U02">#REF!</definedName>
    <definedName name="CUSTOM1_T.C._A_09F___U03">#REF!</definedName>
    <definedName name="CUSTOM1_T.C._A_09F___U04">#REF!</definedName>
    <definedName name="CUSTOM1_T.C._A_09F___U05">#REF!</definedName>
    <definedName name="CUSTOM1_T.C._A_09F___U06">#REF!</definedName>
    <definedName name="CUSTOM1_T.C._A_11F___U01">#REF!</definedName>
    <definedName name="CUSTOM1_T.C._A_11F___U02">#REF!</definedName>
    <definedName name="CUSTOM1_T.C._A_11F___U03">#REF!</definedName>
    <definedName name="CUSTOM1_T.C._A_11F___U04">#REF!</definedName>
    <definedName name="CUSTOM1_T.C._A_11F___U05">#REF!</definedName>
    <definedName name="CUSTOM1_T.C._A_11F___U06">#REF!</definedName>
    <definedName name="CUSTOM1_T.C._A_12F___U01">#REF!</definedName>
    <definedName name="CUSTOM1_T.C._A_12F___U02">#REF!</definedName>
    <definedName name="CUSTOM1_T.C._A_12F___U03">#REF!</definedName>
    <definedName name="CUSTOM1_T.C._A_12F___U04">#REF!</definedName>
    <definedName name="CUSTOM1_T.C._A_12F___U06">#REF!</definedName>
    <definedName name="CUSTOM1_T.C._A_31F___U01">#REF!</definedName>
    <definedName name="CUSTOM1_T.C._A_31F___U02">#REF!</definedName>
    <definedName name="CUSTOM1_T.C._A_31F___U03">#REF!</definedName>
    <definedName name="CUSTOM1_T.C._A_31F___U04">#REF!</definedName>
    <definedName name="CUSTOM1_T.C._B_GF___main_entrance">#REF!</definedName>
    <definedName name="CUSTOM1_T.C._B_GF___near_escape_corridor">#REF!</definedName>
    <definedName name="CUSTOM1_T.C._B_GF___near_ramp">#REF!</definedName>
    <definedName name="CUSTOM1_T.C._B_GF___near_tech._area">#REF!</definedName>
    <definedName name="CUSTOM1_T.C._B_GF___stair_3">#REF!</definedName>
    <definedName name="CUSTOM1_T.U._A_01AF">#REF!</definedName>
    <definedName name="CUSTOM1_T.U._A_01AF___swimming_pool">#REF!</definedName>
    <definedName name="CUSTOM1_T.U._A_07F___U03">#REF!</definedName>
    <definedName name="CUSTOM1_T.U._A_07F___U04">#REF!</definedName>
    <definedName name="CUSTOM1_T.U._A_31F___U02">#REF!</definedName>
    <definedName name="CUSTOM1_T.U._A_31F___U05">#REF!</definedName>
    <definedName name="CUSTOM1_T.U._A_32F___U01">#REF!</definedName>
    <definedName name="CUSTOM1_T.U._A_32F___U02">#REF!</definedName>
    <definedName name="CUSTOM1_T.U._A_32F___U03">#REF!</definedName>
    <definedName name="CUSTOM1_T.U._A_32F___U04">#REF!</definedName>
    <definedName name="CUSTOM1_T.U._A_33F__">#REF!</definedName>
    <definedName name="CUSTOM1_T.U._A_35uRF__">#REF!</definedName>
    <definedName name="CUSTOM1_T.U._B_GF___external_double_volume">#REF!</definedName>
    <definedName name="CUSTOM1_T.U._B_GF___external_driveway">#REF!</definedName>
    <definedName name="CUSTOM1_T.U._B_GF___external_ramp">#REF!</definedName>
    <definedName name="CUSTOM1_T.U._B_GF___external_sidewalk">#REF!</definedName>
    <definedName name="CUSTOM1_T.U._B_GF___external_stair">#REF!</definedName>
    <definedName name="CUSTOM1_T.U._B_GF___external_stair___ramp">#REF!</definedName>
    <definedName name="CUSTOM1_T.U._B_P2F__waterfall">#REF!</definedName>
    <definedName name="CUSTOM1_Test_Length">#REF!</definedName>
    <definedName name="CUSTOM1_TH__L02__Column_500_x_1000">#REF!</definedName>
    <definedName name="CUSTOM1_TH__L02__Column_500_x_1100">#REF!</definedName>
    <definedName name="CUSTOM1_TH__L02__Column_500_x_1200">#REF!</definedName>
    <definedName name="CUSTOM1_TH__L02__TW1_250">#REF!</definedName>
    <definedName name="CUSTOM1_TH__L03__Column_500_x_1000">#REF!</definedName>
    <definedName name="CUSTOM1_TH__L03__Column_500_x_1100">#REF!</definedName>
    <definedName name="CUSTOM1_TH__L03__Column_500_x_1200">#REF!</definedName>
    <definedName name="CUSTOM1_TH__L03__TW1_250">#REF!</definedName>
    <definedName name="CUSTOM1_TH_L02_Beams">#REF!</definedName>
    <definedName name="CUSTOM1_TH_L02_Slab_200">#REF!</definedName>
    <definedName name="CUSTOM1_TH_L02_Slab_250">#REF!</definedName>
    <definedName name="CUSTOM1_TH_L02_Slab_300">#REF!</definedName>
    <definedName name="CUSTOM1_TH_L03_Beams">#REF!</definedName>
    <definedName name="CUSTOM1_TH_L03_Slab_250">#REF!</definedName>
    <definedName name="CUSTOM1_TH2_V2__Shared_Unit_1_2____1000g_Polystyrene_Sheet_to_Footing">#REF!</definedName>
    <definedName name="CUSTOM1_TH2_V2__Shared_Unit_1_2____200mm_thk_Suitable_Well_Graded_Compacted_Materiall_90__to_footing">#REF!</definedName>
    <definedName name="CUSTOM1_TH2_V2__Shared_Unit_1_2____50mm_thk_PCC_to_Footing">#REF!</definedName>
    <definedName name="CUSTOM1_TH2_V2__Shared_Unit_1_2____Excavation_to_Footing">#REF!</definedName>
    <definedName name="CUSTOM1_TH2_V2__Shared_Unit_1_2____Soil_Compaction_to_Footing">#REF!</definedName>
    <definedName name="CUSTOM1_TH2_V2__Shared_Unit_1_2___Concrete_to_Beams__FF">#REF!</definedName>
    <definedName name="CUSTOM1_TH2_V2__Shared_Unit_1_2___Concrete_to_Beams_GF">#REF!</definedName>
    <definedName name="CUSTOM1_TH2_V2__Shared_Unit_1_2___Concrete_to_Colum_FF">#REF!</definedName>
    <definedName name="CUSTOM1_TH2_V2__Shared_Unit_1_2___Concrete_to_Column_below_grade">#REF!</definedName>
    <definedName name="CUSTOM1_TH2_V2__Shared_Unit_1_2___Concrete_to_Column_GF">#REF!</definedName>
    <definedName name="CUSTOM1_TH2_V2__Shared_Unit_1_2___Concrete_to_Column_RF">#REF!</definedName>
    <definedName name="CUSTOM1_TH2_V2__Shared_Unit_1_2___Concrete_to_Footing">#REF!</definedName>
    <definedName name="CUSTOM1_TH2_V2__Shared_Unit_1_2___Concrete_to_Grade_Beam">#REF!</definedName>
    <definedName name="CUSTOM1_TH2_V2__Shared_Unit_1_2___Concrete_to_ST_Beams">#REF!</definedName>
    <definedName name="CUSTOM1_TH2_V2__Shared_Unit_1_2___Excavation_to_ST_Beam">#REF!</definedName>
    <definedName name="CUSTOM1_TH2_V2__Shared_Unit_1_2___Formworks_to_Sides_of_Beams_FF">#REF!</definedName>
    <definedName name="CUSTOM1_TH2_V2__Shared_Unit_1_2___Formworks_to_Sides_of_Beams_GF">#REF!</definedName>
    <definedName name="CUSTOM1_TH2_V2__Shared_Unit_1_2___Formworks_to_Sides_of_Colum___Copy">#REF!</definedName>
    <definedName name="CUSTOM1_TH2_V2__Shared_Unit_1_2___Formworks_to_Sides_of_Column_GF">#REF!</definedName>
    <definedName name="CUSTOM1_TH2_V2__Shared_Unit_1_2___Formworks_to_Sides_of_Column_RF">#REF!</definedName>
    <definedName name="CUSTOM1_TH2_V2__Shared_Unit_1_2___Formworks_to_Sides_of_Columns">#REF!</definedName>
    <definedName name="CUSTOM1_TH2_V2__Shared_Unit_1_2___Formworks_to_Sides_of_Grade_Beams">#REF!</definedName>
    <definedName name="CUSTOM1_TH2_V2__Shared_Unit_1_2___Formworks_to_Soffit_of_Beams_FF">#REF!</definedName>
    <definedName name="CUSTOM1_TH2_V2__Shared_Unit_1_2___Formworks_to_Soffit_of_Beams_GF">#REF!</definedName>
    <definedName name="CUSTOM1_TH2_V2__Shared_Unit_1_2___Formworks_to_Soffit_of_Grade_Beams">#REF!</definedName>
    <definedName name="CUSTOM1_TH2_V2__Shared_Unit_1_2___Reinforcement_to_Column">#REF!</definedName>
    <definedName name="CUSTOM1_TH2_V2__Shared_Unit_1_2___Reinforcement_to_Footing">#REF!</definedName>
    <definedName name="CUSTOM1_TH2_V2__Unit_1____1000g_polystyrene_Sheet_to_footing">#REF!</definedName>
    <definedName name="CUSTOM1_TH2_V2__Unit_1____200_thk._Suitable_Well_Graded_Compacted_Materials_to_Footing">#REF!</definedName>
    <definedName name="CUSTOM1_TH2_V2__Unit_1____50_mm_thk_PCC_to_footing">#REF!</definedName>
    <definedName name="CUSTOM1_TH2_V2__Unit_1____Excavation_to_Footing">#REF!</definedName>
    <definedName name="CUSTOM1_TH2_V2__Unit_1____Soil_Compaction_to_Footing">#REF!</definedName>
    <definedName name="CUSTOM1_TH2_V2__Unit_1___Compacted_Soil_95__ready_to_receive_pavers">#REF!</definedName>
    <definedName name="CUSTOM1_TH2_V2__Unit_1___Concrete_to_Beams_FF">#REF!</definedName>
    <definedName name="CUSTOM1_TH2_V2__Unit_1___Concrete_to_Beams_GF">#REF!</definedName>
    <definedName name="CUSTOM1_TH2_V2__Unit_1___Concrete_to_Column_below_grade">#REF!</definedName>
    <definedName name="CUSTOM1_TH2_V2__Unit_1___Concrete_to_Column_FF">#REF!</definedName>
    <definedName name="CUSTOM1_TH2_V2__Unit_1___Concrete_to_Column_GF">#REF!</definedName>
    <definedName name="CUSTOM1_TH2_V2__Unit_1___Concrete_to_Column_RF">#REF!</definedName>
    <definedName name="CUSTOM1_TH2_V2__Unit_1___Concrete_to_entry_slabs">#REF!</definedName>
    <definedName name="CUSTOM1_TH2_V2__Unit_1___Concrete_to_Footing">#REF!</definedName>
    <definedName name="CUSTOM1_TH2_V2__Unit_1___Concrete_to_Grade_Beams">#REF!</definedName>
    <definedName name="CUSTOM1_TH2_V2__Unit_1___Concrete_to_Grade_Slab">#REF!</definedName>
    <definedName name="CUSTOM1_TH2_V2__Unit_1___Concrete_to_Roof">#REF!</definedName>
    <definedName name="CUSTOM1_TH2_V2__Unit_1___Concrete_to_Roof_Slab_GF">#REF!</definedName>
    <definedName name="CUSTOM1_TH2_V2__Unit_1___Concrete_to_ST_Beams">#REF!</definedName>
    <definedName name="CUSTOM1_TH2_V2__Unit_1___Concrete_to_steps">#REF!</definedName>
    <definedName name="CUSTOM1_TH2_V2__Unit_1___Concrete_to_Suspended_Slab_GF">#REF!</definedName>
    <definedName name="CUSTOM1_TH2_V2__Unit_1___Concrete_to_Suspended_Slabs_FF">#REF!</definedName>
    <definedName name="CUSTOM1_TH2_V2__Unit_1___Concrete_to_terrace_slabs">#REF!</definedName>
    <definedName name="CUSTOM1_TH2_V2__Unit_1___Excavation_to_Footing">#REF!</definedName>
    <definedName name="CUSTOM1_TH2_V2__Unit_1___Excavation_to_ST_Beams">#REF!</definedName>
    <definedName name="CUSTOM1_TH2_V2__Unit_1___Formworks_to_Roof">#REF!</definedName>
    <definedName name="CUSTOM1_TH2_V2__Unit_1___Formworks_to_Roof_Slab_GF">#REF!</definedName>
    <definedName name="CUSTOM1_TH2_V2__Unit_1___Formworks_to_Sides_Beams_FF">#REF!</definedName>
    <definedName name="CUSTOM1_TH2_V2__Unit_1___Formworks_to_Sides_of_Beams_GF">#REF!</definedName>
    <definedName name="CUSTOM1_TH2_V2__Unit_1___Formworks_to_Sides_of_Column">#REF!</definedName>
    <definedName name="CUSTOM1_TH2_V2__Unit_1___Formworks_to_Sides_of_Column_FF___Copy">#REF!</definedName>
    <definedName name="CUSTOM1_TH2_V2__Unit_1___Formworks_to_Sides_of_Column_RF">#REF!</definedName>
    <definedName name="CUSTOM1_TH2_V2__Unit_1___Formworks_to_Sides_of_Columns_GF">#REF!</definedName>
    <definedName name="CUSTOM1_TH2_V2__Unit_1___Formworks_to_Sides_of_Grade_Beams">#REF!</definedName>
    <definedName name="CUSTOM1_TH2_V2__Unit_1___Formworks_to_Soffit_of_Beams_FF">#REF!</definedName>
    <definedName name="CUSTOM1_TH2_V2__Unit_1___Formworks_to_Soffit_of_Beams_GF">#REF!</definedName>
    <definedName name="CUSTOM1_TH2_V2__Unit_1___Formworks_to_Soffit_of_Grade_Beams">#REF!</definedName>
    <definedName name="CUSTOM1_TH2_V2__Unit_1___Formworks_to_Suspended_Slab__FF">#REF!</definedName>
    <definedName name="CUSTOM1_TH2_V2__Unit_1___Formworks_to_Suspended_Slab_GF">#REF!</definedName>
    <definedName name="CUSTOM1_TH2_V2__Unit_1___Reinforcement_to_Column_below_grade">#REF!</definedName>
    <definedName name="CUSTOM1_TH2_V2__Unit_1___Reinforcement_to_Footing">#REF!</definedName>
    <definedName name="CUSTOM1_TH2_V2__Unit_1___Reinforcement_to_ST_Beams">#REF!</definedName>
    <definedName name="CUSTOM1_TH2_V2__Unit_2____1000g_Polystyrene_to_Footing">#REF!</definedName>
    <definedName name="CUSTOM1_TH2_V2__Unit_2____200_mm_thk_Suitable_Well_Graded_Compacted_Materials_to_Footing">#REF!</definedName>
    <definedName name="CUSTOM1_TH2_V2__Unit_2____50_mm_thk_PCC_to_Footing">#REF!</definedName>
    <definedName name="CUSTOM1_TH2_V2__Unit_2____Excavation_to_Footing">#REF!</definedName>
    <definedName name="CUSTOM1_TH2_V2__Unit_2____Soil_Compaction_to_Footing">#REF!</definedName>
    <definedName name="CUSTOM1_TH2_V2__Unit_2___Compacted_Soil_95__ready_t_o_receive_pavers">#REF!</definedName>
    <definedName name="CUSTOM1_TH2_V2__Unit_2___Concrete_to_Beams_FF">#REF!</definedName>
    <definedName name="CUSTOM1_TH2_V2__Unit_2___Concrete_to_Beams_GF">#REF!</definedName>
    <definedName name="CUSTOM1_TH2_V2__Unit_2___Concrete_to_Column_below_grade">#REF!</definedName>
    <definedName name="CUSTOM1_TH2_V2__Unit_2___Concrete_to_Column_FF">#REF!</definedName>
    <definedName name="CUSTOM1_TH2_V2__Unit_2___Concrete_to_Column_RF">#REF!</definedName>
    <definedName name="CUSTOM1_TH2_V2__Unit_2___Concrete_to_Columns_GF">#REF!</definedName>
    <definedName name="CUSTOM1_TH2_V2__Unit_2___Concrete_to_entry_slabs">#REF!</definedName>
    <definedName name="CUSTOM1_TH2_V2__Unit_2___Concrete_to_Footing">#REF!</definedName>
    <definedName name="CUSTOM1_TH2_V2__UNit_2___Concrete_to_Grade_Beam">#REF!</definedName>
    <definedName name="CUSTOM1_TH2_V2__Unit_2___Concrete_to_Grade_Slab">#REF!</definedName>
    <definedName name="CUSTOM1_TH2_V2__Unit_2___Concrete_to_Roof">#REF!</definedName>
    <definedName name="CUSTOM1_TH2_V2__Unit_2___Concrete_to_Roof_Slab_GF">#REF!</definedName>
    <definedName name="CUSTOM1_TH2_V2__Unit_2___Concrete_to_ST_Beams">#REF!</definedName>
    <definedName name="CUSTOM1_TH2_V2__Unit_2___Concrete_to_steps">#REF!</definedName>
    <definedName name="CUSTOM1_TH2_V2__Unit_2___Concrete_to_Suspended_Slab__FF">#REF!</definedName>
    <definedName name="CUSTOM1_TH2_V2__Unit_2___Concrete_to_Suspended_Slab_GF">#REF!</definedName>
    <definedName name="CUSTOM1_TH2_V2__Unit_2___Concrete_to_terrace_slabs">#REF!</definedName>
    <definedName name="CUSTOM1_TH2_V2__Unit_2___Excavation_to_Footing">#REF!</definedName>
    <definedName name="CUSTOM1_TH2_V2__Unit_2___Excavation_to_ST_Beams">#REF!</definedName>
    <definedName name="CUSTOM1_TH2_V2__Unit_2___Formworks_to_Roof">#REF!</definedName>
    <definedName name="CUSTOM1_TH2_V2__Unit_2___Formworks_to_Roof_Slab_GF">#REF!</definedName>
    <definedName name="CUSTOM1_TH2_V2__Unit_2___Formworks_to_Sides_of_Beams_FF">#REF!</definedName>
    <definedName name="CUSTOM1_TH2_V2__Unit_2___Formworks_to_Sides_of_Beams_GF">#REF!</definedName>
    <definedName name="CUSTOM1_TH2_V2__Unit_2___Formworks_to_Sides_of_Column">#REF!</definedName>
    <definedName name="CUSTOM1_TH2_V2__Unit_2___Formworks_to_Sides_of_Column_FF___Copy">#REF!</definedName>
    <definedName name="CUSTOM1_TH2_V2__Unit_2___Formworks_to_Sides_of_Column_RF">#REF!</definedName>
    <definedName name="CUSTOM1_TH2_V2__Unit_2___Formworks_to_Sides_of_Columns_GF">#REF!</definedName>
    <definedName name="CUSTOM1_TH2_V2__UNit_2___Formworks_to_Sides_of_Grade_Beam">#REF!</definedName>
    <definedName name="CUSTOM1_TH2_V2__Unit_2___Formworks_to_Soffit_of_Beam_FF">#REF!</definedName>
    <definedName name="CUSTOM1_TH2_V2__Unit_2___Formworks_to_Soffit_of_Beams_GF">#REF!</definedName>
    <definedName name="CUSTOM1_TH2_V2__UNit_2___Formworks_to_Soffit_of_Grade_Beam">#REF!</definedName>
    <definedName name="CUSTOM1_TH2_V2__Unit_2___Formworks_to_Suspended_Slab_FF">#REF!</definedName>
    <definedName name="CUSTOM1_TH2_V2__Unit_2___Formworks_to_Suspended_Slab_GF">#REF!</definedName>
    <definedName name="CUSTOM1_TH2_V2__Unit_2___Reinforcement_to_Column_below_grade">#REF!</definedName>
    <definedName name="CUSTOM1_TH2_V2__Unit_2___Reinforcement_to_Footing">#REF!</definedName>
    <definedName name="CUSTOM1_TH2_V2__Unit_2__Reinforcement_to_ST_Beams">#REF!</definedName>
    <definedName name="CUSTOM1_TH2_V2__units_1___Blockworks_100mm_thick">#REF!</definedName>
    <definedName name="CUSTOM1_TH2_V2__units_1___Blockworks_BW_1">#REF!</definedName>
    <definedName name="CUSTOM1_TH2_V2__units_1___Blockworks_BW_2">#REF!</definedName>
    <definedName name="CUSTOM1_TH2_V2__units_1___Blockworks_BW_3">#REF!</definedName>
    <definedName name="CUSTOM1_TH2_V2__units_1___Blockworks_BW_3_External">#REF!</definedName>
    <definedName name="CUSTOM1_TH2_V2__units_1___Blockworks_BW_4">#REF!</definedName>
    <definedName name="CUSTOM1_TH2_V2__units_1___Ceiling_Finishes__390mm_high_BH">#REF!</definedName>
    <definedName name="CUSTOM1_TH2_V2__units_1___Ceiling_Finishes__450mm_high_BH">#REF!</definedName>
    <definedName name="CUSTOM1_TH2_V2__units_1___Ceiling_Finishes__460mm_high_BH">#REF!</definedName>
    <definedName name="CUSTOM1_TH2_V2__units_1___Ceiling_Finishes__490mm_high_BH">#REF!</definedName>
    <definedName name="CUSTOM1_TH2_V2__units_1___Ceiling_Finishes__560mm_high_BH">#REF!</definedName>
    <definedName name="CUSTOM1_TH2_V2__units_1___Ceiling_Finishes_Plaster_w__Paint__Moisture_">#REF!</definedName>
    <definedName name="CUSTOM1_TH2_V2__units_1___Ceiling_Finishes_Plaster_w__Paint_PF01">#REF!</definedName>
    <definedName name="CUSTOM1_TH2_V2__units_1___Ceiling_Finishes_Plasterboard_w__Paint_PF01">#REF!</definedName>
    <definedName name="CUSTOM1_TH2_V2__units_1___Ceiling_Finishes_Plasterboard_w__Paint_PF02">#REF!</definedName>
    <definedName name="CUSTOM1_TH2_V2__units_1___Floor_Finishes_Ceramic_Tiles">#REF!</definedName>
    <definedName name="CUSTOM1_TH2_V2__units_1___Floor_Finishes_FF01">#REF!</definedName>
    <definedName name="CUSTOM1_TH2_V2__units_1___Floor_Finishes_FF03">#REF!</definedName>
    <definedName name="CUSTOM1_TH2_V2__units_1___Floor_Finishes_Interlock">#REF!</definedName>
    <definedName name="CUSTOM1_TH2_V2__units_1___Floor_Finishes_Pavers">#REF!</definedName>
    <definedName name="CUSTOM1_TH2_V2__units_1___Floor_Finishes_Pavers_Kerbs">#REF!</definedName>
    <definedName name="CUSTOM1_TH2_V2__units_1___Floor_Finishes_Screed_only">#REF!</definedName>
    <definedName name="CUSTOM1_TH2_V2__units_1___Handrail__1100mm_high">#REF!</definedName>
    <definedName name="CUSTOM1_TH2_V2__units_1___Roof_Finishes_Precast_Concrete">#REF!</definedName>
    <definedName name="CUSTOM1_TH2_V2__units_1___Roof_Finishes_Waterproofing_w__Paint">#REF!</definedName>
    <definedName name="CUSTOM1_TH2_V2__units_1___Skirting_External">#REF!</definedName>
    <definedName name="CUSTOM1_TH2_V2__units_1___Skirting_FF01">#REF!</definedName>
    <definedName name="CUSTOM1_TH2_V2__units_1___Staircase_Finishes_FF05">#REF!</definedName>
    <definedName name="CUSTOM1_TH2_V2__units_1___Type_AL_01__1000_x_2100mm_high">#REF!</definedName>
    <definedName name="CUSTOM1_TH2_V2__units_1___Type_AL_02__600_x_1350mm_high">#REF!</definedName>
    <definedName name="CUSTOM1_TH2_V2__units_1___Type_AL_03__350_x_1350mm_high">#REF!</definedName>
    <definedName name="CUSTOM1_TH2_V2__units_1___Type_AL_04__800_x_1350mm_high">#REF!</definedName>
    <definedName name="CUSTOM1_TH2_V2__units_1___Type_D_01__1100_x_2400mm_high">#REF!</definedName>
    <definedName name="CUSTOM1_TH2_V2__units_1___Type_D_02__900_x_2200mm_high">#REF!</definedName>
    <definedName name="CUSTOM1_TH2_V2__units_1___Type_D_03__850_x_2200mm_high">#REF!</definedName>
    <definedName name="CUSTOM1_TH2_V2__units_1___Type_D_03__850_x_2200mm_high_Internal">#REF!</definedName>
    <definedName name="CUSTOM1_TH2_V2__units_1___Type_D_04__900_x_2200mm_high">#REF!</definedName>
    <definedName name="CUSTOM1_TH2_V2__units_1___Type_GL_01__750_x_1250mm_high">#REF!</definedName>
    <definedName name="CUSTOM1_TH2_V2__units_1___Type_GL_02__600_x_1250mm_high">#REF!</definedName>
    <definedName name="CUSTOM1_TH2_V2__units_1___Type_GL_03__2225_x_3750mm_high__corner">#REF!</definedName>
    <definedName name="CUSTOM1_TH2_V2__units_1___Type_GL_04__2200_x_2700mm_high">#REF!</definedName>
    <definedName name="CUSTOM1_TH2_V2__units_1___Type_GL_05__2700_x_2550mm_high__corner">#REF!</definedName>
    <definedName name="CUSTOM1_TH2_V2__units_1___Type_GL_06__1400_x_1250mm_high">#REF!</definedName>
    <definedName name="CUSTOM1_TH2_V2__units_1___Type_GL_16__2400_x_2400mm_high__corner">#REF!</definedName>
    <definedName name="CUSTOM1_TH2_V2__units_1___Type_GL_17__750_x_2550mm_high">#REF!</definedName>
    <definedName name="CUSTOM1_TH2_V2__units_1___Type_GL_18__750_x_2100mm_high">#REF!</definedName>
    <definedName name="CUSTOM1_TH2_V2__units_1___Type_GL_19__700_x_1250mm_high">#REF!</definedName>
    <definedName name="CUSTOM1_TH2_V2__units_1___Type_GL_20__2850_x_2400mm_high">#REF!</definedName>
    <definedName name="CUSTOM1_TH2_V2__units_1___Type_GL_21__1400_x_2400mm_high">#REF!</definedName>
    <definedName name="CUSTOM1_TH2_V2__units_1___Type_GL_22__900_x_2200mm_high">#REF!</definedName>
    <definedName name="CUSTOM1_TH2_V2__units_1___Type_GL_23__1900_x_2700mm_high">#REF!</definedName>
    <definedName name="CUSTOM1_TH2_V2__units_1___Wall_Finishes_PF03">#REF!</definedName>
    <definedName name="CUSTOM1_TH2_V2__units_1___Wall_Finishes_PF04">#REF!</definedName>
    <definedName name="CUSTOM1_TH2_V2__units_1___Wall_Finishes_Plaster_w__paint">#REF!</definedName>
    <definedName name="CUSTOM1_TH2_V2__units_1___Wall_Finishes_Plaster_w__paint__dark_">#REF!</definedName>
    <definedName name="CUSTOM1_TH2_V2__units_1___Wall_Finishes_SS">#REF!</definedName>
    <definedName name="CUSTOM1_TH2_V2__units_1___Wall_Finishes_WF01">#REF!</definedName>
    <definedName name="CUSTOM1_TH2_V2__units_1___Wall_Finishes_WF02">#REF!</definedName>
    <definedName name="CUSTOM1_TH2_V2__units_1___Wall_Finishes_WF03">#REF!</definedName>
    <definedName name="CUSTOM1_TH2_V2__units_1___Wall_Finishes_WF04">#REF!</definedName>
    <definedName name="CUSTOM1_TH2_V2__units_1___Wall_Finishes_WF05">#REF!</definedName>
    <definedName name="CUSTOM1_TH2_V2__units_1___Wall_Finishes_WF06">#REF!</definedName>
    <definedName name="CUSTOM1_TH2_V2__units_1___Wall_Finishes_WF07">#REF!</definedName>
    <definedName name="CUSTOM1_TH2_V2__units_1___Wall_Finishes_WF08">#REF!</definedName>
    <definedName name="CUSTOM1_TH2_V2__units_1___Wall_Insulation">#REF!</definedName>
    <definedName name="CUSTOM1_TH2_V2__units_1___Waterproofing_to_walls">#REF!</definedName>
    <definedName name="CUSTOM1_TH2_V2__units_1___Waterproofing_to_wet_areas">#REF!</definedName>
    <definedName name="CUSTOM1_Trees___Around_Perimeter">#REF!</definedName>
    <definedName name="CUSTOM1_Trees___Inside_Plot">#REF!</definedName>
    <definedName name="CUSTOM1_TYPICAL__ADDL_SLAB">#REF!</definedName>
    <definedName name="CUSTOM1_TYPICAL__HEB_100">#REF!</definedName>
    <definedName name="CUSTOM1_TYPICAL__HEB_160">#REF!</definedName>
    <definedName name="CUSTOM1_TYPICAL__L_150x150x15">#REF!</definedName>
    <definedName name="CUSTOM1_TYPICAL__MEP_FLOOR">#REF!</definedName>
    <definedName name="CUSTOM1_Unallocated_Rooms">#REF!</definedName>
    <definedName name="CUSTOM1_uPVC_Sewage_Pipe_1F">#REF!</definedName>
    <definedName name="CUSTOM1_uPVC_Sewage_Pipe_GF">#REF!</definedName>
    <definedName name="CUSTOM1_uPVC_Waste_Pipe_1F">#REF!</definedName>
    <definedName name="CUSTOM1_uPVC_Waste_Pipe_1F_collection">#REF!</definedName>
    <definedName name="CUSTOM1_uPVC_Waste_Pipe_GF">#REF!</definedName>
    <definedName name="CUSTOM1_uPVC_Waste_Pipe_GF_Collection">#REF!</definedName>
    <definedName name="CUSTOM1_Water_Feature">#REF!</definedName>
    <definedName name="CUSTOM1_Water_Hammer_Arrestor">#REF!</definedName>
    <definedName name="CUSTOM1_Water_jets">#REF!</definedName>
    <definedName name="CUSTOM2__C1A__Standard_Guestroom">#REF!</definedName>
    <definedName name="CUSTOM2__C1C__Junior_Suites">#REF!</definedName>
    <definedName name="CUSTOM2__C1D__One_Bedroom_Suites">#REF!</definedName>
    <definedName name="CUSTOM2__C1E__Two_bedroom_Suites">#REF!</definedName>
    <definedName name="CUSTOM2__C1F1__Public_Circulation_Areas">#REF!</definedName>
    <definedName name="CUSTOM2__C1G4__Shafts">#REF!</definedName>
    <definedName name="CUSTOM2__C1G6__Fire_Escape_Stairs">#REF!</definedName>
    <definedName name="CUSTOM2__C1H1__Standard_Guestrooms">#REF!</definedName>
    <definedName name="CUSTOM2__C1H3__Junior_Suites">#REF!</definedName>
    <definedName name="CUSTOM2__C1H4__One_Bedroom_Suites">#REF!</definedName>
    <definedName name="CUSTOM2__C1H5__Two_Bedroom_Suites">#REF!</definedName>
    <definedName name="CUSTOM2__C1H6__One_Bedroom_Suites_Type_2">#REF!</definedName>
    <definedName name="CUSTOM2__C1I__General_Works_Guestrooms">#REF!</definedName>
    <definedName name="CUSTOM2__C1J__One_Bedroom_Suites_Type_2">#REF!</definedName>
    <definedName name="CUSTOM2__C2A2__Arrival_and_Reception_Lobby">#REF!</definedName>
    <definedName name="CUSTOM2__C2A3__Front_Offices___Concierge">#REF!</definedName>
    <definedName name="CUSTOM2__C2A4__Luggage_Scanner">#REF!</definedName>
    <definedName name="CUSTOM2__C2A5__Hotel_Retail">#REF!</definedName>
    <definedName name="CUSTOM2__C2A6__Prayer_Rooms">#REF!</definedName>
    <definedName name="CUSTOM2__C2A7__Kids_Club">#REF!</definedName>
    <definedName name="CUSTOM2__C2A8__Public_Toilets">#REF!</definedName>
    <definedName name="CUSTOM2__C2A9__Changing_Rooms">#REF!</definedName>
    <definedName name="CUSTOM2__C2C1__Hotel_Restaurant">#REF!</definedName>
    <definedName name="CUSTOM2__C2C2__Lobby_Lounge">#REF!</definedName>
    <definedName name="CUSTOM2__C2C3__Lobby_Bar">#REF!</definedName>
    <definedName name="CUSTOM2__C2C4__Lobby_Bar___Covered_Terrace">#REF!</definedName>
    <definedName name="CUSTOM2__C2C5__Speciality_Restaurant__1">#REF!</definedName>
    <definedName name="CUSTOM2__C2C6__Speciality_Restaurant__2">#REF!</definedName>
    <definedName name="CUSTOM2__C2C7__Speciality_Restaurant__2___Covered_Terrace">#REF!</definedName>
    <definedName name="CUSTOM2__C2C8__Pool_Bar___Grill">#REF!</definedName>
    <definedName name="CUSTOM2__C2D2__Gymnasium">#REF!</definedName>
    <definedName name="CUSTOM2__C2G1__Circulation">#REF!</definedName>
    <definedName name="CUSTOM2__C2G2__Outdoor_Lobby">#REF!</definedName>
    <definedName name="CUSTOM2__C3A1__Front_Offices">#REF!</definedName>
    <definedName name="CUSTOM2__C3A2__Administration_Offices">#REF!</definedName>
    <definedName name="CUSTOM2__C3A3__Accounting_Offices">#REF!</definedName>
    <definedName name="CUSTOM2__C3A4__Human_Resources_and_Training">#REF!</definedName>
    <definedName name="CUSTOM2__C3B__IT_Department">#REF!</definedName>
    <definedName name="CUSTOM2__C3C1__Kitchen___Main_Kitchen">#REF!</definedName>
    <definedName name="CUSTOM2__C3C2__Kitchen___Speciality_Restaurant__1">#REF!</definedName>
    <definedName name="CUSTOM2__C3C3__Kitchen___Speciality_Restaurant__2">#REF!</definedName>
    <definedName name="CUSTOM2__C3C5__Pantry___Lobby_Bar">#REF!</definedName>
    <definedName name="CUSTOM2__C3D__Housekeeping_and_Linen">#REF!</definedName>
    <definedName name="CUSTOM2__C3E__Central_Laundry___Dry_Cleaning___Valet_Only">#REF!</definedName>
    <definedName name="CUSTOM2__C3F5__Dining_Room_Seating">#REF!</definedName>
    <definedName name="CUSTOM2__C3F8__Staff_Changing_Rooms">#REF!</definedName>
    <definedName name="CUSTOM2__C3F9__Staff_Prayer_Rooms">#REF!</definedName>
    <definedName name="CUSTOM2__C3G__Maintenance_and_Engineering">#REF!</definedName>
    <definedName name="CUSTOM2__C3H1__Plant_and_Equipment_Rooms">#REF!</definedName>
    <definedName name="CUSTOM2__C3H2__MEP_Shafts">#REF!</definedName>
    <definedName name="CUSTOM2__C3J__Security">#REF!</definedName>
    <definedName name="CUSTOM2__C3K__Purchasing__Goods_Receiving_and_Storage">#REF!</definedName>
    <definedName name="CUSTOM2__C3L__BOH_Circulation_Areas">#REF!</definedName>
    <definedName name="CUSTOM2__C4B__General_Works_Parking">#REF!</definedName>
    <definedName name="CUSTOM2__C5__Unallocated_Rooms">#REF!</definedName>
    <definedName name="CUSTOM2__G1__Conference_Centre">#REF!</definedName>
    <definedName name="CUSTOM2__G1A__Conference_Hall">#REF!</definedName>
    <definedName name="CUSTOM2__G1B__Reception">#REF!</definedName>
    <definedName name="CUSTOM2__G1C__Meeting_Rooms">#REF!</definedName>
    <definedName name="CUSTOM2__G2__Pre_function">#REF!</definedName>
    <definedName name="CUSTOM2__G3__Toilets">#REF!</definedName>
    <definedName name="CUSTOM2__G4__FOH_Circulation">#REF!</definedName>
    <definedName name="CUSTOM2__G5__BOH_Circulation">#REF!</definedName>
    <definedName name="CUSTOM2__G6__Fire_Escape_Stairs">#REF!</definedName>
    <definedName name="CUSTOM2__G7__Plant_and_Equipment_Rooms">#REF!</definedName>
    <definedName name="CUSTOM2__G8__Storage">#REF!</definedName>
    <definedName name="CUSTOM2__G9__Kitchen_and_Service_Area">#REF!</definedName>
    <definedName name="CUSTOM2_1__Internal_Walls">#REF!</definedName>
    <definedName name="CUSTOM2_1__Internal_Walls___D1">#REF!</definedName>
    <definedName name="CUSTOM2_1_bed_Balcony_area" localSheetId="1">#REF!</definedName>
    <definedName name="CUSTOM2_1_bed_Balcony_area">#REF!</definedName>
    <definedName name="CUSTOM2_1_bed_bath_screen">#REF!</definedName>
    <definedName name="CUSTOM2_1_bed_bath_shelf">#REF!</definedName>
    <definedName name="CUSTOM2_1_bed_Bath_tub">#REF!</definedName>
    <definedName name="CUSTOM2_1_bed_Bath_tub_mixer">#REF!</definedName>
    <definedName name="CUSTOM2_1_bed_Bathroom_area">#REF!</definedName>
    <definedName name="CUSTOM2_1_bed_Bedroom_area">#REF!</definedName>
    <definedName name="CUSTOM2_1_bed_Cistern_cover">#REF!</definedName>
    <definedName name="CUSTOM2_1_bed_Cooker_hob">#REF!</definedName>
    <definedName name="CUSTOM2_1_bed_Fridge_freezer">#REF!</definedName>
    <definedName name="CUSTOM2_1_bed_Kitchen_sink">#REF!</definedName>
    <definedName name="CUSTOM2_1_bed_Kitchen_sink_mixer">#REF!</definedName>
    <definedName name="CUSTOM2_1_bed_kitchen_units">#REF!</definedName>
    <definedName name="CUSTOM2_1_bed_living_area">#REF!</definedName>
    <definedName name="CUSTOM2_1_bed_mirror">#REF!</definedName>
    <definedName name="CUSTOM2_1_bed_NIA">#REF!</definedName>
    <definedName name="CUSTOM2_1_bed_Oven">#REF!</definedName>
    <definedName name="CUSTOM2_1_bed_shower_mixer">#REF!</definedName>
    <definedName name="CUSTOM2_1_bed_vanitys">#REF!</definedName>
    <definedName name="CUSTOM2_1_bed_Wardrobes">#REF!</definedName>
    <definedName name="CUSTOM2_1_bed_Wash_basin">#REF!</definedName>
    <definedName name="CUSTOM2_1_bed_Wash_basin_mixer">#REF!</definedName>
    <definedName name="CUSTOM2_1_bed_Washing_machine">#REF!</definedName>
    <definedName name="CUSTOM2_1_bed_WC">#REF!</definedName>
    <definedName name="CUSTOM2_10__Kitchen_Unit">#REF!</definedName>
    <definedName name="CUSTOM2_110_mm_dia._RWP" localSheetId="1">#REF!</definedName>
    <definedName name="CUSTOM2_110_mm_dia._RWP">#REF!</definedName>
    <definedName name="CUSTOM2_110mm_dia_RWP">#REF!</definedName>
    <definedName name="CUSTOM2_110mm_dia._opening_for_rain_water">#REF!</definedName>
    <definedName name="CUSTOM2_110mm_dia._Rainwater_pipe">#REF!</definedName>
    <definedName name="CUSTOM2_15mm_dia_Copper_pipe">#REF!</definedName>
    <definedName name="CUSTOM2_15mm_dia._CWS_Buried_Underground">#REF!</definedName>
    <definedName name="CUSTOM2_1F__25mm_dia._BCWS_Pipe">#REF!</definedName>
    <definedName name="CUSTOM2_1F__25mm_dia._HWS_Pipe">#REF!</definedName>
    <definedName name="CUSTOM2_1F__Isolation_valve">#REF!</definedName>
    <definedName name="CUSTOM2_1F__Water_Hammer_Arrestor">#REF!</definedName>
    <definedName name="CUSTOM2_1F_BOH_Service_and_Utility_area">#REF!</definedName>
    <definedName name="CUSTOM2_1F_BOH_Staircase">#REF!</definedName>
    <definedName name="CUSTOM2_1F_Guest_Core">#REF!</definedName>
    <definedName name="CUSTOM2_1F_Guestrooms">#REF!</definedName>
    <definedName name="CUSTOM2_1F_HGR_BOH">#REF!</definedName>
    <definedName name="CUSTOM2_1F_HGR_Circulation">#REF!</definedName>
    <definedName name="CUSTOM2_1F_HGR_Covered_Balcony">#REF!</definedName>
    <definedName name="CUSTOM2_1F_HGR_Fire_Staircase">#REF!</definedName>
    <definedName name="CUSTOM2_1F_HGR_Open_Terrace">#REF!</definedName>
    <definedName name="CUSTOM2_1F_Lift_Shaft">#REF!</definedName>
    <definedName name="CUSTOM2_1F_Roof_Terrace">#REF!</definedName>
    <definedName name="CUSTOM2_1F_Services_Core">#REF!</definedName>
    <definedName name="CUSTOM2_1F_Void___Dead_space">#REF!</definedName>
    <definedName name="CUSTOM2_1st_Floor">#REF!</definedName>
    <definedName name="CUSTOM2_1st_Floor___BOH___FIre_Escape_Stairs">#REF!</definedName>
    <definedName name="CUSTOM2_1st_Floor___BOH___Guest_Core">#REF!</definedName>
    <definedName name="CUSTOM2_1st_Floor___BOH___Guest_Core_lifts">#REF!</definedName>
    <definedName name="CUSTOM2_1st_Floor___BOH___Service_Core">#REF!</definedName>
    <definedName name="CUSTOM2_1st_Floor___BOH___Service_Core_ducts">#REF!</definedName>
    <definedName name="CUSTOM2_1st_Floor___BOH___Service_Core_lift_shafts">#REF!</definedName>
    <definedName name="CUSTOM2_1st_Floor___FOH___Guest_Circulation">#REF!</definedName>
    <definedName name="CUSTOM2_1st_Floor___FOH___Guestroom_Terrace">#REF!</definedName>
    <definedName name="CUSTOM2_1st_Floor___FOH___Guestrooms">#REF!</definedName>
    <definedName name="CUSTOM2_1st_Floor___Guest_Core_ducts">#REF!</definedName>
    <definedName name="CUSTOM2_2__Internal_Doors">#REF!</definedName>
    <definedName name="CUSTOM2_2__Internal_Doors___D1">#REF!</definedName>
    <definedName name="CUSTOM2_2_bed_2nd_bathroom_area" localSheetId="1">#REF!</definedName>
    <definedName name="CUSTOM2_2_bed_2nd_bathroom_area">#REF!</definedName>
    <definedName name="CUSTOM2_2_bed_2nd_bedroom_area">#REF!</definedName>
    <definedName name="CUSTOM2_2_bed_4_burner_hob">#REF!</definedName>
    <definedName name="CUSTOM2_2_bed_Balcony_area">#REF!</definedName>
    <definedName name="CUSTOM2_2_bed_bath_screen">#REF!</definedName>
    <definedName name="CUSTOM2_2_bed_bath_tub">#REF!</definedName>
    <definedName name="CUSTOM2_2_bed_bath_tub_mixer">#REF!</definedName>
    <definedName name="CUSTOM2_2_bed_bidet">#REF!</definedName>
    <definedName name="CUSTOM2_2_bed_cistern_cover">#REF!</definedName>
    <definedName name="CUSTOM2_2_bed_fridge_freezer">#REF!</definedName>
    <definedName name="CUSTOM2_2_bed_kitchen_sink">#REF!</definedName>
    <definedName name="CUSTOM2_2_bed_kitchen_sink_mixer">#REF!</definedName>
    <definedName name="CUSTOM2_2_bed_Kitchen_units">#REF!</definedName>
    <definedName name="CUSTOM2_2_bed_living_area">#REF!</definedName>
    <definedName name="CUSTOM2_2_bed_Master_bathroom_area">#REF!</definedName>
    <definedName name="CUSTOM2_2_bed_Master_bedroom_area">#REF!</definedName>
    <definedName name="CUSTOM2_2_bed_mirror">#REF!</definedName>
    <definedName name="CUSTOM2_2_bed_NIA">#REF!</definedName>
    <definedName name="CUSTOM2_2_bed_shower_mixer_set">#REF!</definedName>
    <definedName name="CUSTOM2_2_bed_shower_partition_inc_door">#REF!</definedName>
    <definedName name="CUSTOM2_2_bed_vanity_unit">#REF!</definedName>
    <definedName name="CUSTOM2_2_bed_wardrobes">#REF!</definedName>
    <definedName name="CUSTOM2_2_bed_wash_basin">#REF!</definedName>
    <definedName name="CUSTOM2_2_bed_wash_basin_mixer">#REF!</definedName>
    <definedName name="CUSTOM2_2_bed_washing_machine">#REF!</definedName>
    <definedName name="CUSTOM2_2_bed_WC">#REF!</definedName>
    <definedName name="CUSTOM2_2.2.1___Upper_Floors_240mm_thk_slab">#REF!</definedName>
    <definedName name="CUSTOM2_2.2.1___Upper_Floors_300mm_thk_slab">#REF!</definedName>
    <definedName name="CUSTOM2_2.3.1___Stairs__FF05_Steps_280mm">#REF!</definedName>
    <definedName name="CUSTOM2_2.3.2___Stairs__FF05_Risers_170mm">#REF!</definedName>
    <definedName name="CUSTOM2_2.3.3___Stairs__FF05_Skirting_100mm_high">#REF!</definedName>
    <definedName name="CUSTOM2_2.3.4___Stairs__Balustrade___Fixed_to_floor">#REF!</definedName>
    <definedName name="CUSTOM2_2.3.4___Stairs__Balustrade___Handrails_50mm_to_wall">#REF!</definedName>
    <definedName name="CUSTOM2_2.3.4___Stairs__Balustrade___Sloping_Fixed_to_floor">#REF!</definedName>
    <definedName name="CUSTOM2_2.4.1___Roof___Shuttering__Paint_incl_waterproofing_to_roof_canopies">#REF!</definedName>
    <definedName name="CUSTOM2_2.4.1___Roof___Shuttering__Precast_cement_incl_waterproofing">#REF!</definedName>
    <definedName name="CUSTOM2_2.4.1___Roof___Shuttering__Suspended_Reinforced_Concrete_Slab">#REF!</definedName>
    <definedName name="CUSTOM2_2.4.2___Roof___Shuttering__Roof_Access_panel_750mmx900mm">#REF!</definedName>
    <definedName name="CUSTOM2_20mm_dia_Bib_tap">#REF!</definedName>
    <definedName name="CUSTOM2_20mm_dia_HSW_pipe">#REF!</definedName>
    <definedName name="CUSTOM2_25mm_dia_BCWS_pipe">#REF!</definedName>
    <definedName name="CUSTOM2_25mm_dia_HSW_pipe">#REF!</definedName>
    <definedName name="CUSTOM2_2F_BOH_Roof_Terrace">#REF!</definedName>
    <definedName name="CUSTOM2_2F_BOH_Service_and_Utility_area">#REF!</definedName>
    <definedName name="CUSTOM2_2F_BOH_Staircase">#REF!</definedName>
    <definedName name="CUSTOM2_2F_Guest_Core">#REF!</definedName>
    <definedName name="CUSTOM2_2F_Guestrooms">#REF!</definedName>
    <definedName name="CUSTOM2_2F_HGR_BOH">#REF!</definedName>
    <definedName name="CUSTOM2_2F_HGR_Circulation">#REF!</definedName>
    <definedName name="CUSTOM2_2F_HGR_Covered_Balcony">#REF!</definedName>
    <definedName name="CUSTOM2_2F_HGR_Fire_Staircase">#REF!</definedName>
    <definedName name="CUSTOM2_2F_Lift_Shaft">#REF!</definedName>
    <definedName name="CUSTOM2_2F_Services_Core">#REF!</definedName>
    <definedName name="CUSTOM2_2F_Voids___Dead_space">#REF!</definedName>
    <definedName name="CUSTOM2_2nd_Floor">#REF!</definedName>
    <definedName name="CUSTOM2_2nd_Floor___BOH___Event_Center_Core">#REF!</definedName>
    <definedName name="CUSTOM2_2nd_Floor___BOH___Event_Center_Core_lift_shafts">#REF!</definedName>
    <definedName name="CUSTOM2_2nd_Floor___BOH___Event_Center_Service">#REF!</definedName>
    <definedName name="CUSTOM2_2nd_Floor___BOH___Event_Center_Service_lift_shafts">#REF!</definedName>
    <definedName name="CUSTOM2_2nd_Floor___BOH___Fire_Escape_Stairs">#REF!</definedName>
    <definedName name="CUSTOM2_2nd_Floor___BOH___Guest_Core">#REF!</definedName>
    <definedName name="CUSTOM2_2nd_Floor___BOH___Guest_Core_ducts">#REF!</definedName>
    <definedName name="CUSTOM2_2nd_Floor___BOH___Guest_Core_lift_shafts">#REF!</definedName>
    <definedName name="CUSTOM2_2nd_Floor___BOH___Service_Core">#REF!</definedName>
    <definedName name="CUSTOM2_2nd_Floor___BOH___Service_Core_ducts">#REF!</definedName>
    <definedName name="CUSTOM2_2nd_Floor___BOH___Service_Core_lift_shafts">#REF!</definedName>
    <definedName name="CUSTOM2_2nd_Floor___FOH___Guestroom_Circulation">#REF!</definedName>
    <definedName name="CUSTOM2_2nd_Floor___FOH___Guestroom_Terrace">#REF!</definedName>
    <definedName name="CUSTOM2_2nd_Floor___FOH___Guestrooms">#REF!</definedName>
    <definedName name="CUSTOM2_3__Wall_Finishes">#REF!</definedName>
    <definedName name="CUSTOM2_3__Wall_Finishes___D1">#REF!</definedName>
    <definedName name="CUSTOM2_3.1__Balustrade">#REF!</definedName>
    <definedName name="CUSTOM2_3.1__External_Walls" localSheetId="1">#REF!</definedName>
    <definedName name="CUSTOM2_3.1__External_Walls">#REF!</definedName>
    <definedName name="CUSTOM2_3.1.1___BW2__150mm_thk">#REF!</definedName>
    <definedName name="CUSTOM2_3.1.1___BW3__200mm_thk">#REF!</definedName>
    <definedName name="CUSTOM2_3.1.1___BW4__250mm_thk">#REF!</definedName>
    <definedName name="CUSTOM2_3.2.2___Timber__D_01___1600mmx2250mm" localSheetId="1">#REF!</definedName>
    <definedName name="CUSTOM2_3.2.2___Timber__D_01___1600mmx2250mm">#REF!</definedName>
    <definedName name="CUSTOM2_3.2.2___Timber__D_02___1000mmx2200mm">#REF!</definedName>
    <definedName name="CUSTOM2_3.2.2___Timber__D_04___1100mmx2200mm">#REF!</definedName>
    <definedName name="CUSTOM2_3.3.1___GL01___800mmx1350mm">#REF!</definedName>
    <definedName name="CUSTOM2_3.3.1___GL02___2350mmx2600mm">#REF!</definedName>
    <definedName name="CUSTOM2_3.3.1___GL03___2500mmx2600mm">#REF!</definedName>
    <definedName name="CUSTOM2_3.3.1___GL04___2000mmx2600mm">#REF!</definedName>
    <definedName name="CUSTOM2_3.3.1___GL05___2600mmx2700mm">#REF!</definedName>
    <definedName name="CUSTOM2_3.3.1___GL06___3600mmx2700mm">#REF!</definedName>
    <definedName name="CUSTOM2_3.3.1___GL07___1600mmx1350mm">#REF!</definedName>
    <definedName name="CUSTOM2_3.3.1___GL08___800mmx1350mm">#REF!</definedName>
    <definedName name="CUSTOM2_3.3.1___GL09___500mmx1200mm">#REF!</definedName>
    <definedName name="CUSTOM2_3.3.1___GL10___3600mmx2700mm">#REF!</definedName>
    <definedName name="CUSTOM2_3.3.1___GL11___2100mmx2700mm">#REF!</definedName>
    <definedName name="CUSTOM2_3.3.1___GL12___1600mmx2700mm">#REF!</definedName>
    <definedName name="CUSTOM2_3.3.1___GL13___1200mmx1800mm">#REF!</definedName>
    <definedName name="CUSTOM2_3.3.1___GL14___1000mmx1500mm">#REF!</definedName>
    <definedName name="CUSTOM2_3.3.1___GL15___5000mmx2700mm">#REF!</definedName>
    <definedName name="CUSTOM2_3.3.1___GL16___1700mmx1350mm">#REF!</definedName>
    <definedName name="CUSTOM2_3.3.1___GL17___600mmx1200mm">#REF!</definedName>
    <definedName name="CUSTOM2_3.4.1___Cement_render_and_paint">#REF!</definedName>
    <definedName name="CUSTOM2_3.4.2___50mmthk_Insulation">#REF!</definedName>
    <definedName name="CUSTOM2_3.4.3___External_Soffits">#REF!</definedName>
    <definedName name="CUSTOM2_3.4.5___Metal_railing_to_balcony">#REF!</definedName>
    <definedName name="CUSTOM2_32_dia._CWS_Main_Buried_underground" localSheetId="1">#REF!</definedName>
    <definedName name="CUSTOM2_32_dia._CWS_Main_Buried_underground">#REF!</definedName>
    <definedName name="CUSTOM2_32mm_dia_BCWS">#REF!</definedName>
    <definedName name="CUSTOM2_32mm_dia_BCWS_pipe">#REF!</definedName>
    <definedName name="CUSTOM2_32mm_dia_BCWS_Riser">#REF!</definedName>
    <definedName name="CUSTOM2_32mm_dia_HSW_pipe">#REF!</definedName>
    <definedName name="CUSTOM2_32mm_dia_HSW_Riser">#REF!</definedName>
    <definedName name="CUSTOM2_3F_BOH_Service___Utility_area">#REF!</definedName>
    <definedName name="CUSTOM2_3F_BOH_Staircase">#REF!</definedName>
    <definedName name="CUSTOM2_3F_Guest_Core">#REF!</definedName>
    <definedName name="CUSTOM2_3F_Guestrooms">#REF!</definedName>
    <definedName name="CUSTOM2_3F_HGR_BOH">#REF!</definedName>
    <definedName name="CUSTOM2_3F_HGR_Circulation">#REF!</definedName>
    <definedName name="CUSTOM2_3F_HGR_Covered_Balcony">#REF!</definedName>
    <definedName name="CUSTOM2_3F_HGR_Fire_Staircase">#REF!</definedName>
    <definedName name="CUSTOM2_3F_Lift_Shaft">#REF!</definedName>
    <definedName name="CUSTOM2_3F_Services_Core">#REF!</definedName>
    <definedName name="CUSTOM2_3F_Voids___Dead_space">#REF!</definedName>
    <definedName name="CUSTOM2_3rd_Floor">#REF!</definedName>
    <definedName name="CUSTOM2_3rd_Floor___BOH___Fire_Escape_Stairs">#REF!</definedName>
    <definedName name="CUSTOM2_3rd_Floor___BOH___Guest_Core">#REF!</definedName>
    <definedName name="CUSTOM2_3rd_Floor___BOH___Guest_Core_ducts">#REF!</definedName>
    <definedName name="CUSTOM2_3rd_Floor___BOH___Guest_Core_lift_shafts">#REF!</definedName>
    <definedName name="CUSTOM2_3rd_Floor___BOH___Service_Core">#REF!</definedName>
    <definedName name="CUSTOM2_3rd_Floor___BOH___Service_Core_ducts">#REF!</definedName>
    <definedName name="CUSTOM2_3rd_Floor___BOH___Service_Core_lift_shafts">#REF!</definedName>
    <definedName name="CUSTOM2_3rd_Floor___FOH___Guest_Circulation">#REF!</definedName>
    <definedName name="CUSTOM2_3rd_Floor___FOH___Guestroom_Terrace">#REF!</definedName>
    <definedName name="CUSTOM2_3rd_Floor___FOH___Guestrooms">#REF!</definedName>
    <definedName name="CUSTOM2_4__Floor_Finishes" localSheetId="1">#REF!</definedName>
    <definedName name="CUSTOM2_4__Floor_Finishes">#REF!</definedName>
    <definedName name="CUSTOM2_4__Floor_Finishes___D1" localSheetId="1">#REF!</definedName>
    <definedName name="CUSTOM2_4__Floor_Finishes___D1">#REF!</definedName>
    <definedName name="CUSTOM2_4.1__Skirting">#REF!</definedName>
    <definedName name="CUSTOM2_4.1__Threshold">#REF!</definedName>
    <definedName name="CUSTOM2_4.1__Threshold___S1">#REF!</definedName>
    <definedName name="CUSTOM2_4.1.1___BW1__100mm_thk">#REF!</definedName>
    <definedName name="CUSTOM2_4.1.1___BW2__150mm_thk">#REF!</definedName>
    <definedName name="CUSTOM2_4.1.1___BW3__200mm_thk">#REF!</definedName>
    <definedName name="CUSTOM2_4.1.2___Allow_for_joint_sealant">#REF!</definedName>
    <definedName name="CUSTOM2_4.2__Skirting">#REF!</definedName>
    <definedName name="CUSTOM2_4.2__Skirting___S1" localSheetId="1">#REF!</definedName>
    <definedName name="CUSTOM2_4.2__Skirting___S1">#REF!</definedName>
    <definedName name="CUSTOM2_4.2.1___D_02__1000mm_x_2200mm">#REF!</definedName>
    <definedName name="CUSTOM2_4.2.1___D_03__900mm_x_2200mm">#REF!</definedName>
    <definedName name="CUSTOM2_4.2.1___D_04">#REF!</definedName>
    <definedName name="CUSTOM2_4.2.2___Utility_Cupboard">#REF!</definedName>
    <definedName name="CUSTOM2_4F_BOH_Service___Utility_area" localSheetId="1">#REF!</definedName>
    <definedName name="CUSTOM2_4F_BOH_Service___Utility_area">#REF!</definedName>
    <definedName name="CUSTOM2_4F_BOH_Staircase" localSheetId="1">#REF!</definedName>
    <definedName name="CUSTOM2_4F_BOH_Staircase">#REF!</definedName>
    <definedName name="CUSTOM2_4F_Guest_Core" localSheetId="1">#REF!</definedName>
    <definedName name="CUSTOM2_4F_Guest_Core">#REF!</definedName>
    <definedName name="CUSTOM2_4F_Guestrooms">#REF!</definedName>
    <definedName name="CUSTOM2_4F_HGR_BOH">#REF!</definedName>
    <definedName name="CUSTOM2_4F_HGR_Circulation">#REF!</definedName>
    <definedName name="CUSTOM2_4F_HGR_Covered_Balcony">#REF!</definedName>
    <definedName name="CUSTOM2_4F_HGR_Fire_Staircase">#REF!</definedName>
    <definedName name="CUSTOM2_4F_Lift_Shaft">#REF!</definedName>
    <definedName name="CUSTOM2_4F_Services_Core">#REF!</definedName>
    <definedName name="CUSTOM2_4F_Voids___Dead_space">#REF!</definedName>
    <definedName name="CUSTOM2_4th_Floor___BOH___Fire_Escape_Stairs">#REF!</definedName>
    <definedName name="CUSTOM2_4th_Floor___BOH___Guest_Core">#REF!</definedName>
    <definedName name="CUSTOM2_4th_Floor___BOH___Guest_Core_ducts">#REF!</definedName>
    <definedName name="CUSTOM2_4th_Floor___BOH___Guest_Core_lift_shafts">#REF!</definedName>
    <definedName name="CUSTOM2_4th_Floor___BOH___Service_Core">#REF!</definedName>
    <definedName name="CUSTOM2_4th_Floor___BOH___Service_Core_ducts">#REF!</definedName>
    <definedName name="CUSTOM2_4th_Floor___BOH___Service_Core_lift_shafts">#REF!</definedName>
    <definedName name="CUSTOM2_4th_Floor___FOH___Guestroom_Circulation">#REF!</definedName>
    <definedName name="CUSTOM2_4th_Floor___FOH___Guestroom_Terrace">#REF!</definedName>
    <definedName name="CUSTOM2_4th_Floor___FOH___Guestrooms">#REF!</definedName>
    <definedName name="CUSTOM2_4th_Floor___FOH___Roof_Top_Pantry">#REF!</definedName>
    <definedName name="CUSTOM2_4th_Floor___FOH___Roof_Top_Restaurant">#REF!</definedName>
    <definedName name="CUSTOM2_4th_Floor___FOH___Roof_Top_Toilets">#REF!</definedName>
    <definedName name="CUSTOM2_4th_Floor___Roof_Top_Restaurant_open_terrace">#REF!</definedName>
    <definedName name="CUSTOM2_5__Ceiling_Finishes">#REF!</definedName>
    <definedName name="CUSTOM2_5__Ceiling_Finishes___D1">#REF!</definedName>
    <definedName name="CUSTOM2_5.1__Blukheads">#REF!</definedName>
    <definedName name="CUSTOM2_5.1__Blukheads___S1">#REF!</definedName>
    <definedName name="CUSTOM2_5.1.2___Paint_to_walls__PF03">#REF!</definedName>
    <definedName name="CUSTOM2_5.1.2___Paint_to_walls__PF04">#REF!</definedName>
    <definedName name="CUSTOM2_5.1.3___Ceramic_Tiles_to_walls__WF01">#REF!</definedName>
    <definedName name="CUSTOM2_5.1.3___Ceramic_Tiles_to_walls__WF03">#REF!</definedName>
    <definedName name="CUSTOM2_5.1.3___Ceramic_Tiles_to_walls__WF05">#REF!</definedName>
    <definedName name="CUSTOM2_5.1.3___Ceramic_Tiles_to_walls__WF07">#REF!</definedName>
    <definedName name="CUSTOM2_5.1.4___Waterproofing_to_wet_areas">#REF!</definedName>
    <definedName name="CUSTOM2_5.2.2___FF01__Porcelian_Tiles">#REF!</definedName>
    <definedName name="CUSTOM2_5.2.2___FF01__Porcelian_Tiles_Skirting">#REF!</definedName>
    <definedName name="CUSTOM2_5.2.3___FF03__Ceramic_Tiles">#REF!</definedName>
    <definedName name="CUSTOM2_5.2.3___FF03__Ceramic_Tiles____Balconies">#REF!</definedName>
    <definedName name="CUSTOM2_5.2.3___FF03__Ceramic_Tiles____Waterproofing_to_wet_areas">#REF!</definedName>
    <definedName name="CUSTOM2_5.2.3___FF03__Ceramic_Tiles_Skirting">#REF!</definedName>
    <definedName name="CUSTOM2_5.2.4___Threshold_Allowance_100mm_200mm_thk">#REF!</definedName>
    <definedName name="CUSTOM2_5.3.1___PF01__Gypsum_Board">#REF!</definedName>
    <definedName name="CUSTOM2_5.3.1___PF01__Slab_Soffits">#REF!</definedName>
    <definedName name="CUSTOM2_5.3.1___PF03__Gypsum_Board">#REF!</definedName>
    <definedName name="CUSTOM2_5.3.2___Bulkheads">#REF!</definedName>
    <definedName name="CUSTOM2_50mm_dia_WP">#REF!</definedName>
    <definedName name="CUSTOM2_50mm_dia._Balcony_Drain" localSheetId="1">#REF!</definedName>
    <definedName name="CUSTOM2_50mm_dia._Balcony_Drain">#REF!</definedName>
    <definedName name="CUSTOM2_5A_CEILING">#REF!</definedName>
    <definedName name="CUSTOM2_5A_FS01">#REF!</definedName>
    <definedName name="CUSTOM2_5A_FS02">#REF!</definedName>
    <definedName name="CUSTOM2_5A_FS02_2F">#REF!</definedName>
    <definedName name="CUSTOM2_5A_FS03">#REF!</definedName>
    <definedName name="CUSTOM2_5A_FS03_AREA">#REF!</definedName>
    <definedName name="CUSTOM2_5A_FS03_GRILL">#REF!</definedName>
    <definedName name="CUSTOM2_5A_FS04">#REF!</definedName>
    <definedName name="CUSTOM2_5A_FS04_1F">#REF!</definedName>
    <definedName name="CUSTOM2_5A_FS04_2F">#REF!</definedName>
    <definedName name="CUSTOM2_5A_FS05">#REF!</definedName>
    <definedName name="CUSTOM2_5A_FS05_RF">#REF!</definedName>
    <definedName name="CUSTOM2_5A_FS07">#REF!</definedName>
    <definedName name="CUSTOM2_5A_FS08">#REF!</definedName>
    <definedName name="CUSTOM2_5A_FS08_RF">#REF!</definedName>
    <definedName name="CUSTOM2_5A_FS12_1F">#REF!</definedName>
    <definedName name="CUSTOM2_5A_FS15_2F">#REF!</definedName>
    <definedName name="CUSTOM2_5A_FS16">#REF!</definedName>
    <definedName name="CUSTOM2_5B_FS01">#REF!</definedName>
    <definedName name="CUSTOM2_5B_FS02_1F">#REF!</definedName>
    <definedName name="CUSTOM2_5B_FS02_RF">#REF!</definedName>
    <definedName name="CUSTOM2_5B_FS03">#REF!</definedName>
    <definedName name="CUSTOM2_5B_FS03_AREA">#REF!</definedName>
    <definedName name="CUSTOM2_5B_FS03_GRILL">#REF!</definedName>
    <definedName name="CUSTOM2_5B_FS03_RF">#REF!</definedName>
    <definedName name="CUSTOM2_5B_FS04_1F">#REF!</definedName>
    <definedName name="CUSTOM2_5B_FS04_2F">#REF!</definedName>
    <definedName name="CUSTOM2_5B_FS04_RF">#REF!</definedName>
    <definedName name="CUSTOM2_5B_FS05">#REF!</definedName>
    <definedName name="CUSTOM2_5B_FS05_GARDEN">#REF!</definedName>
    <definedName name="CUSTOM2_5B_FS05_PARAPET">#REF!</definedName>
    <definedName name="CUSTOM2_5B_FS06">#REF!</definedName>
    <definedName name="CUSTOM2_5B_FS07_1F">#REF!</definedName>
    <definedName name="CUSTOM2_5B_FS08_RF">#REF!</definedName>
    <definedName name="CUSTOM2_5B_FS11_1F">#REF!</definedName>
    <definedName name="CUSTOM2_5B_FS11_2F">#REF!</definedName>
    <definedName name="CUSTOM2_5B_FS12_2F">#REF!</definedName>
    <definedName name="CUSTOM2_5B_FS15_1F">#REF!</definedName>
    <definedName name="CUSTOM2_5B_FS15_2F">#REF!</definedName>
    <definedName name="CUSTOM2_5B_FS15_RF">#REF!</definedName>
    <definedName name="CUSTOM2_5B_FS16">#REF!</definedName>
    <definedName name="CUSTOM2_5B_LOUVRE">#REF!</definedName>
    <definedName name="CUSTOM2_5B_PARAPET_COPING">#REF!</definedName>
    <definedName name="CUSTOM2_5C_FS01">#REF!</definedName>
    <definedName name="CUSTOM2_5C_FS02">#REF!</definedName>
    <definedName name="CUSTOM2_5C_FS02_1F">#REF!</definedName>
    <definedName name="CUSTOM2_5C_FS02_COPING">#REF!</definedName>
    <definedName name="CUSTOM2_5C_FS03">#REF!</definedName>
    <definedName name="CUSTOM2_5C_FS03_GRILL">#REF!</definedName>
    <definedName name="CUSTOM2_5C_FS05_RF">#REF!</definedName>
    <definedName name="CUSTOM2_5C_FS07_RF">#REF!</definedName>
    <definedName name="CUSTOM2_5C_FS08_1F">#REF!</definedName>
    <definedName name="CUSTOM2_5C_FS08_RF">#REF!</definedName>
    <definedName name="CUSTOM2_5C_FS16">#REF!</definedName>
    <definedName name="CUSTOM2_5C_LINK_BRIDGE">#REF!</definedName>
    <definedName name="CUSTOM2_5F_BOH_Circulation">#REF!</definedName>
    <definedName name="CUSTOM2_5F_BOH_Service___Utility_area">#REF!</definedName>
    <definedName name="CUSTOM2_5F_BOH_Staircase">#REF!</definedName>
    <definedName name="CUSTOM2_5F_Lift_Shaft">#REF!</definedName>
    <definedName name="CUSTOM2_5F_MEP">#REF!</definedName>
    <definedName name="CUSTOM2_5F_Services_Core">#REF!</definedName>
    <definedName name="CUSTOM2_5F_Voids___Dead_area">#REF!</definedName>
    <definedName name="CUSTOM2_6__FF_E_Fixed">#REF!</definedName>
    <definedName name="CUSTOM2_6__FF_E_Fixed___D1">#REF!</definedName>
    <definedName name="CUSTOM2_6.1.1___U_Shaped_Base_Cabinet___3400___2250___2300_x_700_x_900">#REF!</definedName>
    <definedName name="CUSTOM2_6.1.2___Kitchen_Wall_Cabinet_____600_x340_x_830">#REF!</definedName>
    <definedName name="CUSTOM2_6.1.2___Kitchen_Wall_Cabinet_____650_x340_x_830">#REF!</definedName>
    <definedName name="CUSTOM2_6.1.2___Kitchen_Wall_Cabinet_____850_x340_x_830">#REF!</definedName>
    <definedName name="CUSTOM2_6.1.2___Kitchen_Wall_Cabinet_____900_x340_x_400">#REF!</definedName>
    <definedName name="CUSTOM2_6.1.3___Cooker_Hood__4_series">#REF!</definedName>
    <definedName name="CUSTOM2_6.2.1___Wardrobe__1000mm_x_600mm__walkin_">#REF!</definedName>
    <definedName name="CUSTOM2_6.2.1___Wardrobe__2000mm_x_600mm__Bed3_">#REF!</definedName>
    <definedName name="CUSTOM2_6.2.1___Wardrobe__2200mm_x_600mm__Bed2_">#REF!</definedName>
    <definedName name="CUSTOM2_6.2.1___Wardrobe_L_shape__2500mm___2300mm_x_600mm__walkin_">#REF!</definedName>
    <definedName name="CUSTOM2_6.3.1___Base_Cabinet__1000mm_x_600mm_x_900mm">#REF!</definedName>
    <definedName name="CUSTOM2_6.3.1___Base_Cabinet__1800mm_x_600mm_x_900m">#REF!</definedName>
    <definedName name="CUSTOM2_6.3.1___Base_Cabinet__1900mm_x_600mm_x_900m">#REF!</definedName>
    <definedName name="CUSTOM2_8__Sanitary_Ware">#REF!</definedName>
    <definedName name="CUSTOM2_8__Sanitary_Ware___D1">#REF!</definedName>
    <definedName name="CUSTOM2_82mm_dia_Vent_pipe_1F" localSheetId="1">#REF!</definedName>
    <definedName name="CUSTOM2_82mm_dia_Vent_pipe_1F">#REF!</definedName>
    <definedName name="CUSTOM2_82mm_dia_Vent_pipe_GF">#REF!</definedName>
    <definedName name="CUSTOM2_9__Kitchen_Unit">#REF!</definedName>
    <definedName name="CUSTOM2_9__Stairs">#REF!</definedName>
    <definedName name="CUSTOM2_AM_Beams" localSheetId="1">#REF!</definedName>
    <definedName name="CUSTOM2_AM_Beams">#REF!</definedName>
    <definedName name="CUSTOM2_AM_Slab_1200">#REF!</definedName>
    <definedName name="CUSTOM2_AM_Slab_300">#REF!</definedName>
    <definedName name="CUSTOM2_Assume_Roof">#REF!</definedName>
    <definedName name="CUSTOM2_Assumed_Stair_Roof">#REF!</definedName>
    <definedName name="CUSTOM2_B1">#REF!</definedName>
    <definedName name="CUSTOM2_B1___BOH____Loading_Unloading">#REF!</definedName>
    <definedName name="CUSTOM2_B1___BOH____Service_Corridor">#REF!</definedName>
    <definedName name="CUSTOM2_B1___BOH___Bulk_Storage">#REF!</definedName>
    <definedName name="CUSTOM2_B1___BOH___Event_Center_Core">#REF!</definedName>
    <definedName name="CUSTOM2_B1___BOH___Event_Center_Core_lift_shafts">#REF!</definedName>
    <definedName name="CUSTOM2_B1___BOH___Event_Center_Kitchen">#REF!</definedName>
    <definedName name="CUSTOM2_B1___BOH___Event_Center_Service">#REF!</definedName>
    <definedName name="CUSTOM2_B1___BOH___Fire_Escape_Stairs">#REF!</definedName>
    <definedName name="CUSTOM2_B1___BOH___Food___Beverage_Dept">#REF!</definedName>
    <definedName name="CUSTOM2_B1___BOH___General_Areas">#REF!</definedName>
    <definedName name="CUSTOM2_B1___BOH___Guest_Core">#REF!</definedName>
    <definedName name="CUSTOM2_B1___BOH___Guest_Core_ducts">#REF!</definedName>
    <definedName name="CUSTOM2_B1___BOH___Guest_Core_lift_shafts">#REF!</definedName>
    <definedName name="CUSTOM2_B1___BOH___Human_Resources">#REF!</definedName>
    <definedName name="CUSTOM2_B1___BOH___Main_Kitchen">#REF!</definedName>
    <definedName name="CUSTOM2_B1___BOH___Pool_Bar___Grill_Pantry">#REF!</definedName>
    <definedName name="CUSTOM2_B1___BOH___Ramp__B1___GF_">#REF!</definedName>
    <definedName name="CUSTOM2_B1___BOH___Ramp_B1_to_B2__loading_unloading_">#REF!</definedName>
    <definedName name="CUSTOM2_B1___BOH___Receiving___Purchasing">#REF!</definedName>
    <definedName name="CUSTOM2_B1___BOH___Service_Core">#REF!</definedName>
    <definedName name="CUSTOM2_B1___BOH___Service_Core_ducts">#REF!</definedName>
    <definedName name="CUSTOM2_B1___BOH___Service_Core_lift_shaft">#REF!</definedName>
    <definedName name="CUSTOM2_B1___BOH___Service_Corridor">#REF!</definedName>
    <definedName name="CUSTOM2_B1___BOH___Speciality_Restaurant_01_Pantry">#REF!</definedName>
    <definedName name="CUSTOM2_B1___BOH___Staff_Core">#REF!</definedName>
    <definedName name="CUSTOM2_B1___BOH___Staff_Core_lift_shafts">#REF!</definedName>
    <definedName name="CUSTOM2_B1___BOH___Staff_Facilities">#REF!</definedName>
    <definedName name="CUSTOM2_B1___BOH___Waste_Management">#REF!</definedName>
    <definedName name="CUSTOM2_B1___Double_Volume_internal_Plant_RM">#REF!</definedName>
    <definedName name="CUSTOM2_B1___FOH____Day_Care_Center">#REF!</definedName>
    <definedName name="CUSTOM2_B1___FOH___All_Day_Dining">#REF!</definedName>
    <definedName name="CUSTOM2_B1___FOH___Circulation">#REF!</definedName>
    <definedName name="CUSTOM2_B1___FOH___Day_Care_Center_Terrace">#REF!</definedName>
    <definedName name="CUSTOM2_B1___FOH___Guest_Circulation">#REF!</definedName>
    <definedName name="CUSTOM2_B1___FOH___Guestroom_Terrace">#REF!</definedName>
    <definedName name="CUSTOM2_B1___FOH___Guestrooms">#REF!</definedName>
    <definedName name="CUSTOM2_B1___FOH___Gym">#REF!</definedName>
    <definedName name="CUSTOM2_B1___FOH___Pool_Bar___Grill">#REF!</definedName>
    <definedName name="CUSTOM2_B1___FOH___Pool_Bar___Grill_Terrace">#REF!</definedName>
    <definedName name="CUSTOM2_B1___FOH___Spa">#REF!</definedName>
    <definedName name="CUSTOM2_B1___FOH___Speciality_Restauarant_02_Toilets">#REF!</definedName>
    <definedName name="CUSTOM2_B1___FOH___Speciality_Restaurant_01">#REF!</definedName>
    <definedName name="CUSTOM2_B1___FOH___Speciality_Restaurant_02">#REF!</definedName>
    <definedName name="CUSTOM2_B1___FOH___Speciality_Restaurant_02_Terrace__covered_terrace_area_">#REF!</definedName>
    <definedName name="CUSTOM2_B1___FOH___Speciality_Restaurant_02_Terrace__open_terrace_area_">#REF!</definedName>
    <definedName name="CUSTOM2_B1___Parking">#REF!</definedName>
    <definedName name="CUSTOM2_B1__BOH_">#REF!</definedName>
    <definedName name="CUSTOM2_B1__Car_Park_">#REF!</definedName>
    <definedName name="CUSTOM2_B1__Column_C1">#REF!</definedName>
    <definedName name="CUSTOM2_B1__Column_C10">#REF!</definedName>
    <definedName name="CUSTOM2_B1__Column_C11">#REF!</definedName>
    <definedName name="CUSTOM2_B1__Column_C12">#REF!</definedName>
    <definedName name="CUSTOM2_B1__Column_C2">#REF!</definedName>
    <definedName name="CUSTOM2_B1__Column_C3">#REF!</definedName>
    <definedName name="CUSTOM2_B1__Column_C4">#REF!</definedName>
    <definedName name="CUSTOM2_B1__Column_C5">#REF!</definedName>
    <definedName name="CUSTOM2_B1__Column_C6">#REF!</definedName>
    <definedName name="CUSTOM2_B1__Column_C7">#REF!</definedName>
    <definedName name="CUSTOM2_B1__Column_C8">#REF!</definedName>
    <definedName name="CUSTOM2_B1__Column_C9">#REF!</definedName>
    <definedName name="CUSTOM2_B1__Column_TC1">#REF!</definedName>
    <definedName name="CUSTOM2_B1__Column_TC2">#REF!</definedName>
    <definedName name="CUSTOM2_B1__Column_TC3">#REF!</definedName>
    <definedName name="CUSTOM2_B1__Column_TC4">#REF!</definedName>
    <definedName name="CUSTOM2_B1__Column_TC5">#REF!</definedName>
    <definedName name="CUSTOM2_B1__FOH_circulation_">#REF!</definedName>
    <definedName name="CUSTOM2_B1__GIFA_">#REF!</definedName>
    <definedName name="CUSTOM2_B1__RW1_400">#REF!</definedName>
    <definedName name="CUSTOM2_B1__RW2_600">#REF!</definedName>
    <definedName name="CUSTOM2_B1__Stairs_">#REF!</definedName>
    <definedName name="CUSTOM2_B1__TW1_250">#REF!</definedName>
    <definedName name="CUSTOM2_B1__TW2_200">#REF!</definedName>
    <definedName name="CUSTOM2_B1__TW3_300">#REF!</definedName>
    <definedName name="CUSTOM2_B1__TW3_400">#REF!</definedName>
    <definedName name="CUSTOM2_B1__TW4_500">#REF!</definedName>
    <definedName name="CUSTOM2_B1__TW4_500_Door_Overhead">#REF!</definedName>
    <definedName name="CUSTOM2_B1__TW4_600">#REF!</definedName>
    <definedName name="CUSTOM2_B1__voids_">#REF!</definedName>
    <definedName name="CUSTOM2_B1__W1__300">#REF!</definedName>
    <definedName name="CUSTOM2_B1__W1_300_Door_Overhead">#REF!</definedName>
    <definedName name="CUSTOM2_B1_Beams">#REF!</definedName>
    <definedName name="CUSTOM2_B1_BOH">#REF!</definedName>
    <definedName name="CUSTOM2_B1_BOH_Area" localSheetId="1">#REF!</definedName>
    <definedName name="CUSTOM2_B1_BOH_Area">#REF!</definedName>
    <definedName name="CUSTOM2_B1_BOH_Service___Utility_area" localSheetId="1">#REF!</definedName>
    <definedName name="CUSTOM2_B1_BOH_Service___Utility_area">#REF!</definedName>
    <definedName name="CUSTOM2_B1_Car_Park" localSheetId="1">#REF!</definedName>
    <definedName name="CUSTOM2_B1_Car_Park">#REF!</definedName>
    <definedName name="CUSTOM2_B1_Double_Internal_Doors__BOH_" localSheetId="1">#REF!</definedName>
    <definedName name="CUSTOM2_B1_Double_Internal_Doors__BOH_">#REF!</definedName>
    <definedName name="CUSTOM2_B1_Double_Internal_Doors__FOH_">#REF!</definedName>
    <definedName name="CUSTOM2_B1_Double_Volume_area" localSheetId="1">#REF!</definedName>
    <definedName name="CUSTOM2_B1_Double_Volume_area">#REF!</definedName>
    <definedName name="CUSTOM2_B1_Executive_Club" localSheetId="1">#REF!</definedName>
    <definedName name="CUSTOM2_B1_Executive_Club">#REF!</definedName>
    <definedName name="CUSTOM2_B1_FOH_Circulation" localSheetId="1">#REF!</definedName>
    <definedName name="CUSTOM2_B1_FOH_Circulation">#REF!</definedName>
    <definedName name="CUSTOM2_B1_FOH_Circulation_area" localSheetId="1">#REF!</definedName>
    <definedName name="CUSTOM2_B1_FOH_Circulation_area">#REF!</definedName>
    <definedName name="CUSTOM2_B1_FOH_Lobby" localSheetId="1">#REF!</definedName>
    <definedName name="CUSTOM2_B1_FOH_Lobby">#REF!</definedName>
    <definedName name="CUSTOM2_B1_GIFA" localSheetId="1">#REF!</definedName>
    <definedName name="CUSTOM2_B1_GIFA">#REF!</definedName>
    <definedName name="CUSTOM2_B1_Guest_Core" localSheetId="1">#REF!</definedName>
    <definedName name="CUSTOM2_B1_Guest_Core">#REF!</definedName>
    <definedName name="CUSTOM2_B1_Gym" localSheetId="1">#REF!</definedName>
    <definedName name="CUSTOM2_B1_Gym">#REF!</definedName>
    <definedName name="CUSTOM2_B1_Gym_Toilets" localSheetId="1">#REF!</definedName>
    <definedName name="CUSTOM2_B1_Gym_Toilets">#REF!</definedName>
    <definedName name="CUSTOM2_B1_Internal_Double_doors__BOH_">#REF!</definedName>
    <definedName name="CUSTOM2_B1_Internal_Double_doors__FOH_">#REF!</definedName>
    <definedName name="CUSTOM2_B1_Internal_Single_doors__BOH_">#REF!</definedName>
    <definedName name="CUSTOM2_B1_Kids_Area">#REF!</definedName>
    <definedName name="CUSTOM2_B1_Kitchen">#REF!</definedName>
    <definedName name="CUSTOM2_B1_Lift_Shaft">#REF!</definedName>
    <definedName name="CUSTOM2_B1_Main_Restaurant">#REF!</definedName>
    <definedName name="CUSTOM2_B1_MEP_Area">#REF!</definedName>
    <definedName name="CUSTOM2_B1_Mezz">#REF!</definedName>
    <definedName name="CUSTOM2_B1_Mezzanine___BOH___Event_Center_Admin">#REF!</definedName>
    <definedName name="CUSTOM2_B1_Mezzanine___BOH___Event_Center_Core">#REF!</definedName>
    <definedName name="CUSTOM2_B1_Mezzanine___BOH___Event_Center_Valet">#REF!</definedName>
    <definedName name="CUSTOM2_B1_Mezzanine___BOH___Event_Service_Core_lift_shafts">#REF!</definedName>
    <definedName name="CUSTOM2_B1_Mezzanine___BOH___Fire_Escape_Stairs">#REF!</definedName>
    <definedName name="CUSTOM2_B1_Mezzanine___BOH___General_Areas">#REF!</definedName>
    <definedName name="CUSTOM2_B1_Mezzanine___BOH___Guest_Core">#REF!</definedName>
    <definedName name="CUSTOM2_B1_Mezzanine___BOH___Guest_Core_ducts">#REF!</definedName>
    <definedName name="CUSTOM2_B1_Mezzanine___BOH___Guest_Core_lift_shafts">#REF!</definedName>
    <definedName name="CUSTOM2_B1_Mezzanine___BOH___RMU">#REF!</definedName>
    <definedName name="CUSTOM2_B1_Mezzanine___BOH___Service_Core">#REF!</definedName>
    <definedName name="CUSTOM2_B1_Mezzanine___BOH___Service_Core_ducts">#REF!</definedName>
    <definedName name="CUSTOM2_B1_Mezzanine___BOH___Service_Core_lift_shafts">#REF!</definedName>
    <definedName name="CUSTOM2_B1_Mezzanine___Double_Volume__left_wing_">#REF!</definedName>
    <definedName name="CUSTOM2_B1_Mezzanine___Double_Volume__left_wing_stairs___">#REF!</definedName>
    <definedName name="CUSTOM2_B1_Mezzanine___Double_Volume__main_hotel___">#REF!</definedName>
    <definedName name="CUSTOM2_B1_Mezzanine___Double_Volume__right_wing_">#REF!</definedName>
    <definedName name="CUSTOM2_B1_Mezzanine___Double_Volume__right_wing_stairs___">#REF!</definedName>
    <definedName name="CUSTOM2_B1_Mezzanine___Double_Volume__Speciality_Restaurant___">#REF!</definedName>
    <definedName name="CUSTOM2_B1_Mezzanine___FOH___Business_Center">#REF!</definedName>
    <definedName name="CUSTOM2_B1_Mezzanine___FOH___Circulation">#REF!</definedName>
    <definedName name="CUSTOM2_B1_Mezzanine___FOH___Event_Center_Core_lift_shafts">#REF!</definedName>
    <definedName name="CUSTOM2_B1_Mezzanine___FOH___Event_Center_Port_Corchere">#REF!</definedName>
    <definedName name="CUSTOM2_B1_Mezzanine___FOH___Event_Center_Reception">#REF!</definedName>
    <definedName name="CUSTOM2_B1_Mezzanine___FOH___Event_Center_Wind_Lobby">#REF!</definedName>
    <definedName name="CUSTOM2_B1_Mezzanine___FOH___Guestroom_Terrace">#REF!</definedName>
    <definedName name="CUSTOM2_B1_Mezzanine___FOH___Guestrooms">#REF!</definedName>
    <definedName name="CUSTOM2_B1_Mezzanine___FOH___Meeting_Prefunction">#REF!</definedName>
    <definedName name="CUSTOM2_B1_Mezzanine___FOH___Meeting_Rooms">#REF!</definedName>
    <definedName name="CUSTOM2_B1_Mezzanine___FOH___Meeting_Rooms_Pantry">#REF!</definedName>
    <definedName name="CUSTOM2_B1_Mezzanine___FOH___Meeting_Rooms_Terrace">#REF!</definedName>
    <definedName name="CUSTOM2_B1_Mezzanine___FOH___Meeting_Rooms_Toilet">#REF!</definedName>
    <definedName name="CUSTOM2_B1_Mezzanine___FOH___Retail">#REF!</definedName>
    <definedName name="CUSTOM2_B1_Parking_area">#REF!</definedName>
    <definedName name="CUSTOM2_B1_Public_Toilets">#REF!</definedName>
    <definedName name="CUSTOM2_B1_Ramp">#REF!</definedName>
    <definedName name="CUSTOM2_B1_Service_Lift_Lobby">#REF!</definedName>
    <definedName name="CUSTOM2_B1_Services_Core">#REF!</definedName>
    <definedName name="CUSTOM2_B1_Single_Internal_Doors__BOH_">#REF!</definedName>
    <definedName name="CUSTOM2_B1_Slab_200" localSheetId="1">#REF!</definedName>
    <definedName name="CUSTOM2_B1_Slab_200">#REF!</definedName>
    <definedName name="CUSTOM2_B1_Slab_220">#REF!</definedName>
    <definedName name="CUSTOM2_B1_Slab_240">#REF!</definedName>
    <definedName name="CUSTOM2_B1_Slab_260">#REF!</definedName>
    <definedName name="CUSTOM2_B1_Spa">#REF!</definedName>
    <definedName name="CUSTOM2_B1_Speciality_Kitchen">#REF!</definedName>
    <definedName name="CUSTOM2_B1_Speciality_Restaurant">#REF!</definedName>
    <definedName name="CUSTOM2_B1_Staicase_Lobby">#REF!</definedName>
    <definedName name="CUSTOM2_B1_Staircase">#REF!</definedName>
    <definedName name="CUSTOM2_B1_Stairs">#REF!</definedName>
    <definedName name="CUSTOM2_B1_Voids" localSheetId="1">#REF!</definedName>
    <definedName name="CUSTOM2_B1_Voids">#REF!</definedName>
    <definedName name="CUSTOM2_B2" localSheetId="1">#REF!</definedName>
    <definedName name="CUSTOM2_B2">#REF!</definedName>
    <definedName name="CUSTOM2_B2___BOH____Tank" localSheetId="1">#REF!</definedName>
    <definedName name="CUSTOM2_B2___BOH____Tank">#REF!</definedName>
    <definedName name="CUSTOM2_B2___BOH___AHU">#REF!</definedName>
    <definedName name="CUSTOM2_B2___BOH___Engineering___Maintenance">#REF!</definedName>
    <definedName name="CUSTOM2_B2___BOH___Event_Center_Core">#REF!</definedName>
    <definedName name="CUSTOM2_B2___BOH___Event_Center_Core_lift_shafts">#REF!</definedName>
    <definedName name="CUSTOM2_B2___BOH___Fire_Escape_Stairs">#REF!</definedName>
    <definedName name="CUSTOM2_B2___BOH___Guest_Core">#REF!</definedName>
    <definedName name="CUSTOM2_B2___BOH___Guest_Core_lift_shafts">#REF!</definedName>
    <definedName name="CUSTOM2_B2___BOH___Heat_Exchange">#REF!</definedName>
    <definedName name="CUSTOM2_B2___BOH___IT_Department">#REF!</definedName>
    <definedName name="CUSTOM2_B2___BOH___Laundry___Housekeeping">#REF!</definedName>
    <definedName name="CUSTOM2_B2___BOH___LV_Room">#REF!</definedName>
    <definedName name="CUSTOM2_B2___BOH___Plant">#REF!</definedName>
    <definedName name="CUSTOM2_B2___BOH___Pump_Room">#REF!</definedName>
    <definedName name="CUSTOM2_B2___BOH___Ramp_B2_to_B1">#REF!</definedName>
    <definedName name="CUSTOM2_B2___BOH___Ramp_B2_to_B1__loading___unloading_">#REF!</definedName>
    <definedName name="CUSTOM2_B2___BOH___Service_Core">#REF!</definedName>
    <definedName name="CUSTOM2_B2___BOH___Service_Core_duct">#REF!</definedName>
    <definedName name="CUSTOM2_B2___BOH___Service_Core_lift_shafts">#REF!</definedName>
    <definedName name="CUSTOM2_B2___BOH___Service_Corridor">#REF!</definedName>
    <definedName name="CUSTOM2_B2___BOH___Substation">#REF!</definedName>
    <definedName name="CUSTOM2_B2___BOH___Unknown_areas">#REF!</definedName>
    <definedName name="CUSTOM2_B2___FOH___Pool_Toilets">#REF!</definedName>
    <definedName name="CUSTOM2_B2___FOH___Speciality_Restaurant_01_Toilets">#REF!</definedName>
    <definedName name="CUSTOM2_B2___Parking">#REF!</definedName>
    <definedName name="CUSTOM2_B2__BOH_">#REF!</definedName>
    <definedName name="CUSTOM2_B2__Car_Parking_">#REF!</definedName>
    <definedName name="CUSTOM2_B2__Column_C1">#REF!</definedName>
    <definedName name="CUSTOM2_B2__Column_C10">#REF!</definedName>
    <definedName name="CUSTOM2_B2__Column_C11">#REF!</definedName>
    <definedName name="CUSTOM2_B2__Column_C12">#REF!</definedName>
    <definedName name="CUSTOM2_B2__Column_C2">#REF!</definedName>
    <definedName name="CUSTOM2_B2__Column_C3">#REF!</definedName>
    <definedName name="CUSTOM2_B2__Column_C4">#REF!</definedName>
    <definedName name="CUSTOM2_B2__Column_C5">#REF!</definedName>
    <definedName name="CUSTOM2_B2__Column_C6">#REF!</definedName>
    <definedName name="CUSTOM2_B2__Column_C7">#REF!</definedName>
    <definedName name="CUSTOM2_B2__Column_C8">#REF!</definedName>
    <definedName name="CUSTOM2_B2__Column_C9">#REF!</definedName>
    <definedName name="CUSTOM2_B2__Column_TC1">#REF!</definedName>
    <definedName name="CUSTOM2_B2__Column_TC2">#REF!</definedName>
    <definedName name="CUSTOM2_B2__Column_TC3">#REF!</definedName>
    <definedName name="CUSTOM2_B2__Column_TC4">#REF!</definedName>
    <definedName name="CUSTOM2_B2__Column_TC5">#REF!</definedName>
    <definedName name="CUSTOM2_B2__FOH_Circulation_">#REF!</definedName>
    <definedName name="CUSTOM2_B2__GIFA_">#REF!</definedName>
    <definedName name="CUSTOM2_B2__Loading__Unloading_Area">#REF!</definedName>
    <definedName name="CUSTOM2_B2__RW1_400">#REF!</definedName>
    <definedName name="CUSTOM2_B2__RW2_600">#REF!</definedName>
    <definedName name="CUSTOM2_B2__Stairs_">#REF!</definedName>
    <definedName name="CUSTOM2_B2__TW1_250">#REF!</definedName>
    <definedName name="CUSTOM2_B2__TW2_200">#REF!</definedName>
    <definedName name="CUSTOM2_B2__TW3_300">#REF!</definedName>
    <definedName name="CUSTOM2_B2__TW3_400">#REF!</definedName>
    <definedName name="CUSTOM2_B2__TW4_500">#REF!</definedName>
    <definedName name="CUSTOM2_B2__TW4_600">#REF!</definedName>
    <definedName name="CUSTOM2_B2__Voids_">#REF!</definedName>
    <definedName name="CUSTOM2_B2__W1__300">#REF!</definedName>
    <definedName name="CUSTOM2_B2__W1__300_Door_Overhead">#REF!</definedName>
    <definedName name="CUSTOM2_B2_BOH">#REF!</definedName>
    <definedName name="CUSTOM2_B2_BOH___Services_Area" localSheetId="1">#REF!</definedName>
    <definedName name="CUSTOM2_B2_BOH___Services_Area">#REF!</definedName>
    <definedName name="CUSTOM2_B2_BOH_Area" localSheetId="1">#REF!</definedName>
    <definedName name="CUSTOM2_B2_BOH_Area">#REF!</definedName>
    <definedName name="CUSTOM2_B2_Car_Park" localSheetId="1">#REF!</definedName>
    <definedName name="CUSTOM2_B2_Car_Park">#REF!</definedName>
    <definedName name="CUSTOM2_B2_Dirty_Room" localSheetId="1">#REF!</definedName>
    <definedName name="CUSTOM2_B2_Dirty_Room">#REF!</definedName>
    <definedName name="CUSTOM2_B2_Double_Internal_Doors__BOH_" localSheetId="1">#REF!</definedName>
    <definedName name="CUSTOM2_B2_Double_Internal_Doors__BOH_">#REF!</definedName>
    <definedName name="CUSTOM2_B2_Double_Internal_Doors__FOH_" localSheetId="1">#REF!</definedName>
    <definedName name="CUSTOM2_B2_Double_Internal_Doors__FOH_">#REF!</definedName>
    <definedName name="CUSTOM2_B2_FOH" localSheetId="1">#REF!</definedName>
    <definedName name="CUSTOM2_B2_FOH">#REF!</definedName>
    <definedName name="CUSTOM2_B2_GIFA">#REF!</definedName>
    <definedName name="CUSTOM2_B2_Kitchen" localSheetId="1">#REF!</definedName>
    <definedName name="CUSTOM2_B2_Kitchen">#REF!</definedName>
    <definedName name="CUSTOM2_B2_Lift_Shaft" localSheetId="1">#REF!</definedName>
    <definedName name="CUSTOM2_B2_Lift_Shaft">#REF!</definedName>
    <definedName name="CUSTOM2_B2_MEP_Area" localSheetId="1">#REF!</definedName>
    <definedName name="CUSTOM2_B2_MEP_Area">#REF!</definedName>
    <definedName name="CUSTOM2_B2_Raft_2500">#REF!</definedName>
    <definedName name="CUSTOM2_B2_Raft_600">#REF!</definedName>
    <definedName name="CUSTOM2_B2_Services_Core">#REF!</definedName>
    <definedName name="CUSTOM2_B2_Single_Internal_Doors__BOH_">#REF!</definedName>
    <definedName name="CUSTOM2_B2_Staircase" localSheetId="1">#REF!</definedName>
    <definedName name="CUSTOM2_B2_Staircase">#REF!</definedName>
    <definedName name="CUSTOM2_B2_Stairs" localSheetId="1">#REF!</definedName>
    <definedName name="CUSTOM2_B2_Stairs">#REF!</definedName>
    <definedName name="CUSTOM2_B2_Voids" localSheetId="1">#REF!</definedName>
    <definedName name="CUSTOM2_B2_Voids">#REF!</definedName>
    <definedName name="CUSTOM2_B3_Beams" localSheetId="1">#REF!</definedName>
    <definedName name="CUSTOM2_B3_Beams">#REF!</definedName>
    <definedName name="CUSTOM2_B3_Wall">#REF!</definedName>
    <definedName name="CUSTOM2_B3_Wall_Link">#REF!</definedName>
    <definedName name="CUSTOM2_B4_Beams">#REF!</definedName>
    <definedName name="CUSTOM2_B4_Tower_Wall___same_as_B5">#REF!</definedName>
    <definedName name="CUSTOM2_B4_Wall_Length">#REF!</definedName>
    <definedName name="CUSTOM2_B4_Wall_Link">#REF!</definedName>
    <definedName name="CUSTOM2_B5_Beams">#REF!</definedName>
    <definedName name="CUSTOM2_B5_Tower_Wall">#REF!</definedName>
    <definedName name="CUSTOM2_B5_Wall_Length">#REF!</definedName>
    <definedName name="CUSTOM2_B5_Wall_Link">#REF!</definedName>
    <definedName name="CUSTOM2_B6_Beams">#REF!</definedName>
    <definedName name="CUSTOM2_B7_Tower_Wall">#REF!</definedName>
    <definedName name="CUSTOM2_B7_Wall_Length">#REF!</definedName>
    <definedName name="CUSTOM2_B7_Wall_Link">#REF!</definedName>
    <definedName name="CUSTOM2_Balconies_Entry">#REF!</definedName>
    <definedName name="CUSTOM2_Balcony_Drain">#REF!</definedName>
    <definedName name="CUSTOM2_Bib_Tap">#REF!</definedName>
    <definedName name="CUSTOM2_BOH__GF_">#REF!</definedName>
    <definedName name="CUSTOM2_BOH__Podium_1_">#REF!</definedName>
    <definedName name="CUSTOM2_BOH__Podium_2_">#REF!</definedName>
    <definedName name="CUSTOM2_BOH__Roof_">#REF!</definedName>
    <definedName name="CUSTOM2_BOH_areas__lvl_1_">#REF!</definedName>
    <definedName name="CUSTOM2_BOH_areas__lvl_2_">#REF!</definedName>
    <definedName name="CUSTOM2_BOH_areas__lvl_3_">#REF!</definedName>
    <definedName name="CUSTOM2_BUA">#REF!</definedName>
    <definedName name="CUSTOM2_Bypass_Valve__Normally_Closed_">#REF!</definedName>
    <definedName name="CUSTOM2_Cable_Foundation_Length">#REF!</definedName>
    <definedName name="CUSTOM2_Cable_raft">#REF!</definedName>
    <definedName name="CUSTOM2_Cable_Retaining_wall">#REF!</definedName>
    <definedName name="CUSTOM2_Cable_Waterproofing">#REF!</definedName>
    <definedName name="CUSTOM2_capping">#REF!</definedName>
    <definedName name="CUSTOM2_Car_Park__Podium_1_">#REF!</definedName>
    <definedName name="CUSTOM2_Car_Park__Podium_2_">#REF!</definedName>
    <definedName name="CUSTOM2_Car_Parking__lvl_1_">#REF!</definedName>
    <definedName name="CUSTOM2_Conference_Centre">#REF!</definedName>
    <definedName name="CUSTOM2_Counterweight">#REF!</definedName>
    <definedName name="CUSTOM2_DP1_3000x3000x350">#REF!</definedName>
    <definedName name="CUSTOM2_DP11_3250x1750x350">#REF!</definedName>
    <definedName name="CUSTOM2_DP2_3000x1750x350">#REF!</definedName>
    <definedName name="CUSTOM2_DP3_3500x1900x350">#REF!</definedName>
    <definedName name="CUSTOM2_DP5_3000x3000x400">#REF!</definedName>
    <definedName name="CUSTOM2_DP6_6500x4000x550">#REF!</definedName>
    <definedName name="CUSTOM2_DP7_3500x1900x400">#REF!</definedName>
    <definedName name="CUSTOM2_Entrance_lobby__GF_">#REF!</definedName>
    <definedName name="CUSTOM2_External_areas__lvl_2_">#REF!</definedName>
    <definedName name="CUSTOM2_External_areas__Roof_">#REF!</definedName>
    <definedName name="CUSTOM2_External_Doors__AL_01">#REF!</definedName>
    <definedName name="CUSTOM2_External_Doors__AL_02">#REF!</definedName>
    <definedName name="CUSTOM2_External_Doors__AL_03">#REF!</definedName>
    <definedName name="CUSTOM2_External_Doors__AL_04">#REF!</definedName>
    <definedName name="CUSTOM2_External_Doors__AL_05">#REF!</definedName>
    <definedName name="CUSTOM2_External_Doors__D_01">#REF!</definedName>
    <definedName name="CUSTOM2_External_Doors__D_02">#REF!</definedName>
    <definedName name="CUSTOM2_External_Doors__D_05">#REF!</definedName>
    <definedName name="CUSTOM2_External_Doors__Threshold">#REF!</definedName>
    <definedName name="CUSTOM2_External_Floor_Finishes__Interlocking_Paving">#REF!</definedName>
    <definedName name="CUSTOM2_External_Wall__Blockwork___BW_2">#REF!</definedName>
    <definedName name="CUSTOM2_External_Wall__Blockwork___BW_3">#REF!</definedName>
    <definedName name="CUSTOM2_External_Wall__Blockwork___BW_4">#REF!</definedName>
    <definedName name="CUSTOM2_External_Wall_Finishes__50mm_thk_insulation">#REF!</definedName>
    <definedName name="CUSTOM2_External_Wall_finishes__Cast_Aluminium_handrail___Balustrade">#REF!</definedName>
    <definedName name="CUSTOM2_External_Wall_Finishes__Cement_render___Paint">#REF!</definedName>
    <definedName name="CUSTOM2_External_Wall_finishes__Elevation_projection_with_painted_finish">#REF!</definedName>
    <definedName name="CUSTOM2_External_Wall_Finishes__Skirting">#REF!</definedName>
    <definedName name="CUSTOM2_External_Wall_finishes__Soffits">#REF!</definedName>
    <definedName name="CUSTOM2_External_Window__GL_01">#REF!</definedName>
    <definedName name="CUSTOM2_External_Window__GL_02">#REF!</definedName>
    <definedName name="CUSTOM2_External_Window__GL_02_a">#REF!</definedName>
    <definedName name="CUSTOM2_External_Window__GL_03">#REF!</definedName>
    <definedName name="CUSTOM2_External_Window__GL_04">#REF!</definedName>
    <definedName name="CUSTOM2_External_Window__GL_05">#REF!</definedName>
    <definedName name="CUSTOM2_External_Window__GL_06">#REF!</definedName>
    <definedName name="CUSTOM2_External_Window__GL_07">#REF!</definedName>
    <definedName name="CUSTOM2_External_Window__GL_08">#REF!</definedName>
    <definedName name="CUSTOM2_External_Window__GL_16">#REF!</definedName>
    <definedName name="CUSTOM2_External_Window__GL_18">#REF!</definedName>
    <definedName name="CUSTOM2_External_Window__GL_19">#REF!</definedName>
    <definedName name="CUSTOM2_External_Window__GL_19_a">#REF!</definedName>
    <definedName name="CUSTOM2_External_Window__GL_20">#REF!</definedName>
    <definedName name="CUSTOM2_External_Window__GL_21">#REF!</definedName>
    <definedName name="CUSTOM2_External_Window__GL_22">#REF!</definedName>
    <definedName name="CUSTOM2_External_Window__GL_23">#REF!</definedName>
    <definedName name="CUSTOM2_External_Window__GL_24">#REF!</definedName>
    <definedName name="CUSTOM2_External_Window__GL_25">#REF!</definedName>
    <definedName name="CUSTOM2_Fence">#REF!</definedName>
    <definedName name="CUSTOM2_Floor_Plate___B1_Mezzanine">#REF!</definedName>
    <definedName name="CUSTOM2_Floor_Plate___Basement_1">#REF!</definedName>
    <definedName name="CUSTOM2_Floor_Plate___Basement_2">#REF!</definedName>
    <definedName name="CUSTOM2_Floor_Plate___First_Floor">#REF!</definedName>
    <definedName name="CUSTOM2_Floor_Plate___Fourth_Floor">#REF!</definedName>
    <definedName name="CUSTOM2_Floor_Plate___Ground_Floor">#REF!</definedName>
    <definedName name="CUSTOM2_Floor_Plate___Mezanine_Floor">#REF!</definedName>
    <definedName name="CUSTOM2_Floor_Plate___Second_Floor">#REF!</definedName>
    <definedName name="CUSTOM2_Floor_Plate___Third_Floor">#REF!</definedName>
    <definedName name="CUSTOM2_FOH_areas__GF_">#REF!</definedName>
    <definedName name="CUSTOM2_FOH_Areas__Roof_">#REF!</definedName>
    <definedName name="CUSTOM2_FOH_Circulation__GF_">#REF!</definedName>
    <definedName name="CUSTOM2_FOH_circulation__lvl_1_">#REF!</definedName>
    <definedName name="CUSTOM2_FOH_circulation__lvl_2_">#REF!</definedName>
    <definedName name="CUSTOM2_FOH_Circulation__lvl_3_">#REF!</definedName>
    <definedName name="CUSTOM2_FOH_Circulation__Podium_1_">#REF!</definedName>
    <definedName name="CUSTOM2_FOH_Circulation__Podium_2_">#REF!</definedName>
    <definedName name="CUSTOM2_FOH_Circulation__Roof_">#REF!</definedName>
    <definedName name="CUSTOM2_FP_A_00AF">#REF!</definedName>
    <definedName name="CUSTOM2_FP_A_01F">#REF!</definedName>
    <definedName name="CUSTOM2_FP_A_02F___4F">#REF!</definedName>
    <definedName name="CUSTOM2_FP_A_03F">#REF!</definedName>
    <definedName name="CUSTOM2_FP_A_05F">#REF!</definedName>
    <definedName name="CUSTOM2_FP_A_06F">#REF!</definedName>
    <definedName name="CUSTOM2_FP_A_07F">#REF!</definedName>
    <definedName name="CUSTOM2_FP_A_08F___10F">#REF!</definedName>
    <definedName name="CUSTOM2_FP_A_09F">#REF!</definedName>
    <definedName name="CUSTOM2_FP_A_11F_to_29F_alt_">#REF!</definedName>
    <definedName name="CUSTOM2_FP_A_12F_to_30F_alt_">#REF!</definedName>
    <definedName name="CUSTOM2_FP_A_31F">#REF!</definedName>
    <definedName name="CUSTOM2_FP_A_32F">#REF!</definedName>
    <definedName name="CUSTOM2_FP_A_33RF__">#REF!</definedName>
    <definedName name="CUSTOM2_FP_A_34uRF__">#REF!</definedName>
    <definedName name="CUSTOM2_FP_A_35uRF__">#REF!</definedName>
    <definedName name="CUSTOM2_FP_B_00BF_1">#REF!</definedName>
    <definedName name="CUSTOM2_FP_B_00BF_1_intermediate">#REF!</definedName>
    <definedName name="CUSTOM2_FP_B_00BF_2">#REF!</definedName>
    <definedName name="CUSTOM2_FP_B_00GF">#REF!</definedName>
    <definedName name="CUSTOM2_FP_B_00MF">#REF!</definedName>
    <definedName name="CUSTOM2_FP_B_00PF___1">#REF!</definedName>
    <definedName name="CUSTOM2_FP_B_00PF___2">#REF!</definedName>
    <definedName name="CUSTOM2_FP_B_00PF___3">#REF!</definedName>
    <definedName name="CUSTOM2_FS01">#REF!</definedName>
    <definedName name="CUSTOM2_FS01_1B">#REF!</definedName>
    <definedName name="CUSTOM2_FS01_1C">#REF!</definedName>
    <definedName name="CUSTOM2_FS012_1B2">#REF!</definedName>
    <definedName name="CUSTOM2_FS02_1A">#REF!</definedName>
    <definedName name="CUSTOM2_FS02_1B">#REF!</definedName>
    <definedName name="CUSTOM2_FS02_1B_RF">#REF!</definedName>
    <definedName name="CUSTOM2_FS02_1B1">#REF!</definedName>
    <definedName name="CUSTOM2_FS02_1C">#REF!</definedName>
    <definedName name="CUSTOM2_FS02_1C1">#REF!</definedName>
    <definedName name="CUSTOM2_FS03_1A">#REF!</definedName>
    <definedName name="CUSTOM2_FS03_1B">#REF!</definedName>
    <definedName name="CUSTOM2_FS03_1C">#REF!</definedName>
    <definedName name="CUSTOM2_FS04">#REF!</definedName>
    <definedName name="CUSTOM2_FS04_1A">#REF!</definedName>
    <definedName name="CUSTOM2_FS04_1B">#REF!</definedName>
    <definedName name="CUSTOM2_FS04_1B1">#REF!</definedName>
    <definedName name="CUSTOM2_FS04_1B2">#REF!</definedName>
    <definedName name="CUSTOM2_FS04_1C">#REF!</definedName>
    <definedName name="CUSTOM2_FS04_1C1">#REF!</definedName>
    <definedName name="CUSTOM2_FS04_1C2">#REF!</definedName>
    <definedName name="CUSTOM2_FS04_Rail">#REF!</definedName>
    <definedName name="CUSTOM2_FS05_1A">#REF!</definedName>
    <definedName name="CUSTOM2_FS05_1A_RF">#REF!</definedName>
    <definedName name="CUSTOM2_FS05_1B">#REF!</definedName>
    <definedName name="CUSTOM2_FS05_1B1">#REF!</definedName>
    <definedName name="CUSTOM2_FS05_1B2">#REF!</definedName>
    <definedName name="CUSTOM2_FS05_1C">#REF!</definedName>
    <definedName name="CUSTOM2_FS05_1C_RF">#REF!</definedName>
    <definedName name="CUSTOM2_FS05_1C1">#REF!</definedName>
    <definedName name="CUSTOM2_FS05_1C2">#REF!</definedName>
    <definedName name="CUSTOM2_FS05_GARDEN">#REF!</definedName>
    <definedName name="CUSTOM2_FS05_GARDEN_1C">#REF!</definedName>
    <definedName name="CUSTOM2_FS05_IB_RF">#REF!</definedName>
    <definedName name="CUSTOM2_FS06_1A">#REF!</definedName>
    <definedName name="CUSTOM2_FS06_1C_RF">#REF!</definedName>
    <definedName name="CUSTOM2_FS06_RF">#REF!</definedName>
    <definedName name="CUSTOM2_FS06_Skybridge">#REF!</definedName>
    <definedName name="CUSTOM2_FS07_1B1">#REF!</definedName>
    <definedName name="CUSTOM2_FS07_1C">#REF!</definedName>
    <definedName name="CUSTOM2_FS11_1B1">#REF!</definedName>
    <definedName name="CUSTOM2_FS11_1B2">#REF!</definedName>
    <definedName name="CUSTOM2_FS11_1C1">#REF!</definedName>
    <definedName name="CUSTOM2_FS11_1C2">#REF!</definedName>
    <definedName name="CUSTOM2_FS12_1C2">#REF!</definedName>
    <definedName name="CUSTOM2_FS12_IC_RF">#REF!</definedName>
    <definedName name="CUSTOM2_FS12_RAIL_1C">#REF!</definedName>
    <definedName name="CUSTOM2_FS12_RAIL_RF">#REF!</definedName>
    <definedName name="CUSTOM2_FS12_RF">#REF!</definedName>
    <definedName name="CUSTOM2_Garage">#REF!</definedName>
    <definedName name="CUSTOM2_Garden">#REF!</definedName>
    <definedName name="CUSTOM2_GF">#REF!</definedName>
    <definedName name="CUSTOM2_GF___BOH____General_areas">#REF!</definedName>
    <definedName name="CUSTOM2_GF___BOH___Admin_Support">#REF!</definedName>
    <definedName name="CUSTOM2_GF___BOH___Boiler_Room">#REF!</definedName>
    <definedName name="CUSTOM2_GF___BOH___Ducts">#REF!</definedName>
    <definedName name="CUSTOM2_GF___BOH___Executive_Offices">#REF!</definedName>
    <definedName name="CUSTOM2_GF___BOH___Fire_Escape_Stairs">#REF!</definedName>
    <definedName name="CUSTOM2_GF___BOH___Front_Desk">#REF!</definedName>
    <definedName name="CUSTOM2_GF___BOH___Front_Office_Devision">#REF!</definedName>
    <definedName name="CUSTOM2_GF___BOH___Guest_Core">#REF!</definedName>
    <definedName name="CUSTOM2_GF___BOH___Guest_Core_ducts">#REF!</definedName>
    <definedName name="CUSTOM2_GF___BOH___Guest_Core_lift_shafts">#REF!</definedName>
    <definedName name="CUSTOM2_GF___BOH___Lobby_Bar_Pantry">#REF!</definedName>
    <definedName name="CUSTOM2_GF___BOH___Luggage">#REF!</definedName>
    <definedName name="CUSTOM2_GF___BOH___Prayer_Rooms">#REF!</definedName>
    <definedName name="CUSTOM2_GF___BOH___Sales_Offices">#REF!</definedName>
    <definedName name="CUSTOM2_GF___BOH___Security_and_Valet">#REF!</definedName>
    <definedName name="CUSTOM2_GF___BOH___Service_Core">#REF!</definedName>
    <definedName name="CUSTOM2_GF___BOH___Service_Core_ducts">#REF!</definedName>
    <definedName name="CUSTOM2_GF___BOH___Staff_Core">#REF!</definedName>
    <definedName name="CUSTOM2_GF___BOH___Staff_Core_lift_shafts">#REF!</definedName>
    <definedName name="CUSTOM2_GF___Double_Volume_internal_Reception">#REF!</definedName>
    <definedName name="CUSTOM2_GF___FOH___Circulation">#REF!</definedName>
    <definedName name="CUSTOM2_GF___FOH___Guest_Circulation">#REF!</definedName>
    <definedName name="CUSTOM2_GF___FOH___Guestroom_Terrace">#REF!</definedName>
    <definedName name="CUSTOM2_GF___FOH___Guestrooms">#REF!</definedName>
    <definedName name="CUSTOM2_GF___FOH___Hotel_Port_Corchere">#REF!</definedName>
    <definedName name="CUSTOM2_GF___FOH___Lobby_Bar___Lounge">#REF!</definedName>
    <definedName name="CUSTOM2_GF___FOH___Lobby_Bar___Lounge_Toilets">#REF!</definedName>
    <definedName name="CUSTOM2_GF___FOH___Reception_and_Lobby_BR_Terrace">#REF!</definedName>
    <definedName name="CUSTOM2_GF___FOH___Reception_Lobby">#REF!</definedName>
    <definedName name="CUSTOM2_GF___FOH___Speciality_Restaurant_01_Roof_Terrace">#REF!</definedName>
    <definedName name="CUSTOM2_GF___FOH___Wind_Lobby">#REF!</definedName>
    <definedName name="CUSTOM2_GF__15mm_dia._CWS_Buried_Underground">#REF!</definedName>
    <definedName name="CUSTOM2_GF__25mm_dia._CWS_20mm_dia_HSW">#REF!</definedName>
    <definedName name="CUSTOM2_GF__32_dia._CWS_Main_Buried_underground">#REF!</definedName>
    <definedName name="CUSTOM2_GF__32mm_dia_BCWS_25mm_dia_HWS">#REF!</definedName>
    <definedName name="CUSTOM2_GF_Bell_Captain">#REF!</definedName>
    <definedName name="CUSTOM2_GF_BOH_Service___Utility_area">#REF!</definedName>
    <definedName name="CUSTOM2_GF_BOH_Staircase">#REF!</definedName>
    <definedName name="CUSTOM2_GF_Business_Center">#REF!</definedName>
    <definedName name="CUSTOM2_GF_Double_Vol._at_Parking_ramp__2.5m_high_">#REF!</definedName>
    <definedName name="CUSTOM2_GF_Double_Volume">#REF!</definedName>
    <definedName name="CUSTOM2_GF_ENT._LOBBY_TO_LUGGAGE_BELL_CAPT">#REF!</definedName>
    <definedName name="CUSTOM2_GF_External_Double_doors__FOH_">#REF!</definedName>
    <definedName name="CUSTOM2_GF_External_Revolving_doors__FOH_">#REF!</definedName>
    <definedName name="CUSTOM2_GF_External_Single_doors__BOH_">#REF!</definedName>
    <definedName name="CUSTOM2_GF_External_Single_doors__FOH_">#REF!</definedName>
    <definedName name="CUSTOM2_GF_FOH_Circulation_Area">#REF!</definedName>
    <definedName name="CUSTOM2_GF_FOH_Staircase">#REF!</definedName>
    <definedName name="CUSTOM2_GF_Front_Office">#REF!</definedName>
    <definedName name="CUSTOM2_GF_Guest_Core">#REF!</definedName>
    <definedName name="CUSTOM2_GF_Guest_Rooms">#REF!</definedName>
    <definedName name="CUSTOM2_GF_HGR_BOH">#REF!</definedName>
    <definedName name="CUSTOM2_GF_HGR_Circulation">#REF!</definedName>
    <definedName name="CUSTOM2_GF_HGR_Covered_Balcony">#REF!</definedName>
    <definedName name="CUSTOM2_GF_HGR_Fire_Staircase">#REF!</definedName>
    <definedName name="CUSTOM2_GF_Internal_Single_doors__BOH_">#REF!</definedName>
    <definedName name="CUSTOM2_GF_Internal_Single_doors__FOH_">#REF!</definedName>
    <definedName name="CUSTOM2_GF_Lift_Shaft">#REF!</definedName>
    <definedName name="CUSTOM2_GF_Lobby_Bar">#REF!</definedName>
    <definedName name="CUSTOM2_GF_Lobby_Lounge">#REF!</definedName>
    <definedName name="CUSTOM2_GF_Lobby_Lounge_pantry">#REF!</definedName>
    <definedName name="CUSTOM2_GF_Luggage_Room">#REF!</definedName>
    <definedName name="CUSTOM2_GF_MEP_Area">#REF!</definedName>
    <definedName name="CUSTOM2_GF_Prayer_Room">#REF!</definedName>
    <definedName name="CUSTOM2_GF_Public_Toilets">#REF!</definedName>
    <definedName name="CUSTOM2_GF_Ramp_B1_to_GF">#REF!</definedName>
    <definedName name="CUSTOM2_GF_Ramp_GF_to_B1">#REF!</definedName>
    <definedName name="CUSTOM2_GF_Reception">#REF!</definedName>
    <definedName name="CUSTOM2_GF_Roller_shutter_doors__BOH_">#REF!</definedName>
    <definedName name="CUSTOM2_GF_Service_Core">#REF!</definedName>
    <definedName name="CUSTOM2_GF_Toilet_cubicle_doors">#REF!</definedName>
    <definedName name="CUSTOM2_GF_Toilet_to_Prayer_rooms">#REF!</definedName>
    <definedName name="CUSTOM2_GF_Voids_Dead_areas">#REF!</definedName>
    <definedName name="CUSTOM2_GFA">#REF!</definedName>
    <definedName name="CUSTOM2_GFA__GF_">#REF!</definedName>
    <definedName name="CUSTOM2_GFA__lvl_1_">#REF!</definedName>
    <definedName name="CUSTOM2_GFA__lvl_2_">#REF!</definedName>
    <definedName name="CUSTOM2_GFA__lvl_3_">#REF!</definedName>
    <definedName name="CUSTOM2_GFA__Podium_1_">#REF!</definedName>
    <definedName name="CUSTOM2_GFA__Podium_2_">#REF!</definedName>
    <definedName name="CUSTOM2_GFA__Roof_">#REF!</definedName>
    <definedName name="CUSTOM2_GIFA">#REF!</definedName>
    <definedName name="CUSTOM2_GIFA__GF_">#REF!</definedName>
    <definedName name="CUSTOM2_GIFA__lvl_1_">#REF!</definedName>
    <definedName name="CUSTOM2_GIFA__lvl_2_">#REF!</definedName>
    <definedName name="CUSTOM2_GIFA__Podium_1_">#REF!</definedName>
    <definedName name="CUSTOM2_GIFA__Podium_2_">#REF!</definedName>
    <definedName name="CUSTOM2_GIFA__Roof_">#REF!</definedName>
    <definedName name="CUSTOM2_GR1__150mm_Thk_Hollow_Block_Wall">#REF!</definedName>
    <definedName name="CUSTOM2_GR1__Ceiling_Finishes___Dropped_Ceiling">#REF!</definedName>
    <definedName name="CUSTOM2_GR1__Ceiling_Finishes___False_Ceiling">#REF!</definedName>
    <definedName name="CUSTOM2_GR1__FF_E_Fixed">#REF!</definedName>
    <definedName name="CUSTOM2_GR1__FF_E_Loose">#REF!</definedName>
    <definedName name="CUSTOM2_GR1__FLoor_Finishes___Stone">#REF!</definedName>
    <definedName name="CUSTOM2_GR1__Sanitary_Ware">#REF!</definedName>
    <definedName name="CUSTOM2_GR1__Single_Door">#REF!</definedName>
    <definedName name="CUSTOM2_GR1__Skirting____Blacken_Steel_Finish">#REF!</definedName>
    <definedName name="CUSTOM2_GR1__Skirting____Bronze_Finish">#REF!</definedName>
    <definedName name="CUSTOM2_GR1__Skirting____Chrome_metal_skirting">#REF!</definedName>
    <definedName name="CUSTOM2_GR1__Sliding_Door">#REF!</definedName>
    <definedName name="CUSTOM2_GR1__Threshold">#REF!</definedName>
    <definedName name="CUSTOM2_GR1__Wall_Finishes___Dark_mirror_finish_w_black">#REF!</definedName>
    <definedName name="CUSTOM2_GR1__Wall_Finishes___Glass_panel">#REF!</definedName>
    <definedName name="CUSTOM2_GR1__Wall_Finishes___High_Gloss_laquered_warm_grey">#REF!</definedName>
    <definedName name="CUSTOM2_GR1__Wall_Finishes___Light_Box_with_printed_Art">#REF!</definedName>
    <definedName name="CUSTOM2_GR1__Wall_Finishes___Painted_Finish">#REF!</definedName>
    <definedName name="CUSTOM2_GR1__Wall_Finishes___PU_Leather_Finish_w_double">#REF!</definedName>
    <definedName name="CUSTOM2_GR1__Wall_Finishes___Sandblasted_Granite">#REF!</definedName>
    <definedName name="CUSTOM2_GR1__Wall_Finishes___Wall_Stone_finish">#REF!</definedName>
    <definedName name="CUSTOM2_GR2__150mm_Tkh_Hollow_Block_Wall">#REF!</definedName>
    <definedName name="CUSTOM2_GR2__50mm_Tkh_Hollow_Block_Wall___Copy">#REF!</definedName>
    <definedName name="CUSTOM2_GR2__Ceiling_Finishes___Dropped_Ceiling">#REF!</definedName>
    <definedName name="CUSTOM2_GR2__Ceiling_Finishes___False_Ceiling">#REF!</definedName>
    <definedName name="CUSTOM2_GR2__FF_E_Fixed">#REF!</definedName>
    <definedName name="CUSTOM2_GR2__FF_E_Loose">#REF!</definedName>
    <definedName name="CUSTOM2_GR2__FLoor_Finishes___Stone">#REF!</definedName>
    <definedName name="CUSTOM2_GR2__Sanitary_Ware">#REF!</definedName>
    <definedName name="CUSTOM2_GR2__Single_Door">#REF!</definedName>
    <definedName name="CUSTOM2_GR2__Skirting____Blacken_Steel_Finish">#REF!</definedName>
    <definedName name="CUSTOM2_GR2__Skirting____Bronze_Finish">#REF!</definedName>
    <definedName name="CUSTOM2_GR2__Skirting____Chrome_metal_skirting">#REF!</definedName>
    <definedName name="CUSTOM2_GR2__Sliding_Door">#REF!</definedName>
    <definedName name="CUSTOM2_GR2__Threshold">#REF!</definedName>
    <definedName name="CUSTOM2_GR2__Wall_Finishes___Dark_mirror_finish_w_b">#REF!</definedName>
    <definedName name="CUSTOM2_GR2__Wall_Finishes___Glass_panel">#REF!</definedName>
    <definedName name="CUSTOM2_GR2__Wall_Finishes___Painted_Finish">#REF!</definedName>
    <definedName name="CUSTOM2_GR2__Wall_Finishes___Sandblasted_Granite">#REF!</definedName>
    <definedName name="CUSTOM2_GR2__Wall_Finishes___Wall_Stone_finish">#REF!</definedName>
    <definedName name="CUSTOM2_GR3__150mm_thk_hollow_block_Wall">#REF!</definedName>
    <definedName name="CUSTOM2_GR3__200mm_thk_hollow_block_Wall">#REF!</definedName>
    <definedName name="CUSTOM2_GR3__75mm_thk_hollow_block_Wall">#REF!</definedName>
    <definedName name="CUSTOM2_GR3__Ceiling_Finishes___Dropped_Ceiling">#REF!</definedName>
    <definedName name="CUSTOM2_GR3__Ceiling_Finishes___False_Ceiling">#REF!</definedName>
    <definedName name="CUSTOM2_GR3__FF_E_Fixed">#REF!</definedName>
    <definedName name="CUSTOM2_GR3__FF_E_Loose">#REF!</definedName>
    <definedName name="CUSTOM2_GR3__FLoor_Finishes___Stone">#REF!</definedName>
    <definedName name="CUSTOM2_GR3__Sanitary_Ware">#REF!</definedName>
    <definedName name="CUSTOM2_GR3__Single_Door">#REF!</definedName>
    <definedName name="CUSTOM2_GR3__Skirting____Bronze_Finish">#REF!</definedName>
    <definedName name="CUSTOM2_GR3__Skirting____Chrome_metal_skirting">#REF!</definedName>
    <definedName name="CUSTOM2_GR3__Sliding_Door">#REF!</definedName>
    <definedName name="CUSTOM2_GR3__Threshold">#REF!</definedName>
    <definedName name="CUSTOM2_GR3__Wall_Finishes___Dark_mirror_finish_w_b">#REF!</definedName>
    <definedName name="CUSTOM2_GR3__Wall_Finishes___Glass_panel">#REF!</definedName>
    <definedName name="CUSTOM2_GR3__Wall_Finishes___Light_Box_with_printed">#REF!</definedName>
    <definedName name="CUSTOM2_GR3__Wall_Finishes___Painted_Finish">#REF!</definedName>
    <definedName name="CUSTOM2_GR3__Wall_Finishes___Wall_Stone_finish">#REF!</definedName>
    <definedName name="CUSTOM2_GR4__200mm_Thk_Hollow_Block_Wall">#REF!</definedName>
    <definedName name="CUSTOM2_GR4__Ceiling_Finishes___Dropped_Ceiling">#REF!</definedName>
    <definedName name="CUSTOM2_GR4__Ceiling_Finishes___False_Ceiling">#REF!</definedName>
    <definedName name="CUSTOM2_GR4__FF_E_Fixed">#REF!</definedName>
    <definedName name="CUSTOM2_GR4__FF_E_Loose">#REF!</definedName>
    <definedName name="CUSTOM2_GR4__FLoor_Finishes___Stone">#REF!</definedName>
    <definedName name="CUSTOM2_GR4__Sanitary_Ware">#REF!</definedName>
    <definedName name="CUSTOM2_GR4__Single_Door">#REF!</definedName>
    <definedName name="CUSTOM2_GR4__Skirting____Blacken_Steel_Finish">#REF!</definedName>
    <definedName name="CUSTOM2_GR4__Skirting____Bronze_Finish">#REF!</definedName>
    <definedName name="CUSTOM2_GR4__Skirting____Chrome_metal_skirting">#REF!</definedName>
    <definedName name="CUSTOM2_GR4__Sliding_Door">#REF!</definedName>
    <definedName name="CUSTOM2_GR4__Threshold">#REF!</definedName>
    <definedName name="CUSTOM2_GR4__Wall_Finishes___Dark_mirror_finish_w_b">#REF!</definedName>
    <definedName name="CUSTOM2_GR4__Wall_Finishes___Glass_Panel">#REF!</definedName>
    <definedName name="CUSTOM2_GR4__Wall_Finishes___Light_Box_with_printed">#REF!</definedName>
    <definedName name="CUSTOM2_GR4__Wall_Finishes___Painted_Finish">#REF!</definedName>
    <definedName name="CUSTOM2_GR4__Wall_Finishes___Sandblasted_Granite">#REF!</definedName>
    <definedName name="CUSTOM2_GR4__Wall_Finishes___Wall_Stone_finish">#REF!</definedName>
    <definedName name="CUSTOM2_GR5__150mm_Thk_hollow_block_wall">#REF!</definedName>
    <definedName name="CUSTOM2_GR5__200mm_Thk_hollow_block_wall">#REF!</definedName>
    <definedName name="CUSTOM2_GR5__75mm_Thk_hollow_block_wall">#REF!</definedName>
    <definedName name="CUSTOM2_GR5__Ceiling_Finishes___Dropped_Ceiling">#REF!</definedName>
    <definedName name="CUSTOM2_GR5__Ceiling_Finishes___False_Ceiling">#REF!</definedName>
    <definedName name="CUSTOM2_GR5__FF_E_Fixed">#REF!</definedName>
    <definedName name="CUSTOM2_GR5__FF_E_Loose">#REF!</definedName>
    <definedName name="CUSTOM2_GR5__FLoor_Finishes___Stone">#REF!</definedName>
    <definedName name="CUSTOM2_GR5__Sanitary_Ware">#REF!</definedName>
    <definedName name="CUSTOM2_GR5__Single_Doors">#REF!</definedName>
    <definedName name="CUSTOM2_GR5__Skirting____Blacken_Steel_Finish">#REF!</definedName>
    <definedName name="CUSTOM2_GR5__Skirting____Stone_Finish">#REF!</definedName>
    <definedName name="CUSTOM2_GR5__Skirting____Timber_Finish">#REF!</definedName>
    <definedName name="CUSTOM2_GR5__Sliding_Doors">#REF!</definedName>
    <definedName name="CUSTOM2_GR5__Threshold">#REF!</definedName>
    <definedName name="CUSTOM2_GR5__Wall_Finishes___Blacken_Steel_Panel">#REF!</definedName>
    <definedName name="CUSTOM2_GR5__Wall_Finishes___Curtain_Wall">#REF!</definedName>
    <definedName name="CUSTOM2_GR5__Wall_Finishes___Dark_mirror_finish_w_b">#REF!</definedName>
    <definedName name="CUSTOM2_GR5__Wall_Finishes___Glass_Panel">#REF!</definedName>
    <definedName name="CUSTOM2_GR5__Wall_Finishes___High_Gloss_laquered_wa">#REF!</definedName>
    <definedName name="CUSTOM2_GR5__Wall_Finishes___Leather_panel_with_double_stitches">#REF!</definedName>
    <definedName name="CUSTOM2_GR5__Wall_Finishes___Light_Box_with_printed">#REF!</definedName>
    <definedName name="CUSTOM2_GR5__Wall_Finishes___Painted_Finish">#REF!</definedName>
    <definedName name="CUSTOM2_GR5__Wall_Finishes___Wall_Stone_finish">#REF!</definedName>
    <definedName name="CUSTOM2_GR6__200mm_Thk_Hollow_Block_Wall">#REF!</definedName>
    <definedName name="CUSTOM2_GR6__Ceiling_Finishes___Dropped_Ceiling">#REF!</definedName>
    <definedName name="CUSTOM2_GR6__Ceiling_Finishes___False_Ceiling">#REF!</definedName>
    <definedName name="CUSTOM2_GR6__FF_E_Fixed">#REF!</definedName>
    <definedName name="CUSTOM2_GR6__FF_E_Loose">#REF!</definedName>
    <definedName name="CUSTOM2_GR6__Floor_Finishes___Stone">#REF!</definedName>
    <definedName name="CUSTOM2_GR6__Sanitary_Ware">#REF!</definedName>
    <definedName name="CUSTOM2_GR6__Single_Door">#REF!</definedName>
    <definedName name="CUSTOM2_GR6__Skirting___Blacken_Steel_Finish">#REF!</definedName>
    <definedName name="CUSTOM2_GR6__Skirting___Stone_finish">#REF!</definedName>
    <definedName name="CUSTOM2_GR6__Skirting___Threshold">#REF!</definedName>
    <definedName name="CUSTOM2_GR6__Skirting___Timber_Finish">#REF!</definedName>
    <definedName name="CUSTOM2_GR6__Sliding_Doors">#REF!</definedName>
    <definedName name="CUSTOM2_GR6__Wall_Finishes___Blacken_Steel_Panel">#REF!</definedName>
    <definedName name="CUSTOM2_GR6__Wall_Finishes___Dark_Mirror_Finish_w_b">#REF!</definedName>
    <definedName name="CUSTOM2_GR6__Wall_Finishes___Fixed_Glass">#REF!</definedName>
    <definedName name="CUSTOM2_GR6__Wall_Finishes___Glass_Panel">#REF!</definedName>
    <definedName name="CUSTOM2_GR6__Wall_Finishes___Leather_panel_with_dou">#REF!</definedName>
    <definedName name="CUSTOM2_GR6__Wall_Finishes___Mirror_Column">#REF!</definedName>
    <definedName name="CUSTOM2_GR6__Wall_Finishes___Painted_Finish">#REF!</definedName>
    <definedName name="CUSTOM2_GR6__Wall_Finishes___Sandblasted_Grainte">#REF!</definedName>
    <definedName name="CUSTOM2_GR6__Wall_Finishes___Wall_Stone_Finish">#REF!</definedName>
    <definedName name="CUSTOM2_GR7__100mm_Thk_Hollow_block__wall">#REF!</definedName>
    <definedName name="CUSTOM2_GR7__150mm_Thk_Hollow_block__wall">#REF!</definedName>
    <definedName name="CUSTOM2_GR7__Ceiling_Finishes___Dropped_Ceiling">#REF!</definedName>
    <definedName name="CUSTOM2_GR7__Ceiling_Finishes___False_Celining">#REF!</definedName>
    <definedName name="CUSTOM2_GR7__FF_E_Fixed">#REF!</definedName>
    <definedName name="CUSTOM2_GR7__FF_E_Loose">#REF!</definedName>
    <definedName name="CUSTOM2_GR7__Floor_Finishes___Stone">#REF!</definedName>
    <definedName name="CUSTOM2_GR7__Sanitary_Ware">#REF!</definedName>
    <definedName name="CUSTOM2_GR7__Single_Door">#REF!</definedName>
    <definedName name="CUSTOM2_GR7__Skirting___Blacken_Steel_Finish">#REF!</definedName>
    <definedName name="CUSTOM2_GR7__Skirting___Stone_finish">#REF!</definedName>
    <definedName name="CUSTOM2_GR7__Skirting___Threshold">#REF!</definedName>
    <definedName name="CUSTOM2_GR7__Skirting___Timber_Finish">#REF!</definedName>
    <definedName name="CUSTOM2_GR7__Sliding_Door">#REF!</definedName>
    <definedName name="CUSTOM2_GR7__Wall_Finishes___Back_Lit_Screne">#REF!</definedName>
    <definedName name="CUSTOM2_GR7__Wall_Finishes___Blacken_Steel_Panel">#REF!</definedName>
    <definedName name="CUSTOM2_GR7__Wall_Finishes___Dark_Mirror_Finish_w_b">#REF!</definedName>
    <definedName name="CUSTOM2_GR7__Wall_Finishes___Glass_Panel">#REF!</definedName>
    <definedName name="CUSTOM2_GR7__Wall_Finishes___Leather_Panel_with_double_stitch">#REF!</definedName>
    <definedName name="CUSTOM2_GR7__Wall_Finishes___Mirror_Column">#REF!</definedName>
    <definedName name="CUSTOM2_GR7__Wall_Finishes___Painted_Finish">#REF!</definedName>
    <definedName name="CUSTOM2_GR7__Wall_Finishes___Wall_Stone_Finish">#REF!</definedName>
    <definedName name="CUSTOM2_GR8__100mm_thk_hollow_block">#REF!</definedName>
    <definedName name="CUSTOM2_GR8__150mm_thk_hollow_block">#REF!</definedName>
    <definedName name="CUSTOM2_GR8__Balistrade___Handrail">#REF!</definedName>
    <definedName name="CUSTOM2_GR8__Ceiling_Finishes___Dropped_Ceiling">#REF!</definedName>
    <definedName name="CUSTOM2_GR8__Ceiling_Finishes___False_Celining">#REF!</definedName>
    <definedName name="CUSTOM2_GR8__FF_E_Fixed">#REF!</definedName>
    <definedName name="CUSTOM2_GR8__FF_E_Loose">#REF!</definedName>
    <definedName name="CUSTOM2_GR8__Floor_Finishes___Stone">#REF!</definedName>
    <definedName name="CUSTOM2_GR8__Sanitary_Ware">#REF!</definedName>
    <definedName name="CUSTOM2_GR8__Single_Doors">#REF!</definedName>
    <definedName name="CUSTOM2_GR8__Skirting___Blacken_Steel_Finish">#REF!</definedName>
    <definedName name="CUSTOM2_GR8__Skirting___Stone_finish">#REF!</definedName>
    <definedName name="CUSTOM2_GR8__Skirting___Threshold">#REF!</definedName>
    <definedName name="CUSTOM2_GR8__Skirting___Timber_Finish">#REF!</definedName>
    <definedName name="CUSTOM2_GR8__Wall_Finishes___Blacken_Steel_Panel">#REF!</definedName>
    <definedName name="CUSTOM2_GR8__Wall_Finishes___Full_Height_Glass">#REF!</definedName>
    <definedName name="CUSTOM2_GR8__Wall_Finishes___Glass_Panel">#REF!</definedName>
    <definedName name="CUSTOM2_GR8__Wall_Finishes___Mirror_cladded_Column">#REF!</definedName>
    <definedName name="CUSTOM2_GR8__Wall_Finishes___Painted_Finish">#REF!</definedName>
    <definedName name="CUSTOM2_GR8__Wall_Finishes___Tiled_Finish">#REF!</definedName>
    <definedName name="CUSTOM2_GR8__Wall_Finishes___Wall_Stone_Finish">#REF!</definedName>
    <definedName name="CUSTOM2_GR9__150mm_hollow_Block_Wall">#REF!</definedName>
    <definedName name="CUSTOM2_GR9__Ceiling_Finishes___Dropped_Ceiling">#REF!</definedName>
    <definedName name="CUSTOM2_GR9__Ceiling_Finishes___False_Ceiling">#REF!</definedName>
    <definedName name="CUSTOM2_GR9__FF_E_Fixed">#REF!</definedName>
    <definedName name="CUSTOM2_GR9__FF_E_Loose">#REF!</definedName>
    <definedName name="CUSTOM2_GR9__Floor_Finishes___Ceramic_Tile">#REF!</definedName>
    <definedName name="CUSTOM2_GR9__Floor_Finishes___Stone">#REF!</definedName>
    <definedName name="CUSTOM2_GR9__Sanitary_Ware">#REF!</definedName>
    <definedName name="CUSTOM2_GR9__Skirting___Blacken_Steel_Finish">#REF!</definedName>
    <definedName name="CUSTOM2_GR9__Skirting___Stone_finish">#REF!</definedName>
    <definedName name="CUSTOM2_GR9__Skirting___Threshold">#REF!</definedName>
    <definedName name="CUSTOM2_GR9__Skirting___Timber_Finish">#REF!</definedName>
    <definedName name="CUSTOM2_GR9__Wall_Finishes___Blacken_Steel_Panel">#REF!</definedName>
    <definedName name="CUSTOM2_GR9__Wall_Finishes___Dark_Mirror_Finish_w_b">#REF!</definedName>
    <definedName name="CUSTOM2_GR9__Wall_Finishes___Full_Height_Glass">#REF!</definedName>
    <definedName name="CUSTOM2_GR9__Wall_Finishes___Glass_Panel">#REF!</definedName>
    <definedName name="CUSTOM2_GR9__Wall_Finishes___Leather_Panel_with_double_stitch">#REF!</definedName>
    <definedName name="CUSTOM2_GR9__Wall_Finishes___Mirror_Column">#REF!</definedName>
    <definedName name="CUSTOM2_GR9__Wall_Finishes___Painted_Finish">#REF!</definedName>
    <definedName name="CUSTOM2_GR9__Wall_Finishes___Tiled_Finish">#REF!</definedName>
    <definedName name="CUSTOM2_GR9__Wall_Finishes___Wall_Stone_Finish">#REF!</definedName>
    <definedName name="CUSTOM2_Hotel_F_B__GF_" localSheetId="1">#REF!</definedName>
    <definedName name="CUSTOM2_Hotel_F_B__GF_">#REF!</definedName>
    <definedName name="CUSTOM2_IA_001mPF_BA_A_U00___lift_lobby">#REF!</definedName>
    <definedName name="CUSTOM2_IA_001mPF_BA_A_U00___lift_shaft">#REF!</definedName>
    <definedName name="CUSTOM2_IA_001mPF_BB_B_U00___double_vol._e.t.s._rm.">#REF!</definedName>
    <definedName name="CUSTOM2_IA_001mPF_BB_B_U00___double_volume">#REF!</definedName>
    <definedName name="CUSTOM2_IA_001mPF_BB_B_U00___electrical_rm.">#REF!</definedName>
    <definedName name="CUSTOM2_IA_001mPF_BB_B_U00___f.e._stairs">#REF!</definedName>
    <definedName name="CUSTOM2_IA_001mPF_BB_B_U00___f.h.c.">#REF!</definedName>
    <definedName name="CUSTOM2_IA_001mPF_BB_B_U00___garbage_rm.">#REF!</definedName>
    <definedName name="CUSTOM2_IA_001mPF_BB_B_U00___services_trans._area">#REF!</definedName>
    <definedName name="CUSTOM2_IA_001mPF_BB_B_U00___shaft">#REF!</definedName>
    <definedName name="CUSTOM2_IA_001mPF_BB_B_U00___stair_3">#REF!</definedName>
    <definedName name="CUSTOM2_IA_001mPF_BB_B_U00___telephone_rm.">#REF!</definedName>
    <definedName name="CUSTOM2_IA_001mPF_BB_B_U00___void">#REF!</definedName>
    <definedName name="CUSTOM2_IA_001mPF_BB_C_U00___driveway">#REF!</definedName>
    <definedName name="CUSTOM2_IA_001mPF_BB_C_U00___driveway_ramp">#REF!</definedName>
    <definedName name="CUSTOM2_IA_001mPF_BB_C_U00___driveway_zebra_lines">#REF!</definedName>
    <definedName name="CUSTOM2_IA_001mPF_BB_C_U00___parking_bay">#REF!</definedName>
    <definedName name="CUSTOM2_IA_001mPF_BB_C_U00___sidewalk">#REF!</definedName>
    <definedName name="CUSTOM2_IA_001mPF_BB_C_U00___sidewalk_ramp">#REF!</definedName>
    <definedName name="CUSTOM2_IA_001PF_BA_A_U00___lift_lobby">#REF!</definedName>
    <definedName name="CUSTOM2_IA_001PF_BA_A_U00___lift_shaft">#REF!</definedName>
    <definedName name="CUSTOM2_IA_001PF_BA_B_U00___electrical_rm.">#REF!</definedName>
    <definedName name="CUSTOM2_IA_001PF_BA_B_U00___f.e._stairs">#REF!</definedName>
    <definedName name="CUSTOM2_IA_001PF_BA_B_U00___f.h.c.">#REF!</definedName>
    <definedName name="CUSTOM2_IA_001PF_BA_B_U00___garbage_rm.">#REF!</definedName>
    <definedName name="CUSTOM2_IA_001PF_BA_B_U00___shaft">#REF!</definedName>
    <definedName name="CUSTOM2_IA_001PF_BA_B_U00___stair_3">#REF!</definedName>
    <definedName name="CUSTOM2_IA_001PF_BA_B_U00___telephone_rm.">#REF!</definedName>
    <definedName name="CUSTOM2_IA_001PF_BA_C_U00___driveway">#REF!</definedName>
    <definedName name="CUSTOM2_IA_001PF_BA_C_U00___driveway_zebra_line">#REF!</definedName>
    <definedName name="CUSTOM2_IA_001PF_BA_C_U00___parking_bay">#REF!</definedName>
    <definedName name="CUSTOM2_IA_001PF_BA_C_U00___sidewalk">#REF!</definedName>
    <definedName name="CUSTOM2_IA_002PF_BA_A_U00___lift_lobby">#REF!</definedName>
    <definedName name="CUSTOM2_IA_002PF_BA_A_U00___lift_shaft">#REF!</definedName>
    <definedName name="CUSTOM2_IA_002PF_BA_B_U00___electrical_rm.">#REF!</definedName>
    <definedName name="CUSTOM2_IA_002PF_BA_B_U00___f.e._stairs">#REF!</definedName>
    <definedName name="CUSTOM2_IA_002PF_BA_B_U00___f.h.c.">#REF!</definedName>
    <definedName name="CUSTOM2_IA_002PF_BA_B_U00___garbage_rm.">#REF!</definedName>
    <definedName name="CUSTOM2_IA_002PF_BA_B_U00___shaft">#REF!</definedName>
    <definedName name="CUSTOM2_IA_002PF_BA_B_U00___stair_3">#REF!</definedName>
    <definedName name="CUSTOM2_IA_002PF_BA_B_U00___telephone_rm.">#REF!</definedName>
    <definedName name="CUSTOM2_IA_002PF_BA_C_U00___driveway">#REF!</definedName>
    <definedName name="CUSTOM2_IA_002PF_BA_C_U00___driveway_zebra_line">#REF!</definedName>
    <definedName name="CUSTOM2_IA_002PF_BA_C_U00___parking_bay">#REF!</definedName>
    <definedName name="CUSTOM2_IA_002PF_BA_C_U00___sidewalk">#REF!</definedName>
    <definedName name="CUSTOM2_IA_003PF_BA_A_U00___lift_lobby">#REF!</definedName>
    <definedName name="CUSTOM2_IA_003PF_BA_A_U00___lift_shaft">#REF!</definedName>
    <definedName name="CUSTOM2_IA_003PF_BA_B_U00___electrical_rm.">#REF!</definedName>
    <definedName name="CUSTOM2_IA_003PF_BA_B_U00___f.e._stairs">#REF!</definedName>
    <definedName name="CUSTOM2_IA_003PF_BA_B_U00___f.h.c.">#REF!</definedName>
    <definedName name="CUSTOM2_IA_003PF_BA_B_U00___garbage_rm.">#REF!</definedName>
    <definedName name="CUSTOM2_IA_003PF_BA_B_U00___plant_rm.">#REF!</definedName>
    <definedName name="CUSTOM2_IA_003PF_BA_B_U00___shaft">#REF!</definedName>
    <definedName name="CUSTOM2_IA_003PF_BA_B_U00___stair_3">#REF!</definedName>
    <definedName name="CUSTOM2_IA_003PF_BA_B_U00___telephone_rm.">#REF!</definedName>
    <definedName name="CUSTOM2_IA_003PF_BA_C_U00___driveway">#REF!</definedName>
    <definedName name="CUSTOM2_IA_003PF_BA_C_U00___driveway_zebra_line">#REF!</definedName>
    <definedName name="CUSTOM2_IA_003PF_BA_C_U00___parking_bay">#REF!</definedName>
    <definedName name="CUSTOM2_IA_003PF_BA_C_U00___sidewalk">#REF!</definedName>
    <definedName name="CUSTOM2_IA_00AF_AB_U00___cafe">#REF!</definedName>
    <definedName name="CUSTOM2_IA_00AF_AB_U00___cafe_pantry">#REF!</definedName>
    <definedName name="CUSTOM2_IA_00AF_AB_U00___corridor">#REF!</definedName>
    <definedName name="CUSTOM2_IA_00AF_AB_U00___game_rm.">#REF!</definedName>
    <definedName name="CUSTOM2_IA_00AF_AB_U00___game_rm._store">#REF!</definedName>
    <definedName name="CUSTOM2_IA_00AF_AB_U00___gym_female">#REF!</definedName>
    <definedName name="CUSTOM2_IA_00AF_AB_U00___gym_female_lobby">#REF!</definedName>
    <definedName name="CUSTOM2_IA_00AF_AB_U00___gym_female_shaft">#REF!</definedName>
    <definedName name="CUSTOM2_IA_00AF_AB_U00___gym_female_store">#REF!</definedName>
    <definedName name="CUSTOM2_IA_00AF_AB_U00___gym_female_void">#REF!</definedName>
    <definedName name="CUSTOM2_IA_00AF_AB_U00___gym_male">#REF!</definedName>
    <definedName name="CUSTOM2_IA_00AF_AB_U00___gym_male_lobby">#REF!</definedName>
    <definedName name="CUSTOM2_IA_00AF_AB_U00___gym_male_shaft">#REF!</definedName>
    <definedName name="CUSTOM2_IA_00AF_AB_U00___gym_male_store">#REF!</definedName>
    <definedName name="CUSTOM2_IA_00AF_AB_U00___gym_male_void">#REF!</definedName>
    <definedName name="CUSTOM2_IA_00AF_AB_U00___handicap_toi._female">#REF!</definedName>
    <definedName name="CUSTOM2_IA_00AF_AB_U00___handicap_toi._male">#REF!</definedName>
    <definedName name="CUSTOM2_IA_00AF_AB_U00___lift_lobby">#REF!</definedName>
    <definedName name="CUSTOM2_IA_00AF_AB_U00___lift_shaft">#REF!</definedName>
    <definedName name="CUSTOM2_IA_00AF_AB_U00___multi_purpose_rm.">#REF!</definedName>
    <definedName name="CUSTOM2_IA_00AF_AB_U00___multi_purpose_shaft">#REF!</definedName>
    <definedName name="CUSTOM2_IA_00AF_AB_U00___multi_purpose_store">#REF!</definedName>
    <definedName name="CUSTOM2_IA_00AF_AB_U00___spa_f._hallway">#REF!</definedName>
    <definedName name="CUSTOM2_IA_00AF_AB_U00___spa_f._heater_rm.">#REF!</definedName>
    <definedName name="CUSTOM2_IA_00AF_AB_U00___spa_f._lobby">#REF!</definedName>
    <definedName name="CUSTOM2_IA_00AF_AB_U00___spa_f._lockers">#REF!</definedName>
    <definedName name="CUSTOM2_IA_00AF_AB_U00___spa_f._massage_rm.">#REF!</definedName>
    <definedName name="CUSTOM2_IA_00AF_AB_U00___spa_f._rec.">#REF!</definedName>
    <definedName name="CUSTOM2_IA_00AF_AB_U00___spa_f._sauna">#REF!</definedName>
    <definedName name="CUSTOM2_IA_00AF_AB_U00___spa_f._shaft">#REF!</definedName>
    <definedName name="CUSTOM2_IA_00AF_AB_U00___spa_f._shower_toilet">#REF!</definedName>
    <definedName name="CUSTOM2_IA_00AF_AB_U00___spa_f._steam_rm.">#REF!</definedName>
    <definedName name="CUSTOM2_IA_00AF_AB_U00___spa_m._hallway">#REF!</definedName>
    <definedName name="CUSTOM2_IA_00AF_AB_U00___spa_m._heater_rm.">#REF!</definedName>
    <definedName name="CUSTOM2_IA_00AF_AB_U00___spa_m._lobby">#REF!</definedName>
    <definedName name="CUSTOM2_IA_00AF_AB_U00___spa_m._lockers">#REF!</definedName>
    <definedName name="CUSTOM2_IA_00AF_AB_U00___spa_m._massage_rm.">#REF!</definedName>
    <definedName name="CUSTOM2_IA_00AF_AB_U00___spa_m._rec.">#REF!</definedName>
    <definedName name="CUSTOM2_IA_00AF_AB_U00___spa_m._sauna">#REF!</definedName>
    <definedName name="CUSTOM2_IA_00AF_AB_U00___spa_m._shaft">#REF!</definedName>
    <definedName name="CUSTOM2_IA_00AF_AB_U00___spa_m._shower_toilet">#REF!</definedName>
    <definedName name="CUSTOM2_IA_00AF_AB_U00___spa_m._steam_rm.">#REF!</definedName>
    <definedName name="CUSTOM2_IA_00AF_AC_U00___electrical_rm.">#REF!</definedName>
    <definedName name="CUSTOM2_IA_00AF_AC_U00___f.e._stair">#REF!</definedName>
    <definedName name="CUSTOM2_IA_00AF_AC_U00___fhc">#REF!</definedName>
    <definedName name="CUSTOM2_IA_00AF_AC_U00___garbage_rm.">#REF!</definedName>
    <definedName name="CUSTOM2_IA_00AF_AC_U00___shaft">#REF!</definedName>
    <definedName name="CUSTOM2_IA_00AF_AC_U00___stair_3">#REF!</definedName>
    <definedName name="CUSTOM2_IA_00AF_AC_U00___store_rm.">#REF!</definedName>
    <definedName name="CUSTOM2_IA_00AF_AC_U00___telephone_rm.">#REF!</definedName>
    <definedName name="CUSTOM2_IA_00B1F_BD_B_U00___double_volume">#REF!</definedName>
    <definedName name="CUSTOM2_IA_00B1F_BD_B_U00___f.e._stairs">#REF!</definedName>
    <definedName name="CUSTOM2_IA_00B1F_BD_B_U00___f.h.c.">#REF!</definedName>
    <definedName name="CUSTOM2_IA_00B1F_BD_B_U00___fire_pump_rm.">#REF!</definedName>
    <definedName name="CUSTOM2_IA_00B1F_BD_B_U00___lobby_rm.">#REF!</definedName>
    <definedName name="CUSTOM2_IA_00B1F_BD_B_U00___lobby_rm._ent.">#REF!</definedName>
    <definedName name="CUSTOM2_IA_00B1F_BD_B_U00___shaft">#REF!</definedName>
    <definedName name="CUSTOM2_IA_00B1F_BD_B_U00___stair_3">#REF!</definedName>
    <definedName name="CUSTOM2_IA_00B1F_BD_B_U00___tech._rm.">#REF!</definedName>
    <definedName name="CUSTOM2_IA_00B1F_BD_C_U00___double_volume">#REF!</definedName>
    <definedName name="CUSTOM2_IA_00B1F_BD_C_U00___driveway">#REF!</definedName>
    <definedName name="CUSTOM2_IA_00B1F_BD_C_U00___driveway_ramp_1">#REF!</definedName>
    <definedName name="CUSTOM2_IA_00B1F_BD_C_U00___driveway_zebra_lines">#REF!</definedName>
    <definedName name="CUSTOM2_IA_00B1F_BD_C_U00___parking_bay">#REF!</definedName>
    <definedName name="CUSTOM2_IA_00B1F_BD_C_U00___sidewalk">#REF!</definedName>
    <definedName name="CUSTOM2_IA_00B1F_BD_C_U00___sidewalk_ramp">#REF!</definedName>
    <definedName name="CUSTOM2_IA_00B1iF_BD_A_U00___lift_lobby">#REF!</definedName>
    <definedName name="CUSTOM2_IA_00B1iF_BD_A_U00___lift_shaft">#REF!</definedName>
    <definedName name="CUSTOM2_IA_00B1iF_BD_B_U00___electrical_rm.">#REF!</definedName>
    <definedName name="CUSTOM2_IA_00B1iF_BD_B_U00___f.e._stairs">#REF!</definedName>
    <definedName name="CUSTOM2_IA_00B1iF_BD_B_U00___f.h.c.">#REF!</definedName>
    <definedName name="CUSTOM2_IA_00B1iF_BD_B_U00___l.v._rm.">#REF!</definedName>
    <definedName name="CUSTOM2_IA_00B1iF_BD_B_U00___main_tel._rm.">#REF!</definedName>
    <definedName name="CUSTOM2_IA_00B1iF_BD_B_U00___shaft">#REF!</definedName>
    <definedName name="CUSTOM2_IA_00B1iF_BD_B_U00___stair_4">#REF!</definedName>
    <definedName name="CUSTOM2_IA_00B1iF_BD_B_U00___storage_1">#REF!</definedName>
    <definedName name="CUSTOM2_IA_00B1iF_BD_B_U00___tech._rm.1">#REF!</definedName>
    <definedName name="CUSTOM2_IA_00B1iF_BD_B_U00___tech._rm.2">#REF!</definedName>
    <definedName name="CUSTOM2_IA_00B1iF_BD_B_U00___tech._rm.3">#REF!</definedName>
    <definedName name="CUSTOM2_IA_00B1iF_BD_B_U00___water_tank_1_double_volume">#REF!</definedName>
    <definedName name="CUSTOM2_IA_00B1iF_BD_B_U00___water_tank_2_double_volume">#REF!</definedName>
    <definedName name="CUSTOM2_IA_00B1iF_BD_B_U00___water_tank_3_double_volume">#REF!</definedName>
    <definedName name="CUSTOM2_IA_00B1iF_BD_B_U00___water_tank_4_double_volume">#REF!</definedName>
    <definedName name="CUSTOM2_IA_00B1iF_BD_C_U00___driveway">#REF!</definedName>
    <definedName name="CUSTOM2_IA_00B1iF_BD_C_U00___driveway_zebra_lines">#REF!</definedName>
    <definedName name="CUSTOM2_IA_00B1iF_BD_C_U00___parking_bay">#REF!</definedName>
    <definedName name="CUSTOM2_IA_00B1iF_BD_C_U00___sidewalk">#REF!</definedName>
    <definedName name="CUSTOM2_IA_00B2F_BD_A_U00___lift_lobby">#REF!</definedName>
    <definedName name="CUSTOM2_IA_00B2F_BD_A_U00___lift_shaft">#REF!</definedName>
    <definedName name="CUSTOM2_IA_00B2F_BD_B_U00___electrical_rm.">#REF!</definedName>
    <definedName name="CUSTOM2_IA_00B2F_BD_B_U00___f.e._stair">#REF!</definedName>
    <definedName name="CUSTOM2_IA_00B2F_BD_B_U00___f.h.c.">#REF!</definedName>
    <definedName name="CUSTOM2_IA_00B2F_BD_B_U00___mechanical_rm.1">#REF!</definedName>
    <definedName name="CUSTOM2_IA_00B2F_BD_B_U00___pump_rm.">#REF!</definedName>
    <definedName name="CUSTOM2_IA_00B2F_BD_B_U00___pump_rm._2">#REF!</definedName>
    <definedName name="CUSTOM2_IA_00B2F_BD_B_U00___shaft">#REF!</definedName>
    <definedName name="CUSTOM2_IA_00B2F_BD_B_U00___stair_4">#REF!</definedName>
    <definedName name="CUSTOM2_IA_00B2F_BD_B_U00___store_rm.1">#REF!</definedName>
    <definedName name="CUSTOM2_IA_00B2F_BD_B_U00___store_rm.2">#REF!</definedName>
    <definedName name="CUSTOM2_IA_00B2F_BD_B_U00___store_rm.3">#REF!</definedName>
    <definedName name="CUSTOM2_IA_00B2F_BD_B_U00___store_rm.4">#REF!</definedName>
    <definedName name="CUSTOM2_IA_00B2F_BD_B_U00___store_rm.5">#REF!</definedName>
    <definedName name="CUSTOM2_IA_00B2F_BD_B_U00___tech_rm.1">#REF!</definedName>
    <definedName name="CUSTOM2_IA_00B2F_BD_B_U00___tech_rm.2">#REF!</definedName>
    <definedName name="CUSTOM2_IA_00B2F_BD_B_U00___tech_rm.3">#REF!</definedName>
    <definedName name="CUSTOM2_IA_00B2F_BD_B_U00___water_tank__1">#REF!</definedName>
    <definedName name="CUSTOM2_IA_00B2F_BD_B_U00___water_tank__2">#REF!</definedName>
    <definedName name="CUSTOM2_IA_00B2F_BD_B_U00___water_tank__3">#REF!</definedName>
    <definedName name="CUSTOM2_IA_00B2F_BD_B_U00___water_tank__4">#REF!</definedName>
    <definedName name="CUSTOM2_IA_00B2F_BD_C_U00___driveway_1">#REF!</definedName>
    <definedName name="CUSTOM2_IA_00B2F_BD_C_U00___driveway_1___zebra_line">#REF!</definedName>
    <definedName name="CUSTOM2_IA_00B2F_BD_C_U00___parking_bay_1">#REF!</definedName>
    <definedName name="CUSTOM2_IA_00B2F_BD_C_U00___sidewalk_1">#REF!</definedName>
    <definedName name="CUSTOM2_IA_00BF_BC_A_U00___entrance_lobby">#REF!</definedName>
    <definedName name="CUSTOM2_IA_00BF_BC_A_U00___lift_lobby">#REF!</definedName>
    <definedName name="CUSTOM2_IA_00BF_BC_A_U00___lift_shaft">#REF!</definedName>
    <definedName name="CUSTOM2_IA_00BF_BC_A_U00___main_entrance">#REF!</definedName>
    <definedName name="CUSTOM2_IA_00BF_BC_B_U00___b.m.s._rm.">#REF!</definedName>
    <definedName name="CUSTOM2_IA_00BF_BC_B_U00___e.t.s_rm.">#REF!</definedName>
    <definedName name="CUSTOM2_IA_00BF_BC_B_U00___e.t.s_rm._hallway">#REF!</definedName>
    <definedName name="CUSTOM2_IA_00BF_BC_B_U00___e.t.s_rm.1">#REF!</definedName>
    <definedName name="CUSTOM2_IA_00BF_BC_B_U00___elect._rm">#REF!</definedName>
    <definedName name="CUSTOM2_IA_00BF_BC_B_U00___elect._rm_1">#REF!</definedName>
    <definedName name="CUSTOM2_IA_00BF_BC_B_U00___f.e._stair">#REF!</definedName>
    <definedName name="CUSTOM2_IA_00BF_BC_B_U00___f.e._stair_corridor">#REF!</definedName>
    <definedName name="CUSTOM2_IA_00BF_BC_B_U00___f.e._stair_corridor_lobby">#REF!</definedName>
    <definedName name="CUSTOM2_IA_00BF_BC_B_U00___f.h.c.">#REF!</definedName>
    <definedName name="CUSTOM2_IA_00BF_BC_B_U00___g.s.m._rm.">#REF!</definedName>
    <definedName name="CUSTOM2_IA_00BF_BC_B_U00___garbage_rm.">#REF!</definedName>
    <definedName name="CUSTOM2_IA_00BF_BC_B_U00___garbage_rm._ramp">#REF!</definedName>
    <definedName name="CUSTOM2_IA_00BF_BC_B_U00___generator_rm.">#REF!</definedName>
    <definedName name="CUSTOM2_IA_00BF_BC_B_U00___guard_rm.">#REF!</definedName>
    <definedName name="CUSTOM2_IA_00BF_BC_B_U00___guard_rm._toilet">#REF!</definedName>
    <definedName name="CUSTOM2_IA_00BF_BC_B_U00___h.v._rm.">#REF!</definedName>
    <definedName name="CUSTOM2_IA_00BF_BC_B_U00___platform">#REF!</definedName>
    <definedName name="CUSTOM2_IA_00BF_BC_B_U00___shaft">#REF!</definedName>
    <definedName name="CUSTOM2_IA_00BF_BC_B_U00___stairs_3">#REF!</definedName>
    <definedName name="CUSTOM2_IA_00BF_BC_B_U00___tech._area_1">#REF!</definedName>
    <definedName name="CUSTOM2_IA_00BF_BC_B_U00___tech._area_2">#REF!</definedName>
    <definedName name="CUSTOM2_IA_00BF_BC_B_U00___tech._area_3">#REF!</definedName>
    <definedName name="CUSTOM2_IA_00BF_BC_B_U00___tech._area_3_lobby">#REF!</definedName>
    <definedName name="CUSTOM2_IA_00BF_BC_B_U00___tel_rm.">#REF!</definedName>
    <definedName name="CUSTOM2_IA_00BF_BC_B_U00___toilet">#REF!</definedName>
    <definedName name="CUSTOM2_IA_00BF_BC_B_U00___toilet_female">#REF!</definedName>
    <definedName name="CUSTOM2_IA_00BF_BC_B_U00___toilet_lobby">#REF!</definedName>
    <definedName name="CUSTOM2_IA_00BF_BC_B_U00___toilet_male">#REF!</definedName>
    <definedName name="CUSTOM2_IA_00BF_BC_B_U00___transformer_rm.">#REF!</definedName>
    <definedName name="CUSTOM2_IA_00BF_BC_C_U00___double_volume">#REF!</definedName>
    <definedName name="CUSTOM2_IA_00BF_BC_C_U00___driveway_1">#REF!</definedName>
    <definedName name="CUSTOM2_IA_00BF_BC_C_U00___driveway_ramp">#REF!</definedName>
    <definedName name="CUSTOM2_IA_00BF_BC_C_U00___driveway_zebra_line">#REF!</definedName>
    <definedName name="CUSTOM2_IA_00BF_BC_C_U00___sidewalk_1">#REF!</definedName>
    <definedName name="CUSTOM2_IA_00BF_BC_C_U00___sidewalk_1_ramp">#REF!</definedName>
    <definedName name="CUSTOM2_IA_00BF_BC_C_U00___void">#REF!</definedName>
    <definedName name="CUSTOM2_IA_01F_AA_U01___BR1_lobby">#REF!</definedName>
    <definedName name="CUSTOM2_IA_01F_AA_U01___BR1_rm.">#REF!</definedName>
    <definedName name="CUSTOM2_IA_01F_AA_U01___BR1_t_b">#REF!</definedName>
    <definedName name="CUSTOM2_IA_01F_AA_U01___BR2_dresser">#REF!</definedName>
    <definedName name="CUSTOM2_IA_01F_AA_U01___BR2_lobby">#REF!</definedName>
    <definedName name="CUSTOM2_IA_01F_AA_U01___BR2_rm.">#REF!</definedName>
    <definedName name="CUSTOM2_IA_01F_AA_U01___BR2_t_b">#REF!</definedName>
    <definedName name="CUSTOM2_IA_01F_AA_U01___corridor">#REF!</definedName>
    <definedName name="CUSTOM2_IA_01F_AA_U01___foyer">#REF!</definedName>
    <definedName name="CUSTOM2_IA_01F_AA_U01___kitchen">#REF!</definedName>
    <definedName name="CUSTOM2_IA_01F_AA_U01___living_dining">#REF!</definedName>
    <definedName name="CUSTOM2_IA_01F_AA_U01___maids_rm.">#REF!</definedName>
    <definedName name="CUSTOM2_IA_01F_AA_U01___maids_toi.">#REF!</definedName>
    <definedName name="CUSTOM2_IA_01F_AA_U01___shaft">#REF!</definedName>
    <definedName name="CUSTOM2_IA_01F_AA_U01___toilet">#REF!</definedName>
    <definedName name="CUSTOM2_IA_01F_AA_U01___utility_rm.">#REF!</definedName>
    <definedName name="CUSTOM2_IA_01F_AA_U01___void">#REF!</definedName>
    <definedName name="CUSTOM2_IA_01F_AA_U02___BR1_dresser">#REF!</definedName>
    <definedName name="CUSTOM2_IA_01F_AA_U02___BR1_rm.">#REF!</definedName>
    <definedName name="CUSTOM2_IA_01F_AA_U02___BR1_t_b">#REF!</definedName>
    <definedName name="CUSTOM2_IA_01F_AA_U02___BR2_lobby">#REF!</definedName>
    <definedName name="CUSTOM2_IA_01F_AA_U02___BR2_rm.">#REF!</definedName>
    <definedName name="CUSTOM2_IA_01F_AA_U02___BR2_t_b">#REF!</definedName>
    <definedName name="CUSTOM2_IA_01F_AA_U02___corridor">#REF!</definedName>
    <definedName name="CUSTOM2_IA_01F_AA_U02___foyer">#REF!</definedName>
    <definedName name="CUSTOM2_IA_01F_AA_U02___kitchen">#REF!</definedName>
    <definedName name="CUSTOM2_IA_01F_AA_U02___living_dining">#REF!</definedName>
    <definedName name="CUSTOM2_IA_01F_AA_U02___maids_rm.">#REF!</definedName>
    <definedName name="CUSTOM2_IA_01F_AA_U02___maids_toi.">#REF!</definedName>
    <definedName name="CUSTOM2_IA_01F_AA_U02___shaft">#REF!</definedName>
    <definedName name="CUSTOM2_IA_01F_AA_U02___toilet">#REF!</definedName>
    <definedName name="CUSTOM2_IA_01F_AA_U02___utility_rm.">#REF!</definedName>
    <definedName name="CUSTOM2_IA_01F_AA_U02___void">#REF!</definedName>
    <definedName name="CUSTOM2_IA_01F_AA_U03___BR1_dresser">#REF!</definedName>
    <definedName name="CUSTOM2_IA_01F_AA_U03___BR1_lobby">#REF!</definedName>
    <definedName name="CUSTOM2_IA_01F_AA_U03___BR1_rm.">#REF!</definedName>
    <definedName name="CUSTOM2_IA_01F_AA_U03___BR1_store">#REF!</definedName>
    <definedName name="CUSTOM2_IA_01F_AA_U03___BR1_t_b">#REF!</definedName>
    <definedName name="CUSTOM2_IA_01F_AA_U03___foyer">#REF!</definedName>
    <definedName name="CUSTOM2_IA_01F_AA_U03___kitchen">#REF!</definedName>
    <definedName name="CUSTOM2_IA_01F_AA_U03___living_dining">#REF!</definedName>
    <definedName name="CUSTOM2_IA_01F_AA_U03___shaft">#REF!</definedName>
    <definedName name="CUSTOM2_IA_01F_AA_U03___storage">#REF!</definedName>
    <definedName name="CUSTOM2_IA_01F_AA_U03___toilet">#REF!</definedName>
    <definedName name="CUSTOM2_IA_01F_AA_U03___utility_rm.">#REF!</definedName>
    <definedName name="CUSTOM2_IA_01F_AA_U03___void">#REF!</definedName>
    <definedName name="CUSTOM2_IA_01F_AA_U04___BR1_dresser">#REF!</definedName>
    <definedName name="CUSTOM2_IA_01F_AA_U04___BR1_lobby">#REF!</definedName>
    <definedName name="CUSTOM2_IA_01F_AA_U04___BR1_rm.">#REF!</definedName>
    <definedName name="CUSTOM2_IA_01F_AA_U04___BR1_store">#REF!</definedName>
    <definedName name="CUSTOM2_IA_01F_AA_U04___BR1_t_b">#REF!</definedName>
    <definedName name="CUSTOM2_IA_01F_AA_U04___foyer">#REF!</definedName>
    <definedName name="CUSTOM2_IA_01F_AA_U04___kitchen">#REF!</definedName>
    <definedName name="CUSTOM2_IA_01F_AA_U04___living_dining">#REF!</definedName>
    <definedName name="CUSTOM2_IA_01F_AA_U04___shaft">#REF!</definedName>
    <definedName name="CUSTOM2_IA_01F_AA_U04___storage">#REF!</definedName>
    <definedName name="CUSTOM2_IA_01F_AA_U04___toilet">#REF!</definedName>
    <definedName name="CUSTOM2_IA_01F_AA_U04___utility_rm.">#REF!</definedName>
    <definedName name="CUSTOM2_IA_01F_AA_U04___void">#REF!</definedName>
    <definedName name="CUSTOM2_IA_01F_AA_U05___corridor">#REF!</definedName>
    <definedName name="CUSTOM2_IA_01F_AA_U05___foyer">#REF!</definedName>
    <definedName name="CUSTOM2_IA_01F_AA_U05___kitchen">#REF!</definedName>
    <definedName name="CUSTOM2_IA_01F_AA_U05___living_dining">#REF!</definedName>
    <definedName name="CUSTOM2_IA_01F_AA_U05___maids_lobby">#REF!</definedName>
    <definedName name="CUSTOM2_IA_01F_AA_U05___maids_rm.">#REF!</definedName>
    <definedName name="CUSTOM2_IA_01F_AA_U05___maids_toi.">#REF!</definedName>
    <definedName name="CUSTOM2_IA_01F_AA_U05___shaft">#REF!</definedName>
    <definedName name="CUSTOM2_IA_01F_AA_U05___stairs">#REF!</definedName>
    <definedName name="CUSTOM2_IA_01F_AA_U05___toilet">#REF!</definedName>
    <definedName name="CUSTOM2_IA_01F_AA_U05___utility_rm.">#REF!</definedName>
    <definedName name="CUSTOM2_IA_01F_AA_U06___BR1_lobby">#REF!</definedName>
    <definedName name="CUSTOM2_IA_01F_AA_U06___BR1_rm.">#REF!</definedName>
    <definedName name="CUSTOM2_IA_01F_AA_U06___BR1_t_b">#REF!</definedName>
    <definedName name="CUSTOM2_IA_01F_AA_U06___BR2_dresser">#REF!</definedName>
    <definedName name="CUSTOM2_IA_01F_AA_U06___BR2_lobby">#REF!</definedName>
    <definedName name="CUSTOM2_IA_01F_AA_U06___BR2_rm.">#REF!</definedName>
    <definedName name="CUSTOM2_IA_01F_AA_U06___BR2_t_b">#REF!</definedName>
    <definedName name="CUSTOM2_IA_01F_AA_U06___BR3_dresser">#REF!</definedName>
    <definedName name="CUSTOM2_IA_01F_AA_U06___BR3_lobby">#REF!</definedName>
    <definedName name="CUSTOM2_IA_01F_AA_U06___BR3_rm.">#REF!</definedName>
    <definedName name="CUSTOM2_IA_01F_AA_U06___BR3_t_b">#REF!</definedName>
    <definedName name="CUSTOM2_IA_01F_AA_U06___corridor">#REF!</definedName>
    <definedName name="CUSTOM2_IA_01F_AA_U06___foyer">#REF!</definedName>
    <definedName name="CUSTOM2_IA_01F_AA_U06___kitchen">#REF!</definedName>
    <definedName name="CUSTOM2_IA_01F_AA_U06___living_dining">#REF!</definedName>
    <definedName name="CUSTOM2_IA_01F_AA_U06___maids_rm.">#REF!</definedName>
    <definedName name="CUSTOM2_IA_01F_AA_U06___maids_toi.">#REF!</definedName>
    <definedName name="CUSTOM2_IA_01F_AA_U06___shaft">#REF!</definedName>
    <definedName name="CUSTOM2_IA_01F_AA_U06___toilet">#REF!</definedName>
    <definedName name="CUSTOM2_IA_01F_AA_U06___utility_rm.">#REF!</definedName>
    <definedName name="CUSTOM2_IA_01F_AB_U00___corridor">#REF!</definedName>
    <definedName name="CUSTOM2_IA_01F_AB_U00___lift_lobby">#REF!</definedName>
    <definedName name="CUSTOM2_IA_01F_AB_U00___lift_shaft">#REF!</definedName>
    <definedName name="CUSTOM2_IA_01F_AC_U00___electrical_rm.">#REF!</definedName>
    <definedName name="CUSTOM2_IA_01F_AC_U00___f.e._stair">#REF!</definedName>
    <definedName name="CUSTOM2_IA_01F_AC_U00___f.h.c.">#REF!</definedName>
    <definedName name="CUSTOM2_IA_01F_AC_U00___garbage_rm.">#REF!</definedName>
    <definedName name="CUSTOM2_IA_01F_AC_U00___shaft">#REF!</definedName>
    <definedName name="CUSTOM2_IA_01F_AC_U00___telephone_rm.">#REF!</definedName>
    <definedName name="CUSTOM2_IA_02F_AA_U01___BR1_lobby">#REF!</definedName>
    <definedName name="CUSTOM2_IA_02F_AA_U01___BR1_rm.">#REF!</definedName>
    <definedName name="CUSTOM2_IA_02F_AA_U01___BR1_t_b">#REF!</definedName>
    <definedName name="CUSTOM2_IA_02F_AA_U01___BR2_dresser">#REF!</definedName>
    <definedName name="CUSTOM2_IA_02F_AA_U01___BR2_lobby">#REF!</definedName>
    <definedName name="CUSTOM2_IA_02F_AA_U01___BR2_rm.">#REF!</definedName>
    <definedName name="CUSTOM2_IA_02F_AA_U01___BR2_t_b">#REF!</definedName>
    <definedName name="CUSTOM2_IA_02F_AA_U01___corridor">#REF!</definedName>
    <definedName name="CUSTOM2_IA_02F_AA_U01___foyer">#REF!</definedName>
    <definedName name="CUSTOM2_IA_02F_AA_U01___kitchen">#REF!</definedName>
    <definedName name="CUSTOM2_IA_02F_AA_U01___living_dining">#REF!</definedName>
    <definedName name="CUSTOM2_IA_02F_AA_U01___maids_rm.">#REF!</definedName>
    <definedName name="CUSTOM2_IA_02F_AA_U01___maids_toi.">#REF!</definedName>
    <definedName name="CUSTOM2_IA_02F_AA_U01___shaft">#REF!</definedName>
    <definedName name="CUSTOM2_IA_02F_AA_U01___toilet">#REF!</definedName>
    <definedName name="CUSTOM2_IA_02F_AA_U01___utility_rm.">#REF!</definedName>
    <definedName name="CUSTOM2_IA_02F_AA_U01___void">#REF!</definedName>
    <definedName name="CUSTOM2_IA_02F_AA_U02___BR1_dresser">#REF!</definedName>
    <definedName name="CUSTOM2_IA_02F_AA_U02___BR1_rm.">#REF!</definedName>
    <definedName name="CUSTOM2_IA_02F_AA_U02___BR1_t_b">#REF!</definedName>
    <definedName name="CUSTOM2_IA_02F_AA_U02___BR2_lobby">#REF!</definedName>
    <definedName name="CUSTOM2_IA_02F_AA_U02___BR2_rm.">#REF!</definedName>
    <definedName name="CUSTOM2_IA_02F_AA_U02___BR2_t_b">#REF!</definedName>
    <definedName name="CUSTOM2_IA_02F_AA_U02___corridor">#REF!</definedName>
    <definedName name="CUSTOM2_IA_02F_AA_U02___foyer">#REF!</definedName>
    <definedName name="CUSTOM2_IA_02F_AA_U02___kitchen">#REF!</definedName>
    <definedName name="CUSTOM2_IA_02F_AA_U02___living_dining">#REF!</definedName>
    <definedName name="CUSTOM2_IA_02F_AA_U02___maids_rm.">#REF!</definedName>
    <definedName name="CUSTOM2_IA_02F_AA_U02___maids_toi.">#REF!</definedName>
    <definedName name="CUSTOM2_IA_02F_AA_U02___shaft">#REF!</definedName>
    <definedName name="CUSTOM2_IA_02F_AA_U02___toilet">#REF!</definedName>
    <definedName name="CUSTOM2_IA_02F_AA_U02___utility_rm.">#REF!</definedName>
    <definedName name="CUSTOM2_IA_02F_AA_U02___void">#REF!</definedName>
    <definedName name="CUSTOM2_IA_02F_AA_U05___BR1_rm.">#REF!</definedName>
    <definedName name="CUSTOM2_IA_02F_AA_U05___BR1_t_b">#REF!</definedName>
    <definedName name="CUSTOM2_IA_02F_AA_U05___BR2_lobby">#REF!</definedName>
    <definedName name="CUSTOM2_IA_02F_AA_U05___BR2_rm.">#REF!</definedName>
    <definedName name="CUSTOM2_IA_02F_AA_U05___BR2_t_b">#REF!</definedName>
    <definedName name="CUSTOM2_IA_02F_AA_U05___double_vol.">#REF!</definedName>
    <definedName name="CUSTOM2_IA_02F_AA_U05___foyer">#REF!</definedName>
    <definedName name="CUSTOM2_IA_02F_AA_U05___living_rm.">#REF!</definedName>
    <definedName name="CUSTOM2_IA_02F_AA_U05___shaft">#REF!</definedName>
    <definedName name="CUSTOM2_IA_02F_AA_U05___stairs">#REF!</definedName>
    <definedName name="CUSTOM2_IA_02F_AA_U05___void">#REF!</definedName>
    <definedName name="CUSTOM2_IA_02F_AA_U06___BR1_lobby">#REF!</definedName>
    <definedName name="CUSTOM2_IA_02F_AA_U06___BR1_rm.">#REF!</definedName>
    <definedName name="CUSTOM2_IA_02F_AA_U06___BR1_t_b">#REF!</definedName>
    <definedName name="CUSTOM2_IA_02F_AA_U06___BR2_dresser">#REF!</definedName>
    <definedName name="CUSTOM2_IA_02F_AA_U06___BR2_lobby">#REF!</definedName>
    <definedName name="CUSTOM2_IA_02F_AA_U06___BR2_rm.">#REF!</definedName>
    <definedName name="CUSTOM2_IA_02F_AA_U06___BR2_t_b">#REF!</definedName>
    <definedName name="CUSTOM2_IA_02F_AA_U06___BR3_dresser">#REF!</definedName>
    <definedName name="CUSTOM2_IA_02F_AA_U06___BR3_lobby">#REF!</definedName>
    <definedName name="CUSTOM2_IA_02F_AA_U06___BR3_rm.">#REF!</definedName>
    <definedName name="CUSTOM2_IA_02F_AA_U06___BR3_t_b">#REF!</definedName>
    <definedName name="CUSTOM2_IA_02F_AA_U06___corridor">#REF!</definedName>
    <definedName name="CUSTOM2_IA_02F_AA_U06___foyer">#REF!</definedName>
    <definedName name="CUSTOM2_IA_02F_AA_U06___kitchen">#REF!</definedName>
    <definedName name="CUSTOM2_IA_02F_AA_U06___living_dining">#REF!</definedName>
    <definedName name="CUSTOM2_IA_02F_AA_U06___maids_rm.">#REF!</definedName>
    <definedName name="CUSTOM2_IA_02F_AA_U06___maids_toi.">#REF!</definedName>
    <definedName name="CUSTOM2_IA_02F_AA_U06___shaft">#REF!</definedName>
    <definedName name="CUSTOM2_IA_02F_AA_U06___toilet">#REF!</definedName>
    <definedName name="CUSTOM2_IA_02F_AA_U06___utility_rm.">#REF!</definedName>
    <definedName name="CUSTOM2_IA_03F_AA_U05___corridor">#REF!</definedName>
    <definedName name="CUSTOM2_IA_03F_AA_U05___foyer">#REF!</definedName>
    <definedName name="CUSTOM2_IA_03F_AA_U05___kitchen">#REF!</definedName>
    <definedName name="CUSTOM2_IA_03F_AA_U05___living_dining">#REF!</definedName>
    <definedName name="CUSTOM2_IA_03F_AA_U05___maids_lobby">#REF!</definedName>
    <definedName name="CUSTOM2_IA_03F_AA_U05___maids_rm.">#REF!</definedName>
    <definedName name="CUSTOM2_IA_03F_AA_U05___maids_toi.">#REF!</definedName>
    <definedName name="CUSTOM2_IA_03F_AA_U05___shaft">#REF!</definedName>
    <definedName name="CUSTOM2_IA_03F_AA_U05___stairs">#REF!</definedName>
    <definedName name="CUSTOM2_IA_03F_AA_U05___toilet">#REF!</definedName>
    <definedName name="CUSTOM2_IA_03F_AA_U05___utility_rm.">#REF!</definedName>
    <definedName name="CUSTOM2_IA_05F_AA_U01___BR1_lobby">#REF!</definedName>
    <definedName name="CUSTOM2_IA_05F_AA_U01___BR1_rm.">#REF!</definedName>
    <definedName name="CUSTOM2_IA_05F_AA_U01___BR1_t_b">#REF!</definedName>
    <definedName name="CUSTOM2_IA_05F_AA_U01___BR2_dresser">#REF!</definedName>
    <definedName name="CUSTOM2_IA_05F_AA_U01___BR2_lobby">#REF!</definedName>
    <definedName name="CUSTOM2_IA_05F_AA_U01___BR2_rm.">#REF!</definedName>
    <definedName name="CUSTOM2_IA_05F_AA_U01___BR2_t_b">#REF!</definedName>
    <definedName name="CUSTOM2_IA_05F_AA_U01___corridor">#REF!</definedName>
    <definedName name="CUSTOM2_IA_05F_AA_U01___foyer">#REF!</definedName>
    <definedName name="CUSTOM2_IA_05F_AA_U01___kitchen">#REF!</definedName>
    <definedName name="CUSTOM2_IA_05F_AA_U01___living_dining">#REF!</definedName>
    <definedName name="CUSTOM2_IA_05F_AA_U01___maids_rm.">#REF!</definedName>
    <definedName name="CUSTOM2_IA_05F_AA_U01___maids_toi.">#REF!</definedName>
    <definedName name="CUSTOM2_IA_05F_AA_U01___shaft">#REF!</definedName>
    <definedName name="CUSTOM2_IA_05F_AA_U01___toilet">#REF!</definedName>
    <definedName name="CUSTOM2_IA_05F_AA_U01___utility_rm.">#REF!</definedName>
    <definedName name="CUSTOM2_IA_05F_AA_U01___void">#REF!</definedName>
    <definedName name="CUSTOM2_IA_05F_AA_U02___BR1_dresser">#REF!</definedName>
    <definedName name="CUSTOM2_IA_05F_AA_U02___BR1_rm.">#REF!</definedName>
    <definedName name="CUSTOM2_IA_05F_AA_U02___BR1_t_b">#REF!</definedName>
    <definedName name="CUSTOM2_IA_05F_AA_U02___BR2_lobby">#REF!</definedName>
    <definedName name="CUSTOM2_IA_05F_AA_U02___BR2_rm.">#REF!</definedName>
    <definedName name="CUSTOM2_IA_05F_AA_U02___BR2_t_b">#REF!</definedName>
    <definedName name="CUSTOM2_IA_05F_AA_U02___corridor">#REF!</definedName>
    <definedName name="CUSTOM2_IA_05F_AA_U02___foyer">#REF!</definedName>
    <definedName name="CUSTOM2_IA_05F_AA_U02___kitchen">#REF!</definedName>
    <definedName name="CUSTOM2_IA_05F_AA_U02___living_dining">#REF!</definedName>
    <definedName name="CUSTOM2_IA_05F_AA_U02___maids_rm.">#REF!</definedName>
    <definedName name="CUSTOM2_IA_05F_AA_U02___maids_toi.">#REF!</definedName>
    <definedName name="CUSTOM2_IA_05F_AA_U02___shaft">#REF!</definedName>
    <definedName name="CUSTOM2_IA_05F_AA_U02___toilet">#REF!</definedName>
    <definedName name="CUSTOM2_IA_05F_AA_U02___utility_rm.">#REF!</definedName>
    <definedName name="CUSTOM2_IA_05F_AA_U02___void">#REF!</definedName>
    <definedName name="CUSTOM2_IA_05F_AA_U05___corridor">#REF!</definedName>
    <definedName name="CUSTOM2_IA_05F_AA_U05___foyer">#REF!</definedName>
    <definedName name="CUSTOM2_IA_05F_AA_U05___kitchen">#REF!</definedName>
    <definedName name="CUSTOM2_IA_05F_AA_U05___living_dining">#REF!</definedName>
    <definedName name="CUSTOM2_IA_05F_AA_U05___maids_lobby">#REF!</definedName>
    <definedName name="CUSTOM2_IA_05F_AA_U05___maids_rm.">#REF!</definedName>
    <definedName name="CUSTOM2_IA_05F_AA_U05___maids_toi.">#REF!</definedName>
    <definedName name="CUSTOM2_IA_05F_AA_U05___shaft">#REF!</definedName>
    <definedName name="CUSTOM2_IA_05F_AA_U05___stairs">#REF!</definedName>
    <definedName name="CUSTOM2_IA_05F_AA_U05___toilet">#REF!</definedName>
    <definedName name="CUSTOM2_IA_05F_AA_U05___utility_rm.">#REF!</definedName>
    <definedName name="CUSTOM2_IA_05F_AA_U06___BR1_lobby">#REF!</definedName>
    <definedName name="CUSTOM2_IA_05F_AA_U06___BR1_rm.">#REF!</definedName>
    <definedName name="CUSTOM2_IA_05F_AA_U06___BR1_t_b">#REF!</definedName>
    <definedName name="CUSTOM2_IA_05F_AA_U06___BR2_dresser">#REF!</definedName>
    <definedName name="CUSTOM2_IA_05F_AA_U06___BR2_lobby">#REF!</definedName>
    <definedName name="CUSTOM2_IA_05F_AA_U06___BR2_rm.">#REF!</definedName>
    <definedName name="CUSTOM2_IA_05F_AA_U06___BR2_t_b">#REF!</definedName>
    <definedName name="CUSTOM2_IA_05F_AA_U06___BR3_dresser">#REF!</definedName>
    <definedName name="CUSTOM2_IA_05F_AA_U06___BR3_lobby">#REF!</definedName>
    <definedName name="CUSTOM2_IA_05F_AA_U06___BR3_rm.">#REF!</definedName>
    <definedName name="CUSTOM2_IA_05F_AA_U06___BR3_t_b">#REF!</definedName>
    <definedName name="CUSTOM2_IA_05F_AA_U06___corridor">#REF!</definedName>
    <definedName name="CUSTOM2_IA_05F_AA_U06___foyer">#REF!</definedName>
    <definedName name="CUSTOM2_IA_05F_AA_U06___kitchen">#REF!</definedName>
    <definedName name="CUSTOM2_IA_05F_AA_U06___living_dining">#REF!</definedName>
    <definedName name="CUSTOM2_IA_05F_AA_U06___maids_rm.">#REF!</definedName>
    <definedName name="CUSTOM2_IA_05F_AA_U06___maids_toi.">#REF!</definedName>
    <definedName name="CUSTOM2_IA_05F_AA_U06___shaft">#REF!</definedName>
    <definedName name="CUSTOM2_IA_05F_AA_U06___toilet">#REF!</definedName>
    <definedName name="CUSTOM2_IA_05F_AA_U06___utility_rm.">#REF!</definedName>
    <definedName name="CUSTOM2_IA_06F_AA_U05___BR1_rm.">#REF!</definedName>
    <definedName name="CUSTOM2_IA_06F_AA_U05___BR1_t_b">#REF!</definedName>
    <definedName name="CUSTOM2_IA_06F_AA_U05___BR2_lobby">#REF!</definedName>
    <definedName name="CUSTOM2_IA_06F_AA_U05___BR2_rm.">#REF!</definedName>
    <definedName name="CUSTOM2_IA_06F_AA_U05___BR2_t_b">#REF!</definedName>
    <definedName name="CUSTOM2_IA_06F_AA_U05___double_vol.">#REF!</definedName>
    <definedName name="CUSTOM2_IA_06F_AA_U05___foyer">#REF!</definedName>
    <definedName name="CUSTOM2_IA_06F_AA_U05___living_rm.">#REF!</definedName>
    <definedName name="CUSTOM2_IA_06F_AA_U05___shaft">#REF!</definedName>
    <definedName name="CUSTOM2_IA_06F_AA_U05___stairs">#REF!</definedName>
    <definedName name="CUSTOM2_IA_06F_AA_U05___void">#REF!</definedName>
    <definedName name="CUSTOM2_IA_06F_AA_U06___BR1_lobby">#REF!</definedName>
    <definedName name="CUSTOM2_IA_06F_AA_U06___BR1_rm.">#REF!</definedName>
    <definedName name="CUSTOM2_IA_06F_AA_U06___BR1_t_b">#REF!</definedName>
    <definedName name="CUSTOM2_IA_06F_AA_U06___BR2_dresser">#REF!</definedName>
    <definedName name="CUSTOM2_IA_06F_AA_U06___BR2_lobby">#REF!</definedName>
    <definedName name="CUSTOM2_IA_06F_AA_U06___BR2_rm.">#REF!</definedName>
    <definedName name="CUSTOM2_IA_06F_AA_U06___BR2_t_b">#REF!</definedName>
    <definedName name="CUSTOM2_IA_06F_AA_U06___BR3_dresser">#REF!</definedName>
    <definedName name="CUSTOM2_IA_06F_AA_U06___BR3_lobby">#REF!</definedName>
    <definedName name="CUSTOM2_IA_06F_AA_U06___BR3_rm.">#REF!</definedName>
    <definedName name="CUSTOM2_IA_06F_AA_U06___BR3_t_b">#REF!</definedName>
    <definedName name="CUSTOM2_IA_06F_AA_U06___corridor">#REF!</definedName>
    <definedName name="CUSTOM2_IA_06F_AA_U06___foyer">#REF!</definedName>
    <definedName name="CUSTOM2_IA_06F_AA_U06___kitchen">#REF!</definedName>
    <definedName name="CUSTOM2_IA_06F_AA_U06___living_dining">#REF!</definedName>
    <definedName name="CUSTOM2_IA_06F_AA_U06___maids_rm.">#REF!</definedName>
    <definedName name="CUSTOM2_IA_06F_AA_U06___maids_toi.">#REF!</definedName>
    <definedName name="CUSTOM2_IA_06F_AA_U06___shaft">#REF!</definedName>
    <definedName name="CUSTOM2_IA_06F_AA_U06___toilet">#REF!</definedName>
    <definedName name="CUSTOM2_IA_06F_AA_U06___utility_rm.">#REF!</definedName>
    <definedName name="CUSTOM2_IA_07F_AA_U03___BR1_dresser">#REF!</definedName>
    <definedName name="CUSTOM2_IA_07F_AA_U03___BR1_lobby">#REF!</definedName>
    <definedName name="CUSTOM2_IA_07F_AA_U03___BR1_rm.">#REF!</definedName>
    <definedName name="CUSTOM2_IA_07F_AA_U03___BR1_store">#REF!</definedName>
    <definedName name="CUSTOM2_IA_07F_AA_U03___BR1_t_b">#REF!</definedName>
    <definedName name="CUSTOM2_IA_07F_AA_U03___foyer">#REF!</definedName>
    <definedName name="CUSTOM2_IA_07F_AA_U03___kitchen">#REF!</definedName>
    <definedName name="CUSTOM2_IA_07F_AA_U03___living_dining">#REF!</definedName>
    <definedName name="CUSTOM2_IA_07F_AA_U03___shaft">#REF!</definedName>
    <definedName name="CUSTOM2_IA_07F_AA_U03___storage">#REF!</definedName>
    <definedName name="CUSTOM2_IA_07F_AA_U03___toilet">#REF!</definedName>
    <definedName name="CUSTOM2_IA_07F_AA_U03___utility_rm.">#REF!</definedName>
    <definedName name="CUSTOM2_IA_07F_AA_U03___void">#REF!</definedName>
    <definedName name="CUSTOM2_IA_07F_AA_U04___BR1_dresser">#REF!</definedName>
    <definedName name="CUSTOM2_IA_07F_AA_U04___BR1_lobby">#REF!</definedName>
    <definedName name="CUSTOM2_IA_07F_AA_U04___BR1_rm.">#REF!</definedName>
    <definedName name="CUSTOM2_IA_07F_AA_U04___BR1_store">#REF!</definedName>
    <definedName name="CUSTOM2_IA_07F_AA_U04___BR1_t_b">#REF!</definedName>
    <definedName name="CUSTOM2_IA_07F_AA_U04___foyer">#REF!</definedName>
    <definedName name="CUSTOM2_IA_07F_AA_U04___kitchen">#REF!</definedName>
    <definedName name="CUSTOM2_IA_07F_AA_U04___living_dining">#REF!</definedName>
    <definedName name="CUSTOM2_IA_07F_AA_U04___shaft">#REF!</definedName>
    <definedName name="CUSTOM2_IA_07F_AA_U04___storage">#REF!</definedName>
    <definedName name="CUSTOM2_IA_07F_AA_U04___toilet">#REF!</definedName>
    <definedName name="CUSTOM2_IA_07F_AA_U04___utility_rm.">#REF!</definedName>
    <definedName name="CUSTOM2_IA_07F_AA_U04___void">#REF!</definedName>
    <definedName name="CUSTOM2_IA_07F_AA_U06___BR1_lobby">#REF!</definedName>
    <definedName name="CUSTOM2_IA_07F_AA_U06___BR1_rm.">#REF!</definedName>
    <definedName name="CUSTOM2_IA_07F_AA_U06___BR1_t_b">#REF!</definedName>
    <definedName name="CUSTOM2_IA_07F_AA_U06___BR2_dresser">#REF!</definedName>
    <definedName name="CUSTOM2_IA_07F_AA_U06___BR2_lobby">#REF!</definedName>
    <definedName name="CUSTOM2_IA_07F_AA_U06___BR2_rm.">#REF!</definedName>
    <definedName name="CUSTOM2_IA_07F_AA_U06___BR2_t_b">#REF!</definedName>
    <definedName name="CUSTOM2_IA_07F_AA_U06___BR3_dresser">#REF!</definedName>
    <definedName name="CUSTOM2_IA_07F_AA_U06___BR3_lobby">#REF!</definedName>
    <definedName name="CUSTOM2_IA_07F_AA_U06___BR3_rm.">#REF!</definedName>
    <definedName name="CUSTOM2_IA_07F_AA_U06___BR3_t_b">#REF!</definedName>
    <definedName name="CUSTOM2_IA_07F_AA_U06___corridor">#REF!</definedName>
    <definedName name="CUSTOM2_IA_07F_AA_U06___foyer">#REF!</definedName>
    <definedName name="CUSTOM2_IA_07F_AA_U06___kitchen">#REF!</definedName>
    <definedName name="CUSTOM2_IA_07F_AA_U06___living_dining">#REF!</definedName>
    <definedName name="CUSTOM2_IA_07F_AA_U06___maids_rm.">#REF!</definedName>
    <definedName name="CUSTOM2_IA_07F_AA_U06___maids_toi.">#REF!</definedName>
    <definedName name="CUSTOM2_IA_07F_AA_U06___shaft">#REF!</definedName>
    <definedName name="CUSTOM2_IA_07F_AA_U06___toilet">#REF!</definedName>
    <definedName name="CUSTOM2_IA_07F_AA_U06___utility_rm.">#REF!</definedName>
    <definedName name="CUSTOM2_IA_08F_AA_U03___BR1_dresser">#REF!</definedName>
    <definedName name="CUSTOM2_IA_08F_AA_U03___BR1_lobby">#REF!</definedName>
    <definedName name="CUSTOM2_IA_08F_AA_U03___BR1_rm.">#REF!</definedName>
    <definedName name="CUSTOM2_IA_08F_AA_U03___BR1_t_b">#REF!</definedName>
    <definedName name="CUSTOM2_IA_08F_AA_U03___foyer">#REF!</definedName>
    <definedName name="CUSTOM2_IA_08F_AA_U03___kitchen">#REF!</definedName>
    <definedName name="CUSTOM2_IA_08F_AA_U03___living_dining">#REF!</definedName>
    <definedName name="CUSTOM2_IA_08F_AA_U03___shaft">#REF!</definedName>
    <definedName name="CUSTOM2_IA_08F_AA_U03___storage">#REF!</definedName>
    <definedName name="CUSTOM2_IA_08F_AA_U03___toilet">#REF!</definedName>
    <definedName name="CUSTOM2_IA_08F_AA_U03___utility_rm.">#REF!</definedName>
    <definedName name="CUSTOM2_IA_08F_AA_U04___BR1_dresser">#REF!</definedName>
    <definedName name="CUSTOM2_IA_08F_AA_U04___BR1_lobby">#REF!</definedName>
    <definedName name="CUSTOM2_IA_08F_AA_U04___BR1_rm.">#REF!</definedName>
    <definedName name="CUSTOM2_IA_08F_AA_U04___BR1_t_b">#REF!</definedName>
    <definedName name="CUSTOM2_IA_08F_AA_U04___foyer">#REF!</definedName>
    <definedName name="CUSTOM2_IA_08F_AA_U04___kitchen">#REF!</definedName>
    <definedName name="CUSTOM2_IA_08F_AA_U04___living_dining">#REF!</definedName>
    <definedName name="CUSTOM2_IA_08F_AA_U04___shaft">#REF!</definedName>
    <definedName name="CUSTOM2_IA_08F_AA_U04___storage">#REF!</definedName>
    <definedName name="CUSTOM2_IA_08F_AA_U04___toilet">#REF!</definedName>
    <definedName name="CUSTOM2_IA_08F_AA_U04___utility_rm.">#REF!</definedName>
    <definedName name="CUSTOM2_IA_08F_AA_U06___BR1_lobby">#REF!</definedName>
    <definedName name="CUSTOM2_IA_08F_AA_U06___BR1_rm.">#REF!</definedName>
    <definedName name="CUSTOM2_IA_08F_AA_U06___BR1_t_b">#REF!</definedName>
    <definedName name="CUSTOM2_IA_08F_AA_U06___BR2_dresser">#REF!</definedName>
    <definedName name="CUSTOM2_IA_08F_AA_U06___BR2_lobby">#REF!</definedName>
    <definedName name="CUSTOM2_IA_08F_AA_U06___BR2_rm.">#REF!</definedName>
    <definedName name="CUSTOM2_IA_08F_AA_U06___BR2_t_b">#REF!</definedName>
    <definedName name="CUSTOM2_IA_08F_AA_U06___BR3_dresser">#REF!</definedName>
    <definedName name="CUSTOM2_IA_08F_AA_U06___BR3_lobby">#REF!</definedName>
    <definedName name="CUSTOM2_IA_08F_AA_U06___BR3_rm.">#REF!</definedName>
    <definedName name="CUSTOM2_IA_08F_AA_U06___BR3_t_b">#REF!</definedName>
    <definedName name="CUSTOM2_IA_08F_AA_U06___corridor">#REF!</definedName>
    <definedName name="CUSTOM2_IA_08F_AA_U06___foyer">#REF!</definedName>
    <definedName name="CUSTOM2_IA_08F_AA_U06___kitchen">#REF!</definedName>
    <definedName name="CUSTOM2_IA_08F_AA_U06___living_dining">#REF!</definedName>
    <definedName name="CUSTOM2_IA_08F_AA_U06___maids_rm.">#REF!</definedName>
    <definedName name="CUSTOM2_IA_08F_AA_U06___maids_toi.">#REF!</definedName>
    <definedName name="CUSTOM2_IA_08F_AA_U06___shaft">#REF!</definedName>
    <definedName name="CUSTOM2_IA_08F_AA_U06___toilet">#REF!</definedName>
    <definedName name="CUSTOM2_IA_08F_AA_U06___utility_rm.">#REF!</definedName>
    <definedName name="CUSTOM2_IA_09F_AA_U06___BR1_lobby">#REF!</definedName>
    <definedName name="CUSTOM2_IA_09F_AA_U06___BR1_rm.">#REF!</definedName>
    <definedName name="CUSTOM2_IA_09F_AA_U06___BR1_t_b">#REF!</definedName>
    <definedName name="CUSTOM2_IA_09F_AA_U06___BR2_dresser">#REF!</definedName>
    <definedName name="CUSTOM2_IA_09F_AA_U06___BR2_lobby">#REF!</definedName>
    <definedName name="CUSTOM2_IA_09F_AA_U06___BR2_rm.">#REF!</definedName>
    <definedName name="CUSTOM2_IA_09F_AA_U06___BR2_t_b">#REF!</definedName>
    <definedName name="CUSTOM2_IA_09F_AA_U06___BR3_dresser">#REF!</definedName>
    <definedName name="CUSTOM2_IA_09F_AA_U06___BR3_lobby">#REF!</definedName>
    <definedName name="CUSTOM2_IA_09F_AA_U06___BR3_rm.">#REF!</definedName>
    <definedName name="CUSTOM2_IA_09F_AA_U06___BR3_t_b">#REF!</definedName>
    <definedName name="CUSTOM2_IA_09F_AA_U06___corridor">#REF!</definedName>
    <definedName name="CUSTOM2_IA_09F_AA_U06___foyer">#REF!</definedName>
    <definedName name="CUSTOM2_IA_09F_AA_U06___kitchen">#REF!</definedName>
    <definedName name="CUSTOM2_IA_09F_AA_U06___living_dining">#REF!</definedName>
    <definedName name="CUSTOM2_IA_09F_AA_U06___maids_rm.">#REF!</definedName>
    <definedName name="CUSTOM2_IA_09F_AA_U06___maids_toi.">#REF!</definedName>
    <definedName name="CUSTOM2_IA_09F_AA_U06___shaft">#REF!</definedName>
    <definedName name="CUSTOM2_IA_09F_AA_U06___toilet">#REF!</definedName>
    <definedName name="CUSTOM2_IA_09F_AA_U06___utility_rm.">#REF!</definedName>
    <definedName name="CUSTOM2_IA_11F_AA_U01___BR1_lobby">#REF!</definedName>
    <definedName name="CUSTOM2_IA_11F_AA_U01___BR1_rm.">#REF!</definedName>
    <definedName name="CUSTOM2_IA_11F_AA_U01___BR1_t_b">#REF!</definedName>
    <definedName name="CUSTOM2_IA_11F_AA_U01___BR2_dresser">#REF!</definedName>
    <definedName name="CUSTOM2_IA_11F_AA_U01___BR2_lobby">#REF!</definedName>
    <definedName name="CUSTOM2_IA_11F_AA_U01___BR2_rm.">#REF!</definedName>
    <definedName name="CUSTOM2_IA_11F_AA_U01___BR2_t_b">#REF!</definedName>
    <definedName name="CUSTOM2_IA_11F_AA_U01___corridor">#REF!</definedName>
    <definedName name="CUSTOM2_IA_11F_AA_U01___foyer">#REF!</definedName>
    <definedName name="CUSTOM2_IA_11F_AA_U01___kitchen">#REF!</definedName>
    <definedName name="CUSTOM2_IA_11F_AA_U01___living_dining">#REF!</definedName>
    <definedName name="CUSTOM2_IA_11F_AA_U01___maids_rm.">#REF!</definedName>
    <definedName name="CUSTOM2_IA_11F_AA_U01___maids_toi.">#REF!</definedName>
    <definedName name="CUSTOM2_IA_11F_AA_U01___shaft">#REF!</definedName>
    <definedName name="CUSTOM2_IA_11F_AA_U01___toilet">#REF!</definedName>
    <definedName name="CUSTOM2_IA_11F_AA_U01___utility_rm.">#REF!</definedName>
    <definedName name="CUSTOM2_IA_11F_AA_U01___void">#REF!</definedName>
    <definedName name="CUSTOM2_IA_11F_AA_U02___BR1_dresser">#REF!</definedName>
    <definedName name="CUSTOM2_IA_11F_AA_U02___BR1_rm.">#REF!</definedName>
    <definedName name="CUSTOM2_IA_11F_AA_U02___BR1_t_b">#REF!</definedName>
    <definedName name="CUSTOM2_IA_11F_AA_U02___BR2_lobby">#REF!</definedName>
    <definedName name="CUSTOM2_IA_11F_AA_U02___BR2_rm.">#REF!</definedName>
    <definedName name="CUSTOM2_IA_11F_AA_U02___BR2_t_b">#REF!</definedName>
    <definedName name="CUSTOM2_IA_11F_AA_U02___corridor">#REF!</definedName>
    <definedName name="CUSTOM2_IA_11F_AA_U02___foyer">#REF!</definedName>
    <definedName name="CUSTOM2_IA_11F_AA_U02___kitchen">#REF!</definedName>
    <definedName name="CUSTOM2_IA_11F_AA_U02___living_dining">#REF!</definedName>
    <definedName name="CUSTOM2_IA_11F_AA_U02___maids_rm.">#REF!</definedName>
    <definedName name="CUSTOM2_IA_11F_AA_U02___maids_toi.">#REF!</definedName>
    <definedName name="CUSTOM2_IA_11F_AA_U02___shaft">#REF!</definedName>
    <definedName name="CUSTOM2_IA_11F_AA_U02___toilet">#REF!</definedName>
    <definedName name="CUSTOM2_IA_11F_AA_U02___utility_rm.">#REF!</definedName>
    <definedName name="CUSTOM2_IA_11F_AA_U02___void">#REF!</definedName>
    <definedName name="CUSTOM2_IA_11F_AA_U03___BR1_dresser">#REF!</definedName>
    <definedName name="CUSTOM2_IA_11F_AA_U03___BR1_lobby">#REF!</definedName>
    <definedName name="CUSTOM2_IA_11F_AA_U03___BR1_rm.">#REF!</definedName>
    <definedName name="CUSTOM2_IA_11F_AA_U03___BR1_t_b">#REF!</definedName>
    <definedName name="CUSTOM2_IA_11F_AA_U03___foyer">#REF!</definedName>
    <definedName name="CUSTOM2_IA_11F_AA_U03___kitchen">#REF!</definedName>
    <definedName name="CUSTOM2_IA_11F_AA_U03___living_dining">#REF!</definedName>
    <definedName name="CUSTOM2_IA_11F_AA_U03___shaft">#REF!</definedName>
    <definedName name="CUSTOM2_IA_11F_AA_U03___storage">#REF!</definedName>
    <definedName name="CUSTOM2_IA_11F_AA_U03___toilet">#REF!</definedName>
    <definedName name="CUSTOM2_IA_11F_AA_U03___utility_rm.">#REF!</definedName>
    <definedName name="CUSTOM2_IA_11F_AA_U04___BR1_dresser">#REF!</definedName>
    <definedName name="CUSTOM2_IA_11F_AA_U04___BR1_lobby">#REF!</definedName>
    <definedName name="CUSTOM2_IA_11F_AA_U04___BR1_rm.">#REF!</definedName>
    <definedName name="CUSTOM2_IA_11F_AA_U04___BR1_t_b">#REF!</definedName>
    <definedName name="CUSTOM2_IA_11F_AA_U04___foyer">#REF!</definedName>
    <definedName name="CUSTOM2_IA_11F_AA_U04___kitchen">#REF!</definedName>
    <definedName name="CUSTOM2_IA_11F_AA_U04___living_dining">#REF!</definedName>
    <definedName name="CUSTOM2_IA_11F_AA_U04___shaft">#REF!</definedName>
    <definedName name="CUSTOM2_IA_11F_AA_U04___storage">#REF!</definedName>
    <definedName name="CUSTOM2_IA_11F_AA_U04___toilet">#REF!</definedName>
    <definedName name="CUSTOM2_IA_11F_AA_U04___utility_rm.">#REF!</definedName>
    <definedName name="CUSTOM2_IA_11F_AA_U06___BR1_lobby">#REF!</definedName>
    <definedName name="CUSTOM2_IA_11F_AA_U06___BR1_rm.">#REF!</definedName>
    <definedName name="CUSTOM2_IA_11F_AA_U06___BR1_t_b">#REF!</definedName>
    <definedName name="CUSTOM2_IA_11F_AA_U06___BR2_dresser">#REF!</definedName>
    <definedName name="CUSTOM2_IA_11F_AA_U06___BR2_lobby">#REF!</definedName>
    <definedName name="CUSTOM2_IA_11F_AA_U06___BR2_rm.">#REF!</definedName>
    <definedName name="CUSTOM2_IA_11F_AA_U06___BR2_t_b">#REF!</definedName>
    <definedName name="CUSTOM2_IA_11F_AA_U06___BR3_dresser">#REF!</definedName>
    <definedName name="CUSTOM2_IA_11F_AA_U06___BR3_lobby">#REF!</definedName>
    <definedName name="CUSTOM2_IA_11F_AA_U06___BR3_rm.">#REF!</definedName>
    <definedName name="CUSTOM2_IA_11F_AA_U06___BR3_t_b">#REF!</definedName>
    <definedName name="CUSTOM2_IA_11F_AA_U06___corridor">#REF!</definedName>
    <definedName name="CUSTOM2_IA_11F_AA_U06___foyer">#REF!</definedName>
    <definedName name="CUSTOM2_IA_11F_AA_U06___kitchen">#REF!</definedName>
    <definedName name="CUSTOM2_IA_11F_AA_U06___living_dining">#REF!</definedName>
    <definedName name="CUSTOM2_IA_11F_AA_U06___maids_rm.">#REF!</definedName>
    <definedName name="CUSTOM2_IA_11F_AA_U06___maids_toi.">#REF!</definedName>
    <definedName name="CUSTOM2_IA_11F_AA_U06___shaft">#REF!</definedName>
    <definedName name="CUSTOM2_IA_11F_AA_U06___toilet">#REF!</definedName>
    <definedName name="CUSTOM2_IA_11F_AA_U06___utility_rm.">#REF!</definedName>
    <definedName name="CUSTOM2_IA_11F_AB_U00___corridor">#REF!</definedName>
    <definedName name="CUSTOM2_IA_11F_AB_U00___lift_lobby">#REF!</definedName>
    <definedName name="CUSTOM2_IA_11F_AB_U00___lift_shaft">#REF!</definedName>
    <definedName name="CUSTOM2_IA_11F_AC_U00___electrical_rm.">#REF!</definedName>
    <definedName name="CUSTOM2_IA_11F_AC_U00___f.e._stair">#REF!</definedName>
    <definedName name="CUSTOM2_IA_11F_AC_U00___f.h.c.">#REF!</definedName>
    <definedName name="CUSTOM2_IA_11F_AC_U00___garbage_rm.">#REF!</definedName>
    <definedName name="CUSTOM2_IA_11F_AC_U00___shaft">#REF!</definedName>
    <definedName name="CUSTOM2_IA_11F_AC_U00___telephone_rm.">#REF!</definedName>
    <definedName name="CUSTOM2_IA_31F_AA_U01___BR1_lobby">#REF!</definedName>
    <definedName name="CUSTOM2_IA_31F_AA_U01___BR1_rm.">#REF!</definedName>
    <definedName name="CUSTOM2_IA_31F_AA_U01___BR1_t_b">#REF!</definedName>
    <definedName name="CUSTOM2_IA_31F_AA_U01___BR2_dresser">#REF!</definedName>
    <definedName name="CUSTOM2_IA_31F_AA_U01___BR2_lobby">#REF!</definedName>
    <definedName name="CUSTOM2_IA_31F_AA_U01___BR2_rm.">#REF!</definedName>
    <definedName name="CUSTOM2_IA_31F_AA_U01___BR2_t_b">#REF!</definedName>
    <definedName name="CUSTOM2_IA_31F_AA_U01___corridor">#REF!</definedName>
    <definedName name="CUSTOM2_IA_31F_AA_U01___foyer">#REF!</definedName>
    <definedName name="CUSTOM2_IA_31F_AA_U01___kitchen">#REF!</definedName>
    <definedName name="CUSTOM2_IA_31F_AA_U01___living_dining">#REF!</definedName>
    <definedName name="CUSTOM2_IA_31F_AA_U01___maids_rm.">#REF!</definedName>
    <definedName name="CUSTOM2_IA_31F_AA_U01___maids_toi.">#REF!</definedName>
    <definedName name="CUSTOM2_IA_31F_AA_U01___shaft">#REF!</definedName>
    <definedName name="CUSTOM2_IA_31F_AA_U01___toilet">#REF!</definedName>
    <definedName name="CUSTOM2_IA_31F_AA_U01___utility_rm.">#REF!</definedName>
    <definedName name="CUSTOM2_IA_31F_AA_U01___void">#REF!</definedName>
    <definedName name="CUSTOM2_IA_31F_AA_U02___BR1_dresser">#REF!</definedName>
    <definedName name="CUSTOM2_IA_31F_AA_U02___BR1_rm.">#REF!</definedName>
    <definedName name="CUSTOM2_IA_31F_AA_U02___BR1_t_b">#REF!</definedName>
    <definedName name="CUSTOM2_IA_31F_AA_U02___BR2_lobby">#REF!</definedName>
    <definedName name="CUSTOM2_IA_31F_AA_U02___BR2_rm.">#REF!</definedName>
    <definedName name="CUSTOM2_IA_31F_AA_U02___BR2_t_b">#REF!</definedName>
    <definedName name="CUSTOM2_IA_31F_AA_U02___corridor">#REF!</definedName>
    <definedName name="CUSTOM2_IA_31F_AA_U02___foyer">#REF!</definedName>
    <definedName name="CUSTOM2_IA_31F_AA_U02___kitchen">#REF!</definedName>
    <definedName name="CUSTOM2_IA_31F_AA_U02___living_dining">#REF!</definedName>
    <definedName name="CUSTOM2_IA_31F_AA_U02___maids_rm.">#REF!</definedName>
    <definedName name="CUSTOM2_IA_31F_AA_U02___maids_toi.">#REF!</definedName>
    <definedName name="CUSTOM2_IA_31F_AA_U02___shaft">#REF!</definedName>
    <definedName name="CUSTOM2_IA_31F_AA_U02___toilet">#REF!</definedName>
    <definedName name="CUSTOM2_IA_31F_AA_U02___utility_rm.">#REF!</definedName>
    <definedName name="CUSTOM2_IA_31F_AA_U02___void">#REF!</definedName>
    <definedName name="CUSTOM2_IA_31F_AA_U03___BR1_dresser">#REF!</definedName>
    <definedName name="CUSTOM2_IA_31F_AA_U03___BR1_lobby">#REF!</definedName>
    <definedName name="CUSTOM2_IA_31F_AA_U03___BR1_rm.">#REF!</definedName>
    <definedName name="CUSTOM2_IA_31F_AA_U03___BR1_t_b">#REF!</definedName>
    <definedName name="CUSTOM2_IA_31F_AA_U03___foyer">#REF!</definedName>
    <definedName name="CUSTOM2_IA_31F_AA_U03___kitchen">#REF!</definedName>
    <definedName name="CUSTOM2_IA_31F_AA_U03___living_dining">#REF!</definedName>
    <definedName name="CUSTOM2_IA_31F_AA_U03___shaft">#REF!</definedName>
    <definedName name="CUSTOM2_IA_31F_AA_U03___storage">#REF!</definedName>
    <definedName name="CUSTOM2_IA_31F_AA_U03___toilet">#REF!</definedName>
    <definedName name="CUSTOM2_IA_31F_AA_U03___utility_rm.">#REF!</definedName>
    <definedName name="CUSTOM2_IA_31F_AA_U04___BR1_dresser">#REF!</definedName>
    <definedName name="CUSTOM2_IA_31F_AA_U04___BR1_lobby">#REF!</definedName>
    <definedName name="CUSTOM2_IA_31F_AA_U04___BR1_rm.">#REF!</definedName>
    <definedName name="CUSTOM2_IA_31F_AA_U04___BR1_t_b">#REF!</definedName>
    <definedName name="CUSTOM2_IA_31F_AA_U04___foyer">#REF!</definedName>
    <definedName name="CUSTOM2_IA_31F_AA_U04___kitchen">#REF!</definedName>
    <definedName name="CUSTOM2_IA_31F_AA_U04___living_dining">#REF!</definedName>
    <definedName name="CUSTOM2_IA_31F_AA_U04___shaft">#REF!</definedName>
    <definedName name="CUSTOM2_IA_31F_AA_U04___storage">#REF!</definedName>
    <definedName name="CUSTOM2_IA_31F_AA_U04___toilet">#REF!</definedName>
    <definedName name="CUSTOM2_IA_31F_AA_U04___utility_rm.">#REF!</definedName>
    <definedName name="CUSTOM2_IA_31F_AA_U05___corridor">#REF!</definedName>
    <definedName name="CUSTOM2_IA_31F_AA_U05___foyer">#REF!</definedName>
    <definedName name="CUSTOM2_IA_31F_AA_U05___kitchen">#REF!</definedName>
    <definedName name="CUSTOM2_IA_31F_AA_U05___living_dining">#REF!</definedName>
    <definedName name="CUSTOM2_IA_31F_AA_U05___maids_lobby">#REF!</definedName>
    <definedName name="CUSTOM2_IA_31F_AA_U05___maids_rm.">#REF!</definedName>
    <definedName name="CUSTOM2_IA_31F_AA_U05___maids_toi.">#REF!</definedName>
    <definedName name="CUSTOM2_IA_31F_AA_U05___shaft">#REF!</definedName>
    <definedName name="CUSTOM2_IA_31F_AA_U05___stairs">#REF!</definedName>
    <definedName name="CUSTOM2_IA_31F_AA_U05___toilet">#REF!</definedName>
    <definedName name="CUSTOM2_IA_31F_AA_U05___utility_rm.">#REF!</definedName>
    <definedName name="CUSTOM2_IA_31F_AA_U06___BR1_lobby">#REF!</definedName>
    <definedName name="CUSTOM2_IA_31F_AA_U06___BR1_rm.">#REF!</definedName>
    <definedName name="CUSTOM2_IA_31F_AA_U06___BR1_t_b">#REF!</definedName>
    <definedName name="CUSTOM2_IA_31F_AA_U06___BR2_dresser">#REF!</definedName>
    <definedName name="CUSTOM2_IA_31F_AA_U06___BR2_lobby">#REF!</definedName>
    <definedName name="CUSTOM2_IA_31F_AA_U06___BR2_rm.">#REF!</definedName>
    <definedName name="CUSTOM2_IA_31F_AA_U06___BR2_t_b">#REF!</definedName>
    <definedName name="CUSTOM2_IA_31F_AA_U06___corridor">#REF!</definedName>
    <definedName name="CUSTOM2_IA_31F_AA_U06___foyer">#REF!</definedName>
    <definedName name="CUSTOM2_IA_31F_AA_U06___kitchen">#REF!</definedName>
    <definedName name="CUSTOM2_IA_31F_AA_U06___living_dining">#REF!</definedName>
    <definedName name="CUSTOM2_IA_31F_AA_U06___maids_rm.">#REF!</definedName>
    <definedName name="CUSTOM2_IA_31F_AA_U06___maids_toi.">#REF!</definedName>
    <definedName name="CUSTOM2_IA_31F_AA_U06___shaft">#REF!</definedName>
    <definedName name="CUSTOM2_IA_31F_AA_U06___solaria">#REF!</definedName>
    <definedName name="CUSTOM2_IA_31F_AA_U06___stair">#REF!</definedName>
    <definedName name="CUSTOM2_IA_31F_AA_U06___toilet">#REF!</definedName>
    <definedName name="CUSTOM2_IA_31F_AA_U06___utility_rm.">#REF!</definedName>
    <definedName name="CUSTOM2_IA_31F_AA_U06___void">#REF!</definedName>
    <definedName name="CUSTOM2_IA_31F_AB_U00___corridor">#REF!</definedName>
    <definedName name="CUSTOM2_IA_31F_AB_U00___lift_lobby">#REF!</definedName>
    <definedName name="CUSTOM2_IA_31F_AB_U00___lift_shaft">#REF!</definedName>
    <definedName name="CUSTOM2_IA_31F_AC_U00___electrical_rm.">#REF!</definedName>
    <definedName name="CUSTOM2_IA_31F_AC_U00___f.e._stair">#REF!</definedName>
    <definedName name="CUSTOM2_IA_31F_AC_U00___f.h.c.">#REF!</definedName>
    <definedName name="CUSTOM2_IA_31F_AC_U00___garbage_rm.">#REF!</definedName>
    <definedName name="CUSTOM2_IA_31F_AC_U00___shaft">#REF!</definedName>
    <definedName name="CUSTOM2_IA_31F_AC_U00___telephone_rm.">#REF!</definedName>
    <definedName name="CUSTOM2_IA_32F_AA_U05___BR1_rm.">#REF!</definedName>
    <definedName name="CUSTOM2_IA_32F_AA_U05___BR1_t_b">#REF!</definedName>
    <definedName name="CUSTOM2_IA_32F_AA_U05___BR2_lobby">#REF!</definedName>
    <definedName name="CUSTOM2_IA_32F_AA_U05___BR2_rm.">#REF!</definedName>
    <definedName name="CUSTOM2_IA_32F_AA_U05___BR2_t_b">#REF!</definedName>
    <definedName name="CUSTOM2_IA_32F_AA_U05___double_vol.">#REF!</definedName>
    <definedName name="CUSTOM2_IA_32F_AA_U05___foyer">#REF!</definedName>
    <definedName name="CUSTOM2_IA_32F_AA_U05___living_rm.">#REF!</definedName>
    <definedName name="CUSTOM2_IA_32F_AA_U05___shaft">#REF!</definedName>
    <definedName name="CUSTOM2_IA_32F_AA_U05___stairs">#REF!</definedName>
    <definedName name="CUSTOM2_IA_32F_AA_U05___void">#REF!</definedName>
    <definedName name="CUSTOM2_IA_32F_AA_U06___BR1_lobby">#REF!</definedName>
    <definedName name="CUSTOM2_IA_32F_AA_U06___BR1_rm.">#REF!</definedName>
    <definedName name="CUSTOM2_IA_32F_AA_U06___BR1_t_b">#REF!</definedName>
    <definedName name="CUSTOM2_IA_32F_AA_U06___BR2_dresser">#REF!</definedName>
    <definedName name="CUSTOM2_IA_32F_AA_U06___BR2_lobby">#REF!</definedName>
    <definedName name="CUSTOM2_IA_32F_AA_U06___BR2_rm.">#REF!</definedName>
    <definedName name="CUSTOM2_IA_32F_AA_U06___BR2_t_b">#REF!</definedName>
    <definedName name="CUSTOM2_IA_32F_AA_U06___corridor">#REF!</definedName>
    <definedName name="CUSTOM2_IA_32F_AA_U06___double_vol.">#REF!</definedName>
    <definedName name="CUSTOM2_IA_32F_AA_U06___jacuzzi_area">#REF!</definedName>
    <definedName name="CUSTOM2_IA_32F_AA_U06___living_foyer">#REF!</definedName>
    <definedName name="CUSTOM2_IA_32F_AA_U06___pantry">#REF!</definedName>
    <definedName name="CUSTOM2_IA_32F_AA_U06___shaft">#REF!</definedName>
    <definedName name="CUSTOM2_IA_32F_AA_U06___stair">#REF!</definedName>
    <definedName name="CUSTOM2_IA_32F_AA_U06___study">#REF!</definedName>
    <definedName name="CUSTOM2_IA_33RF_AC_U00___electrical_rm.">#REF!</definedName>
    <definedName name="CUSTOM2_IA_33RF_AC_U00___f.e._stair">#REF!</definedName>
    <definedName name="CUSTOM2_IA_33RF_AC_U00___g.s.m._rm.">#REF!</definedName>
    <definedName name="CUSTOM2_IA_33RF_AC_U00___lift_shaft">#REF!</definedName>
    <definedName name="CUSTOM2_IA_33RF_AC_U00___shaft">#REF!</definedName>
    <definedName name="CUSTOM2_IA_33RF_AC_U00___tech._rm.">#REF!</definedName>
    <definedName name="CUSTOM2_IA_33RF_AC_U00___telephone_rm.">#REF!</definedName>
    <definedName name="CUSTOM2_IA_33RF_AC_U00___water_tank">#REF!</definedName>
    <definedName name="CUSTOM2_IA_34uRF_AC_U00___machine_rm.">#REF!</definedName>
    <definedName name="CUSTOM2_IA_34uRF_AC_U00___machine_rm._lobby">#REF!</definedName>
    <definedName name="CUSTOM2_IA_34uRF_AC_U00___pump_rm.">#REF!</definedName>
    <definedName name="CUSTOM2_IA_34uRF_AC_U00___r.c._water_tank">#REF!</definedName>
    <definedName name="CUSTOM2_IA_34uRF_AC_U00___shaft">#REF!</definedName>
    <definedName name="CUSTOM2_Intelligent_Water_Meter_by_DEWA">#REF!</definedName>
    <definedName name="CUSTOM2_Internal_Ceiling_Finishes__Bulkhead">#REF!</definedName>
    <definedName name="CUSTOM2_Internal_Ceiling_Finishes__PF01">#REF!</definedName>
    <definedName name="CUSTOM2_Internal_Ceiling_Finishes__PF02">#REF!</definedName>
    <definedName name="CUSTOM2_Internal_Ceiling_Finishes__PH01">#REF!</definedName>
    <definedName name="CUSTOM2_Internal_Doors__D_02">#REF!</definedName>
    <definedName name="CUSTOM2_Internal_Doors__D_03">#REF!</definedName>
    <definedName name="CUSTOM2_Internal_Doors__D_04">#REF!</definedName>
    <definedName name="CUSTOM2_Internal_Doors__D_06">#REF!</definedName>
    <definedName name="CUSTOM2_Internal_Floor_Finishes__FF01">#REF!</definedName>
    <definedName name="CUSTOM2_Internal_Floor_Finishes__FF03">#REF!</definedName>
    <definedName name="CUSTOM2_Internal_Floor_Finishes__FF05">#REF!</definedName>
    <definedName name="CUSTOM2_Internal_Floor_Finishes__Wet_Areas">#REF!</definedName>
    <definedName name="CUSTOM2_Internal_Wall__Blockwork___BW_1">#REF!</definedName>
    <definedName name="CUSTOM2_Internal_Wall__Blockwork___BW_2">#REF!</definedName>
    <definedName name="CUSTOM2_Internal_Wall__Blockwork___BW_3">#REF!</definedName>
    <definedName name="CUSTOM2_Internal_Wall__Threshold">#REF!</definedName>
    <definedName name="CUSTOM2_Internal_Wall_Finishes__PF03">#REF!</definedName>
    <definedName name="CUSTOM2_Internal_Wall_Finishes__PF04">#REF!</definedName>
    <definedName name="CUSTOM2_Internal_Wall_Finishes__Render">#REF!</definedName>
    <definedName name="CUSTOM2_Internal_Wall_Finishes__W01">#REF!</definedName>
    <definedName name="CUSTOM2_Internal_Wall_Finishes__W03">#REF!</definedName>
    <definedName name="CUSTOM2_Internal_Wall_Finishes__WF05">#REF!</definedName>
    <definedName name="CUSTOM2_Internal_Wall_Finishes__WF07">#REF!</definedName>
    <definedName name="CUSTOM2_Isolation_Valve">#REF!</definedName>
    <definedName name="CUSTOM2_L0__TW1_250">#REF!</definedName>
    <definedName name="CUSTOM2_L0__TW2_200">#REF!</definedName>
    <definedName name="CUSTOM2_L0__TW3_300">#REF!</definedName>
    <definedName name="CUSTOM2_L0__TW3_400">#REF!</definedName>
    <definedName name="CUSTOM2_L0__TW4_500">#REF!</definedName>
    <definedName name="CUSTOM2_L0__TW4_600">#REF!</definedName>
    <definedName name="CUSTOM2_L0__W1__300">#REF!</definedName>
    <definedName name="CUSTOM2_L0__W1_300_Door_Overhead">#REF!</definedName>
    <definedName name="CUSTOM2_L0_Beams">#REF!</definedName>
    <definedName name="CUSTOM2_L0_DP1_3000x3000x350">#REF!</definedName>
    <definedName name="CUSTOM2_L0_DP2_3000x1750x350">#REF!</definedName>
    <definedName name="CUSTOM2_L0_DP5_3000x3000x400">#REF!</definedName>
    <definedName name="CUSTOM2_L0_DP6_6500x4000x550">#REF!</definedName>
    <definedName name="CUSTOM2_L0_DP7_3500x1900x400">#REF!</definedName>
    <definedName name="CUSTOM2_L0_Ramp">#REF!</definedName>
    <definedName name="CUSTOM2_L0_Slab_200">#REF!</definedName>
    <definedName name="CUSTOM2_L0_Slab_220">#REF!</definedName>
    <definedName name="CUSTOM2_L0_Slab_240">#REF!</definedName>
    <definedName name="CUSTOM2_L0_Slab_250">#REF!</definedName>
    <definedName name="CUSTOM2_L0_Slab_260">#REF!</definedName>
    <definedName name="CUSTOM2_L0_Slab_400">#REF!</definedName>
    <definedName name="CUSTOM2_L0_Slab_450">#REF!</definedName>
    <definedName name="CUSTOM2_L00__Column_C1">#REF!</definedName>
    <definedName name="CUSTOM2_L00__Column_C10">#REF!</definedName>
    <definedName name="CUSTOM2_L00__Column_C11">#REF!</definedName>
    <definedName name="CUSTOM2_L00__Column_C12">#REF!</definedName>
    <definedName name="CUSTOM2_L00__Column_C2">#REF!</definedName>
    <definedName name="CUSTOM2_L00__Column_C3">#REF!</definedName>
    <definedName name="CUSTOM2_L00__Column_C4">#REF!</definedName>
    <definedName name="CUSTOM2_L00__Column_C5">#REF!</definedName>
    <definedName name="CUSTOM2_L00__Column_C6">#REF!</definedName>
    <definedName name="CUSTOM2_L00__Column_C7">#REF!</definedName>
    <definedName name="CUSTOM2_L00__Column_C8">#REF!</definedName>
    <definedName name="CUSTOM2_L00__Column_C9">#REF!</definedName>
    <definedName name="CUSTOM2_L00__Column_FC1">#REF!</definedName>
    <definedName name="CUSTOM2_L00__Column_TC1">#REF!</definedName>
    <definedName name="CUSTOM2_L00__Column_TC2">#REF!</definedName>
    <definedName name="CUSTOM2_L00__Column_TC3">#REF!</definedName>
    <definedName name="CUSTOM2_L00__Column_TC4">#REF!</definedName>
    <definedName name="CUSTOM2_L00__Column_TC5">#REF!</definedName>
    <definedName name="CUSTOM2_L01__Column_C10">#REF!</definedName>
    <definedName name="CUSTOM2_L01__Column_C6">#REF!</definedName>
    <definedName name="CUSTOM2_L01__Column_C7">#REF!</definedName>
    <definedName name="CUSTOM2_L01__Column_TC1">#REF!</definedName>
    <definedName name="CUSTOM2_L01__Column_TC2">#REF!</definedName>
    <definedName name="CUSTOM2_L01__Column_TC3">#REF!</definedName>
    <definedName name="CUSTOM2_L01__Column_TC4">#REF!</definedName>
    <definedName name="CUSTOM2_L01__Column_TC5">#REF!</definedName>
    <definedName name="CUSTOM2_L02__Column_TC1">#REF!</definedName>
    <definedName name="CUSTOM2_L02__Column_TC2">#REF!</definedName>
    <definedName name="CUSTOM2_L02__Column_TC3">#REF!</definedName>
    <definedName name="CUSTOM2_L02__Column_TC4">#REF!</definedName>
    <definedName name="CUSTOM2_L02__Column_TC5">#REF!</definedName>
    <definedName name="CUSTOM2_L02_to_L03__CORE_Typical">#REF!</definedName>
    <definedName name="CUSTOM2_L03_to_L05__CORE_TYPICAL">#REF!</definedName>
    <definedName name="CUSTOM2_L03_to_L05__Opening">#REF!</definedName>
    <definedName name="CUSTOM2_L05_to_L14__CORE_Typical">#REF!</definedName>
    <definedName name="CUSTOM2_L1__TW1_250">#REF!</definedName>
    <definedName name="CUSTOM2_L1__TW2_200">#REF!</definedName>
    <definedName name="CUSTOM2_L1__TW3_300">#REF!</definedName>
    <definedName name="CUSTOM2_L1__TW4_600">#REF!</definedName>
    <definedName name="CUSTOM2_L1__TW5_300">#REF!</definedName>
    <definedName name="CUSTOM2_L1_Beams">#REF!</definedName>
    <definedName name="CUSTOM2_L1_DP">#REF!</definedName>
    <definedName name="CUSTOM2_L1_DP1_3000x3000x350">#REF!</definedName>
    <definedName name="CUSTOM2_L1_DP11_3250x1750x350">#REF!</definedName>
    <definedName name="CUSTOM2_L1_DP13_3250x1750x600">#REF!</definedName>
    <definedName name="CUSTOM2_L1_DP14_3000x3000x600">#REF!</definedName>
    <definedName name="CUSTOM2_L1_DP15_3500x3500x600">#REF!</definedName>
    <definedName name="CUSTOM2_L1_DP3_3500x1900x350">#REF!</definedName>
    <definedName name="CUSTOM2_L1_DP4_3500x3500x400">#REF!</definedName>
    <definedName name="CUSTOM2_L1_DP8_8000x5500x600">#REF!</definedName>
    <definedName name="CUSTOM2_L1_Slab_200">#REF!</definedName>
    <definedName name="CUSTOM2_L1_Slab_240">#REF!</definedName>
    <definedName name="CUSTOM2_L1_Slab_280">#REF!</definedName>
    <definedName name="CUSTOM2_L1_Slab_360">#REF!</definedName>
    <definedName name="CUSTOM2_L14__COMFLOR_100">#REF!</definedName>
    <definedName name="CUSTOM2_L14__CONC_SLAB">#REF!</definedName>
    <definedName name="CUSTOM2_L14__RC_CORE_VOIDS">#REF!</definedName>
    <definedName name="CUSTOM2_L15__COMFLOR_100">#REF!</definedName>
    <definedName name="CUSTOM2_L15__HEA_320">#REF!</definedName>
    <definedName name="CUSTOM2_L15__HEB_160">#REF!</definedName>
    <definedName name="CUSTOM2_L15__HEM_180">#REF!</definedName>
    <definedName name="CUSTOM2_L15__RHS_400x200x16">#REF!</definedName>
    <definedName name="CUSTOM2_L15__TW1_250">#REF!</definedName>
    <definedName name="CUSTOM2_L15__TW2_200">#REF!</definedName>
    <definedName name="CUSTOM2_L15__TW3_300">#REF!</definedName>
    <definedName name="CUSTOM2_L15__TW4_600">#REF!</definedName>
    <definedName name="CUSTOM2_L15__TW5_300">#REF!</definedName>
    <definedName name="CUSTOM2_L15_Beams">#REF!</definedName>
    <definedName name="CUSTOM2_L15_Slab_250">#REF!</definedName>
    <definedName name="CUSTOM2_L15_Slab_400">#REF!</definedName>
    <definedName name="CUSTOM2_L15_to_L16__CONC_SLAB">#REF!</definedName>
    <definedName name="CUSTOM2_L16__COMFLOR_100">#REF!</definedName>
    <definedName name="CUSTOM2_L16__HEA_320">#REF!</definedName>
    <definedName name="CUSTOM2_L16__HEB_160">#REF!</definedName>
    <definedName name="CUSTOM2_L16__HEM_180">#REF!</definedName>
    <definedName name="CUSTOM2_L16__RHS_400x200x16">#REF!</definedName>
    <definedName name="CUSTOM2_L16__TW1_250">#REF!</definedName>
    <definedName name="CUSTOM2_L16__TW2_200">#REF!</definedName>
    <definedName name="CUSTOM2_L16__TW3_300">#REF!</definedName>
    <definedName name="CUSTOM2_L16__TW4_600">#REF!</definedName>
    <definedName name="CUSTOM2_L16_Beams">#REF!</definedName>
    <definedName name="CUSTOM2_L16_Slab_200">#REF!</definedName>
    <definedName name="CUSTOM2_L16_Slab_240">#REF!</definedName>
    <definedName name="CUSTOM2_L16_Slab_280">#REF!</definedName>
    <definedName name="CUSTOM2_L17__COMFLOR_100">#REF!</definedName>
    <definedName name="CUSTOM2_L17__HEA_320">#REF!</definedName>
    <definedName name="CUSTOM2_L17__HEB_160">#REF!</definedName>
    <definedName name="CUSTOM2_L17__HEM_180">#REF!</definedName>
    <definedName name="CUSTOM2_L17__RHS_400x200x16">#REF!</definedName>
    <definedName name="CUSTOM2_L17__TW1_250">#REF!</definedName>
    <definedName name="CUSTOM2_L17__TW2_200">#REF!</definedName>
    <definedName name="CUSTOM2_L17__TW3_300">#REF!</definedName>
    <definedName name="CUSTOM2_L17__TW4_600">#REF!</definedName>
    <definedName name="CUSTOM2_L17_Beams">#REF!</definedName>
    <definedName name="CUSTOM2_L17_Slab_200">#REF!</definedName>
    <definedName name="CUSTOM2_L17_Slab_240">#REF!</definedName>
    <definedName name="CUSTOM2_L17_Slab_280">#REF!</definedName>
    <definedName name="CUSTOM2_L17_to_L35__CONC_SLAB">#REF!</definedName>
    <definedName name="CUSTOM2_L18__COMFLOR_100">#REF!</definedName>
    <definedName name="CUSTOM2_L18__HEA_320">#REF!</definedName>
    <definedName name="CUSTOM2_L18__HEB_160">#REF!</definedName>
    <definedName name="CUSTOM2_L18__HEM_180">#REF!</definedName>
    <definedName name="CUSTOM2_L18__RC_CORE_VOIDS">#REF!</definedName>
    <definedName name="CUSTOM2_L18__RHS_400x200x16">#REF!</definedName>
    <definedName name="CUSTOM2_L19__COMFLOR_100">#REF!</definedName>
    <definedName name="CUSTOM2_L19__HEA_320">#REF!</definedName>
    <definedName name="CUSTOM2_L19__HEB_160">#REF!</definedName>
    <definedName name="CUSTOM2_L19__HEM_180">#REF!</definedName>
    <definedName name="CUSTOM2_L19__RHS_400x200x16">#REF!</definedName>
    <definedName name="CUSTOM2_L2___1000x1500mm">#REF!</definedName>
    <definedName name="CUSTOM2_L2___1000x1500mm_curved">#REF!</definedName>
    <definedName name="CUSTOM2_L2___1200x1200x1500mm">#REF!</definedName>
    <definedName name="CUSTOM2_L2___1200x1500mm">#REF!</definedName>
    <definedName name="CUSTOM2_L2___1200x3000x1500mm">#REF!</definedName>
    <definedName name="CUSTOM2_L2___1500x1500x1500mm">#REF!</definedName>
    <definedName name="CUSTOM2_L2___1800x1800x1500mm">#REF!</definedName>
    <definedName name="CUSTOM2_L2___1800x4500x1500mm">#REF!</definedName>
    <definedName name="CUSTOM2_L2___400mm_raft_slab">#REF!</definedName>
    <definedName name="CUSTOM2_L2___400mm_Retaining_wall">#REF!</definedName>
    <definedName name="CUSTOM2_L2___400mm_Retaining_wall_curved">#REF!</definedName>
    <definedName name="CUSTOM2_L2___400x1500mm">#REF!</definedName>
    <definedName name="CUSTOM2_L2___500mm_Retaining_wall">#REF!</definedName>
    <definedName name="CUSTOM2_L2___500mm_Retaining_wall_curved">#REF!</definedName>
    <definedName name="CUSTOM2_L2___600mm_diameter">#REF!</definedName>
    <definedName name="CUSTOM2_L2___750mm_diameter">#REF!</definedName>
    <definedName name="CUSTOM2_L2___800x1500mm">#REF!</definedName>
    <definedName name="CUSTOM2_L2___900mm_diameter">#REF!</definedName>
    <definedName name="CUSTOM2_L2___Pilecaps">#REF!</definedName>
    <definedName name="CUSTOM2_L2__Column__550dia__assumed_size_as_per_plan_">#REF!</definedName>
    <definedName name="CUSTOM2_L2__TW1_250">#REF!</definedName>
    <definedName name="CUSTOM2_L2__TW2_200">#REF!</definedName>
    <definedName name="CUSTOM2_L2__TW3_300">#REF!</definedName>
    <definedName name="CUSTOM2_L2__TW4_600">#REF!</definedName>
    <definedName name="CUSTOM2_L2__TW5_300">#REF!</definedName>
    <definedName name="CUSTOM2_L2__Wall__250__assumed_">#REF!</definedName>
    <definedName name="CUSTOM2_L2__Wall__250_curved__assumed_">#REF!</definedName>
    <definedName name="CUSTOM2_L2_Beams">#REF!</definedName>
    <definedName name="CUSTOM2_L2_Slab_200">#REF!</definedName>
    <definedName name="CUSTOM2_L2_Slab_240">#REF!</definedName>
    <definedName name="CUSTOM2_L2_Slab_280">#REF!</definedName>
    <definedName name="CUSTOM2_L20__COMFLOR_100">#REF!</definedName>
    <definedName name="CUSTOM2_L20__HEA_320">#REF!</definedName>
    <definedName name="CUSTOM2_L20__HEB_160">#REF!</definedName>
    <definedName name="CUSTOM2_L20__HEM_180">#REF!</definedName>
    <definedName name="CUSTOM2_L20__RHS_400x400x16">#REF!</definedName>
    <definedName name="CUSTOM2_L21__COMFLOR_100">#REF!</definedName>
    <definedName name="CUSTOM2_L21__HEA_320">#REF!</definedName>
    <definedName name="CUSTOM2_L21__HEB_160">#REF!</definedName>
    <definedName name="CUSTOM2_L21__HEM_180">#REF!</definedName>
    <definedName name="CUSTOM2_L21__RHS_400x400x16">#REF!</definedName>
    <definedName name="CUSTOM2_L22__COMFLOR_100">#REF!</definedName>
    <definedName name="CUSTOM2_L22__HEA_320">#REF!</definedName>
    <definedName name="CUSTOM2_L22__HEB_160">#REF!</definedName>
    <definedName name="CUSTOM2_L22__HEM_180">#REF!</definedName>
    <definedName name="CUSTOM2_L22__RHS_400x400x16">#REF!</definedName>
    <definedName name="CUSTOM2_L23__COMFLOR_100">#REF!</definedName>
    <definedName name="CUSTOM2_L23__HEA_320">#REF!</definedName>
    <definedName name="CUSTOM2_L23__HEB_160">#REF!</definedName>
    <definedName name="CUSTOM2_L23__HEM_180">#REF!</definedName>
    <definedName name="CUSTOM2_L23__RHS_400x400x16">#REF!</definedName>
    <definedName name="CUSTOM2_L24__COMFLOR_100">#REF!</definedName>
    <definedName name="CUSTOM2_L24__HEA_320">#REF!</definedName>
    <definedName name="CUSTOM2_L24__HEB_160">#REF!</definedName>
    <definedName name="CUSTOM2_L24__HEM_180">#REF!</definedName>
    <definedName name="CUSTOM2_L24__RHS_400x400x16">#REF!</definedName>
    <definedName name="CUSTOM2_L25__COMFLOR_100">#REF!</definedName>
    <definedName name="CUSTOM2_L25__HEA_320">#REF!</definedName>
    <definedName name="CUSTOM2_L25__HEB_160">#REF!</definedName>
    <definedName name="CUSTOM2_L25__HEM_180">#REF!</definedName>
    <definedName name="CUSTOM2_L25__RHS_400x200x16">#REF!</definedName>
    <definedName name="CUSTOM2_L26__COMFLOR_100">#REF!</definedName>
    <definedName name="CUSTOM2_L26__HEA_320">#REF!</definedName>
    <definedName name="CUSTOM2_L26__HEB_160">#REF!</definedName>
    <definedName name="CUSTOM2_L26__HEM_180">#REF!</definedName>
    <definedName name="CUSTOM2_L26__RC_CORE_VOIDS">#REF!</definedName>
    <definedName name="CUSTOM2_L26__RHS_400x200x16">#REF!</definedName>
    <definedName name="CUSTOM2_L27__COMFLOR_100">#REF!</definedName>
    <definedName name="CUSTOM2_L27__HEA_320">#REF!</definedName>
    <definedName name="CUSTOM2_L27__HEB_160">#REF!</definedName>
    <definedName name="CUSTOM2_L27__HEM_180">#REF!</definedName>
    <definedName name="CUSTOM2_L27__RHS_400x200x16">#REF!</definedName>
    <definedName name="CUSTOM2_L28__COMFLOR_100">#REF!</definedName>
    <definedName name="CUSTOM2_L28__HEA_320">#REF!</definedName>
    <definedName name="CUSTOM2_L28__HEB_160">#REF!</definedName>
    <definedName name="CUSTOM2_L28__HEM_180">#REF!</definedName>
    <definedName name="CUSTOM2_L28__rHS_400x200x16">#REF!</definedName>
    <definedName name="CUSTOM2_L29__COMFLOR_100">#REF!</definedName>
    <definedName name="CUSTOM2_L29__HEA_320">#REF!</definedName>
    <definedName name="CUSTOM2_L29__HEB_160">#REF!</definedName>
    <definedName name="CUSTOM2_L29__HEM_180">#REF!</definedName>
    <definedName name="CUSTOM2_L29__RHS_400x200x16">#REF!</definedName>
    <definedName name="CUSTOM2_L3___1000x1500mm">#REF!</definedName>
    <definedName name="CUSTOM2_L3___1200x1200x1500mm">#REF!</definedName>
    <definedName name="CUSTOM2_L3___1200x3000x1500mm">#REF!</definedName>
    <definedName name="CUSTOM2_L3___1500x1500mm">#REF!</definedName>
    <definedName name="CUSTOM2_L3___1500x3000x1500mm">#REF!</definedName>
    <definedName name="CUSTOM2_L3___1800x1800x1500mm">#REF!</definedName>
    <definedName name="CUSTOM2_L3___1800x4500x1500mm">#REF!</definedName>
    <definedName name="CUSTOM2_L3___400mm_Retaining_wall">#REF!</definedName>
    <definedName name="CUSTOM2_L3___400mm_Retaining_wall_curved">#REF!</definedName>
    <definedName name="CUSTOM2_L3___500mm_thick_W3_curved">#REF!</definedName>
    <definedName name="CUSTOM2_L3___600mm_diameter">#REF!</definedName>
    <definedName name="CUSTOM2_L3___650mm_thick_W4_curved">#REF!</definedName>
    <definedName name="CUSTOM2_L3___700x1500mm">#REF!</definedName>
    <definedName name="CUSTOM2_L3___700x1500mm_curved">#REF!</definedName>
    <definedName name="CUSTOM2_L3___800x1500mm">#REF!</definedName>
    <definedName name="CUSTOM2_L3___800x1500mm_curved">#REF!</definedName>
    <definedName name="CUSTOM2_L3___900mm_diameter">#REF!</definedName>
    <definedName name="CUSTOM2_L3___Pilecaps">#REF!</definedName>
    <definedName name="CUSTOM2_L3__Beam__1000x800__assumed_">#REF!</definedName>
    <definedName name="CUSTOM2_L3__Beam__1100x800__assumed_">#REF!</definedName>
    <definedName name="CUSTOM2_L3__Beam__1300x800__assumed_">#REF!</definedName>
    <definedName name="CUSTOM2_L3__Beam__700x800__assumed_">#REF!</definedName>
    <definedName name="CUSTOM2_L3__Beam__800x800__assumed_">#REF!</definedName>
    <definedName name="CUSTOM2_L3__C1__800x800">#REF!</definedName>
    <definedName name="CUSTOM2_L3__C10__400x1000">#REF!</definedName>
    <definedName name="CUSTOM2_L3__C2__600x1200__assumed_size_as_per_plan_">#REF!</definedName>
    <definedName name="CUSTOM2_L3__C2__800x800">#REF!</definedName>
    <definedName name="CUSTOM2_L3__C3__800dia">#REF!</definedName>
    <definedName name="CUSTOM2_L3__C4__600x600">#REF!</definedName>
    <definedName name="CUSTOM2_L3__C5__400x400">#REF!</definedName>
    <definedName name="CUSTOM2_L3__C6__600x1200">#REF!</definedName>
    <definedName name="CUSTOM2_L3__C7__600x800">#REF!</definedName>
    <definedName name="CUSTOM2_L3__C8__550dia">#REF!</definedName>
    <definedName name="CUSTOM2_L3__C9__600dia">#REF!</definedName>
    <definedName name="CUSTOM2_L3__Column_Head__3000x3000x400">#REF!</definedName>
    <definedName name="CUSTOM2_L3__TW1_250">#REF!</definedName>
    <definedName name="CUSTOM2_L3__TW2_200">#REF!</definedName>
    <definedName name="CUSTOM2_L3__TW3_300">#REF!</definedName>
    <definedName name="CUSTOM2_L3__TW4_600">#REF!</definedName>
    <definedName name="CUSTOM2_L3__TW5_300">#REF!</definedName>
    <definedName name="CUSTOM2_L3__W1__250">#REF!</definedName>
    <definedName name="CUSTOM2_L3__W1__250_curved">#REF!</definedName>
    <definedName name="CUSTOM2_L3_Beams">#REF!</definedName>
    <definedName name="CUSTOM2_L3_Slab_200">#REF!</definedName>
    <definedName name="CUSTOM2_L3_Slab_240">#REF!</definedName>
    <definedName name="CUSTOM2_L3_Slab_280">#REF!</definedName>
    <definedName name="CUSTOM2_L30__COMFLOR_100">#REF!</definedName>
    <definedName name="CUSTOM2_L30__HEA_320">#REF!</definedName>
    <definedName name="CUSTOM2_L30__HEB_160">#REF!</definedName>
    <definedName name="CUSTOM2_L30__HEM_180">#REF!</definedName>
    <definedName name="CUSTOM2_L30__RHS_400x200x16">#REF!</definedName>
    <definedName name="CUSTOM2_L30__TW1_250">#REF!</definedName>
    <definedName name="CUSTOM2_L30__TW2_200">#REF!</definedName>
    <definedName name="CUSTOM2_L30__TW3_300">#REF!</definedName>
    <definedName name="CUSTOM2_L30__TW4_600">#REF!</definedName>
    <definedName name="CUSTOM2_L30_Beams">#REF!</definedName>
    <definedName name="CUSTOM2_L30_Slab_200">#REF!</definedName>
    <definedName name="CUSTOM2_L30_Slab_240">#REF!</definedName>
    <definedName name="CUSTOM2_L30_Slab_280">#REF!</definedName>
    <definedName name="CUSTOM2_L31__COMFLOR_100">#REF!</definedName>
    <definedName name="CUSTOM2_L31__HEA_320">#REF!</definedName>
    <definedName name="CUSTOM2_L31__HEB_160">#REF!</definedName>
    <definedName name="CUSTOM2_L31__HEM_180">#REF!</definedName>
    <definedName name="CUSTOM2_L31__RHS_400x200x16">#REF!</definedName>
    <definedName name="CUSTOM2_L31__TW1_250">#REF!</definedName>
    <definedName name="CUSTOM2_L31__TW2_200">#REF!</definedName>
    <definedName name="CUSTOM2_L31__TW3_300">#REF!</definedName>
    <definedName name="CUSTOM2_L31__TW4_600">#REF!</definedName>
    <definedName name="CUSTOM2_L31__TW5_300">#REF!</definedName>
    <definedName name="CUSTOM2_L31_Beams">#REF!</definedName>
    <definedName name="CUSTOM2_L31_Slab_200">#REF!</definedName>
    <definedName name="CUSTOM2_L31_Slab_240">#REF!</definedName>
    <definedName name="CUSTOM2_L31_Slab_280">#REF!</definedName>
    <definedName name="CUSTOM2_L32__RC_SLAB_500mm_THICK">#REF!</definedName>
    <definedName name="CUSTOM2_L33__COMFLOR_100">#REF!</definedName>
    <definedName name="CUSTOM2_L33__HEA_320">#REF!</definedName>
    <definedName name="CUSTOM2_L33__HEB_160">#REF!</definedName>
    <definedName name="CUSTOM2_L33__HEM_180">#REF!</definedName>
    <definedName name="CUSTOM2_L33__RHS_400x200x16">#REF!</definedName>
    <definedName name="CUSTOM2_L34__COMFLOR_100">#REF!</definedName>
    <definedName name="CUSTOM2_L34__HEA_320">#REF!</definedName>
    <definedName name="CUSTOM2_L34__HEB_160">#REF!</definedName>
    <definedName name="CUSTOM2_L34__HEM_180">#REF!</definedName>
    <definedName name="CUSTOM2_L34__RHS_400x200x16">#REF!</definedName>
    <definedName name="CUSTOM2_L35__COMFLOR_100">#REF!</definedName>
    <definedName name="CUSTOM2_L35__HEA_320">#REF!</definedName>
    <definedName name="CUSTOM2_L35__HEB_160">#REF!</definedName>
    <definedName name="CUSTOM2_L35__HEM_180">#REF!</definedName>
    <definedName name="CUSTOM2_L35__RHS_400x200x16">#REF!</definedName>
    <definedName name="CUSTOM2_L36__COMFLOR_100">#REF!</definedName>
    <definedName name="CUSTOM2_L36__CONC_SLAB">#REF!</definedName>
    <definedName name="CUSTOM2_L36__HEA_320">#REF!</definedName>
    <definedName name="CUSTOM2_L36__HEB_160">#REF!</definedName>
    <definedName name="CUSTOM2_L36__HEM_180">#REF!</definedName>
    <definedName name="CUSTOM2_L36__RHS_400x200x16">#REF!</definedName>
    <definedName name="CUSTOM2_L36__TW1_250">#REF!</definedName>
    <definedName name="CUSTOM2_L36__TW2_200">#REF!</definedName>
    <definedName name="CUSTOM2_L36__TW3_300">#REF!</definedName>
    <definedName name="CUSTOM2_L36__TW5_300">#REF!</definedName>
    <definedName name="CUSTOM2_L36_Beams">#REF!</definedName>
    <definedName name="CUSTOM2_L36_Slab_200">#REF!</definedName>
    <definedName name="CUSTOM2_L36_Slab_240">#REF!</definedName>
    <definedName name="CUSTOM2_L36_Slab_280">#REF!</definedName>
    <definedName name="CUSTOM2_L36_Slab_500">#REF!</definedName>
    <definedName name="CUSTOM2_L37__COMFLOR_100">#REF!</definedName>
    <definedName name="CUSTOM2_L37__HEA_320">#REF!</definedName>
    <definedName name="CUSTOM2_L37__HEB_160">#REF!</definedName>
    <definedName name="CUSTOM2_L37__HEM_180">#REF!</definedName>
    <definedName name="CUSTOM2_L37__RHS_400x200x16">#REF!</definedName>
    <definedName name="CUSTOM2_L37__TW1_250">#REF!</definedName>
    <definedName name="CUSTOM2_L37__TW2_200">#REF!</definedName>
    <definedName name="CUSTOM2_L37__TW3_300">#REF!</definedName>
    <definedName name="CUSTOM2_L37__TW5_300">#REF!</definedName>
    <definedName name="CUSTOM2_L37_Beams">#REF!</definedName>
    <definedName name="CUSTOM2_L37_Slab_200">#REF!</definedName>
    <definedName name="CUSTOM2_L37_Slab_350">#REF!</definedName>
    <definedName name="CUSTOM2_L38__Bracing_Elemnt_Passing_Lift_Over_Run">#REF!</definedName>
    <definedName name="CUSTOM2_L38__COMFLOR_100">#REF!</definedName>
    <definedName name="CUSTOM2_L38__HEA_320">#REF!</definedName>
    <definedName name="CUSTOM2_L38__HEB_160">#REF!</definedName>
    <definedName name="CUSTOM2_L38__HEM_180">#REF!</definedName>
    <definedName name="CUSTOM2_L38__RHS_400x200x16">#REF!</definedName>
    <definedName name="CUSTOM2_L38__TW1_250">#REF!</definedName>
    <definedName name="CUSTOM2_L38__TW2_200">#REF!</definedName>
    <definedName name="CUSTOM2_L38__TW3_300">#REF!</definedName>
    <definedName name="CUSTOM2_L38__TW5_300">#REF!</definedName>
    <definedName name="CUSTOM2_L38_Beams">#REF!</definedName>
    <definedName name="CUSTOM2_L38_Slab_200">#REF!</definedName>
    <definedName name="CUSTOM2_L38_Slab_350">#REF!</definedName>
    <definedName name="CUSTOM2_L39__2nd_Layer__HEA_320">#REF!</definedName>
    <definedName name="CUSTOM2_L39__2nd_Layer__HEB_160">#REF!</definedName>
    <definedName name="CUSTOM2_L39__2nd_Layer__HEM_180">#REF!</definedName>
    <definedName name="CUSTOM2_L39__2nd_Layer__RHS_400x200x16">#REF!</definedName>
    <definedName name="CUSTOM2_L39__Bracing_Elemnt_Passing_Lift_Over_Run">#REF!</definedName>
    <definedName name="CUSTOM2_L39__COMFLOR_100">#REF!</definedName>
    <definedName name="CUSTOM2_L39__HEA_320">#REF!</definedName>
    <definedName name="CUSTOM2_L39__HEB_160">#REF!</definedName>
    <definedName name="CUSTOM2_L39__HEM_180">#REF!</definedName>
    <definedName name="CUSTOM2_L39__RHS_400x200x16">#REF!</definedName>
    <definedName name="CUSTOM2_L4___1000x1500mm_curved">#REF!</definedName>
    <definedName name="CUSTOM2_L4___1500x1500x1500mm">#REF!</definedName>
    <definedName name="CUSTOM2_L4___600mm_diameter">#REF!</definedName>
    <definedName name="CUSTOM2_L4___750mm_diameter">#REF!</definedName>
    <definedName name="CUSTOM2_L4___800x1500mm">#REF!</definedName>
    <definedName name="CUSTOM2_L4___800x1500mm_curved">#REF!</definedName>
    <definedName name="CUSTOM2_L4__B1__800x600">#REF!</definedName>
    <definedName name="CUSTOM2_L4__B1__800x600_curved">#REF!</definedName>
    <definedName name="CUSTOM2_L4__B2__800x1000">#REF!</definedName>
    <definedName name="CUSTOM2_L4__B2__800x1000_curved">#REF!</definedName>
    <definedName name="CUSTOM2_L4__B3__800x1300">#REF!</definedName>
    <definedName name="CUSTOM2_L4__B3__800x1300_curved">#REF!</definedName>
    <definedName name="CUSTOM2_L4__B4__1500x1600_curved">#REF!</definedName>
    <definedName name="CUSTOM2_L4__Beam__300x600__assumed_">#REF!</definedName>
    <definedName name="CUSTOM2_L4__C3__800dia">#REF!</definedName>
    <definedName name="CUSTOM2_L4__C6__550dia__assumed_size_as_per_plan_">#REF!</definedName>
    <definedName name="CUSTOM2_L4__C9__600dia">#REF!</definedName>
    <definedName name="CUSTOM2_L4__Column_Head__4000x4000x400">#REF!</definedName>
    <definedName name="CUSTOM2_L4__W1__250">#REF!</definedName>
    <definedName name="CUSTOM2_L4__W1__250_curved">#REF!</definedName>
    <definedName name="CUSTOM2_L4__W2__350">#REF!</definedName>
    <definedName name="CUSTOM2_L4__W2__350_curved">#REF!</definedName>
    <definedName name="CUSTOM2_L40__2nd_Layer__RHS_400x200x16">#REF!</definedName>
    <definedName name="CUSTOM2_L40__Bracing_Elemnt_Passing_Lift_Over_Run">#REF!</definedName>
    <definedName name="CUSTOM2_L40__COMFLOR_100">#REF!</definedName>
    <definedName name="CUSTOM2_L40__HEB_320">#REF!</definedName>
    <definedName name="CUSTOM2_L40__RHS_400x200x16">#REF!</definedName>
    <definedName name="CUSTOM2_L40__RHS_450x450x25">#REF!</definedName>
    <definedName name="CUSTOM2_L40__RHS_500x300x20">#REF!</definedName>
    <definedName name="CUSTOM2_L40__Trussing_spanning_column_restrai">#REF!</definedName>
    <definedName name="CUSTOM2_L41__2nd_Layer__RHS_400x200x16">#REF!</definedName>
    <definedName name="CUSTOM2_L41__Bracing_Elemnt_Passing_Lift_Over_Run">#REF!</definedName>
    <definedName name="CUSTOM2_L41__COMFLOR_100">#REF!</definedName>
    <definedName name="CUSTOM2_L41__Flying_Strut">#REF!</definedName>
    <definedName name="CUSTOM2_L41__HEB_320">#REF!</definedName>
    <definedName name="CUSTOM2_L41__RHS_400x200x16">#REF!</definedName>
    <definedName name="CUSTOM2_L41__RHS_450x450x25">#REF!</definedName>
    <definedName name="CUSTOM2_L41__RHS_500x300x20">#REF!</definedName>
    <definedName name="CUSTOM2_L42__2nd_Layer__RHS_400x200x16">#REF!</definedName>
    <definedName name="CUSTOM2_L42__COMFLOR_100">#REF!</definedName>
    <definedName name="CUSTOM2_L42__HEB_320">#REF!</definedName>
    <definedName name="CUSTOM2_L42__RHS_400x420x16">#REF!</definedName>
    <definedName name="CUSTOM2_L42__RHS_450x450x25">#REF!</definedName>
    <definedName name="CUSTOM2_L42__RHS_500x300x20">#REF!</definedName>
    <definedName name="CUSTOM2_L43__COMFLOR_100">#REF!</definedName>
    <definedName name="CUSTOM2_L43__HE_320">#REF!</definedName>
    <definedName name="CUSTOM2_L44__COMFLOR_100">#REF!</definedName>
    <definedName name="CUSTOM2_L44__HEA_320">#REF!</definedName>
    <definedName name="CUSTOM2_L45__COMFLOR_100">#REF!</definedName>
    <definedName name="CUSTOM2_L46__COMFLOR_100">#REF!</definedName>
    <definedName name="CUSTOM2_L47__COMFLOR_100">#REF!</definedName>
    <definedName name="CUSTOM2_L48__RC_SLAB_350mm_THICK">#REF!</definedName>
    <definedName name="CUSTOM2_L49__COMFLOR_100">#REF!</definedName>
    <definedName name="CUSTOM2_L49__HEB_260">#REF!</definedName>
    <definedName name="CUSTOM2_L5___Slab_on_grade">#REF!</definedName>
    <definedName name="CUSTOM2_L5__B1__500x1300_curved">#REF!</definedName>
    <definedName name="CUSTOM2_L5__B2__800x1300">#REF!</definedName>
    <definedName name="CUSTOM2_L5__B2__800x1300_curved">#REF!</definedName>
    <definedName name="CUSTOM2_L5__B3__800x1100">#REF!</definedName>
    <definedName name="CUSTOM2_L5__B3__800x1100_curved">#REF!</definedName>
    <definedName name="CUSTOM2_L5__B4__800x1600">#REF!</definedName>
    <definedName name="CUSTOM2_L5__B5__400x800">#REF!</definedName>
    <definedName name="CUSTOM2_L5__B6__600x1250">#REF!</definedName>
    <definedName name="CUSTOM2_L5__B6__600x1250_curved">#REF!</definedName>
    <definedName name="CUSTOM2_L5__B7__800x1250">#REF!</definedName>
    <definedName name="CUSTOM2_L5__B7__800x1250_curved">#REF!</definedName>
    <definedName name="CUSTOM2_L5__B8__1400x1250_curved">#REF!</definedName>
    <definedName name="CUSTOM2_L5__B9__1800x1250">#REF!</definedName>
    <definedName name="CUSTOM2_L5__B9__1800x1250_curved">#REF!</definedName>
    <definedName name="CUSTOM2_L5__Beam__800x1600_curved__assumed_">#REF!</definedName>
    <definedName name="CUSTOM2_L50__COMFLOR_100">#REF!</definedName>
    <definedName name="CUSTOM2_L50__HEB_260">#REF!</definedName>
    <definedName name="CUSTOM2_L51__COMFLOR_100">#REF!</definedName>
    <definedName name="CUSTOM2_Land_Area">#REF!</definedName>
    <definedName name="CUSTOM2_Lettable_Area__lvl_3_">#REF!</definedName>
    <definedName name="CUSTOM2_Lettable_areas__lvl_2_">#REF!</definedName>
    <definedName name="CUSTOM2_Level_3_balcony_handrails">#REF!</definedName>
    <definedName name="CUSTOM2_Lift_voids__GF_">#REF!</definedName>
    <definedName name="CUSTOM2_Lift_voids__lvl_1_">#REF!</definedName>
    <definedName name="CUSTOM2_Lift_voids__lvl_2_">#REF!</definedName>
    <definedName name="CUSTOM2_Lift_voids__lvl_3_">#REF!</definedName>
    <definedName name="CUSTOM2_Lift_voids__Podium_1_">#REF!</definedName>
    <definedName name="CUSTOM2_Lift_Voids__Podium_2_">#REF!</definedName>
    <definedName name="CUSTOM2_Lift_voids__Roof_">#REF!</definedName>
    <definedName name="CUSTOM2_Louver_1A">#REF!</definedName>
    <definedName name="CUSTOM2_lvl_1__BOH_">#REF!</definedName>
    <definedName name="CUSTOM2_lvl_1__Car_Park_">#REF!</definedName>
    <definedName name="CUSTOM2_lvl_1__Externals_">#REF!</definedName>
    <definedName name="CUSTOM2_lvl_1__FOH_Areas_">#REF!</definedName>
    <definedName name="CUSTOM2_lvl_1__FOH_Circulation_">#REF!</definedName>
    <definedName name="CUSTOM2_lvl_1__GFA_">#REF!</definedName>
    <definedName name="CUSTOM2_lvl_1__GIFA_">#REF!</definedName>
    <definedName name="CUSTOM2_lvl_1__offices_">#REF!</definedName>
    <definedName name="CUSTOM2_lvl_1__Stairs_">#REF!</definedName>
    <definedName name="CUSTOM2_lvl_1__vertical_storage_">#REF!</definedName>
    <definedName name="CUSTOM2_lvl_1__Voids_">#REF!</definedName>
    <definedName name="CUSTOM2_lvl_1__WCs_">#REF!</definedName>
    <definedName name="CUSTOM2_lvl_1_BOH">#REF!</definedName>
    <definedName name="CUSTOM2_lvl_1_Doors_Internal_Double__FOH_">#REF!</definedName>
    <definedName name="CUSTOM2_lvl_1_Doors_Internal_Single__BOH_">#REF!</definedName>
    <definedName name="CUSTOM2_lvl_1_Doors_Internal_Single__FOH_">#REF!</definedName>
    <definedName name="CUSTOM2_lvl_1_External_Double_door__FOH_">#REF!</definedName>
    <definedName name="CUSTOM2_lvl_1_External_double_doors__FOH_">#REF!</definedName>
    <definedName name="CUSTOM2_lvl_1_FOH">#REF!</definedName>
    <definedName name="CUSTOM2_lvl_1_GFA">#REF!</definedName>
    <definedName name="CUSTOM2_lvl_1_GIFA">#REF!</definedName>
    <definedName name="CUSTOM2_lvl_1_Internal_Double_doors__BOH_">#REF!</definedName>
    <definedName name="CUSTOM2_lvl_1_Internal_double_doors__FOH_">#REF!</definedName>
    <definedName name="CUSTOM2_lvl_1_Internal_single_doors__BOH_">#REF!</definedName>
    <definedName name="CUSTOM2_lvl_1_Internal_single_doors__FOH_">#REF!</definedName>
    <definedName name="CUSTOM2_lvl_1_Internal_single_doors__Stairs_">#REF!</definedName>
    <definedName name="CUSTOM2_lvl_1_Offices">#REF!</definedName>
    <definedName name="CUSTOM2_lvl_1_Stairs">#REF!</definedName>
    <definedName name="CUSTOM2_lvl_1_Store">#REF!</definedName>
    <definedName name="CUSTOM2_lvl_1_Voids">#REF!</definedName>
    <definedName name="CUSTOM2_lvl_2__Apartments_">#REF!</definedName>
    <definedName name="CUSTOM2_lvl_2__BOH_">#REF!</definedName>
    <definedName name="CUSTOM2_lvl_2__FOH_Circulation_">#REF!</definedName>
    <definedName name="CUSTOM2_lvl_2__GFA_">#REF!</definedName>
    <definedName name="CUSTOM2_lvl_2__GIFA_">#REF!</definedName>
    <definedName name="CUSTOM2_lvl_2__Stairs_">#REF!</definedName>
    <definedName name="CUSTOM2_lvl_2__Voids_">#REF!</definedName>
    <definedName name="CUSTOM2_lvl_2_External_dble_doors__FOH_">#REF!</definedName>
    <definedName name="CUSTOM2_lvl_2_Internal_dble_doors__Aprt_">#REF!</definedName>
    <definedName name="CUSTOM2_lvl_2_Internal_double_doors__BOH_">#REF!</definedName>
    <definedName name="CUSTOM2_lvl_2_Internal_Single_doors__Apartments_">#REF!</definedName>
    <definedName name="CUSTOM2_lvl_2_Internal_Single_doors__Apartments_Entrances_">#REF!</definedName>
    <definedName name="CUSTOM2_lvl_2_Internal_single_doors__Aprt_">#REF!</definedName>
    <definedName name="CUSTOM2_lvl_2_Internal_single_doors__Aprt_Entrance_">#REF!</definedName>
    <definedName name="CUSTOM2_lvl_2_Internal_Single_doors__BOH_">#REF!</definedName>
    <definedName name="CUSTOM2_lvl_2_Internal_Sliding_doors__Apartments_">#REF!</definedName>
    <definedName name="CUSTOM2_lvl_2_Internal_sliding_doors__Aprt_">#REF!</definedName>
    <definedName name="CUSTOM2_lvl_3__Apartments_">#REF!</definedName>
    <definedName name="CUSTOM2_lvl_3__BOH_">#REF!</definedName>
    <definedName name="CUSTOM2_lvl_3__Car_Park_">#REF!</definedName>
    <definedName name="CUSTOM2_lvl_3__FOH_Circulation_">#REF!</definedName>
    <definedName name="CUSTOM2_lvl_3__GFA_">#REF!</definedName>
    <definedName name="CUSTOM2_lvl_3__GIFA_">#REF!</definedName>
    <definedName name="CUSTOM2_lvl_3__Stairs_">#REF!</definedName>
    <definedName name="CUSTOM2_lvl_3__voids_">#REF!</definedName>
    <definedName name="CUSTOM2_lvl_3_External_balcony_doors__Aprt_">#REF!</definedName>
    <definedName name="CUSTOM2_lvl_3_Internal_dble_doors__Aprt_">#REF!</definedName>
    <definedName name="CUSTOM2_lvl_3_Internal_Double_doors__BOH_">#REF!</definedName>
    <definedName name="CUSTOM2_lvl_3_Internal_Single_doors__Apartment_">#REF!</definedName>
    <definedName name="CUSTOM2_lvl_3_Internal_Single_doors__Apartment_entrances_">#REF!</definedName>
    <definedName name="CUSTOM2_lvl_3_Internal_single_doors__Aprt_">#REF!</definedName>
    <definedName name="CUSTOM2_lvl_3_Internal_single_doors__Aprt_entrance_">#REF!</definedName>
    <definedName name="CUSTOM2_lvl_3_Internal_Single_doors__BOH_">#REF!</definedName>
    <definedName name="CUSTOM2_lvl_3_Internal_Single_doors__FOH_">#REF!</definedName>
    <definedName name="CUSTOM2_lvl_3_Internal_Sliding_doors__Apartment_">#REF!</definedName>
    <definedName name="CUSTOM2_lvl_3_Internal_sliding_doors__Aprt_">#REF!</definedName>
    <definedName name="CUSTOM2_lvl_5__BOH_">#REF!</definedName>
    <definedName name="CUSTOM2_lvl_5__Externals_">#REF!</definedName>
    <definedName name="CUSTOM2_lvl_5__GFA_">#REF!</definedName>
    <definedName name="CUSTOM2_lvl_5__GIFA_">#REF!</definedName>
    <definedName name="CUSTOM2_lvl_5__Stairs_">#REF!</definedName>
    <definedName name="CUSTOM2_lvl_5__voids_">#REF!</definedName>
    <definedName name="CUSTOM2_lvl_5_External_Single_Door__BOH_">#REF!</definedName>
    <definedName name="CUSTOM2_lvl_6__BOH_">#REF!</definedName>
    <definedName name="CUSTOM2_lvl_6__Externals_">#REF!</definedName>
    <definedName name="CUSTOM2_lvl_6__FOH_amenities_">#REF!</definedName>
    <definedName name="CUSTOM2_lvl_6__FOH_Circulation_">#REF!</definedName>
    <definedName name="CUSTOM2_lvl_6__GFA_">#REF!</definedName>
    <definedName name="CUSTOM2_lvl_6__GIFA_">#REF!</definedName>
    <definedName name="CUSTOM2_lvl_6__Pool_">#REF!</definedName>
    <definedName name="CUSTOM2_lvl_6__Roof___Pool_deck_">#REF!</definedName>
    <definedName name="CUSTOM2_lvl_6__Stairs_">#REF!</definedName>
    <definedName name="CUSTOM2_lvl_6__Voids_">#REF!</definedName>
    <definedName name="CUSTOM2_lvl_6_External_double_doors__BOH_">#REF!</definedName>
    <definedName name="CUSTOM2_lvl_6_External_double_doors__FOH_">#REF!</definedName>
    <definedName name="CUSTOM2_lvl_6_External_single_doors__BOH_">#REF!</definedName>
    <definedName name="CUSTOM2_lvl_6_Internal_Single_doors__BOH_">#REF!</definedName>
    <definedName name="CUSTOM2_lvl_6_Internal_Single_doors__FOH_">#REF!</definedName>
    <definedName name="CUSTOM2_M01__Column_C1">#REF!</definedName>
    <definedName name="CUSTOM2_M01__Column_C10">#REF!</definedName>
    <definedName name="CUSTOM2_M01__Column_C11">#REF!</definedName>
    <definedName name="CUSTOM2_M01__Column_C12">#REF!</definedName>
    <definedName name="CUSTOM2_M01__Column_C2">#REF!</definedName>
    <definedName name="CUSTOM2_M01__Column_C3">#REF!</definedName>
    <definedName name="CUSTOM2_M01__Column_C4">#REF!</definedName>
    <definedName name="CUSTOM2_M01__Column_C5">#REF!</definedName>
    <definedName name="CUSTOM2_M01__Column_C6">#REF!</definedName>
    <definedName name="CUSTOM2_M01__Column_C7">#REF!</definedName>
    <definedName name="CUSTOM2_M01__Column_C8">#REF!</definedName>
    <definedName name="CUSTOM2_M01__Column_C9">#REF!</definedName>
    <definedName name="CUSTOM2_M01__Column_FC1">#REF!</definedName>
    <definedName name="CUSTOM2_M01__Column_TC1">#REF!</definedName>
    <definedName name="CUSTOM2_M01__Column_TC2">#REF!</definedName>
    <definedName name="CUSTOM2_M01__Column_TC3">#REF!</definedName>
    <definedName name="CUSTOM2_M01__Column_TC4">#REF!</definedName>
    <definedName name="CUSTOM2_M01__Column_TC5">#REF!</definedName>
    <definedName name="CUSTOM2_M1__TW1_250">#REF!</definedName>
    <definedName name="CUSTOM2_M1__TW2_200">#REF!</definedName>
    <definedName name="CUSTOM2_M1__TW3_300">#REF!</definedName>
    <definedName name="CUSTOM2_M1__TW3_400">#REF!</definedName>
    <definedName name="CUSTOM2_M1__TW4_500">#REF!</definedName>
    <definedName name="CUSTOM2_M1__TW4_600">#REF!</definedName>
    <definedName name="CUSTOM2_M1__TW5_300">#REF!</definedName>
    <definedName name="CUSTOM2_M1_Beams">#REF!</definedName>
    <definedName name="CUSTOM2_M1_DP">#REF!</definedName>
    <definedName name="CUSTOM2_M1_DP1">#REF!</definedName>
    <definedName name="CUSTOM2_M1_DP10">#REF!</definedName>
    <definedName name="CUSTOM2_M1_DP2">#REF!</definedName>
    <definedName name="CUSTOM2_M1_DP3">#REF!</definedName>
    <definedName name="CUSTOM2_M1_DP4">#REF!</definedName>
    <definedName name="CUSTOM2_M1_DP7">#REF!</definedName>
    <definedName name="CUSTOM2_M1_DP8">#REF!</definedName>
    <definedName name="CUSTOM2_M1_DP9">#REF!</definedName>
    <definedName name="CUSTOM2_M1_Ramp">#REF!</definedName>
    <definedName name="CUSTOM2_M1_Slab_200">#REF!</definedName>
    <definedName name="CUSTOM2_M1_Slab_220">#REF!</definedName>
    <definedName name="CUSTOM2_M1_Slab_250">#REF!</definedName>
    <definedName name="CUSTOM2_M1_Slab_280">#REF!</definedName>
    <definedName name="CUSTOM2_Mezz">#REF!</definedName>
    <definedName name="CUSTOM2_Mezzanine___BOH___Admin_Support">#REF!</definedName>
    <definedName name="CUSTOM2_Mezzanine___BOH___Administration_Offices">#REF!</definedName>
    <definedName name="CUSTOM2_Mezzanine___BOH___Administration_Offices_Toilet">#REF!</definedName>
    <definedName name="CUSTOM2_Mezzanine___BOH___Conference___Meeting">#REF!</definedName>
    <definedName name="CUSTOM2_Mezzanine___BOH___Event_Center_Core">#REF!</definedName>
    <definedName name="CUSTOM2_Mezzanine___BOH___Event_Center_Core_lift_shafts">#REF!</definedName>
    <definedName name="CUSTOM2_Mezzanine___BOH___Event_Center_Pantry___Service">#REF!</definedName>
    <definedName name="CUSTOM2_Mezzanine___BOH___Event_Center_Service">#REF!</definedName>
    <definedName name="CUSTOM2_Mezzanine___BOH___Finance___Accounting">#REF!</definedName>
    <definedName name="CUSTOM2_Mezzanine___BOH___Fire_Escape_Stairs">#REF!</definedName>
    <definedName name="CUSTOM2_Mezzanine___BOH___Guest_Core">#REF!</definedName>
    <definedName name="CUSTOM2_Mezzanine___BOH___Guest_Core_lift_shafts">#REF!</definedName>
    <definedName name="CUSTOM2_Mezzanine___BOH___Reservation___PABX">#REF!</definedName>
    <definedName name="CUSTOM2_Mezzanine___BOH___Service_Core">#REF!</definedName>
    <definedName name="CUSTOM2_Mezzanine___BOH___Service_Core_ducts">#REF!</definedName>
    <definedName name="CUSTOM2_Mezzanine___BOH___Service_Core_lift_shafts">#REF!</definedName>
    <definedName name="CUSTOM2_Mezzanine___BOH___Staff_Core">#REF!</definedName>
    <definedName name="CUSTOM2_Mezzanine___BOH___Staff_Core_lift_shafts">#REF!</definedName>
    <definedName name="CUSTOM2_Mezzanine___Double_Volume__Conference___Meeting_">#REF!</definedName>
    <definedName name="CUSTOM2_Mezzanine___Double_Volume__Lobby_Bar_">#REF!</definedName>
    <definedName name="CUSTOM2_Mezzanine___Double_Volume__Reception_Lobby_">#REF!</definedName>
    <definedName name="CUSTOM2_Mezzanine___FOH___Ball_Room">#REF!</definedName>
    <definedName name="CUSTOM2_Mezzanine___FOH___Ball_Room_Pre_Function">#REF!</definedName>
    <definedName name="CUSTOM2_Mezzanine___FOH___Circulation">#REF!</definedName>
    <definedName name="CUSTOM2_Mezzanine___FOH___Guestroom_Terrace">#REF!</definedName>
    <definedName name="CUSTOM2_Mezzanine___FOH___Guestrooms">#REF!</definedName>
    <definedName name="CUSTOM2_MF_Admin._Offices_area">#REF!</definedName>
    <definedName name="CUSTOM2_MF_BOH_Service_and_Utility_area">#REF!</definedName>
    <definedName name="CUSTOM2_MF_BOH_Staircase">#REF!</definedName>
    <definedName name="CUSTOM2_MF_Circulation_Corr._to_Admin._Offices">#REF!</definedName>
    <definedName name="CUSTOM2_MF_Guest_Core">#REF!</definedName>
    <definedName name="CUSTOM2_MF_Guestrooms">#REF!</definedName>
    <definedName name="CUSTOM2_MF_HGR_BOH">#REF!</definedName>
    <definedName name="CUSTOM2_MF_HGR_Circulation">#REF!</definedName>
    <definedName name="CUSTOM2_MF_HGR_Covered_Balcony">#REF!</definedName>
    <definedName name="CUSTOM2_MF_HGR_Fire_Staircase">#REF!</definedName>
    <definedName name="CUSTOM2_MF_Lift_Shaft">#REF!</definedName>
    <definedName name="CUSTOM2_MF_Roof_of_MEP_area">#REF!</definedName>
    <definedName name="CUSTOM2_MF_Services_Core">#REF!</definedName>
    <definedName name="CUSTOM2_MF_Voids___Dead_space">#REF!</definedName>
    <definedName name="CUSTOM2_Non_return_valve">#REF!</definedName>
    <definedName name="CUSTOM2_Open_Terrace___2F">#REF!</definedName>
    <definedName name="CUSTOM2_Open_Terrace___3F">#REF!</definedName>
    <definedName name="CUSTOM2_Open_Terrace___4F">#REF!</definedName>
    <definedName name="CUSTOM2_Parapet_capping">#REF!</definedName>
    <definedName name="CUSTOM2_Parapet_capping_1CRF">#REF!</definedName>
    <definedName name="CUSTOM2_Parapet_capping1BRF">#REF!</definedName>
    <definedName name="CUSTOM2_Pedestrian_Access">#REF!</definedName>
    <definedName name="CUSTOM2_PLATE___1F">#REF!</definedName>
    <definedName name="CUSTOM2_PLATE___2F">#REF!</definedName>
    <definedName name="CUSTOM2_PLATE___3F">#REF!</definedName>
    <definedName name="CUSTOM2_PLATE___4F">#REF!</definedName>
    <definedName name="CUSTOM2_PLATE___5F">#REF!</definedName>
    <definedName name="CUSTOM2_PLATE___B1">#REF!</definedName>
    <definedName name="CUSTOM2_PLATE___B2">#REF!</definedName>
    <definedName name="CUSTOM2_PLATE___GF">#REF!</definedName>
    <definedName name="CUSTOM2_PLATE___MF">#REF!</definedName>
    <definedName name="CUSTOM2_Plot_Area">#REF!</definedName>
    <definedName name="CUSTOM2_Pod_1_Internal_single_doors__BOH_">#REF!</definedName>
    <definedName name="CUSTOM2_Pod_1_Internal_single_doors__FOH_">#REF!</definedName>
    <definedName name="CUSTOM2_Pod_2___Internal_single_doors__BOH_">#REF!</definedName>
    <definedName name="CUSTOM2_Pod_2___Internal_single_doors__FOH_">#REF!</definedName>
    <definedName name="CUSTOM2_Pond">#REF!</definedName>
    <definedName name="CUSTOM2_Public_Toilets__GF_">#REF!</definedName>
    <definedName name="CUSTOM2_Raft___13800mm_thick_raft">#REF!</definedName>
    <definedName name="CUSTOM2_Rainwater_Drain">#REF!</definedName>
    <definedName name="CUSTOM2_Rainwater_Drain_GF">#REF!</definedName>
    <definedName name="CUSTOM2_Rainwater_Drain_Pipe">#REF!</definedName>
    <definedName name="CUSTOM2_RF__Isolation_Valve">#REF!</definedName>
    <definedName name="CUSTOM2_Roof__Canopies">#REF!</definedName>
    <definedName name="CUSTOM2_Roof__Suspened_Roof">#REF!</definedName>
    <definedName name="CUSTOM2_Roof_External_single_doors__FOH_">#REF!</definedName>
    <definedName name="CUSTOM2_Roof_Internal_Single_doors__BOH_">#REF!</definedName>
    <definedName name="CUSTOM2_Roof_Internal_single_doors__FOH_">#REF!</definedName>
    <definedName name="CUSTOM2_Roof_Terrace___3F">#REF!</definedName>
    <definedName name="CUSTOM2_Roof_Terrace___4F">#REF!</definedName>
    <definedName name="CUSTOM2_Roof_Terrace___5F">#REF!</definedName>
    <definedName name="CUSTOM2_RWO">#REF!</definedName>
    <definedName name="CUSTOM2_Sellable">#REF!</definedName>
    <definedName name="CUSTOM2_Shops__GF_">#REF!</definedName>
    <definedName name="CUSTOM2_Stairs__GF_">#REF!</definedName>
    <definedName name="CUSTOM2_Stairs__lvl_1_">#REF!</definedName>
    <definedName name="CUSTOM2_Stairs__lvl_2_">#REF!</definedName>
    <definedName name="CUSTOM2_Stairs__lvl_3_">#REF!</definedName>
    <definedName name="CUSTOM2_Stairs__Podium_1_">#REF!</definedName>
    <definedName name="CUSTOM2_Stairs__Podium_2_">#REF!</definedName>
    <definedName name="CUSTOM2_Stairs__riser___Ceramic_floor_tile_ff05">#REF!</definedName>
    <definedName name="CUSTOM2_Stairs__Risers_150mm___Ceramic_Floor_tile_FF05___Copy">#REF!</definedName>
    <definedName name="CUSTOM2_stairs__Roof_">#REF!</definedName>
    <definedName name="CUSTOM2_Stairs__Skirting">#REF!</definedName>
    <definedName name="CUSTOM2_Stairs__step_200mm___Ceramic_Floor_tile_FF05">#REF!</definedName>
    <definedName name="CUSTOM2_STRUT_RAFT">#REF!</definedName>
    <definedName name="CUSTOM2_Studio_2_burner_hob">#REF!</definedName>
    <definedName name="CUSTOM2_Studio_balcony">#REF!</definedName>
    <definedName name="CUSTOM2_Studio_bath_tub">#REF!</definedName>
    <definedName name="CUSTOM2_Studio_bath_tub_mixer">#REF!</definedName>
    <definedName name="CUSTOM2_Studio_Bathroom">#REF!</definedName>
    <definedName name="CUSTOM2_Studio_Bedroom">#REF!</definedName>
    <definedName name="CUSTOM2_Studio_kitchen_sink">#REF!</definedName>
    <definedName name="CUSTOM2_Studio_kitchen_sink_mixer">#REF!</definedName>
    <definedName name="CUSTOM2_studio_kitchen_units">#REF!</definedName>
    <definedName name="CUSTOM2_Studio_mirror">#REF!</definedName>
    <definedName name="CUSTOM2_Studio_NIA">#REF!</definedName>
    <definedName name="CUSTOM2_Studio_vanitys">#REF!</definedName>
    <definedName name="CUSTOM2_Studio_wardrobe">#REF!</definedName>
    <definedName name="CUSTOM2_Studio_Wash_basin">#REF!</definedName>
    <definedName name="CUSTOM2_Studio_Wash_basin_mixer">#REF!</definedName>
    <definedName name="CUSTOM2_Studio_Washing_machine">#REF!</definedName>
    <definedName name="CUSTOM2_Studio_WC">#REF!</definedName>
    <definedName name="CUSTOM2_T.C._A_01AF">#REF!</definedName>
    <definedName name="CUSTOM2_T.C._A_01F___U01">#REF!</definedName>
    <definedName name="CUSTOM2_T.C._A_01F___U02">#REF!</definedName>
    <definedName name="CUSTOM2_T.C._A_01F___U03">#REF!</definedName>
    <definedName name="CUSTOM2_T.C._A_01F___U04">#REF!</definedName>
    <definedName name="CUSTOM2_T.C._A_01F___U05">#REF!</definedName>
    <definedName name="CUSTOM2_T.C._A_01F___U06">#REF!</definedName>
    <definedName name="CUSTOM2_T.C._A_02F___04F___U01">#REF!</definedName>
    <definedName name="CUSTOM2_T.C._A_02F___04F___U02">#REF!</definedName>
    <definedName name="CUSTOM2_T.C._A_02F___04F___U03">#REF!</definedName>
    <definedName name="CUSTOM2_T.C._A_02F___04F___U04">#REF!</definedName>
    <definedName name="CUSTOM2_T.C._A_02F___04F___U06">#REF!</definedName>
    <definedName name="CUSTOM2_T.C._A_03F___U01">#REF!</definedName>
    <definedName name="CUSTOM2_T.C._A_03F___U02">#REF!</definedName>
    <definedName name="CUSTOM2_T.C._A_03F___U03">#REF!</definedName>
    <definedName name="CUSTOM2_T.C._A_03F___U04">#REF!</definedName>
    <definedName name="CUSTOM2_T.C._A_03F___U05">#REF!</definedName>
    <definedName name="CUSTOM2_T.C._A_03F___U06">#REF!</definedName>
    <definedName name="CUSTOM2_T.C._A_05F___U01">#REF!</definedName>
    <definedName name="CUSTOM2_T.C._A_05F___U02">#REF!</definedName>
    <definedName name="CUSTOM2_T.C._A_05F___U03">#REF!</definedName>
    <definedName name="CUSTOM2_T.C._A_05F___U04">#REF!</definedName>
    <definedName name="CUSTOM2_T.C._A_05F___U05">#REF!</definedName>
    <definedName name="CUSTOM2_T.C._A_05F___U06">#REF!</definedName>
    <definedName name="CUSTOM2_T.C._A_06F___U01">#REF!</definedName>
    <definedName name="CUSTOM2_T.C._A_06F___U02">#REF!</definedName>
    <definedName name="CUSTOM2_T.C._A_06F___U03">#REF!</definedName>
    <definedName name="CUSTOM2_T.C._A_06F___U04">#REF!</definedName>
    <definedName name="CUSTOM2_T.C._A_06F___U06">#REF!</definedName>
    <definedName name="CUSTOM2_T.C._A_07F___U01">#REF!</definedName>
    <definedName name="CUSTOM2_T.C._A_07F___U02">#REF!</definedName>
    <definedName name="CUSTOM2_T.C._A_07F___U03">#REF!</definedName>
    <definedName name="CUSTOM2_T.C._A_07F___U04">#REF!</definedName>
    <definedName name="CUSTOM2_T.C._A_07F___U05">#REF!</definedName>
    <definedName name="CUSTOM2_T.C._A_07F___U06">#REF!</definedName>
    <definedName name="CUSTOM2_T.C._A_08f___10F___U01">#REF!</definedName>
    <definedName name="CUSTOM2_T.C._A_08f___10F___U02">#REF!</definedName>
    <definedName name="CUSTOM2_T.C._A_08f___10F___U03">#REF!</definedName>
    <definedName name="CUSTOM2_T.C._A_08f___10F___U04">#REF!</definedName>
    <definedName name="CUSTOM2_T.C._A_08f___10F___U06">#REF!</definedName>
    <definedName name="CUSTOM2_T.C._A_09F___U01">#REF!</definedName>
    <definedName name="CUSTOM2_T.C._A_09F___U02">#REF!</definedName>
    <definedName name="CUSTOM2_T.C._A_09F___U03">#REF!</definedName>
    <definedName name="CUSTOM2_T.C._A_09F___U04">#REF!</definedName>
    <definedName name="CUSTOM2_T.C._A_09F___U05">#REF!</definedName>
    <definedName name="CUSTOM2_T.C._A_09F___U06">#REF!</definedName>
    <definedName name="CUSTOM2_T.C._A_11F___U01">#REF!</definedName>
    <definedName name="CUSTOM2_T.C._A_11F___U02">#REF!</definedName>
    <definedName name="CUSTOM2_T.C._A_11F___U03">#REF!</definedName>
    <definedName name="CUSTOM2_T.C._A_11F___U04">#REF!</definedName>
    <definedName name="CUSTOM2_T.C._A_11F___U05">#REF!</definedName>
    <definedName name="CUSTOM2_T.C._A_11F___U06">#REF!</definedName>
    <definedName name="CUSTOM2_T.C._A_12F___U01">#REF!</definedName>
    <definedName name="CUSTOM2_T.C._A_12F___U02">#REF!</definedName>
    <definedName name="CUSTOM2_T.C._A_12F___U03">#REF!</definedName>
    <definedName name="CUSTOM2_T.C._A_12F___U04">#REF!</definedName>
    <definedName name="CUSTOM2_T.C._A_12F___U06">#REF!</definedName>
    <definedName name="CUSTOM2_T.C._A_31F___U01">#REF!</definedName>
    <definedName name="CUSTOM2_T.C._A_31F___U02">#REF!</definedName>
    <definedName name="CUSTOM2_T.C._A_31F___U03">#REF!</definedName>
    <definedName name="CUSTOM2_T.C._A_31F___U04">#REF!</definedName>
    <definedName name="CUSTOM2_T.C._B_GF___main_entrance">#REF!</definedName>
    <definedName name="CUSTOM2_T.C._B_GF___near_escape_corridor">#REF!</definedName>
    <definedName name="CUSTOM2_T.C._B_GF___near_ramp">#REF!</definedName>
    <definedName name="CUSTOM2_T.C._B_GF___near_tech._area">#REF!</definedName>
    <definedName name="CUSTOM2_T.C._B_GF___stair_3">#REF!</definedName>
    <definedName name="CUSTOM2_T.U._A_01AF">#REF!</definedName>
    <definedName name="CUSTOM2_T.U._A_01AF___swimming_pool">#REF!</definedName>
    <definedName name="CUSTOM2_T.U._A_07F___U03">#REF!</definedName>
    <definedName name="CUSTOM2_T.U._A_07F___U04">#REF!</definedName>
    <definedName name="CUSTOM2_T.U._A_31F___U02">#REF!</definedName>
    <definedName name="CUSTOM2_T.U._A_31F___U05">#REF!</definedName>
    <definedName name="CUSTOM2_T.U._A_32F___U01">#REF!</definedName>
    <definedName name="CUSTOM2_T.U._A_32F___U02">#REF!</definedName>
    <definedName name="CUSTOM2_T.U._A_32F___U03">#REF!</definedName>
    <definedName name="CUSTOM2_T.U._A_32F___U04">#REF!</definedName>
    <definedName name="CUSTOM2_T.U._A_33F__">#REF!</definedName>
    <definedName name="CUSTOM2_T.U._A_35uRF__">#REF!</definedName>
    <definedName name="CUSTOM2_T.U._B_GF___external_double_volume">#REF!</definedName>
    <definedName name="CUSTOM2_T.U._B_GF___external_driveway">#REF!</definedName>
    <definedName name="CUSTOM2_T.U._B_GF___external_ramp">#REF!</definedName>
    <definedName name="CUSTOM2_T.U._B_GF___external_sidewalk">#REF!</definedName>
    <definedName name="CUSTOM2_T.U._B_GF___external_stair">#REF!</definedName>
    <definedName name="CUSTOM2_T.U._B_GF___external_stair___ramp">#REF!</definedName>
    <definedName name="CUSTOM2_T.U._B_P2F__waterfall">#REF!</definedName>
    <definedName name="CUSTOM2_Test_Length">#REF!</definedName>
    <definedName name="CUSTOM2_TH__L02__Column_500_x_1000">#REF!</definedName>
    <definedName name="CUSTOM2_TH__L02__Column_500_x_1100">#REF!</definedName>
    <definedName name="CUSTOM2_TH__L02__Column_500_x_1200">#REF!</definedName>
    <definedName name="CUSTOM2_TH__L02__TW1_250">#REF!</definedName>
    <definedName name="CUSTOM2_TH__L03__Column_500_x_1000">#REF!</definedName>
    <definedName name="CUSTOM2_TH__L03__Column_500_x_1100">#REF!</definedName>
    <definedName name="CUSTOM2_TH__L03__Column_500_x_1200">#REF!</definedName>
    <definedName name="CUSTOM2_TH__L03__TW1_250">#REF!</definedName>
    <definedName name="CUSTOM2_TH_L02_Beams">#REF!</definedName>
    <definedName name="CUSTOM2_TH_L02_Slab_200">#REF!</definedName>
    <definedName name="CUSTOM2_TH_L02_Slab_250">#REF!</definedName>
    <definedName name="CUSTOM2_TH_L02_Slab_300">#REF!</definedName>
    <definedName name="CUSTOM2_TH_L03_Beams">#REF!</definedName>
    <definedName name="CUSTOM2_TH_L03_Slab_250">#REF!</definedName>
    <definedName name="CUSTOM2_TH2_V2__Shared_Unit_1_2____1000g_Polystyrene_Sheet_to_Footing">#REF!</definedName>
    <definedName name="CUSTOM2_TH2_V2__Shared_Unit_1_2____200mm_thk_Suitable_Well_Graded_Compacted_Materiall_90__to_footing">#REF!</definedName>
    <definedName name="CUSTOM2_TH2_V2__Shared_Unit_1_2____50mm_thk_PCC_to_Footing">#REF!</definedName>
    <definedName name="CUSTOM2_TH2_V2__Shared_Unit_1_2____Excavation_to_Footing">#REF!</definedName>
    <definedName name="CUSTOM2_TH2_V2__Shared_Unit_1_2____Soil_Compaction_to_Footing">#REF!</definedName>
    <definedName name="CUSTOM2_TH2_V2__Shared_Unit_1_2___Concrete_to_Beams__FF">#REF!</definedName>
    <definedName name="CUSTOM2_TH2_V2__Shared_Unit_1_2___Concrete_to_Beams_GF">#REF!</definedName>
    <definedName name="CUSTOM2_TH2_V2__Shared_Unit_1_2___Concrete_to_Colum_FF">#REF!</definedName>
    <definedName name="CUSTOM2_TH2_V2__Shared_Unit_1_2___Concrete_to_Column_below_grade">#REF!</definedName>
    <definedName name="CUSTOM2_TH2_V2__Shared_Unit_1_2___Concrete_to_Column_GF">#REF!</definedName>
    <definedName name="CUSTOM2_TH2_V2__Shared_Unit_1_2___Concrete_to_Column_RF">#REF!</definedName>
    <definedName name="CUSTOM2_TH2_V2__Shared_Unit_1_2___Concrete_to_Footing">#REF!</definedName>
    <definedName name="CUSTOM2_TH2_V2__Shared_Unit_1_2___Concrete_to_Grade_Beam">#REF!</definedName>
    <definedName name="CUSTOM2_TH2_V2__Shared_Unit_1_2___Concrete_to_ST_Beams">#REF!</definedName>
    <definedName name="CUSTOM2_TH2_V2__Shared_Unit_1_2___Excavation_to_ST_Beam">#REF!</definedName>
    <definedName name="CUSTOM2_TH2_V2__Shared_Unit_1_2___Formworks_to_Sides_of_Beams_FF">#REF!</definedName>
    <definedName name="CUSTOM2_TH2_V2__Shared_Unit_1_2___Formworks_to_Sides_of_Beams_GF">#REF!</definedName>
    <definedName name="CUSTOM2_TH2_V2__Shared_Unit_1_2___Formworks_to_Sides_of_Colum___Copy">#REF!</definedName>
    <definedName name="CUSTOM2_TH2_V2__Shared_Unit_1_2___Formworks_to_Sides_of_Column_GF">#REF!</definedName>
    <definedName name="CUSTOM2_TH2_V2__Shared_Unit_1_2___Formworks_to_Sides_of_Column_RF">#REF!</definedName>
    <definedName name="CUSTOM2_TH2_V2__Shared_Unit_1_2___Formworks_to_Sides_of_Columns">#REF!</definedName>
    <definedName name="CUSTOM2_TH2_V2__Shared_Unit_1_2___Formworks_to_Sides_of_Grade_Beams">#REF!</definedName>
    <definedName name="CUSTOM2_TH2_V2__Shared_Unit_1_2___Formworks_to_Soffit_of_Beams_FF">#REF!</definedName>
    <definedName name="CUSTOM2_TH2_V2__Shared_Unit_1_2___Formworks_to_Soffit_of_Beams_GF">#REF!</definedName>
    <definedName name="CUSTOM2_TH2_V2__Shared_Unit_1_2___Formworks_to_Soffit_of_Grade_Beams">#REF!</definedName>
    <definedName name="CUSTOM2_TH2_V2__Shared_Unit_1_2___Reinforcement_to_Column">#REF!</definedName>
    <definedName name="CUSTOM2_TH2_V2__Shared_Unit_1_2___Reinforcement_to_Footing">#REF!</definedName>
    <definedName name="CUSTOM2_TH2_V2__Unit_1____1000g_polystyrene_Sheet_to_footing">#REF!</definedName>
    <definedName name="CUSTOM2_TH2_V2__Unit_1____200_thk._Suitable_Well_Graded_Compacted_Materials_to_Footing">#REF!</definedName>
    <definedName name="CUSTOM2_TH2_V2__Unit_1____50_mm_thk_PCC_to_footing">#REF!</definedName>
    <definedName name="CUSTOM2_TH2_V2__Unit_1____Excavation_to_Footing">#REF!</definedName>
    <definedName name="CUSTOM2_TH2_V2__Unit_1____Soil_Compaction_to_Footing">#REF!</definedName>
    <definedName name="CUSTOM2_TH2_V2__Unit_1___Compacted_Soil_95__ready_to_receive_pavers">#REF!</definedName>
    <definedName name="CUSTOM2_TH2_V2__Unit_1___Concrete_to_Beams_FF">#REF!</definedName>
    <definedName name="CUSTOM2_TH2_V2__Unit_1___Concrete_to_Beams_GF">#REF!</definedName>
    <definedName name="CUSTOM2_TH2_V2__Unit_1___Concrete_to_Column_below_grade">#REF!</definedName>
    <definedName name="CUSTOM2_TH2_V2__Unit_1___Concrete_to_Column_FF">#REF!</definedName>
    <definedName name="CUSTOM2_TH2_V2__Unit_1___Concrete_to_Column_GF">#REF!</definedName>
    <definedName name="CUSTOM2_TH2_V2__Unit_1___Concrete_to_Column_RF">#REF!</definedName>
    <definedName name="CUSTOM2_TH2_V2__Unit_1___Concrete_to_entry_slabs">#REF!</definedName>
    <definedName name="CUSTOM2_TH2_V2__Unit_1___Concrete_to_Footing">#REF!</definedName>
    <definedName name="CUSTOM2_TH2_V2__Unit_1___Concrete_to_Grade_Beams">#REF!</definedName>
    <definedName name="CUSTOM2_TH2_V2__Unit_1___Concrete_to_Grade_Slab">#REF!</definedName>
    <definedName name="CUSTOM2_TH2_V2__Unit_1___Concrete_to_Roof">#REF!</definedName>
    <definedName name="CUSTOM2_TH2_V2__Unit_1___Concrete_to_Roof_Slab_GF">#REF!</definedName>
    <definedName name="CUSTOM2_TH2_V2__Unit_1___Concrete_to_ST_Beams">#REF!</definedName>
    <definedName name="CUSTOM2_TH2_V2__Unit_1___Concrete_to_steps">#REF!</definedName>
    <definedName name="CUSTOM2_TH2_V2__Unit_1___Concrete_to_Suspended_Slab_GF">#REF!</definedName>
    <definedName name="CUSTOM2_TH2_V2__Unit_1___Concrete_to_Suspended_Slabs_FF">#REF!</definedName>
    <definedName name="CUSTOM2_TH2_V2__Unit_1___Concrete_to_terrace_slabs">#REF!</definedName>
    <definedName name="CUSTOM2_TH2_V2__Unit_1___Excavation_to_Footing">#REF!</definedName>
    <definedName name="CUSTOM2_TH2_V2__Unit_1___Excavation_to_ST_Beams">#REF!</definedName>
    <definedName name="CUSTOM2_TH2_V2__Unit_1___Formworks_to_Roof">#REF!</definedName>
    <definedName name="CUSTOM2_TH2_V2__Unit_1___Formworks_to_Roof_Slab_GF">#REF!</definedName>
    <definedName name="CUSTOM2_TH2_V2__Unit_1___Formworks_to_Sides_Beams_FF">#REF!</definedName>
    <definedName name="CUSTOM2_TH2_V2__Unit_1___Formworks_to_Sides_of_Beams_GF">#REF!</definedName>
    <definedName name="CUSTOM2_TH2_V2__Unit_1___Formworks_to_Sides_of_Column">#REF!</definedName>
    <definedName name="CUSTOM2_TH2_V2__Unit_1___Formworks_to_Sides_of_Column_FF___Copy">#REF!</definedName>
    <definedName name="CUSTOM2_TH2_V2__Unit_1___Formworks_to_Sides_of_Column_RF">#REF!</definedName>
    <definedName name="CUSTOM2_TH2_V2__Unit_1___Formworks_to_Sides_of_Columns_GF">#REF!</definedName>
    <definedName name="CUSTOM2_TH2_V2__Unit_1___Formworks_to_Sides_of_Grade_Beams">#REF!</definedName>
    <definedName name="CUSTOM2_TH2_V2__Unit_1___Formworks_to_Soffit_of_Beams_FF">#REF!</definedName>
    <definedName name="CUSTOM2_TH2_V2__Unit_1___Formworks_to_Soffit_of_Beams_GF">#REF!</definedName>
    <definedName name="CUSTOM2_TH2_V2__Unit_1___Formworks_to_Soffit_of_Grade_Beams">#REF!</definedName>
    <definedName name="CUSTOM2_TH2_V2__Unit_1___Formworks_to_Suspended_Slab__FF">#REF!</definedName>
    <definedName name="CUSTOM2_TH2_V2__Unit_1___Formworks_to_Suspended_Slab_GF">#REF!</definedName>
    <definedName name="CUSTOM2_TH2_V2__Unit_1___Reinforcement_to_Column_below_grade">#REF!</definedName>
    <definedName name="CUSTOM2_TH2_V2__Unit_1___Reinforcement_to_Footing">#REF!</definedName>
    <definedName name="CUSTOM2_TH2_V2__Unit_1___Reinforcement_to_ST_Beams">#REF!</definedName>
    <definedName name="CUSTOM2_TH2_V2__Unit_2____1000g_Polystyrene_to_Footing">#REF!</definedName>
    <definedName name="CUSTOM2_TH2_V2__Unit_2____200_mm_thk_Suitable_Well_Graded_Compacted_Materials_to_Footing">#REF!</definedName>
    <definedName name="CUSTOM2_TH2_V2__Unit_2____50_mm_thk_PCC_to_Footing">#REF!</definedName>
    <definedName name="CUSTOM2_TH2_V2__Unit_2____Excavation_to_Footing">#REF!</definedName>
    <definedName name="CUSTOM2_TH2_V2__Unit_2____Soil_Compaction_to_Footing">#REF!</definedName>
    <definedName name="CUSTOM2_TH2_V2__Unit_2___Compacted_Soil_95__ready_t_o_receive_pavers">#REF!</definedName>
    <definedName name="CUSTOM2_TH2_V2__Unit_2___Concrete_to_Beams_FF">#REF!</definedName>
    <definedName name="CUSTOM2_TH2_V2__Unit_2___Concrete_to_Beams_GF">#REF!</definedName>
    <definedName name="CUSTOM2_TH2_V2__Unit_2___Concrete_to_Column_below_grade">#REF!</definedName>
    <definedName name="CUSTOM2_TH2_V2__Unit_2___Concrete_to_Column_FF">#REF!</definedName>
    <definedName name="CUSTOM2_TH2_V2__Unit_2___Concrete_to_Column_RF">#REF!</definedName>
    <definedName name="CUSTOM2_TH2_V2__Unit_2___Concrete_to_Columns_GF">#REF!</definedName>
    <definedName name="CUSTOM2_TH2_V2__Unit_2___Concrete_to_entry_slabs">#REF!</definedName>
    <definedName name="CUSTOM2_TH2_V2__Unit_2___Concrete_to_Footing">#REF!</definedName>
    <definedName name="CUSTOM2_TH2_V2__UNit_2___Concrete_to_Grade_Beam">#REF!</definedName>
    <definedName name="CUSTOM2_TH2_V2__Unit_2___Concrete_to_Grade_Slab">#REF!</definedName>
    <definedName name="CUSTOM2_TH2_V2__Unit_2___Concrete_to_Roof">#REF!</definedName>
    <definedName name="CUSTOM2_TH2_V2__Unit_2___Concrete_to_Roof_Slab_GF">#REF!</definedName>
    <definedName name="CUSTOM2_TH2_V2__Unit_2___Concrete_to_ST_Beams">#REF!</definedName>
    <definedName name="CUSTOM2_TH2_V2__Unit_2___Concrete_to_steps">#REF!</definedName>
    <definedName name="CUSTOM2_TH2_V2__Unit_2___Concrete_to_Suspended_Slab__FF">#REF!</definedName>
    <definedName name="CUSTOM2_TH2_V2__Unit_2___Concrete_to_Suspended_Slab_GF">#REF!</definedName>
    <definedName name="CUSTOM2_TH2_V2__Unit_2___Concrete_to_terrace_slabs">#REF!</definedName>
    <definedName name="CUSTOM2_TH2_V2__Unit_2___Excavation_to_Footing">#REF!</definedName>
    <definedName name="CUSTOM2_TH2_V2__Unit_2___Excavation_to_ST_Beams">#REF!</definedName>
    <definedName name="CUSTOM2_TH2_V2__Unit_2___Formworks_to_Roof">#REF!</definedName>
    <definedName name="CUSTOM2_TH2_V2__Unit_2___Formworks_to_Roof_Slab_GF">#REF!</definedName>
    <definedName name="CUSTOM2_TH2_V2__Unit_2___Formworks_to_Sides_of_Beams_FF">#REF!</definedName>
    <definedName name="CUSTOM2_TH2_V2__Unit_2___Formworks_to_Sides_of_Beams_GF">#REF!</definedName>
    <definedName name="CUSTOM2_TH2_V2__Unit_2___Formworks_to_Sides_of_Column">#REF!</definedName>
    <definedName name="CUSTOM2_TH2_V2__Unit_2___Formworks_to_Sides_of_Column_FF___Copy">#REF!</definedName>
    <definedName name="CUSTOM2_TH2_V2__Unit_2___Formworks_to_Sides_of_Column_RF">#REF!</definedName>
    <definedName name="CUSTOM2_TH2_V2__Unit_2___Formworks_to_Sides_of_Columns_GF">#REF!</definedName>
    <definedName name="CUSTOM2_TH2_V2__UNit_2___Formworks_to_Sides_of_Grade_Beam">#REF!</definedName>
    <definedName name="CUSTOM2_TH2_V2__Unit_2___Formworks_to_Soffit_of_Beam_FF">#REF!</definedName>
    <definedName name="CUSTOM2_TH2_V2__Unit_2___Formworks_to_Soffit_of_Beams_GF">#REF!</definedName>
    <definedName name="CUSTOM2_TH2_V2__UNit_2___Formworks_to_Soffit_of_Grade_Beam">#REF!</definedName>
    <definedName name="CUSTOM2_TH2_V2__Unit_2___Formworks_to_Suspended_Slab_FF">#REF!</definedName>
    <definedName name="CUSTOM2_TH2_V2__Unit_2___Formworks_to_Suspended_Slab_GF">#REF!</definedName>
    <definedName name="CUSTOM2_TH2_V2__Unit_2___Reinforcement_to_Column_below_grade">#REF!</definedName>
    <definedName name="CUSTOM2_TH2_V2__Unit_2___Reinforcement_to_Footing">#REF!</definedName>
    <definedName name="CUSTOM2_TH2_V2__Unit_2__Reinforcement_to_ST_Beams">#REF!</definedName>
    <definedName name="CUSTOM2_TH2_V2__units_1___Blockworks_100mm_thick">#REF!</definedName>
    <definedName name="CUSTOM2_TH2_V2__units_1___Blockworks_BW_1">#REF!</definedName>
    <definedName name="CUSTOM2_TH2_V2__units_1___Blockworks_BW_2">#REF!</definedName>
    <definedName name="CUSTOM2_TH2_V2__units_1___Blockworks_BW_3">#REF!</definedName>
    <definedName name="CUSTOM2_TH2_V2__units_1___Blockworks_BW_3_External">#REF!</definedName>
    <definedName name="CUSTOM2_TH2_V2__units_1___Blockworks_BW_4">#REF!</definedName>
    <definedName name="CUSTOM2_TH2_V2__units_1___Ceiling_Finishes__390mm_high_BH">#REF!</definedName>
    <definedName name="CUSTOM2_TH2_V2__units_1___Ceiling_Finishes__450mm_high_BH">#REF!</definedName>
    <definedName name="CUSTOM2_TH2_V2__units_1___Ceiling_Finishes__460mm_high_BH">#REF!</definedName>
    <definedName name="CUSTOM2_TH2_V2__units_1___Ceiling_Finishes__490mm_high_BH">#REF!</definedName>
    <definedName name="CUSTOM2_TH2_V2__units_1___Ceiling_Finishes__560mm_high_BH">#REF!</definedName>
    <definedName name="CUSTOM2_TH2_V2__units_1___Ceiling_Finishes_Plaster_w__Paint__Moisture_">#REF!</definedName>
    <definedName name="CUSTOM2_TH2_V2__units_1___Ceiling_Finishes_Plaster_w__Paint_PF01">#REF!</definedName>
    <definedName name="CUSTOM2_TH2_V2__units_1___Ceiling_Finishes_Plasterboard_w__Paint_PF01">#REF!</definedName>
    <definedName name="CUSTOM2_TH2_V2__units_1___Ceiling_Finishes_Plasterboard_w__Paint_PF02">#REF!</definedName>
    <definedName name="CUSTOM2_TH2_V2__units_1___Floor_Finishes_Ceramic_Tiles">#REF!</definedName>
    <definedName name="CUSTOM2_TH2_V2__units_1___Floor_Finishes_FF01">#REF!</definedName>
    <definedName name="CUSTOM2_TH2_V2__units_1___Floor_Finishes_FF03">#REF!</definedName>
    <definedName name="CUSTOM2_TH2_V2__units_1___Floor_Finishes_Interlock">#REF!</definedName>
    <definedName name="CUSTOM2_TH2_V2__units_1___Floor_Finishes_Pavers">#REF!</definedName>
    <definedName name="CUSTOM2_TH2_V2__units_1___Floor_Finishes_Pavers_Kerbs">#REF!</definedName>
    <definedName name="CUSTOM2_TH2_V2__units_1___Floor_Finishes_Screed_only">#REF!</definedName>
    <definedName name="CUSTOM2_TH2_V2__units_1___Handrail__1100mm_high">#REF!</definedName>
    <definedName name="CUSTOM2_TH2_V2__units_1___Roof_Finishes_Precast_Concrete">#REF!</definedName>
    <definedName name="CUSTOM2_TH2_V2__units_1___Roof_Finishes_Waterproofing_w__Paint">#REF!</definedName>
    <definedName name="CUSTOM2_TH2_V2__units_1___Skirting_External">#REF!</definedName>
    <definedName name="CUSTOM2_TH2_V2__units_1___Skirting_FF01">#REF!</definedName>
    <definedName name="CUSTOM2_TH2_V2__units_1___Staircase_Finishes_FF05">#REF!</definedName>
    <definedName name="CUSTOM2_TH2_V2__units_1___Type_AL_01__1000_x_2100mm_high">#REF!</definedName>
    <definedName name="CUSTOM2_TH2_V2__units_1___Type_AL_02__600_x_1350mm_high">#REF!</definedName>
    <definedName name="CUSTOM2_TH2_V2__units_1___Type_AL_03__350_x_1350mm_high">#REF!</definedName>
    <definedName name="CUSTOM2_TH2_V2__units_1___Type_AL_04__800_x_1350mm_high">#REF!</definedName>
    <definedName name="CUSTOM2_TH2_V2__units_1___Type_D_01__1100_x_2400mm_high">#REF!</definedName>
    <definedName name="CUSTOM2_TH2_V2__units_1___Type_D_02__900_x_2200mm_high">#REF!</definedName>
    <definedName name="CUSTOM2_TH2_V2__units_1___Type_D_03__850_x_2200mm_high">#REF!</definedName>
    <definedName name="CUSTOM2_TH2_V2__units_1___Type_D_03__850_x_2200mm_high_Internal">#REF!</definedName>
    <definedName name="CUSTOM2_TH2_V2__units_1___Type_D_04__900_x_2200mm_high">#REF!</definedName>
    <definedName name="CUSTOM2_TH2_V2__units_1___Type_GL_01__750_x_1250mm_high">#REF!</definedName>
    <definedName name="CUSTOM2_TH2_V2__units_1___Type_GL_02__600_x_1250mm_high">#REF!</definedName>
    <definedName name="CUSTOM2_TH2_V2__units_1___Type_GL_03__2225_x_3750mm_high__corner">#REF!</definedName>
    <definedName name="CUSTOM2_TH2_V2__units_1___Type_GL_04__2200_x_2700mm_high">#REF!</definedName>
    <definedName name="CUSTOM2_TH2_V2__units_1___Type_GL_05__2700_x_2550mm_high__corner">#REF!</definedName>
    <definedName name="CUSTOM2_TH2_V2__units_1___Type_GL_06__1400_x_1250mm_high">#REF!</definedName>
    <definedName name="CUSTOM2_TH2_V2__units_1___Type_GL_16__2400_x_2400mm_high__corner">#REF!</definedName>
    <definedName name="CUSTOM2_TH2_V2__units_1___Type_GL_17__750_x_2550mm_high">#REF!</definedName>
    <definedName name="CUSTOM2_TH2_V2__units_1___Type_GL_18__750_x_2100mm_high">#REF!</definedName>
    <definedName name="CUSTOM2_TH2_V2__units_1___Type_GL_19__700_x_1250mm_high">#REF!</definedName>
    <definedName name="CUSTOM2_TH2_V2__units_1___Type_GL_20__2850_x_2400mm_high">#REF!</definedName>
    <definedName name="CUSTOM2_TH2_V2__units_1___Type_GL_21__1400_x_2400mm_high">#REF!</definedName>
    <definedName name="CUSTOM2_TH2_V2__units_1___Type_GL_22__900_x_2200mm_high">#REF!</definedName>
    <definedName name="CUSTOM2_TH2_V2__units_1___Type_GL_23__1900_x_2700mm_high">#REF!</definedName>
    <definedName name="CUSTOM2_TH2_V2__units_1___Wall_Finishes_PF03">#REF!</definedName>
    <definedName name="CUSTOM2_TH2_V2__units_1___Wall_Finishes_PF04">#REF!</definedName>
    <definedName name="CUSTOM2_TH2_V2__units_1___Wall_Finishes_Plaster_w__paint">#REF!</definedName>
    <definedName name="CUSTOM2_TH2_V2__units_1___Wall_Finishes_Plaster_w__paint__dark_">#REF!</definedName>
    <definedName name="CUSTOM2_TH2_V2__units_1___Wall_Finishes_SS">#REF!</definedName>
    <definedName name="CUSTOM2_TH2_V2__units_1___Wall_Finishes_WF01">#REF!</definedName>
    <definedName name="CUSTOM2_TH2_V2__units_1___Wall_Finishes_WF02">#REF!</definedName>
    <definedName name="CUSTOM2_TH2_V2__units_1___Wall_Finishes_WF03">#REF!</definedName>
    <definedName name="CUSTOM2_TH2_V2__units_1___Wall_Finishes_WF04">#REF!</definedName>
    <definedName name="CUSTOM2_TH2_V2__units_1___Wall_Finishes_WF05">#REF!</definedName>
    <definedName name="CUSTOM2_TH2_V2__units_1___Wall_Finishes_WF06">#REF!</definedName>
    <definedName name="CUSTOM2_TH2_V2__units_1___Wall_Finishes_WF07">#REF!</definedName>
    <definedName name="CUSTOM2_TH2_V2__units_1___Wall_Finishes_WF08">#REF!</definedName>
    <definedName name="CUSTOM2_TH2_V2__units_1___Wall_Insulation">#REF!</definedName>
    <definedName name="CUSTOM2_TH2_V2__units_1___Waterproofing_to_walls">#REF!</definedName>
    <definedName name="CUSTOM2_TH2_V2__units_1___Waterproofing_to_wet_areas">#REF!</definedName>
    <definedName name="CUSTOM2_Trees___Around_Perimeter">#REF!</definedName>
    <definedName name="CUSTOM2_Trees___Inside_Plot">#REF!</definedName>
    <definedName name="CUSTOM2_TYPICAL__ADDL_SLAB">#REF!</definedName>
    <definedName name="CUSTOM2_TYPICAL__HEB_100">#REF!</definedName>
    <definedName name="CUSTOM2_TYPICAL__HEB_160">#REF!</definedName>
    <definedName name="CUSTOM2_TYPICAL__L_150x150x15">#REF!</definedName>
    <definedName name="CUSTOM2_TYPICAL__MEP_FLOOR">#REF!</definedName>
    <definedName name="CUSTOM2_Unallocated_Rooms">#REF!</definedName>
    <definedName name="CUSTOM2_uPVC_Sewage_Pipe_1F">#REF!</definedName>
    <definedName name="CUSTOM2_uPVC_Sewage_Pipe_GF">#REF!</definedName>
    <definedName name="CUSTOM2_uPVC_Waste_Pipe_1F">#REF!</definedName>
    <definedName name="CUSTOM2_uPVC_Waste_Pipe_1F_collection">#REF!</definedName>
    <definedName name="CUSTOM2_uPVC_Waste_Pipe_GF">#REF!</definedName>
    <definedName name="CUSTOM2_uPVC_Waste_Pipe_GF_Collection">#REF!</definedName>
    <definedName name="CUSTOM2_Water_Feature">#REF!</definedName>
    <definedName name="CUSTOM2_Water_Hammer_Arrestor">#REF!</definedName>
    <definedName name="CUSTOM2_Water_jets">#REF!</definedName>
    <definedName name="CUSTOM3__C1A__Standard_Guestroom">#REF!</definedName>
    <definedName name="CUSTOM3__C1C__Junior_Suites">#REF!</definedName>
    <definedName name="CUSTOM3__C1D__One_Bedroom_Suites">#REF!</definedName>
    <definedName name="CUSTOM3__C1E__Two_bedroom_Suites">#REF!</definedName>
    <definedName name="CUSTOM3__C1F1__Public_Circulation_Areas">#REF!</definedName>
    <definedName name="CUSTOM3__C1G4__Shafts">#REF!</definedName>
    <definedName name="CUSTOM3__C1G6__Fire_Escape_Stairs">#REF!</definedName>
    <definedName name="CUSTOM3__C1H1__Standard_Guestrooms">#REF!</definedName>
    <definedName name="CUSTOM3__C1H3__Junior_Suites">#REF!</definedName>
    <definedName name="CUSTOM3__C1H4__One_Bedroom_Suites">#REF!</definedName>
    <definedName name="CUSTOM3__C1H5__Two_Bedroom_Suites">#REF!</definedName>
    <definedName name="CUSTOM3__C1H6__One_Bedroom_Suites_Type_2">#REF!</definedName>
    <definedName name="CUSTOM3__C1I__General_Works_Guestrooms">#REF!</definedName>
    <definedName name="CUSTOM3__C1J__One_Bedroom_Suites_Type_2">#REF!</definedName>
    <definedName name="CUSTOM3__C2A2__Arrival_and_Reception_Lobby">#REF!</definedName>
    <definedName name="CUSTOM3__C2A3__Front_Offices___Concierge">#REF!</definedName>
    <definedName name="CUSTOM3__C2A4__Luggage_Scanner">#REF!</definedName>
    <definedName name="CUSTOM3__C2A5__Hotel_Retail">#REF!</definedName>
    <definedName name="CUSTOM3__C2A6__Prayer_Rooms">#REF!</definedName>
    <definedName name="CUSTOM3__C2A7__Kids_Club">#REF!</definedName>
    <definedName name="CUSTOM3__C2A8__Public_Toilets">#REF!</definedName>
    <definedName name="CUSTOM3__C2A9__Changing_Rooms">#REF!</definedName>
    <definedName name="CUSTOM3__C2C1__Hotel_Restaurant">#REF!</definedName>
    <definedName name="CUSTOM3__C2C2__Lobby_Lounge">#REF!</definedName>
    <definedName name="CUSTOM3__C2C3__Lobby_Bar">#REF!</definedName>
    <definedName name="CUSTOM3__C2C4__Lobby_Bar___Covered_Terrace">#REF!</definedName>
    <definedName name="CUSTOM3__C2C5__Speciality_Restaurant__1">#REF!</definedName>
    <definedName name="CUSTOM3__C2C6__Speciality_Restaurant__2">#REF!</definedName>
    <definedName name="CUSTOM3__C2C7__Speciality_Restaurant__2___Covered_Terrace">#REF!</definedName>
    <definedName name="CUSTOM3__C2C8__Pool_Bar___Grill">#REF!</definedName>
    <definedName name="CUSTOM3__C2D2__Gymnasium">#REF!</definedName>
    <definedName name="CUSTOM3__C2G1__Circulation">#REF!</definedName>
    <definedName name="CUSTOM3__C2G2__Outdoor_Lobby">#REF!</definedName>
    <definedName name="CUSTOM3__C3A1__Front_Offices">#REF!</definedName>
    <definedName name="CUSTOM3__C3A2__Administration_Offices">#REF!</definedName>
    <definedName name="CUSTOM3__C3A3__Accounting_Offices">#REF!</definedName>
    <definedName name="CUSTOM3__C3A4__Human_Resources_and_Training">#REF!</definedName>
    <definedName name="CUSTOM3__C3B__IT_Department">#REF!</definedName>
    <definedName name="CUSTOM3__C3C1__Kitchen___Main_Kitchen">#REF!</definedName>
    <definedName name="CUSTOM3__C3C2__Kitchen___Speciality_Restaurant__1">#REF!</definedName>
    <definedName name="CUSTOM3__C3C3__Kitchen___Speciality_Restaurant__2">#REF!</definedName>
    <definedName name="CUSTOM3__C3C5__Pantry___Lobby_Bar">#REF!</definedName>
    <definedName name="CUSTOM3__C3D__Housekeeping_and_Linen">#REF!</definedName>
    <definedName name="CUSTOM3__C3E__Central_Laundry___Dry_Cleaning___Valet_Only">#REF!</definedName>
    <definedName name="CUSTOM3__C3F5__Dining_Room_Seating">#REF!</definedName>
    <definedName name="CUSTOM3__C3F8__Staff_Changing_Rooms">#REF!</definedName>
    <definedName name="CUSTOM3__C3F9__Staff_Prayer_Rooms">#REF!</definedName>
    <definedName name="CUSTOM3__C3G__Maintenance_and_Engineering">#REF!</definedName>
    <definedName name="CUSTOM3__C3H1__Plant_and_Equipment_Rooms">#REF!</definedName>
    <definedName name="CUSTOM3__C3H2__MEP_Shafts">#REF!</definedName>
    <definedName name="CUSTOM3__C3J__Security">#REF!</definedName>
    <definedName name="CUSTOM3__C3K__Purchasing__Goods_Receiving_and_Storage">#REF!</definedName>
    <definedName name="CUSTOM3__C3L__BOH_Circulation_Areas">#REF!</definedName>
    <definedName name="CUSTOM3__C4B__General_Works_Parking">#REF!</definedName>
    <definedName name="CUSTOM3__C5__Unallocated_Rooms">#REF!</definedName>
    <definedName name="CUSTOM3__G1__Conference_Centre">#REF!</definedName>
    <definedName name="CUSTOM3__G1A__Conference_Hall">#REF!</definedName>
    <definedName name="CUSTOM3__G1B__Reception">#REF!</definedName>
    <definedName name="CUSTOM3__G1C__Meeting_Rooms">#REF!</definedName>
    <definedName name="CUSTOM3__G2__Pre_function">#REF!</definedName>
    <definedName name="CUSTOM3__G3__Toilets">#REF!</definedName>
    <definedName name="CUSTOM3__G4__FOH_Circulation">#REF!</definedName>
    <definedName name="CUSTOM3__G5__BOH_Circulation">#REF!</definedName>
    <definedName name="CUSTOM3__G6__Fire_Escape_Stairs">#REF!</definedName>
    <definedName name="CUSTOM3__G7__Plant_and_Equipment_Rooms">#REF!</definedName>
    <definedName name="CUSTOM3__G8__Storage">#REF!</definedName>
    <definedName name="CUSTOM3__G9__Kitchen_and_Service_Area">#REF!</definedName>
    <definedName name="CUSTOM3_1__Internal_Walls">#REF!</definedName>
    <definedName name="CUSTOM3_1__Internal_Walls___D1">#REF!</definedName>
    <definedName name="CUSTOM3_1_bed_Balcony_area" localSheetId="1">#REF!</definedName>
    <definedName name="CUSTOM3_1_bed_Balcony_area">#REF!</definedName>
    <definedName name="CUSTOM3_1_bed_bath_screen">#REF!</definedName>
    <definedName name="CUSTOM3_1_bed_bath_shelf">#REF!</definedName>
    <definedName name="CUSTOM3_1_bed_Bath_tub">#REF!</definedName>
    <definedName name="CUSTOM3_1_bed_Bath_tub_mixer">#REF!</definedName>
    <definedName name="CUSTOM3_1_bed_Bathroom_area">#REF!</definedName>
    <definedName name="CUSTOM3_1_bed_Bedroom_area">#REF!</definedName>
    <definedName name="CUSTOM3_1_bed_Cistern_cover">#REF!</definedName>
    <definedName name="CUSTOM3_1_bed_Cooker_hob">#REF!</definedName>
    <definedName name="CUSTOM3_1_bed_Fridge_freezer">#REF!</definedName>
    <definedName name="CUSTOM3_1_bed_Kitchen_sink">#REF!</definedName>
    <definedName name="CUSTOM3_1_bed_Kitchen_sink_mixer">#REF!</definedName>
    <definedName name="CUSTOM3_1_bed_kitchen_units">#REF!</definedName>
    <definedName name="CUSTOM3_1_bed_living_area">#REF!</definedName>
    <definedName name="CUSTOM3_1_bed_mirror">#REF!</definedName>
    <definedName name="CUSTOM3_1_bed_NIA">#REF!</definedName>
    <definedName name="CUSTOM3_1_bed_Oven">#REF!</definedName>
    <definedName name="CUSTOM3_1_bed_shower_mixer">#REF!</definedName>
    <definedName name="CUSTOM3_1_bed_vanitys">#REF!</definedName>
    <definedName name="CUSTOM3_1_bed_Wardrobes">#REF!</definedName>
    <definedName name="CUSTOM3_1_bed_Wash_basin">#REF!</definedName>
    <definedName name="CUSTOM3_1_bed_Wash_basin_mixer">#REF!</definedName>
    <definedName name="CUSTOM3_1_bed_Washing_machine">#REF!</definedName>
    <definedName name="CUSTOM3_1_bed_WC">#REF!</definedName>
    <definedName name="CUSTOM3_10__Kitchen_Unit">#REF!</definedName>
    <definedName name="CUSTOM3_110_mm_dia._RWP" localSheetId="1">#REF!</definedName>
    <definedName name="CUSTOM3_110_mm_dia._RWP">#REF!</definedName>
    <definedName name="CUSTOM3_110mm_dia_RWP">#REF!</definedName>
    <definedName name="CUSTOM3_110mm_dia._opening_for_rain_water">#REF!</definedName>
    <definedName name="CUSTOM3_110mm_dia._Rainwater_pipe">#REF!</definedName>
    <definedName name="CUSTOM3_15mm_dia_Copper_pipe">#REF!</definedName>
    <definedName name="CUSTOM3_15mm_dia._CWS_Buried_Underground">#REF!</definedName>
    <definedName name="CUSTOM3_1F__25mm_dia._BCWS_Pipe">#REF!</definedName>
    <definedName name="CUSTOM3_1F__25mm_dia._HWS_Pipe">#REF!</definedName>
    <definedName name="CUSTOM3_1F__Isolation_valve">#REF!</definedName>
    <definedName name="CUSTOM3_1F__Water_Hammer_Arrestor">#REF!</definedName>
    <definedName name="CUSTOM3_1F_BOH_Service_and_Utility_area">#REF!</definedName>
    <definedName name="CUSTOM3_1F_BOH_Staircase">#REF!</definedName>
    <definedName name="CUSTOM3_1F_Guest_Core">#REF!</definedName>
    <definedName name="CUSTOM3_1F_Guestrooms">#REF!</definedName>
    <definedName name="CUSTOM3_1F_HGR_BOH">#REF!</definedName>
    <definedName name="CUSTOM3_1F_HGR_Circulation">#REF!</definedName>
    <definedName name="CUSTOM3_1F_HGR_Covered_Balcony">#REF!</definedName>
    <definedName name="CUSTOM3_1F_HGR_Fire_Staircase">#REF!</definedName>
    <definedName name="CUSTOM3_1F_HGR_Open_Terrace">#REF!</definedName>
    <definedName name="CUSTOM3_1F_Lift_Shaft">#REF!</definedName>
    <definedName name="CUSTOM3_1F_Roof_Terrace">#REF!</definedName>
    <definedName name="CUSTOM3_1F_Services_Core">#REF!</definedName>
    <definedName name="CUSTOM3_1F_Void___Dead_space">#REF!</definedName>
    <definedName name="CUSTOM3_1st_Floor">#REF!</definedName>
    <definedName name="CUSTOM3_1st_Floor___BOH___FIre_Escape_Stairs">#REF!</definedName>
    <definedName name="CUSTOM3_1st_Floor___BOH___Guest_Core">#REF!</definedName>
    <definedName name="CUSTOM3_1st_Floor___BOH___Guest_Core_lifts">#REF!</definedName>
    <definedName name="CUSTOM3_1st_Floor___BOH___Service_Core">#REF!</definedName>
    <definedName name="CUSTOM3_1st_Floor___BOH___Service_Core_ducts">#REF!</definedName>
    <definedName name="CUSTOM3_1st_Floor___BOH___Service_Core_lift_shafts">#REF!</definedName>
    <definedName name="CUSTOM3_1st_Floor___FOH___Guest_Circulation">#REF!</definedName>
    <definedName name="CUSTOM3_1st_Floor___FOH___Guestroom_Terrace">#REF!</definedName>
    <definedName name="CUSTOM3_1st_Floor___FOH___Guestrooms">#REF!</definedName>
    <definedName name="CUSTOM3_1st_Floor___Guest_Core_ducts">#REF!</definedName>
    <definedName name="CUSTOM3_2__Internal_Doors">#REF!</definedName>
    <definedName name="CUSTOM3_2__Internal_Doors___D1">#REF!</definedName>
    <definedName name="CUSTOM3_2_bed_2nd_bathroom_area" localSheetId="1">#REF!</definedName>
    <definedName name="CUSTOM3_2_bed_2nd_bathroom_area">#REF!</definedName>
    <definedName name="CUSTOM3_2_bed_2nd_bedroom_area">#REF!</definedName>
    <definedName name="CUSTOM3_2_bed_4_burner_hob">#REF!</definedName>
    <definedName name="CUSTOM3_2_bed_Balcony_area">#REF!</definedName>
    <definedName name="CUSTOM3_2_bed_bath_screen">#REF!</definedName>
    <definedName name="CUSTOM3_2_bed_bath_tub">#REF!</definedName>
    <definedName name="CUSTOM3_2_bed_bath_tub_mixer">#REF!</definedName>
    <definedName name="CUSTOM3_2_bed_bidet">#REF!</definedName>
    <definedName name="CUSTOM3_2_bed_cistern_cover">#REF!</definedName>
    <definedName name="CUSTOM3_2_bed_fridge_freezer">#REF!</definedName>
    <definedName name="CUSTOM3_2_bed_kitchen_sink">#REF!</definedName>
    <definedName name="CUSTOM3_2_bed_kitchen_sink_mixer">#REF!</definedName>
    <definedName name="CUSTOM3_2_bed_Kitchen_units">#REF!</definedName>
    <definedName name="CUSTOM3_2_bed_living_area">#REF!</definedName>
    <definedName name="CUSTOM3_2_bed_Master_bathroom_area">#REF!</definedName>
    <definedName name="CUSTOM3_2_bed_Master_bedroom_area">#REF!</definedName>
    <definedName name="CUSTOM3_2_bed_mirror">#REF!</definedName>
    <definedName name="CUSTOM3_2_bed_NIA">#REF!</definedName>
    <definedName name="CUSTOM3_2_bed_shower_mixer_set">#REF!</definedName>
    <definedName name="CUSTOM3_2_bed_shower_partition_inc_door">#REF!</definedName>
    <definedName name="CUSTOM3_2_bed_vanity_unit">#REF!</definedName>
    <definedName name="CUSTOM3_2_bed_wardrobes">#REF!</definedName>
    <definedName name="CUSTOM3_2_bed_wash_basin">#REF!</definedName>
    <definedName name="CUSTOM3_2_bed_wash_basin_mixer">#REF!</definedName>
    <definedName name="CUSTOM3_2_bed_washing_machine">#REF!</definedName>
    <definedName name="CUSTOM3_2_bed_WC">#REF!</definedName>
    <definedName name="CUSTOM3_2.2.1___Upper_Floors_240mm_thk_slab">#REF!</definedName>
    <definedName name="CUSTOM3_2.2.1___Upper_Floors_300mm_thk_slab">#REF!</definedName>
    <definedName name="CUSTOM3_2.3.1___Stairs__FF05_Steps_280mm">#REF!</definedName>
    <definedName name="CUSTOM3_2.3.2___Stairs__FF05_Risers_170mm">#REF!</definedName>
    <definedName name="CUSTOM3_2.3.3___Stairs__FF05_Skirting_100mm_high">#REF!</definedName>
    <definedName name="CUSTOM3_2.3.4___Stairs__Balustrade___Fixed_to_floor">#REF!</definedName>
    <definedName name="CUSTOM3_2.3.4___Stairs__Balustrade___Handrails_50mm_to_wall">#REF!</definedName>
    <definedName name="CUSTOM3_2.3.4___Stairs__Balustrade___Sloping_Fixed_to_floor">#REF!</definedName>
    <definedName name="CUSTOM3_2.4.1___Roof___Shuttering__Paint_incl_waterproofing_to_roof_canopies">#REF!</definedName>
    <definedName name="CUSTOM3_2.4.1___Roof___Shuttering__Precast_cement_incl_waterproofing">#REF!</definedName>
    <definedName name="CUSTOM3_2.4.1___Roof___Shuttering__Suspended_Reinforced_Concrete_Slab">#REF!</definedName>
    <definedName name="CUSTOM3_2.4.2___Roof___Shuttering__Roof_Access_panel_750mmx900mm">#REF!</definedName>
    <definedName name="CUSTOM3_20mm_dia_Bib_tap">#REF!</definedName>
    <definedName name="CUSTOM3_20mm_dia_HSW_pipe">#REF!</definedName>
    <definedName name="CUSTOM3_25mm_dia_BCWS_pipe">#REF!</definedName>
    <definedName name="CUSTOM3_25mm_dia_HSW_pipe">#REF!</definedName>
    <definedName name="CUSTOM3_2F_BOH_Roof_Terrace">#REF!</definedName>
    <definedName name="CUSTOM3_2F_BOH_Service_and_Utility_area">#REF!</definedName>
    <definedName name="CUSTOM3_2F_BOH_Staircase">#REF!</definedName>
    <definedName name="CUSTOM3_2F_Guest_Core">#REF!</definedName>
    <definedName name="CUSTOM3_2F_Guestrooms">#REF!</definedName>
    <definedName name="CUSTOM3_2F_HGR_BOH">#REF!</definedName>
    <definedName name="CUSTOM3_2F_HGR_Circulation">#REF!</definedName>
    <definedName name="CUSTOM3_2F_HGR_Covered_Balcony">#REF!</definedName>
    <definedName name="CUSTOM3_2F_HGR_Fire_Staircase">#REF!</definedName>
    <definedName name="CUSTOM3_2F_Lift_Shaft">#REF!</definedName>
    <definedName name="CUSTOM3_2F_Services_Core">#REF!</definedName>
    <definedName name="CUSTOM3_2F_Voids___Dead_space">#REF!</definedName>
    <definedName name="CUSTOM3_2nd_Floor">#REF!</definedName>
    <definedName name="CUSTOM3_2nd_Floor___BOH___Event_Center_Core">#REF!</definedName>
    <definedName name="CUSTOM3_2nd_Floor___BOH___Event_Center_Core_lift_shafts">#REF!</definedName>
    <definedName name="CUSTOM3_2nd_Floor___BOH___Event_Center_Service">#REF!</definedName>
    <definedName name="CUSTOM3_2nd_Floor___BOH___Event_Center_Service_lift_shafts">#REF!</definedName>
    <definedName name="CUSTOM3_2nd_Floor___BOH___Fire_Escape_Stairs">#REF!</definedName>
    <definedName name="CUSTOM3_2nd_Floor___BOH___Guest_Core">#REF!</definedName>
    <definedName name="CUSTOM3_2nd_Floor___BOH___Guest_Core_ducts">#REF!</definedName>
    <definedName name="CUSTOM3_2nd_Floor___BOH___Guest_Core_lift_shafts">#REF!</definedName>
    <definedName name="CUSTOM3_2nd_Floor___BOH___Service_Core">#REF!</definedName>
    <definedName name="CUSTOM3_2nd_Floor___BOH___Service_Core_ducts">#REF!</definedName>
    <definedName name="CUSTOM3_2nd_Floor___BOH___Service_Core_lift_shafts">#REF!</definedName>
    <definedName name="CUSTOM3_2nd_Floor___FOH___Guestroom_Circulation">#REF!</definedName>
    <definedName name="CUSTOM3_2nd_Floor___FOH___Guestroom_Terrace">#REF!</definedName>
    <definedName name="CUSTOM3_2nd_Floor___FOH___Guestrooms">#REF!</definedName>
    <definedName name="CUSTOM3_3__Wall_Finishes">#REF!</definedName>
    <definedName name="CUSTOM3_3__Wall_Finishes___D1">#REF!</definedName>
    <definedName name="CUSTOM3_3.1__Balustrade">#REF!</definedName>
    <definedName name="CUSTOM3_3.1__External_Walls" localSheetId="1">#REF!</definedName>
    <definedName name="CUSTOM3_3.1__External_Walls">#REF!</definedName>
    <definedName name="CUSTOM3_3.1.1___BW2__150mm_thk">#REF!</definedName>
    <definedName name="CUSTOM3_3.1.1___BW3__200mm_thk">#REF!</definedName>
    <definedName name="CUSTOM3_3.1.1___BW4__250mm_thk">#REF!</definedName>
    <definedName name="CUSTOM3_3.2.2___Timber__D_01___1600mmx2250mm" localSheetId="1">#REF!</definedName>
    <definedName name="CUSTOM3_3.2.2___Timber__D_01___1600mmx2250mm">#REF!</definedName>
    <definedName name="CUSTOM3_3.2.2___Timber__D_02___1000mmx2200mm">#REF!</definedName>
    <definedName name="CUSTOM3_3.2.2___Timber__D_04___1100mmx2200mm">#REF!</definedName>
    <definedName name="CUSTOM3_3.3.1___GL01___800mmx1350mm">#REF!</definedName>
    <definedName name="CUSTOM3_3.3.1___GL02___2350mmx2600mm">#REF!</definedName>
    <definedName name="CUSTOM3_3.3.1___GL03___2500mmx2600mm">#REF!</definedName>
    <definedName name="CUSTOM3_3.3.1___GL04___2000mmx2600mm">#REF!</definedName>
    <definedName name="CUSTOM3_3.3.1___GL05___2600mmx2700mm">#REF!</definedName>
    <definedName name="CUSTOM3_3.3.1___GL06___3600mmx2700mm">#REF!</definedName>
    <definedName name="CUSTOM3_3.3.1___GL07___1600mmx1350mm">#REF!</definedName>
    <definedName name="CUSTOM3_3.3.1___GL08___800mmx1350mm">#REF!</definedName>
    <definedName name="CUSTOM3_3.3.1___GL09___500mmx1200mm">#REF!</definedName>
    <definedName name="CUSTOM3_3.3.1___GL10___3600mmx2700mm">#REF!</definedName>
    <definedName name="CUSTOM3_3.3.1___GL11___2100mmx2700mm">#REF!</definedName>
    <definedName name="CUSTOM3_3.3.1___GL12___1600mmx2700mm">#REF!</definedName>
    <definedName name="CUSTOM3_3.3.1___GL13___1200mmx1800mm">#REF!</definedName>
    <definedName name="CUSTOM3_3.3.1___GL14___1000mmx1500mm">#REF!</definedName>
    <definedName name="CUSTOM3_3.3.1___GL15___5000mmx2700mm">#REF!</definedName>
    <definedName name="CUSTOM3_3.3.1___GL16___1700mmx1350mm">#REF!</definedName>
    <definedName name="CUSTOM3_3.3.1___GL17___600mmx1200mm">#REF!</definedName>
    <definedName name="CUSTOM3_3.4.1___Cement_render_and_paint">#REF!</definedName>
    <definedName name="CUSTOM3_3.4.2___50mmthk_Insulation">#REF!</definedName>
    <definedName name="CUSTOM3_3.4.3___External_Soffits">#REF!</definedName>
    <definedName name="CUSTOM3_3.4.5___Metal_railing_to_balcony">#REF!</definedName>
    <definedName name="CUSTOM3_32_dia._CWS_Main_Buried_underground" localSheetId="1">#REF!</definedName>
    <definedName name="CUSTOM3_32_dia._CWS_Main_Buried_underground">#REF!</definedName>
    <definedName name="CUSTOM3_32mm_dia_BCWS">#REF!</definedName>
    <definedName name="CUSTOM3_32mm_dia_BCWS_pipe">#REF!</definedName>
    <definedName name="CUSTOM3_32mm_dia_BCWS_Riser">#REF!</definedName>
    <definedName name="CUSTOM3_32mm_dia_HSW_pipe">#REF!</definedName>
    <definedName name="CUSTOM3_32mm_dia_HSW_Riser">#REF!</definedName>
    <definedName name="CUSTOM3_3F_BOH_Service___Utility_area">#REF!</definedName>
    <definedName name="CUSTOM3_3F_BOH_Staircase">#REF!</definedName>
    <definedName name="CUSTOM3_3F_Guest_Core">#REF!</definedName>
    <definedName name="CUSTOM3_3F_Guestrooms">#REF!</definedName>
    <definedName name="CUSTOM3_3F_HGR_BOH">#REF!</definedName>
    <definedName name="CUSTOM3_3F_HGR_Circulation">#REF!</definedName>
    <definedName name="CUSTOM3_3F_HGR_Covered_Balcony">#REF!</definedName>
    <definedName name="CUSTOM3_3F_HGR_Fire_Staircase">#REF!</definedName>
    <definedName name="CUSTOM3_3F_Lift_Shaft">#REF!</definedName>
    <definedName name="CUSTOM3_3F_Services_Core">#REF!</definedName>
    <definedName name="CUSTOM3_3F_Voids___Dead_space">#REF!</definedName>
    <definedName name="CUSTOM3_3rd_Floor">#REF!</definedName>
    <definedName name="CUSTOM3_3rd_Floor___BOH___Fire_Escape_Stairs">#REF!</definedName>
    <definedName name="CUSTOM3_3rd_Floor___BOH___Guest_Core">#REF!</definedName>
    <definedName name="CUSTOM3_3rd_Floor___BOH___Guest_Core_ducts">#REF!</definedName>
    <definedName name="CUSTOM3_3rd_Floor___BOH___Guest_Core_lift_shafts">#REF!</definedName>
    <definedName name="CUSTOM3_3rd_Floor___BOH___Service_Core">#REF!</definedName>
    <definedName name="CUSTOM3_3rd_Floor___BOH___Service_Core_ducts">#REF!</definedName>
    <definedName name="CUSTOM3_3rd_Floor___BOH___Service_Core_lift_shafts">#REF!</definedName>
    <definedName name="CUSTOM3_3rd_Floor___FOH___Guest_Circulation">#REF!</definedName>
    <definedName name="CUSTOM3_3rd_Floor___FOH___Guestroom_Terrace">#REF!</definedName>
    <definedName name="CUSTOM3_3rd_Floor___FOH___Guestrooms">#REF!</definedName>
    <definedName name="CUSTOM3_4__Floor_Finishes" localSheetId="1">#REF!</definedName>
    <definedName name="CUSTOM3_4__Floor_Finishes">#REF!</definedName>
    <definedName name="CUSTOM3_4__Floor_Finishes___D1" localSheetId="1">#REF!</definedName>
    <definedName name="CUSTOM3_4__Floor_Finishes___D1">#REF!</definedName>
    <definedName name="CUSTOM3_4.1__Skirting">#REF!</definedName>
    <definedName name="CUSTOM3_4.1__Threshold">#REF!</definedName>
    <definedName name="CUSTOM3_4.1__Threshold___S1">#REF!</definedName>
    <definedName name="CUSTOM3_4.1.1___BW1__100mm_thk">#REF!</definedName>
    <definedName name="CUSTOM3_4.1.1___BW2__150mm_thk">#REF!</definedName>
    <definedName name="CUSTOM3_4.1.1___BW3__200mm_thk">#REF!</definedName>
    <definedName name="CUSTOM3_4.1.2___Allow_for_joint_sealant">#REF!</definedName>
    <definedName name="CUSTOM3_4.2__Skirting">#REF!</definedName>
    <definedName name="CUSTOM3_4.2__Skirting___S1" localSheetId="1">#REF!</definedName>
    <definedName name="CUSTOM3_4.2__Skirting___S1">#REF!</definedName>
    <definedName name="CUSTOM3_4.2.1___D_02__1000mm_x_2200mm">#REF!</definedName>
    <definedName name="CUSTOM3_4.2.1___D_03__900mm_x_2200mm">#REF!</definedName>
    <definedName name="CUSTOM3_4.2.1___D_04">#REF!</definedName>
    <definedName name="CUSTOM3_4.2.2___Utility_Cupboard">#REF!</definedName>
    <definedName name="CUSTOM3_4F_BOH_Service___Utility_area" localSheetId="1">#REF!</definedName>
    <definedName name="CUSTOM3_4F_BOH_Service___Utility_area">#REF!</definedName>
    <definedName name="CUSTOM3_4F_BOH_Staircase" localSheetId="1">#REF!</definedName>
    <definedName name="CUSTOM3_4F_BOH_Staircase">#REF!</definedName>
    <definedName name="CUSTOM3_4F_Guest_Core" localSheetId="1">#REF!</definedName>
    <definedName name="CUSTOM3_4F_Guest_Core">#REF!</definedName>
    <definedName name="CUSTOM3_4F_Guestrooms">#REF!</definedName>
    <definedName name="CUSTOM3_4F_HGR_BOH">#REF!</definedName>
    <definedName name="CUSTOM3_4F_HGR_Circulation">#REF!</definedName>
    <definedName name="CUSTOM3_4F_HGR_Covered_Balcony">#REF!</definedName>
    <definedName name="CUSTOM3_4F_HGR_Fire_Staircase">#REF!</definedName>
    <definedName name="CUSTOM3_4F_Lift_Shaft">#REF!</definedName>
    <definedName name="CUSTOM3_4F_Services_Core">#REF!</definedName>
    <definedName name="CUSTOM3_4F_Voids___Dead_space">#REF!</definedName>
    <definedName name="CUSTOM3_4th_Floor___BOH___Fire_Escape_Stairs">#REF!</definedName>
    <definedName name="CUSTOM3_4th_Floor___BOH___Guest_Core">#REF!</definedName>
    <definedName name="CUSTOM3_4th_Floor___BOH___Guest_Core_ducts">#REF!</definedName>
    <definedName name="CUSTOM3_4th_Floor___BOH___Guest_Core_lift_shafts">#REF!</definedName>
    <definedName name="CUSTOM3_4th_Floor___BOH___Service_Core">#REF!</definedName>
    <definedName name="CUSTOM3_4th_Floor___BOH___Service_Core_ducts">#REF!</definedName>
    <definedName name="CUSTOM3_4th_Floor___BOH___Service_Core_lift_shafts">#REF!</definedName>
    <definedName name="CUSTOM3_4th_Floor___FOH___Guestroom_Circulation">#REF!</definedName>
    <definedName name="CUSTOM3_4th_Floor___FOH___Guestroom_Terrace">#REF!</definedName>
    <definedName name="CUSTOM3_4th_Floor___FOH___Guestrooms">#REF!</definedName>
    <definedName name="CUSTOM3_4th_Floor___FOH___Roof_Top_Pantry">#REF!</definedName>
    <definedName name="CUSTOM3_4th_Floor___FOH___Roof_Top_Restaurant">#REF!</definedName>
    <definedName name="CUSTOM3_4th_Floor___FOH___Roof_Top_Toilets">#REF!</definedName>
    <definedName name="CUSTOM3_4th_Floor___Roof_Top_Restaurant_open_terrace">#REF!</definedName>
    <definedName name="CUSTOM3_5__Ceiling_Finishes">#REF!</definedName>
    <definedName name="CUSTOM3_5__Ceiling_Finishes___D1">#REF!</definedName>
    <definedName name="CUSTOM3_5.1__Blukheads">#REF!</definedName>
    <definedName name="CUSTOM3_5.1__Blukheads___S1">#REF!</definedName>
    <definedName name="CUSTOM3_5.1.2___Paint_to_walls__PF03">#REF!</definedName>
    <definedName name="CUSTOM3_5.1.2___Paint_to_walls__PF04">#REF!</definedName>
    <definedName name="CUSTOM3_5.1.3___Ceramic_Tiles_to_walls__WF01">#REF!</definedName>
    <definedName name="CUSTOM3_5.1.3___Ceramic_Tiles_to_walls__WF03">#REF!</definedName>
    <definedName name="CUSTOM3_5.1.3___Ceramic_Tiles_to_walls__WF05">#REF!</definedName>
    <definedName name="CUSTOM3_5.1.3___Ceramic_Tiles_to_walls__WF07">#REF!</definedName>
    <definedName name="CUSTOM3_5.1.4___Waterproofing_to_wet_areas">#REF!</definedName>
    <definedName name="CUSTOM3_5.2.2___FF01__Porcelian_Tiles">#REF!</definedName>
    <definedName name="CUSTOM3_5.2.2___FF01__Porcelian_Tiles_Skirting">#REF!</definedName>
    <definedName name="CUSTOM3_5.2.3___FF03__Ceramic_Tiles">#REF!</definedName>
    <definedName name="CUSTOM3_5.2.3___FF03__Ceramic_Tiles____Balconies">#REF!</definedName>
    <definedName name="CUSTOM3_5.2.3___FF03__Ceramic_Tiles____Waterproofing_to_wet_areas">#REF!</definedName>
    <definedName name="CUSTOM3_5.2.3___FF03__Ceramic_Tiles_Skirting">#REF!</definedName>
    <definedName name="CUSTOM3_5.2.4___Threshold_Allowance_100mm_200mm_thk">#REF!</definedName>
    <definedName name="CUSTOM3_5.3.1___PF01__Gypsum_Board">#REF!</definedName>
    <definedName name="CUSTOM3_5.3.1___PF01__Slab_Soffits">#REF!</definedName>
    <definedName name="CUSTOM3_5.3.1___PF03__Gypsum_Board">#REF!</definedName>
    <definedName name="CUSTOM3_5.3.2___Bulkheads">#REF!</definedName>
    <definedName name="CUSTOM3_50mm_dia_WP">#REF!</definedName>
    <definedName name="CUSTOM3_50mm_dia._Balcony_Drain" localSheetId="1">#REF!</definedName>
    <definedName name="CUSTOM3_50mm_dia._Balcony_Drain">#REF!</definedName>
    <definedName name="CUSTOM3_5A_CEILING">#REF!</definedName>
    <definedName name="CUSTOM3_5A_FS01">#REF!</definedName>
    <definedName name="CUSTOM3_5A_FS02">#REF!</definedName>
    <definedName name="CUSTOM3_5A_FS02_2F">#REF!</definedName>
    <definedName name="CUSTOM3_5A_FS03">#REF!</definedName>
    <definedName name="CUSTOM3_5A_FS03_AREA">#REF!</definedName>
    <definedName name="CUSTOM3_5A_FS03_GRILL">#REF!</definedName>
    <definedName name="CUSTOM3_5A_FS04">#REF!</definedName>
    <definedName name="CUSTOM3_5A_FS04_1F">#REF!</definedName>
    <definedName name="CUSTOM3_5A_FS04_2F">#REF!</definedName>
    <definedName name="CUSTOM3_5A_FS05">#REF!</definedName>
    <definedName name="CUSTOM3_5A_FS05_RF">#REF!</definedName>
    <definedName name="CUSTOM3_5A_FS07">#REF!</definedName>
    <definedName name="CUSTOM3_5A_FS08">#REF!</definedName>
    <definedName name="CUSTOM3_5A_FS08_RF">#REF!</definedName>
    <definedName name="CUSTOM3_5A_FS12_1F">#REF!</definedName>
    <definedName name="CUSTOM3_5A_FS15_2F">#REF!</definedName>
    <definedName name="CUSTOM3_5A_FS16">#REF!</definedName>
    <definedName name="CUSTOM3_5B_FS01">#REF!</definedName>
    <definedName name="CUSTOM3_5B_FS02_1F">#REF!</definedName>
    <definedName name="CUSTOM3_5B_FS02_RF">#REF!</definedName>
    <definedName name="CUSTOM3_5B_FS03">#REF!</definedName>
    <definedName name="CUSTOM3_5B_FS03_AREA">#REF!</definedName>
    <definedName name="CUSTOM3_5B_FS03_GRILL">#REF!</definedName>
    <definedName name="CUSTOM3_5B_FS03_RF">#REF!</definedName>
    <definedName name="CUSTOM3_5B_FS04_1F">#REF!</definedName>
    <definedName name="CUSTOM3_5B_FS04_2F">#REF!</definedName>
    <definedName name="CUSTOM3_5B_FS04_RF">#REF!</definedName>
    <definedName name="CUSTOM3_5B_FS05">#REF!</definedName>
    <definedName name="CUSTOM3_5B_FS05_GARDEN">#REF!</definedName>
    <definedName name="CUSTOM3_5B_FS05_PARAPET">#REF!</definedName>
    <definedName name="CUSTOM3_5B_FS06">#REF!</definedName>
    <definedName name="CUSTOM3_5B_FS07_1F">#REF!</definedName>
    <definedName name="CUSTOM3_5B_FS08_RF">#REF!</definedName>
    <definedName name="CUSTOM3_5B_FS11_1F">#REF!</definedName>
    <definedName name="CUSTOM3_5B_FS11_2F">#REF!</definedName>
    <definedName name="CUSTOM3_5B_FS12_2F">#REF!</definedName>
    <definedName name="CUSTOM3_5B_FS15_1F">#REF!</definedName>
    <definedName name="CUSTOM3_5B_FS15_2F">#REF!</definedName>
    <definedName name="CUSTOM3_5B_FS15_RF">#REF!</definedName>
    <definedName name="CUSTOM3_5B_FS16">#REF!</definedName>
    <definedName name="CUSTOM3_5B_LOUVRE">#REF!</definedName>
    <definedName name="CUSTOM3_5B_PARAPET_COPING">#REF!</definedName>
    <definedName name="CUSTOM3_5C_FS01">#REF!</definedName>
    <definedName name="CUSTOM3_5C_FS02">#REF!</definedName>
    <definedName name="CUSTOM3_5C_FS02_1F">#REF!</definedName>
    <definedName name="CUSTOM3_5C_FS02_COPING">#REF!</definedName>
    <definedName name="CUSTOM3_5C_FS03">#REF!</definedName>
    <definedName name="CUSTOM3_5C_FS03_GRILL">#REF!</definedName>
    <definedName name="CUSTOM3_5C_FS05_RF">#REF!</definedName>
    <definedName name="CUSTOM3_5C_FS07_RF">#REF!</definedName>
    <definedName name="CUSTOM3_5C_FS08_1F">#REF!</definedName>
    <definedName name="CUSTOM3_5C_FS08_RF">#REF!</definedName>
    <definedName name="CUSTOM3_5C_FS16">#REF!</definedName>
    <definedName name="CUSTOM3_5C_LINK_BRIDGE">#REF!</definedName>
    <definedName name="CUSTOM3_5F_BOH_Circulation">#REF!</definedName>
    <definedName name="CUSTOM3_5F_BOH_Service___Utility_area">#REF!</definedName>
    <definedName name="CUSTOM3_5F_BOH_Staircase">#REF!</definedName>
    <definedName name="CUSTOM3_5F_Lift_Shaft">#REF!</definedName>
    <definedName name="CUSTOM3_5F_MEP">#REF!</definedName>
    <definedName name="CUSTOM3_5F_Services_Core">#REF!</definedName>
    <definedName name="CUSTOM3_5F_Voids___Dead_area">#REF!</definedName>
    <definedName name="CUSTOM3_6__FF_E_Fixed">#REF!</definedName>
    <definedName name="CUSTOM3_6.1.1___U_Shaped_Base_Cabinet___3400___2250___2300_x_700_x_900">#REF!</definedName>
    <definedName name="CUSTOM3_6.1.2___Kitchen_Wall_Cabinet_____600_x340_x_830">#REF!</definedName>
    <definedName name="CUSTOM3_6.1.2___Kitchen_Wall_Cabinet_____650_x340_x_830">#REF!</definedName>
    <definedName name="CUSTOM3_6.1.2___Kitchen_Wall_Cabinet_____850_x340_x_830">#REF!</definedName>
    <definedName name="CUSTOM3_6.1.2___Kitchen_Wall_Cabinet_____900_x340_x_400">#REF!</definedName>
    <definedName name="CUSTOM3_6.1.3___Cooker_Hood__4_series">#REF!</definedName>
    <definedName name="CUSTOM3_6.2.1___Wardrobe__1000mm_x_600mm__walkin_">#REF!</definedName>
    <definedName name="CUSTOM3_6.2.1___Wardrobe__2000mm_x_600mm__Bed3_">#REF!</definedName>
    <definedName name="CUSTOM3_6.2.1___Wardrobe__2200mm_x_600mm__Bed2_">#REF!</definedName>
    <definedName name="CUSTOM3_6.2.1___Wardrobe_L_shape__2500mm___2300mm_x_600mm__walkin_">#REF!</definedName>
    <definedName name="CUSTOM3_6.3.1___Base_Cabinet__1000mm_x_600mm_x_900mm">#REF!</definedName>
    <definedName name="CUSTOM3_6.3.1___Base_Cabinet__1800mm_x_600mm_x_900m">#REF!</definedName>
    <definedName name="CUSTOM3_6.3.1___Base_Cabinet__1900mm_x_600mm_x_900m">#REF!</definedName>
    <definedName name="CUSTOM3_82mm_dia_Vent_pipe_1F" localSheetId="1">#REF!</definedName>
    <definedName name="CUSTOM3_82mm_dia_Vent_pipe_1F">#REF!</definedName>
    <definedName name="CUSTOM3_82mm_dia_Vent_pipe_GF">#REF!</definedName>
    <definedName name="CUSTOM3_AM_Beams">#REF!</definedName>
    <definedName name="CUSTOM3_AM_Slab_1200">#REF!</definedName>
    <definedName name="CUSTOM3_AM_Slab_300">#REF!</definedName>
    <definedName name="CUSTOM3_Assume_Roof">#REF!</definedName>
    <definedName name="CUSTOM3_Assumed_Stair_Roof">#REF!</definedName>
    <definedName name="CUSTOM3_B1">#REF!</definedName>
    <definedName name="CUSTOM3_B1___BOH____Loading_Unloading">#REF!</definedName>
    <definedName name="CUSTOM3_B1___BOH____Service_Corridor">#REF!</definedName>
    <definedName name="CUSTOM3_B1___BOH___Bulk_Storage">#REF!</definedName>
    <definedName name="CUSTOM3_B1___BOH___Event_Center_Core">#REF!</definedName>
    <definedName name="CUSTOM3_B1___BOH___Event_Center_Core_lift_shafts">#REF!</definedName>
    <definedName name="CUSTOM3_B1___BOH___Event_Center_Kitchen">#REF!</definedName>
    <definedName name="CUSTOM3_B1___BOH___Event_Center_Service">#REF!</definedName>
    <definedName name="CUSTOM3_B1___BOH___Fire_Escape_Stairs">#REF!</definedName>
    <definedName name="CUSTOM3_B1___BOH___Food___Beverage_Dept">#REF!</definedName>
    <definedName name="CUSTOM3_B1___BOH___General_Areas">#REF!</definedName>
    <definedName name="CUSTOM3_B1___BOH___Guest_Core">#REF!</definedName>
    <definedName name="CUSTOM3_B1___BOH___Guest_Core_ducts">#REF!</definedName>
    <definedName name="CUSTOM3_B1___BOH___Guest_Core_lift_shafts">#REF!</definedName>
    <definedName name="CUSTOM3_B1___BOH___Human_Resources">#REF!</definedName>
    <definedName name="CUSTOM3_B1___BOH___Main_Kitchen">#REF!</definedName>
    <definedName name="CUSTOM3_B1___BOH___Pool_Bar___Grill_Pantry">#REF!</definedName>
    <definedName name="CUSTOM3_B1___BOH___Ramp__B1___GF_">#REF!</definedName>
    <definedName name="CUSTOM3_B1___BOH___Ramp_B1_to_B2__loading_unloading_">#REF!</definedName>
    <definedName name="CUSTOM3_B1___BOH___Receiving___Purchasing">#REF!</definedName>
    <definedName name="CUSTOM3_B1___BOH___Service_Core">#REF!</definedName>
    <definedName name="CUSTOM3_B1___BOH___Service_Core_ducts">#REF!</definedName>
    <definedName name="CUSTOM3_B1___BOH___Service_Core_lift_shaft">#REF!</definedName>
    <definedName name="CUSTOM3_B1___BOH___Service_Corridor">#REF!</definedName>
    <definedName name="CUSTOM3_B1___BOH___Speciality_Restaurant_01_Pantry">#REF!</definedName>
    <definedName name="CUSTOM3_B1___BOH___Staff_Core">#REF!</definedName>
    <definedName name="CUSTOM3_B1___BOH___Staff_Core_lift_shafts">#REF!</definedName>
    <definedName name="CUSTOM3_B1___BOH___Staff_Facilities">#REF!</definedName>
    <definedName name="CUSTOM3_B1___BOH___Waste_Management">#REF!</definedName>
    <definedName name="CUSTOM3_B1___Double_Volume_internal_Plant_RM">#REF!</definedName>
    <definedName name="CUSTOM3_B1___FOH____Day_Care_Center">#REF!</definedName>
    <definedName name="CUSTOM3_B1___FOH___All_Day_Dining">#REF!</definedName>
    <definedName name="CUSTOM3_B1___FOH___Circulation">#REF!</definedName>
    <definedName name="CUSTOM3_B1___FOH___Day_Care_Center_Terrace">#REF!</definedName>
    <definedName name="CUSTOM3_B1___FOH___Guest_Circulation">#REF!</definedName>
    <definedName name="CUSTOM3_B1___FOH___Guestroom_Terrace">#REF!</definedName>
    <definedName name="CUSTOM3_B1___FOH___Guestrooms">#REF!</definedName>
    <definedName name="CUSTOM3_B1___FOH___Gym">#REF!</definedName>
    <definedName name="CUSTOM3_B1___FOH___Pool_Bar___Grill">#REF!</definedName>
    <definedName name="CUSTOM3_B1___FOH___Pool_Bar___Grill_Terrace">#REF!</definedName>
    <definedName name="CUSTOM3_B1___FOH___Spa">#REF!</definedName>
    <definedName name="CUSTOM3_B1___FOH___Speciality_Restauarant_02_Toilets">#REF!</definedName>
    <definedName name="CUSTOM3_B1___FOH___Speciality_Restaurant_01">#REF!</definedName>
    <definedName name="CUSTOM3_B1___FOH___Speciality_Restaurant_02">#REF!</definedName>
    <definedName name="CUSTOM3_B1___FOH___Speciality_Restaurant_02_Terrace__covered_terrace_area_">#REF!</definedName>
    <definedName name="CUSTOM3_B1___FOH___Speciality_Restaurant_02_Terrace__open_terrace_area_">#REF!</definedName>
    <definedName name="CUSTOM3_B1___Parking">#REF!</definedName>
    <definedName name="CUSTOM3_B1__BOH_">#REF!</definedName>
    <definedName name="CUSTOM3_B1__Car_Park_">#REF!</definedName>
    <definedName name="CUSTOM3_B1__Column_C1">#REF!</definedName>
    <definedName name="CUSTOM3_B1__Column_C10">#REF!</definedName>
    <definedName name="CUSTOM3_B1__Column_C11">#REF!</definedName>
    <definedName name="CUSTOM3_B1__Column_C12">#REF!</definedName>
    <definedName name="CUSTOM3_B1__Column_C2">#REF!</definedName>
    <definedName name="CUSTOM3_B1__Column_C3">#REF!</definedName>
    <definedName name="CUSTOM3_B1__Column_C4">#REF!</definedName>
    <definedName name="CUSTOM3_B1__Column_C5">#REF!</definedName>
    <definedName name="CUSTOM3_B1__Column_C6">#REF!</definedName>
    <definedName name="CUSTOM3_B1__Column_C7">#REF!</definedName>
    <definedName name="CUSTOM3_B1__Column_C8">#REF!</definedName>
    <definedName name="CUSTOM3_B1__Column_C9">#REF!</definedName>
    <definedName name="CUSTOM3_B1__Column_TC1">#REF!</definedName>
    <definedName name="CUSTOM3_B1__Column_TC2">#REF!</definedName>
    <definedName name="CUSTOM3_B1__Column_TC3">#REF!</definedName>
    <definedName name="CUSTOM3_B1__Column_TC4">#REF!</definedName>
    <definedName name="CUSTOM3_B1__Column_TC5">#REF!</definedName>
    <definedName name="CUSTOM3_B1__FOH_circulation_">#REF!</definedName>
    <definedName name="CUSTOM3_B1__GIFA_">#REF!</definedName>
    <definedName name="CUSTOM3_B1__RW1_400">#REF!</definedName>
    <definedName name="CUSTOM3_B1__RW2_600">#REF!</definedName>
    <definedName name="CUSTOM3_B1__Stairs_">#REF!</definedName>
    <definedName name="CUSTOM3_B1__TW1_250">#REF!</definedName>
    <definedName name="CUSTOM3_B1__TW2_200">#REF!</definedName>
    <definedName name="CUSTOM3_B1__TW3_300">#REF!</definedName>
    <definedName name="CUSTOM3_B1__TW3_400">#REF!</definedName>
    <definedName name="CUSTOM3_B1__TW4_500">#REF!</definedName>
    <definedName name="CUSTOM3_B1__TW4_500_Door_Overhead">#REF!</definedName>
    <definedName name="CUSTOM3_B1__TW4_600">#REF!</definedName>
    <definedName name="CUSTOM3_B1__voids_">#REF!</definedName>
    <definedName name="CUSTOM3_B1__W1__300">#REF!</definedName>
    <definedName name="CUSTOM3_B1__W1_300_Door_Overhead">#REF!</definedName>
    <definedName name="CUSTOM3_B1_Beams">#REF!</definedName>
    <definedName name="CUSTOM3_B1_BOH">#REF!</definedName>
    <definedName name="CUSTOM3_B1_BOH_Area" localSheetId="1">#REF!</definedName>
    <definedName name="CUSTOM3_B1_BOH_Area">#REF!</definedName>
    <definedName name="CUSTOM3_B1_BOH_Service___Utility_area" localSheetId="1">#REF!</definedName>
    <definedName name="CUSTOM3_B1_BOH_Service___Utility_area">#REF!</definedName>
    <definedName name="CUSTOM3_B1_Car_Park" localSheetId="1">#REF!</definedName>
    <definedName name="CUSTOM3_B1_Car_Park">#REF!</definedName>
    <definedName name="CUSTOM3_B1_Double_Internal_Doors__BOH_" localSheetId="1">#REF!</definedName>
    <definedName name="CUSTOM3_B1_Double_Internal_Doors__BOH_">#REF!</definedName>
    <definedName name="CUSTOM3_B1_Double_Internal_Doors__FOH_">#REF!</definedName>
    <definedName name="CUSTOM3_B1_Double_Volume_area" localSheetId="1">#REF!</definedName>
    <definedName name="CUSTOM3_B1_Double_Volume_area">#REF!</definedName>
    <definedName name="CUSTOM3_B1_Executive_Club" localSheetId="1">#REF!</definedName>
    <definedName name="CUSTOM3_B1_Executive_Club">#REF!</definedName>
    <definedName name="CUSTOM3_B1_FOH_Circulation" localSheetId="1">#REF!</definedName>
    <definedName name="CUSTOM3_B1_FOH_Circulation">#REF!</definedName>
    <definedName name="CUSTOM3_B1_FOH_Circulation_area" localSheetId="1">#REF!</definedName>
    <definedName name="CUSTOM3_B1_FOH_Circulation_area">#REF!</definedName>
    <definedName name="CUSTOM3_B1_FOH_Lobby" localSheetId="1">#REF!</definedName>
    <definedName name="CUSTOM3_B1_FOH_Lobby">#REF!</definedName>
    <definedName name="CUSTOM3_B1_GIFA" localSheetId="1">#REF!</definedName>
    <definedName name="CUSTOM3_B1_GIFA">#REF!</definedName>
    <definedName name="CUSTOM3_B1_Guest_Core" localSheetId="1">#REF!</definedName>
    <definedName name="CUSTOM3_B1_Guest_Core">#REF!</definedName>
    <definedName name="CUSTOM3_B1_Gym" localSheetId="1">#REF!</definedName>
    <definedName name="CUSTOM3_B1_Gym">#REF!</definedName>
    <definedName name="CUSTOM3_B1_Gym_Toilets" localSheetId="1">#REF!</definedName>
    <definedName name="CUSTOM3_B1_Gym_Toilets">#REF!</definedName>
    <definedName name="CUSTOM3_B1_Internal_Double_doors__BOH_">#REF!</definedName>
    <definedName name="CUSTOM3_B1_Internal_Double_doors__FOH_">#REF!</definedName>
    <definedName name="CUSTOM3_B1_Internal_Single_doors__BOH_">#REF!</definedName>
    <definedName name="CUSTOM3_B1_Kids_Area">#REF!</definedName>
    <definedName name="CUSTOM3_B1_Kitchen">#REF!</definedName>
    <definedName name="CUSTOM3_B1_Lift_Shaft">#REF!</definedName>
    <definedName name="CUSTOM3_B1_Main_Restaurant">#REF!</definedName>
    <definedName name="CUSTOM3_B1_MEP_Area">#REF!</definedName>
    <definedName name="CUSTOM3_B1_Mezz">#REF!</definedName>
    <definedName name="CUSTOM3_B1_Mezzanine___BOH___Event_Center_Admin">#REF!</definedName>
    <definedName name="CUSTOM3_B1_Mezzanine___BOH___Event_Center_Core">#REF!</definedName>
    <definedName name="CUSTOM3_B1_Mezzanine___BOH___Event_Center_Valet">#REF!</definedName>
    <definedName name="CUSTOM3_B1_Mezzanine___BOH___Event_Service_Core_lift_shafts">#REF!</definedName>
    <definedName name="CUSTOM3_B1_Mezzanine___BOH___Fire_Escape_Stairs">#REF!</definedName>
    <definedName name="CUSTOM3_B1_Mezzanine___BOH___General_Areas">#REF!</definedName>
    <definedName name="CUSTOM3_B1_Mezzanine___BOH___Guest_Core">#REF!</definedName>
    <definedName name="CUSTOM3_B1_Mezzanine___BOH___Guest_Core_ducts">#REF!</definedName>
    <definedName name="CUSTOM3_B1_Mezzanine___BOH___Guest_Core_lift_shafts">#REF!</definedName>
    <definedName name="CUSTOM3_B1_Mezzanine___BOH___RMU">#REF!</definedName>
    <definedName name="CUSTOM3_B1_Mezzanine___BOH___Service_Core">#REF!</definedName>
    <definedName name="CUSTOM3_B1_Mezzanine___BOH___Service_Core_ducts">#REF!</definedName>
    <definedName name="CUSTOM3_B1_Mezzanine___BOH___Service_Core_lift_shafts">#REF!</definedName>
    <definedName name="CUSTOM3_B1_Mezzanine___Double_Volume__left_wing_">#REF!</definedName>
    <definedName name="CUSTOM3_B1_Mezzanine___Double_Volume__left_wing_stairs___">#REF!</definedName>
    <definedName name="CUSTOM3_B1_Mezzanine___Double_Volume__main_hotel___">#REF!</definedName>
    <definedName name="CUSTOM3_B1_Mezzanine___Double_Volume__right_wing_">#REF!</definedName>
    <definedName name="CUSTOM3_B1_Mezzanine___Double_Volume__right_wing_stairs___">#REF!</definedName>
    <definedName name="CUSTOM3_B1_Mezzanine___Double_Volume__Speciality_Restaurant___">#REF!</definedName>
    <definedName name="CUSTOM3_B1_Mezzanine___FOH___Business_Center">#REF!</definedName>
    <definedName name="CUSTOM3_B1_Mezzanine___FOH___Circulation">#REF!</definedName>
    <definedName name="CUSTOM3_B1_Mezzanine___FOH___Event_Center_Core_lift_shafts">#REF!</definedName>
    <definedName name="CUSTOM3_B1_Mezzanine___FOH___Event_Center_Port_Corchere">#REF!</definedName>
    <definedName name="CUSTOM3_B1_Mezzanine___FOH___Event_Center_Reception">#REF!</definedName>
    <definedName name="CUSTOM3_B1_Mezzanine___FOH___Event_Center_Wind_Lobby">#REF!</definedName>
    <definedName name="CUSTOM3_B1_Mezzanine___FOH___Guestroom_Terrace">#REF!</definedName>
    <definedName name="CUSTOM3_B1_Mezzanine___FOH___Guestrooms">#REF!</definedName>
    <definedName name="CUSTOM3_B1_Mezzanine___FOH___Meeting_Prefunction">#REF!</definedName>
    <definedName name="CUSTOM3_B1_Mezzanine___FOH___Meeting_Rooms">#REF!</definedName>
    <definedName name="CUSTOM3_B1_Mezzanine___FOH___Meeting_Rooms_Pantry">#REF!</definedName>
    <definedName name="CUSTOM3_B1_Mezzanine___FOH___Meeting_Rooms_Terrace">#REF!</definedName>
    <definedName name="CUSTOM3_B1_Mezzanine___FOH___Meeting_Rooms_Toilet">#REF!</definedName>
    <definedName name="CUSTOM3_B1_Mezzanine___FOH___Retail">#REF!</definedName>
    <definedName name="CUSTOM3_B1_Parking_area">#REF!</definedName>
    <definedName name="CUSTOM3_B1_Public_Toilets">#REF!</definedName>
    <definedName name="CUSTOM3_B1_Ramp">#REF!</definedName>
    <definedName name="CUSTOM3_B1_Service_Lift_Lobby">#REF!</definedName>
    <definedName name="CUSTOM3_B1_Services_Core">#REF!</definedName>
    <definedName name="CUSTOM3_B1_Single_Internal_Doors__BOH_">#REF!</definedName>
    <definedName name="CUSTOM3_B1_Slab_200" localSheetId="1">#REF!</definedName>
    <definedName name="CUSTOM3_B1_Slab_200">#REF!</definedName>
    <definedName name="CUSTOM3_B1_Slab_220">#REF!</definedName>
    <definedName name="CUSTOM3_B1_Slab_240">#REF!</definedName>
    <definedName name="CUSTOM3_B1_Slab_260">#REF!</definedName>
    <definedName name="CUSTOM3_B1_Spa">#REF!</definedName>
    <definedName name="CUSTOM3_B1_Speciality_Kitchen">#REF!</definedName>
    <definedName name="CUSTOM3_B1_Speciality_Restaurant">#REF!</definedName>
    <definedName name="CUSTOM3_B1_Staicase_Lobby">#REF!</definedName>
    <definedName name="CUSTOM3_B1_Staircase">#REF!</definedName>
    <definedName name="CUSTOM3_B1_Stairs">#REF!</definedName>
    <definedName name="CUSTOM3_B1_Voids" localSheetId="1">#REF!</definedName>
    <definedName name="CUSTOM3_B1_Voids">#REF!</definedName>
    <definedName name="CUSTOM3_B2" localSheetId="1">#REF!</definedName>
    <definedName name="CUSTOM3_B2">#REF!</definedName>
    <definedName name="CUSTOM3_B2___BOH____Tank" localSheetId="1">#REF!</definedName>
    <definedName name="CUSTOM3_B2___BOH____Tank">#REF!</definedName>
    <definedName name="CUSTOM3_B2___BOH___AHU">#REF!</definedName>
    <definedName name="CUSTOM3_B2___BOH___Engineering___Maintenance">#REF!</definedName>
    <definedName name="CUSTOM3_B2___BOH___Event_Center_Core">#REF!</definedName>
    <definedName name="CUSTOM3_B2___BOH___Event_Center_Core_lift_shafts">#REF!</definedName>
    <definedName name="CUSTOM3_B2___BOH___Fire_Escape_Stairs">#REF!</definedName>
    <definedName name="CUSTOM3_B2___BOH___Guest_Core">#REF!</definedName>
    <definedName name="CUSTOM3_B2___BOH___Guest_Core_lift_shafts">#REF!</definedName>
    <definedName name="CUSTOM3_B2___BOH___Heat_Exchange">#REF!</definedName>
    <definedName name="CUSTOM3_B2___BOH___IT_Department">#REF!</definedName>
    <definedName name="CUSTOM3_B2___BOH___Laundry___Housekeeping">#REF!</definedName>
    <definedName name="CUSTOM3_B2___BOH___LV_Room">#REF!</definedName>
    <definedName name="CUSTOM3_B2___BOH___Plant">#REF!</definedName>
    <definedName name="CUSTOM3_B2___BOH___Pump_Room">#REF!</definedName>
    <definedName name="CUSTOM3_B2___BOH___Ramp_B2_to_B1">#REF!</definedName>
    <definedName name="CUSTOM3_B2___BOH___Ramp_B2_to_B1__loading___unloading_">#REF!</definedName>
    <definedName name="CUSTOM3_B2___BOH___Service_Core">#REF!</definedName>
    <definedName name="CUSTOM3_B2___BOH___Service_Core_duct">#REF!</definedName>
    <definedName name="CUSTOM3_B2___BOH___Service_Core_lift_shafts">#REF!</definedName>
    <definedName name="CUSTOM3_B2___BOH___Service_Corridor">#REF!</definedName>
    <definedName name="CUSTOM3_B2___BOH___Substation">#REF!</definedName>
    <definedName name="CUSTOM3_B2___BOH___Unknown_areas">#REF!</definedName>
    <definedName name="CUSTOM3_B2___FOH___Pool_Toilets">#REF!</definedName>
    <definedName name="CUSTOM3_B2___FOH___Speciality_Restaurant_01_Toilets">#REF!</definedName>
    <definedName name="CUSTOM3_B2___Parking">#REF!</definedName>
    <definedName name="CUSTOM3_B2__BOH_">#REF!</definedName>
    <definedName name="CUSTOM3_B2__Car_Parking_">#REF!</definedName>
    <definedName name="CUSTOM3_B2__Column_C1">#REF!</definedName>
    <definedName name="CUSTOM3_B2__Column_C10">#REF!</definedName>
    <definedName name="CUSTOM3_B2__Column_C11">#REF!</definedName>
    <definedName name="CUSTOM3_B2__Column_C12">#REF!</definedName>
    <definedName name="CUSTOM3_B2__Column_C2">#REF!</definedName>
    <definedName name="CUSTOM3_B2__Column_C3">#REF!</definedName>
    <definedName name="CUSTOM3_B2__Column_C4">#REF!</definedName>
    <definedName name="CUSTOM3_B2__Column_C5">#REF!</definedName>
    <definedName name="CUSTOM3_B2__Column_C6">#REF!</definedName>
    <definedName name="CUSTOM3_B2__Column_C7">#REF!</definedName>
    <definedName name="CUSTOM3_B2__Column_C8">#REF!</definedName>
    <definedName name="CUSTOM3_B2__Column_C9">#REF!</definedName>
    <definedName name="CUSTOM3_B2__Column_TC1">#REF!</definedName>
    <definedName name="CUSTOM3_B2__Column_TC2">#REF!</definedName>
    <definedName name="CUSTOM3_B2__Column_TC3">#REF!</definedName>
    <definedName name="CUSTOM3_B2__Column_TC4">#REF!</definedName>
    <definedName name="CUSTOM3_B2__Column_TC5">#REF!</definedName>
    <definedName name="CUSTOM3_B2__FOH_Circulation_">#REF!</definedName>
    <definedName name="CUSTOM3_B2__GIFA_">#REF!</definedName>
    <definedName name="CUSTOM3_B2__Loading__Unloading_Area">#REF!</definedName>
    <definedName name="CUSTOM3_B2__RW1_400">#REF!</definedName>
    <definedName name="CUSTOM3_B2__RW2_600">#REF!</definedName>
    <definedName name="CUSTOM3_B2__Stairs_">#REF!</definedName>
    <definedName name="CUSTOM3_B2__TW1_250">#REF!</definedName>
    <definedName name="CUSTOM3_B2__TW2_200">#REF!</definedName>
    <definedName name="CUSTOM3_B2__TW3_300">#REF!</definedName>
    <definedName name="CUSTOM3_B2__TW3_400">#REF!</definedName>
    <definedName name="CUSTOM3_B2__TW4_500">#REF!</definedName>
    <definedName name="CUSTOM3_B2__TW4_600">#REF!</definedName>
    <definedName name="CUSTOM3_B2__Voids_">#REF!</definedName>
    <definedName name="CUSTOM3_B2__W1__300">#REF!</definedName>
    <definedName name="CUSTOM3_B2__W1__300_Door_Overhead">#REF!</definedName>
    <definedName name="CUSTOM3_B2_BOH">#REF!</definedName>
    <definedName name="CUSTOM3_B2_BOH___Services_Area" localSheetId="1">#REF!</definedName>
    <definedName name="CUSTOM3_B2_BOH___Services_Area">#REF!</definedName>
    <definedName name="CUSTOM3_B2_BOH_Area" localSheetId="1">#REF!</definedName>
    <definedName name="CUSTOM3_B2_BOH_Area">#REF!</definedName>
    <definedName name="CUSTOM3_B2_Car_Park" localSheetId="1">#REF!</definedName>
    <definedName name="CUSTOM3_B2_Car_Park">#REF!</definedName>
    <definedName name="CUSTOM3_B2_Dirty_Room" localSheetId="1">#REF!</definedName>
    <definedName name="CUSTOM3_B2_Dirty_Room">#REF!</definedName>
    <definedName name="CUSTOM3_B2_Double_Internal_Doors__BOH_" localSheetId="1">#REF!</definedName>
    <definedName name="CUSTOM3_B2_Double_Internal_Doors__BOH_">#REF!</definedName>
    <definedName name="CUSTOM3_B2_Double_Internal_Doors__FOH_" localSheetId="1">#REF!</definedName>
    <definedName name="CUSTOM3_B2_Double_Internal_Doors__FOH_">#REF!</definedName>
    <definedName name="CUSTOM3_B2_FOH" localSheetId="1">#REF!</definedName>
    <definedName name="CUSTOM3_B2_FOH">#REF!</definedName>
    <definedName name="CUSTOM3_B2_GIFA">#REF!</definedName>
    <definedName name="CUSTOM3_B2_Kitchen" localSheetId="1">#REF!</definedName>
    <definedName name="CUSTOM3_B2_Kitchen">#REF!</definedName>
    <definedName name="CUSTOM3_B2_Lift_Shaft" localSheetId="1">#REF!</definedName>
    <definedName name="CUSTOM3_B2_Lift_Shaft">#REF!</definedName>
    <definedName name="CUSTOM3_B2_MEP_Area" localSheetId="1">#REF!</definedName>
    <definedName name="CUSTOM3_B2_MEP_Area">#REF!</definedName>
    <definedName name="CUSTOM3_B2_Raft_2500">#REF!</definedName>
    <definedName name="CUSTOM3_B2_Raft_600">#REF!</definedName>
    <definedName name="CUSTOM3_B2_Services_Core">#REF!</definedName>
    <definedName name="CUSTOM3_B2_Single_Internal_Doors__BOH_">#REF!</definedName>
    <definedName name="CUSTOM3_B2_Staircase" localSheetId="1">#REF!</definedName>
    <definedName name="CUSTOM3_B2_Staircase">#REF!</definedName>
    <definedName name="CUSTOM3_B2_Stairs" localSheetId="1">#REF!</definedName>
    <definedName name="CUSTOM3_B2_Stairs">#REF!</definedName>
    <definedName name="CUSTOM3_B2_Voids" localSheetId="1">#REF!</definedName>
    <definedName name="CUSTOM3_B2_Voids">#REF!</definedName>
    <definedName name="CUSTOM3_B3_Beams" localSheetId="1">#REF!</definedName>
    <definedName name="CUSTOM3_B3_Beams">#REF!</definedName>
    <definedName name="CUSTOM3_B3_Wall">#REF!</definedName>
    <definedName name="CUSTOM3_B3_Wall_Link">#REF!</definedName>
    <definedName name="CUSTOM3_B4_Beams">#REF!</definedName>
    <definedName name="CUSTOM3_B4_Tower_Wall___same_as_B5">#REF!</definedName>
    <definedName name="CUSTOM3_B4_Wall_Length">#REF!</definedName>
    <definedName name="CUSTOM3_B4_Wall_Link">#REF!</definedName>
    <definedName name="CUSTOM3_B5_Beams">#REF!</definedName>
    <definedName name="CUSTOM3_B5_Tower_Wall">#REF!</definedName>
    <definedName name="CUSTOM3_B5_Wall_Length">#REF!</definedName>
    <definedName name="CUSTOM3_B5_Wall_Link">#REF!</definedName>
    <definedName name="CUSTOM3_B6_Beams">#REF!</definedName>
    <definedName name="CUSTOM3_B7_Tower_Wall">#REF!</definedName>
    <definedName name="CUSTOM3_B7_Wall_Length">#REF!</definedName>
    <definedName name="CUSTOM3_B7_Wall_Link">#REF!</definedName>
    <definedName name="CUSTOM3_Balconies_Entry">#REF!</definedName>
    <definedName name="CUSTOM3_Balcony_Drain">#REF!</definedName>
    <definedName name="CUSTOM3_Bib_Tap">#REF!</definedName>
    <definedName name="CUSTOM3_BOH__GF_">#REF!</definedName>
    <definedName name="CUSTOM3_BOH__Podium_1_">#REF!</definedName>
    <definedName name="CUSTOM3_BOH__Podium_2_">#REF!</definedName>
    <definedName name="CUSTOM3_BOH__Roof_">#REF!</definedName>
    <definedName name="CUSTOM3_BOH_areas__lvl_1_">#REF!</definedName>
    <definedName name="CUSTOM3_BOH_areas__lvl_2_">#REF!</definedName>
    <definedName name="CUSTOM3_BOH_areas__lvl_3_">#REF!</definedName>
    <definedName name="CUSTOM3_BUA">#REF!</definedName>
    <definedName name="CUSTOM3_Bypass_Valve__Normally_Closed_">#REF!</definedName>
    <definedName name="CUSTOM3_Cable_Foundation_Length">#REF!</definedName>
    <definedName name="CUSTOM3_Cable_raft">#REF!</definedName>
    <definedName name="CUSTOM3_Cable_Retaining_wall">#REF!</definedName>
    <definedName name="CUSTOM3_Cable_Waterproofing">#REF!</definedName>
    <definedName name="CUSTOM3_capping">#REF!</definedName>
    <definedName name="CUSTOM3_Car_Park__Podium_1_">#REF!</definedName>
    <definedName name="CUSTOM3_Car_Park__Podium_2_">#REF!</definedName>
    <definedName name="CUSTOM3_Car_Parking__lvl_1_">#REF!</definedName>
    <definedName name="CUSTOM3_Conference_Centre">#REF!</definedName>
    <definedName name="CUSTOM3_Counterweight">#REF!</definedName>
    <definedName name="CUSTOM3_DP1_3000x3000x350">#REF!</definedName>
    <definedName name="CUSTOM3_DP11_3250x1750x350">#REF!</definedName>
    <definedName name="CUSTOM3_DP2_3000x1750x350">#REF!</definedName>
    <definedName name="CUSTOM3_DP3_3500x1900x350">#REF!</definedName>
    <definedName name="CUSTOM3_DP5_3000x3000x400">#REF!</definedName>
    <definedName name="CUSTOM3_DP6_6500x4000x550">#REF!</definedName>
    <definedName name="CUSTOM3_DP7_3500x1900x400">#REF!</definedName>
    <definedName name="CUSTOM3_Entrance_lobby__GF_">#REF!</definedName>
    <definedName name="CUSTOM3_External_areas__lvl_2_">#REF!</definedName>
    <definedName name="CUSTOM3_External_areas__Roof_">#REF!</definedName>
    <definedName name="CUSTOM3_External_Doors__AL_01">#REF!</definedName>
    <definedName name="CUSTOM3_External_Doors__AL_02">#REF!</definedName>
    <definedName name="CUSTOM3_External_Doors__AL_03">#REF!</definedName>
    <definedName name="CUSTOM3_External_Doors__AL_04">#REF!</definedName>
    <definedName name="CUSTOM3_External_Doors__AL_05">#REF!</definedName>
    <definedName name="CUSTOM3_External_Doors__D_01">#REF!</definedName>
    <definedName name="CUSTOM3_External_Doors__D_02">#REF!</definedName>
    <definedName name="CUSTOM3_External_Doors__D_05">#REF!</definedName>
    <definedName name="CUSTOM3_External_Doors__Threshold">#REF!</definedName>
    <definedName name="CUSTOM3_External_Floor_Finishes__Interlocking_Paving">#REF!</definedName>
    <definedName name="CUSTOM3_External_Wall__Blockwork___BW_2">#REF!</definedName>
    <definedName name="CUSTOM3_External_Wall__Blockwork___BW_3">#REF!</definedName>
    <definedName name="CUSTOM3_External_Wall__Blockwork___BW_4">#REF!</definedName>
    <definedName name="CUSTOM3_External_Wall_Finishes__50mm_thk_insulation">#REF!</definedName>
    <definedName name="CUSTOM3_External_Wall_finishes__Cast_Aluminium_handrail___Balustrade">#REF!</definedName>
    <definedName name="CUSTOM3_External_Wall_Finishes__Cement_render___Paint">#REF!</definedName>
    <definedName name="CUSTOM3_External_Wall_finishes__Elevation_projection_with_painted_finish">#REF!</definedName>
    <definedName name="CUSTOM3_External_Wall_Finishes__Skirting">#REF!</definedName>
    <definedName name="CUSTOM3_External_Wall_finishes__Soffits">#REF!</definedName>
    <definedName name="CUSTOM3_External_Window__GL_01">#REF!</definedName>
    <definedName name="CUSTOM3_External_Window__GL_02">#REF!</definedName>
    <definedName name="CUSTOM3_External_Window__GL_02_a">#REF!</definedName>
    <definedName name="CUSTOM3_External_Window__GL_03">#REF!</definedName>
    <definedName name="CUSTOM3_External_Window__GL_04">#REF!</definedName>
    <definedName name="CUSTOM3_External_Window__GL_05">#REF!</definedName>
    <definedName name="CUSTOM3_External_Window__GL_06">#REF!</definedName>
    <definedName name="CUSTOM3_External_Window__GL_07">#REF!</definedName>
    <definedName name="CUSTOM3_External_Window__GL_08">#REF!</definedName>
    <definedName name="CUSTOM3_External_Window__GL_16">#REF!</definedName>
    <definedName name="CUSTOM3_External_Window__GL_18">#REF!</definedName>
    <definedName name="CUSTOM3_External_Window__GL_19">#REF!</definedName>
    <definedName name="CUSTOM3_External_Window__GL_19_a">#REF!</definedName>
    <definedName name="CUSTOM3_External_Window__GL_20">#REF!</definedName>
    <definedName name="CUSTOM3_External_Window__GL_21">#REF!</definedName>
    <definedName name="CUSTOM3_External_Window__GL_22">#REF!</definedName>
    <definedName name="CUSTOM3_External_Window__GL_23">#REF!</definedName>
    <definedName name="CUSTOM3_External_Window__GL_24">#REF!</definedName>
    <definedName name="CUSTOM3_External_Window__GL_25">#REF!</definedName>
    <definedName name="CUSTOM3_Fence">#REF!</definedName>
    <definedName name="CUSTOM3_Floor_Plate___B1_Mezzanine">#REF!</definedName>
    <definedName name="CUSTOM3_Floor_Plate___Basement_1">#REF!</definedName>
    <definedName name="CUSTOM3_Floor_Plate___Basement_2">#REF!</definedName>
    <definedName name="CUSTOM3_Floor_Plate___First_Floor">#REF!</definedName>
    <definedName name="CUSTOM3_Floor_Plate___Fourth_Floor">#REF!</definedName>
    <definedName name="CUSTOM3_Floor_Plate___Ground_Floor">#REF!</definedName>
    <definedName name="CUSTOM3_Floor_Plate___Mezanine_Floor">#REF!</definedName>
    <definedName name="CUSTOM3_Floor_Plate___Second_Floor">#REF!</definedName>
    <definedName name="CUSTOM3_Floor_Plate___Third_Floor">#REF!</definedName>
    <definedName name="CUSTOM3_FOH_areas__GF_">#REF!</definedName>
    <definedName name="CUSTOM3_FOH_Areas__Roof_">#REF!</definedName>
    <definedName name="CUSTOM3_FOH_Circulation__GF_">#REF!</definedName>
    <definedName name="CUSTOM3_FOH_circulation__lvl_1_">#REF!</definedName>
    <definedName name="CUSTOM3_FOH_circulation__lvl_2_">#REF!</definedName>
    <definedName name="CUSTOM3_FOH_Circulation__lvl_3_">#REF!</definedName>
    <definedName name="CUSTOM3_FOH_Circulation__Podium_1_">#REF!</definedName>
    <definedName name="CUSTOM3_FOH_Circulation__Podium_2_">#REF!</definedName>
    <definedName name="CUSTOM3_FOH_Circulation__Roof_">#REF!</definedName>
    <definedName name="CUSTOM3_FP_A_00AF">#REF!</definedName>
    <definedName name="CUSTOM3_FP_A_01F">#REF!</definedName>
    <definedName name="CUSTOM3_FP_A_02F___4F">#REF!</definedName>
    <definedName name="CUSTOM3_FP_A_03F">#REF!</definedName>
    <definedName name="CUSTOM3_FP_A_05F">#REF!</definedName>
    <definedName name="CUSTOM3_FP_A_06F">#REF!</definedName>
    <definedName name="CUSTOM3_FP_A_07F">#REF!</definedName>
    <definedName name="CUSTOM3_FP_A_08F___10F">#REF!</definedName>
    <definedName name="CUSTOM3_FP_A_09F">#REF!</definedName>
    <definedName name="CUSTOM3_FP_A_11F_to_29F_alt_">#REF!</definedName>
    <definedName name="CUSTOM3_FP_A_12F_to_30F_alt_">#REF!</definedName>
    <definedName name="CUSTOM3_FP_A_31F">#REF!</definedName>
    <definedName name="CUSTOM3_FP_A_32F">#REF!</definedName>
    <definedName name="CUSTOM3_FP_A_33RF__">#REF!</definedName>
    <definedName name="CUSTOM3_FP_A_34uRF__">#REF!</definedName>
    <definedName name="CUSTOM3_FP_A_35uRF__">#REF!</definedName>
    <definedName name="CUSTOM3_FP_B_00BF_1">#REF!</definedName>
    <definedName name="CUSTOM3_FP_B_00BF_1_intermediate">#REF!</definedName>
    <definedName name="CUSTOM3_FP_B_00BF_2">#REF!</definedName>
    <definedName name="CUSTOM3_FP_B_00GF">#REF!</definedName>
    <definedName name="CUSTOM3_FP_B_00MF">#REF!</definedName>
    <definedName name="CUSTOM3_FP_B_00PF___1">#REF!</definedName>
    <definedName name="CUSTOM3_FP_B_00PF___2">#REF!</definedName>
    <definedName name="CUSTOM3_FP_B_00PF___3">#REF!</definedName>
    <definedName name="CUSTOM3_FS01">#REF!</definedName>
    <definedName name="CUSTOM3_FS01_1B">#REF!</definedName>
    <definedName name="CUSTOM3_FS01_1C">#REF!</definedName>
    <definedName name="CUSTOM3_FS012_1B2">#REF!</definedName>
    <definedName name="CUSTOM3_FS02_1A">#REF!</definedName>
    <definedName name="CUSTOM3_FS02_1B">#REF!</definedName>
    <definedName name="CUSTOM3_FS02_1B_RF">#REF!</definedName>
    <definedName name="CUSTOM3_FS02_1B1">#REF!</definedName>
    <definedName name="CUSTOM3_FS02_1C">#REF!</definedName>
    <definedName name="CUSTOM3_FS02_1C1">#REF!</definedName>
    <definedName name="CUSTOM3_FS03_1A">#REF!</definedName>
    <definedName name="CUSTOM3_FS03_1B">#REF!</definedName>
    <definedName name="CUSTOM3_FS03_1C">#REF!</definedName>
    <definedName name="CUSTOM3_FS04">#REF!</definedName>
    <definedName name="CUSTOM3_FS04_1A">#REF!</definedName>
    <definedName name="CUSTOM3_FS04_1B">#REF!</definedName>
    <definedName name="CUSTOM3_FS04_1B1">#REF!</definedName>
    <definedName name="CUSTOM3_FS04_1B2">#REF!</definedName>
    <definedName name="CUSTOM3_FS04_1C">#REF!</definedName>
    <definedName name="CUSTOM3_FS04_1C1">#REF!</definedName>
    <definedName name="CUSTOM3_FS04_1C2">#REF!</definedName>
    <definedName name="CUSTOM3_FS04_Rail">#REF!</definedName>
    <definedName name="CUSTOM3_FS05_1A">#REF!</definedName>
    <definedName name="CUSTOM3_FS05_1A_RF">#REF!</definedName>
    <definedName name="CUSTOM3_FS05_1B">#REF!</definedName>
    <definedName name="CUSTOM3_FS05_1B1">#REF!</definedName>
    <definedName name="CUSTOM3_FS05_1B2">#REF!</definedName>
    <definedName name="CUSTOM3_FS05_1C">#REF!</definedName>
    <definedName name="CUSTOM3_FS05_1C_RF">#REF!</definedName>
    <definedName name="CUSTOM3_FS05_1C1">#REF!</definedName>
    <definedName name="CUSTOM3_FS05_1C2">#REF!</definedName>
    <definedName name="CUSTOM3_FS05_GARDEN">#REF!</definedName>
    <definedName name="CUSTOM3_FS05_GARDEN_1C">#REF!</definedName>
    <definedName name="CUSTOM3_FS05_IB_RF">#REF!</definedName>
    <definedName name="CUSTOM3_FS06_1A">#REF!</definedName>
    <definedName name="CUSTOM3_FS06_1C_RF">#REF!</definedName>
    <definedName name="CUSTOM3_FS06_RF">#REF!</definedName>
    <definedName name="CUSTOM3_FS06_Skybridge">#REF!</definedName>
    <definedName name="CUSTOM3_FS07_1B1">#REF!</definedName>
    <definedName name="CUSTOM3_FS07_1C">#REF!</definedName>
    <definedName name="CUSTOM3_FS11_1B1">#REF!</definedName>
    <definedName name="CUSTOM3_FS11_1B2">#REF!</definedName>
    <definedName name="CUSTOM3_FS11_1C1">#REF!</definedName>
    <definedName name="CUSTOM3_FS11_1C2">#REF!</definedName>
    <definedName name="CUSTOM3_FS12_1C2">#REF!</definedName>
    <definedName name="CUSTOM3_FS12_IC_RF">#REF!</definedName>
    <definedName name="CUSTOM3_FS12_RAIL_1C">#REF!</definedName>
    <definedName name="CUSTOM3_FS12_RAIL_RF">#REF!</definedName>
    <definedName name="CUSTOM3_FS12_RF">#REF!</definedName>
    <definedName name="CUSTOM3_Garage">#REF!</definedName>
    <definedName name="CUSTOM3_Garden">#REF!</definedName>
    <definedName name="CUSTOM3_GF">#REF!</definedName>
    <definedName name="CUSTOM3_GF___BOH____General_areas">#REF!</definedName>
    <definedName name="CUSTOM3_GF___BOH___Admin_Support">#REF!</definedName>
    <definedName name="CUSTOM3_GF___BOH___Boiler_Room">#REF!</definedName>
    <definedName name="CUSTOM3_GF___BOH___Ducts">#REF!</definedName>
    <definedName name="CUSTOM3_GF___BOH___Executive_Offices">#REF!</definedName>
    <definedName name="CUSTOM3_GF___BOH___Fire_Escape_Stairs">#REF!</definedName>
    <definedName name="CUSTOM3_GF___BOH___Front_Desk">#REF!</definedName>
    <definedName name="CUSTOM3_GF___BOH___Front_Office_Devision">#REF!</definedName>
    <definedName name="CUSTOM3_GF___BOH___Guest_Core">#REF!</definedName>
    <definedName name="CUSTOM3_GF___BOH___Guest_Core_ducts">#REF!</definedName>
    <definedName name="CUSTOM3_GF___BOH___Guest_Core_lift_shafts">#REF!</definedName>
    <definedName name="CUSTOM3_GF___BOH___Lobby_Bar_Pantry">#REF!</definedName>
    <definedName name="CUSTOM3_GF___BOH___Luggage">#REF!</definedName>
    <definedName name="CUSTOM3_GF___BOH___Prayer_Rooms">#REF!</definedName>
    <definedName name="CUSTOM3_GF___BOH___Sales_Offices">#REF!</definedName>
    <definedName name="CUSTOM3_GF___BOH___Security_and_Valet">#REF!</definedName>
    <definedName name="CUSTOM3_GF___BOH___Service_Core">#REF!</definedName>
    <definedName name="CUSTOM3_GF___BOH___Service_Core_ducts">#REF!</definedName>
    <definedName name="CUSTOM3_GF___BOH___Staff_Core">#REF!</definedName>
    <definedName name="CUSTOM3_GF___BOH___Staff_Core_lift_shafts">#REF!</definedName>
    <definedName name="CUSTOM3_GF___Double_Volume_internal_Reception">#REF!</definedName>
    <definedName name="CUSTOM3_GF___FOH___Circulation">#REF!</definedName>
    <definedName name="CUSTOM3_GF___FOH___Guest_Circulation">#REF!</definedName>
    <definedName name="CUSTOM3_GF___FOH___Guestroom_Terrace">#REF!</definedName>
    <definedName name="CUSTOM3_GF___FOH___Guestrooms">#REF!</definedName>
    <definedName name="CUSTOM3_GF___FOH___Hotel_Port_Corchere">#REF!</definedName>
    <definedName name="CUSTOM3_GF___FOH___Lobby_Bar___Lounge">#REF!</definedName>
    <definedName name="CUSTOM3_GF___FOH___Lobby_Bar___Lounge_Toilets">#REF!</definedName>
    <definedName name="CUSTOM3_GF___FOH___Reception_and_Lobby_BR_Terrace">#REF!</definedName>
    <definedName name="CUSTOM3_GF___FOH___Reception_Lobby">#REF!</definedName>
    <definedName name="CUSTOM3_GF___FOH___Speciality_Restaurant_01_Roof_Terrace">#REF!</definedName>
    <definedName name="CUSTOM3_GF___FOH___Wind_Lobby">#REF!</definedName>
    <definedName name="CUSTOM3_GF__15mm_dia._CWS_Buried_Underground">#REF!</definedName>
    <definedName name="CUSTOM3_GF__25mm_dia._CWS_20mm_dia_HSW">#REF!</definedName>
    <definedName name="CUSTOM3_GF__32_dia._CWS_Main_Buried_underground">#REF!</definedName>
    <definedName name="CUSTOM3_GF__32mm_dia_BCWS_25mm_dia_HWS">#REF!</definedName>
    <definedName name="CUSTOM3_GF_Bell_Captain">#REF!</definedName>
    <definedName name="CUSTOM3_GF_BOH_Service___Utility_area">#REF!</definedName>
    <definedName name="CUSTOM3_GF_BOH_Staircase">#REF!</definedName>
    <definedName name="CUSTOM3_GF_Business_Center">#REF!</definedName>
    <definedName name="CUSTOM3_GF_Double_Vol._at_Parking_ramp__2.5m_high_">#REF!</definedName>
    <definedName name="CUSTOM3_GF_Double_Volume">#REF!</definedName>
    <definedName name="CUSTOM3_GF_ENT._LOBBY_TO_LUGGAGE_BELL_CAPT">#REF!</definedName>
    <definedName name="CUSTOM3_GF_External_Double_doors__FOH_">#REF!</definedName>
    <definedName name="CUSTOM3_GF_External_Revolving_doors__FOH_">#REF!</definedName>
    <definedName name="CUSTOM3_GF_External_Single_doors__BOH_">#REF!</definedName>
    <definedName name="CUSTOM3_GF_External_Single_doors__FOH_">#REF!</definedName>
    <definedName name="CUSTOM3_GF_FOH_Circulation_Area">#REF!</definedName>
    <definedName name="CUSTOM3_GF_FOH_Staircase">#REF!</definedName>
    <definedName name="CUSTOM3_GF_Front_Office">#REF!</definedName>
    <definedName name="CUSTOM3_GF_Guest_Core">#REF!</definedName>
    <definedName name="CUSTOM3_GF_Guest_Rooms">#REF!</definedName>
    <definedName name="CUSTOM3_GF_HGR_BOH">#REF!</definedName>
    <definedName name="CUSTOM3_GF_HGR_Circulation">#REF!</definedName>
    <definedName name="CUSTOM3_GF_HGR_Covered_Balcony">#REF!</definedName>
    <definedName name="CUSTOM3_GF_HGR_Fire_Staircase">#REF!</definedName>
    <definedName name="CUSTOM3_GF_Internal_Single_doors__BOH_">#REF!</definedName>
    <definedName name="CUSTOM3_GF_Internal_Single_doors__FOH_">#REF!</definedName>
    <definedName name="CUSTOM3_GF_Lift_Shaft">#REF!</definedName>
    <definedName name="CUSTOM3_GF_Lobby_Bar">#REF!</definedName>
    <definedName name="CUSTOM3_GF_Lobby_Lounge">#REF!</definedName>
    <definedName name="CUSTOM3_GF_Lobby_Lounge_pantry">#REF!</definedName>
    <definedName name="CUSTOM3_GF_Luggage_Room">#REF!</definedName>
    <definedName name="CUSTOM3_GF_MEP_Area">#REF!</definedName>
    <definedName name="CUSTOM3_GF_Prayer_Room">#REF!</definedName>
    <definedName name="CUSTOM3_GF_Public_Toilets">#REF!</definedName>
    <definedName name="CUSTOM3_GF_Ramp_B1_to_GF">#REF!</definedName>
    <definedName name="CUSTOM3_GF_Ramp_GF_to_B1">#REF!</definedName>
    <definedName name="CUSTOM3_GF_Reception">#REF!</definedName>
    <definedName name="CUSTOM3_GF_Roller_shutter_doors__BOH_">#REF!</definedName>
    <definedName name="CUSTOM3_GF_Service_Core">#REF!</definedName>
    <definedName name="CUSTOM3_GF_Toilet_cubicle_doors">#REF!</definedName>
    <definedName name="CUSTOM3_GF_Toilet_to_Prayer_rooms">#REF!</definedName>
    <definedName name="CUSTOM3_GF_Voids_Dead_areas">#REF!</definedName>
    <definedName name="CUSTOM3_GFA">#REF!</definedName>
    <definedName name="CUSTOM3_GFA__GF_">#REF!</definedName>
    <definedName name="CUSTOM3_GFA__lvl_1_">#REF!</definedName>
    <definedName name="CUSTOM3_GFA__lvl_2_">#REF!</definedName>
    <definedName name="CUSTOM3_GFA__lvl_3_">#REF!</definedName>
    <definedName name="CUSTOM3_GFA__Podium_1_">#REF!</definedName>
    <definedName name="CUSTOM3_GFA__Podium_2_">#REF!</definedName>
    <definedName name="CUSTOM3_GFA__Roof_">#REF!</definedName>
    <definedName name="CUSTOM3_GIFA">#REF!</definedName>
    <definedName name="CUSTOM3_GIFA__GF_">#REF!</definedName>
    <definedName name="CUSTOM3_GIFA__lvl_1_">#REF!</definedName>
    <definedName name="CUSTOM3_GIFA__lvl_2_">#REF!</definedName>
    <definedName name="CUSTOM3_GIFA__Podium_1_">#REF!</definedName>
    <definedName name="CUSTOM3_GIFA__Podium_2_">#REF!</definedName>
    <definedName name="CUSTOM3_GIFA__Roof_">#REF!</definedName>
    <definedName name="CUSTOM3_Hotel_F_B__GF_">#REF!</definedName>
    <definedName name="CUSTOM3_IA_001mPF_BA_A_U00___lift_lobby">#REF!</definedName>
    <definedName name="CUSTOM3_IA_001mPF_BA_A_U00___lift_shaft">#REF!</definedName>
    <definedName name="CUSTOM3_IA_001mPF_BB_B_U00___double_vol._e.t.s._rm.">#REF!</definedName>
    <definedName name="CUSTOM3_IA_001mPF_BB_B_U00___double_volume">#REF!</definedName>
    <definedName name="CUSTOM3_IA_001mPF_BB_B_U00___electrical_rm.">#REF!</definedName>
    <definedName name="CUSTOM3_IA_001mPF_BB_B_U00___f.e._stairs">#REF!</definedName>
    <definedName name="CUSTOM3_IA_001mPF_BB_B_U00___f.h.c.">#REF!</definedName>
    <definedName name="CUSTOM3_IA_001mPF_BB_B_U00___garbage_rm.">#REF!</definedName>
    <definedName name="CUSTOM3_IA_001mPF_BB_B_U00___services_trans._area">#REF!</definedName>
    <definedName name="CUSTOM3_IA_001mPF_BB_B_U00___shaft">#REF!</definedName>
    <definedName name="CUSTOM3_IA_001mPF_BB_B_U00___stair_3">#REF!</definedName>
    <definedName name="CUSTOM3_IA_001mPF_BB_B_U00___telephone_rm.">#REF!</definedName>
    <definedName name="CUSTOM3_IA_001mPF_BB_B_U00___void">#REF!</definedName>
    <definedName name="CUSTOM3_IA_001mPF_BB_C_U00___driveway">#REF!</definedName>
    <definedName name="CUSTOM3_IA_001mPF_BB_C_U00___driveway_ramp">#REF!</definedName>
    <definedName name="CUSTOM3_IA_001mPF_BB_C_U00___driveway_zebra_lines">#REF!</definedName>
    <definedName name="CUSTOM3_IA_001mPF_BB_C_U00___parking_bay">#REF!</definedName>
    <definedName name="CUSTOM3_IA_001mPF_BB_C_U00___sidewalk">#REF!</definedName>
    <definedName name="CUSTOM3_IA_001mPF_BB_C_U00___sidewalk_ramp">#REF!</definedName>
    <definedName name="CUSTOM3_IA_001PF_BA_A_U00___lift_lobby">#REF!</definedName>
    <definedName name="CUSTOM3_IA_001PF_BA_A_U00___lift_shaft">#REF!</definedName>
    <definedName name="CUSTOM3_IA_001PF_BA_B_U00___electrical_rm.">#REF!</definedName>
    <definedName name="CUSTOM3_IA_001PF_BA_B_U00___f.e._stairs">#REF!</definedName>
    <definedName name="CUSTOM3_IA_001PF_BA_B_U00___f.h.c.">#REF!</definedName>
    <definedName name="CUSTOM3_IA_001PF_BA_B_U00___garbage_rm.">#REF!</definedName>
    <definedName name="CUSTOM3_IA_001PF_BA_B_U00___shaft">#REF!</definedName>
    <definedName name="CUSTOM3_IA_001PF_BA_B_U00___stair_3">#REF!</definedName>
    <definedName name="CUSTOM3_IA_001PF_BA_B_U00___telephone_rm.">#REF!</definedName>
    <definedName name="CUSTOM3_IA_001PF_BA_C_U00___driveway">#REF!</definedName>
    <definedName name="CUSTOM3_IA_001PF_BA_C_U00___driveway_zebra_line">#REF!</definedName>
    <definedName name="CUSTOM3_IA_001PF_BA_C_U00___parking_bay">#REF!</definedName>
    <definedName name="CUSTOM3_IA_001PF_BA_C_U00___sidewalk">#REF!</definedName>
    <definedName name="CUSTOM3_IA_002PF_BA_A_U00___lift_lobby">#REF!</definedName>
    <definedName name="CUSTOM3_IA_002PF_BA_A_U00___lift_shaft">#REF!</definedName>
    <definedName name="CUSTOM3_IA_002PF_BA_B_U00___electrical_rm.">#REF!</definedName>
    <definedName name="CUSTOM3_IA_002PF_BA_B_U00___f.e._stairs">#REF!</definedName>
    <definedName name="CUSTOM3_IA_002PF_BA_B_U00___f.h.c.">#REF!</definedName>
    <definedName name="CUSTOM3_IA_002PF_BA_B_U00___garbage_rm.">#REF!</definedName>
    <definedName name="CUSTOM3_IA_002PF_BA_B_U00___shaft">#REF!</definedName>
    <definedName name="CUSTOM3_IA_002PF_BA_B_U00___stair_3">#REF!</definedName>
    <definedName name="CUSTOM3_IA_002PF_BA_B_U00___telephone_rm.">#REF!</definedName>
    <definedName name="CUSTOM3_IA_002PF_BA_C_U00___driveway">#REF!</definedName>
    <definedName name="CUSTOM3_IA_002PF_BA_C_U00___driveway_zebra_line">#REF!</definedName>
    <definedName name="CUSTOM3_IA_002PF_BA_C_U00___parking_bay">#REF!</definedName>
    <definedName name="CUSTOM3_IA_002PF_BA_C_U00___sidewalk">#REF!</definedName>
    <definedName name="CUSTOM3_IA_003PF_BA_A_U00___lift_lobby">#REF!</definedName>
    <definedName name="CUSTOM3_IA_003PF_BA_A_U00___lift_shaft">#REF!</definedName>
    <definedName name="CUSTOM3_IA_003PF_BA_B_U00___electrical_rm.">#REF!</definedName>
    <definedName name="CUSTOM3_IA_003PF_BA_B_U00___f.e._stairs">#REF!</definedName>
    <definedName name="CUSTOM3_IA_003PF_BA_B_U00___f.h.c.">#REF!</definedName>
    <definedName name="CUSTOM3_IA_003PF_BA_B_U00___garbage_rm.">#REF!</definedName>
    <definedName name="CUSTOM3_IA_003PF_BA_B_U00___plant_rm.">#REF!</definedName>
    <definedName name="CUSTOM3_IA_003PF_BA_B_U00___shaft">#REF!</definedName>
    <definedName name="CUSTOM3_IA_003PF_BA_B_U00___stair_3">#REF!</definedName>
    <definedName name="CUSTOM3_IA_003PF_BA_B_U00___telephone_rm.">#REF!</definedName>
    <definedName name="CUSTOM3_IA_003PF_BA_C_U00___driveway">#REF!</definedName>
    <definedName name="CUSTOM3_IA_003PF_BA_C_U00___driveway_zebra_line">#REF!</definedName>
    <definedName name="CUSTOM3_IA_003PF_BA_C_U00___parking_bay">#REF!</definedName>
    <definedName name="CUSTOM3_IA_003PF_BA_C_U00___sidewalk">#REF!</definedName>
    <definedName name="CUSTOM3_IA_00AF_AB_U00___cafe">#REF!</definedName>
    <definedName name="CUSTOM3_IA_00AF_AB_U00___cafe_pantry">#REF!</definedName>
    <definedName name="CUSTOM3_IA_00AF_AB_U00___corridor">#REF!</definedName>
    <definedName name="CUSTOM3_IA_00AF_AB_U00___game_rm.">#REF!</definedName>
    <definedName name="CUSTOM3_IA_00AF_AB_U00___game_rm._store">#REF!</definedName>
    <definedName name="CUSTOM3_IA_00AF_AB_U00___gym_female">#REF!</definedName>
    <definedName name="CUSTOM3_IA_00AF_AB_U00___gym_female_lobby">#REF!</definedName>
    <definedName name="CUSTOM3_IA_00AF_AB_U00___gym_female_shaft">#REF!</definedName>
    <definedName name="CUSTOM3_IA_00AF_AB_U00___gym_female_store">#REF!</definedName>
    <definedName name="CUSTOM3_IA_00AF_AB_U00___gym_female_void">#REF!</definedName>
    <definedName name="CUSTOM3_IA_00AF_AB_U00___gym_male">#REF!</definedName>
    <definedName name="CUSTOM3_IA_00AF_AB_U00___gym_male_lobby">#REF!</definedName>
    <definedName name="CUSTOM3_IA_00AF_AB_U00___gym_male_shaft">#REF!</definedName>
    <definedName name="CUSTOM3_IA_00AF_AB_U00___gym_male_store">#REF!</definedName>
    <definedName name="CUSTOM3_IA_00AF_AB_U00___gym_male_void">#REF!</definedName>
    <definedName name="CUSTOM3_IA_00AF_AB_U00___handicap_toi._female">#REF!</definedName>
    <definedName name="CUSTOM3_IA_00AF_AB_U00___handicap_toi._male">#REF!</definedName>
    <definedName name="CUSTOM3_IA_00AF_AB_U00___lift_lobby">#REF!</definedName>
    <definedName name="CUSTOM3_IA_00AF_AB_U00___lift_shaft">#REF!</definedName>
    <definedName name="CUSTOM3_IA_00AF_AB_U00___multi_purpose_rm.">#REF!</definedName>
    <definedName name="CUSTOM3_IA_00AF_AB_U00___multi_purpose_shaft">#REF!</definedName>
    <definedName name="CUSTOM3_IA_00AF_AB_U00___multi_purpose_store">#REF!</definedName>
    <definedName name="CUSTOM3_IA_00AF_AB_U00___spa_f._hallway">#REF!</definedName>
    <definedName name="CUSTOM3_IA_00AF_AB_U00___spa_f._heater_rm.">#REF!</definedName>
    <definedName name="CUSTOM3_IA_00AF_AB_U00___spa_f._lobby">#REF!</definedName>
    <definedName name="CUSTOM3_IA_00AF_AB_U00___spa_f._lockers">#REF!</definedName>
    <definedName name="CUSTOM3_IA_00AF_AB_U00___spa_f._massage_rm.">#REF!</definedName>
    <definedName name="CUSTOM3_IA_00AF_AB_U00___spa_f._rec.">#REF!</definedName>
    <definedName name="CUSTOM3_IA_00AF_AB_U00___spa_f._sauna">#REF!</definedName>
    <definedName name="CUSTOM3_IA_00AF_AB_U00___spa_f._shaft">#REF!</definedName>
    <definedName name="CUSTOM3_IA_00AF_AB_U00___spa_f._shower_toilet">#REF!</definedName>
    <definedName name="CUSTOM3_IA_00AF_AB_U00___spa_f._steam_rm.">#REF!</definedName>
    <definedName name="CUSTOM3_IA_00AF_AB_U00___spa_m._hallway">#REF!</definedName>
    <definedName name="CUSTOM3_IA_00AF_AB_U00___spa_m._heater_rm.">#REF!</definedName>
    <definedName name="CUSTOM3_IA_00AF_AB_U00___spa_m._lobby">#REF!</definedName>
    <definedName name="CUSTOM3_IA_00AF_AB_U00___spa_m._lockers">#REF!</definedName>
    <definedName name="CUSTOM3_IA_00AF_AB_U00___spa_m._massage_rm.">#REF!</definedName>
    <definedName name="CUSTOM3_IA_00AF_AB_U00___spa_m._rec.">#REF!</definedName>
    <definedName name="CUSTOM3_IA_00AF_AB_U00___spa_m._sauna">#REF!</definedName>
    <definedName name="CUSTOM3_IA_00AF_AB_U00___spa_m._shaft">#REF!</definedName>
    <definedName name="CUSTOM3_IA_00AF_AB_U00___spa_m._shower_toilet">#REF!</definedName>
    <definedName name="CUSTOM3_IA_00AF_AB_U00___spa_m._steam_rm.">#REF!</definedName>
    <definedName name="CUSTOM3_IA_00AF_AC_U00___electrical_rm.">#REF!</definedName>
    <definedName name="CUSTOM3_IA_00AF_AC_U00___f.e._stair">#REF!</definedName>
    <definedName name="CUSTOM3_IA_00AF_AC_U00___fhc">#REF!</definedName>
    <definedName name="CUSTOM3_IA_00AF_AC_U00___garbage_rm.">#REF!</definedName>
    <definedName name="CUSTOM3_IA_00AF_AC_U00___shaft">#REF!</definedName>
    <definedName name="CUSTOM3_IA_00AF_AC_U00___stair_3">#REF!</definedName>
    <definedName name="CUSTOM3_IA_00AF_AC_U00___store_rm.">#REF!</definedName>
    <definedName name="CUSTOM3_IA_00AF_AC_U00___telephone_rm.">#REF!</definedName>
    <definedName name="CUSTOM3_IA_00B1F_BD_B_U00___double_volume">#REF!</definedName>
    <definedName name="CUSTOM3_IA_00B1F_BD_B_U00___f.e._stairs">#REF!</definedName>
    <definedName name="CUSTOM3_IA_00B1F_BD_B_U00___f.h.c.">#REF!</definedName>
    <definedName name="CUSTOM3_IA_00B1F_BD_B_U00___fire_pump_rm.">#REF!</definedName>
    <definedName name="CUSTOM3_IA_00B1F_BD_B_U00___lobby_rm.">#REF!</definedName>
    <definedName name="CUSTOM3_IA_00B1F_BD_B_U00___lobby_rm._ent.">#REF!</definedName>
    <definedName name="CUSTOM3_IA_00B1F_BD_B_U00___shaft">#REF!</definedName>
    <definedName name="CUSTOM3_IA_00B1F_BD_B_U00___stair_3">#REF!</definedName>
    <definedName name="CUSTOM3_IA_00B1F_BD_B_U00___tech._rm.">#REF!</definedName>
    <definedName name="CUSTOM3_IA_00B1F_BD_C_U00___double_volume">#REF!</definedName>
    <definedName name="CUSTOM3_IA_00B1F_BD_C_U00___driveway">#REF!</definedName>
    <definedName name="CUSTOM3_IA_00B1F_BD_C_U00___driveway_ramp_1">#REF!</definedName>
    <definedName name="CUSTOM3_IA_00B1F_BD_C_U00___driveway_zebra_lines">#REF!</definedName>
    <definedName name="CUSTOM3_IA_00B1F_BD_C_U00___parking_bay">#REF!</definedName>
    <definedName name="CUSTOM3_IA_00B1F_BD_C_U00___sidewalk">#REF!</definedName>
    <definedName name="CUSTOM3_IA_00B1F_BD_C_U00___sidewalk_ramp">#REF!</definedName>
    <definedName name="CUSTOM3_IA_00B1iF_BD_A_U00___lift_lobby">#REF!</definedName>
    <definedName name="CUSTOM3_IA_00B1iF_BD_A_U00___lift_shaft">#REF!</definedName>
    <definedName name="CUSTOM3_IA_00B1iF_BD_B_U00___electrical_rm.">#REF!</definedName>
    <definedName name="CUSTOM3_IA_00B1iF_BD_B_U00___f.e._stairs">#REF!</definedName>
    <definedName name="CUSTOM3_IA_00B1iF_BD_B_U00___f.h.c.">#REF!</definedName>
    <definedName name="CUSTOM3_IA_00B1iF_BD_B_U00___l.v._rm.">#REF!</definedName>
    <definedName name="CUSTOM3_IA_00B1iF_BD_B_U00___main_tel._rm.">#REF!</definedName>
    <definedName name="CUSTOM3_IA_00B1iF_BD_B_U00___shaft">#REF!</definedName>
    <definedName name="CUSTOM3_IA_00B1iF_BD_B_U00___stair_4">#REF!</definedName>
    <definedName name="CUSTOM3_IA_00B1iF_BD_B_U00___storage_1">#REF!</definedName>
    <definedName name="CUSTOM3_IA_00B1iF_BD_B_U00___tech._rm.1">#REF!</definedName>
    <definedName name="CUSTOM3_IA_00B1iF_BD_B_U00___tech._rm.2">#REF!</definedName>
    <definedName name="CUSTOM3_IA_00B1iF_BD_B_U00___tech._rm.3">#REF!</definedName>
    <definedName name="CUSTOM3_IA_00B1iF_BD_B_U00___water_tank_1_double_volume">#REF!</definedName>
    <definedName name="CUSTOM3_IA_00B1iF_BD_B_U00___water_tank_2_double_volume">#REF!</definedName>
    <definedName name="CUSTOM3_IA_00B1iF_BD_B_U00___water_tank_3_double_volume">#REF!</definedName>
    <definedName name="CUSTOM3_IA_00B1iF_BD_B_U00___water_tank_4_double_volume">#REF!</definedName>
    <definedName name="CUSTOM3_IA_00B1iF_BD_C_U00___driveway">#REF!</definedName>
    <definedName name="CUSTOM3_IA_00B1iF_BD_C_U00___driveway_zebra_lines">#REF!</definedName>
    <definedName name="CUSTOM3_IA_00B1iF_BD_C_U00___parking_bay">#REF!</definedName>
    <definedName name="CUSTOM3_IA_00B1iF_BD_C_U00___sidewalk">#REF!</definedName>
    <definedName name="CUSTOM3_IA_00B2F_BD_A_U00___lift_lobby">#REF!</definedName>
    <definedName name="CUSTOM3_IA_00B2F_BD_A_U00___lift_shaft">#REF!</definedName>
    <definedName name="CUSTOM3_IA_00B2F_BD_B_U00___electrical_rm.">#REF!</definedName>
    <definedName name="CUSTOM3_IA_00B2F_BD_B_U00___f.e._stair">#REF!</definedName>
    <definedName name="CUSTOM3_IA_00B2F_BD_B_U00___f.h.c.">#REF!</definedName>
    <definedName name="CUSTOM3_IA_00B2F_BD_B_U00___mechanical_rm.1">#REF!</definedName>
    <definedName name="CUSTOM3_IA_00B2F_BD_B_U00___pump_rm.">#REF!</definedName>
    <definedName name="CUSTOM3_IA_00B2F_BD_B_U00___pump_rm._2">#REF!</definedName>
    <definedName name="CUSTOM3_IA_00B2F_BD_B_U00___shaft">#REF!</definedName>
    <definedName name="CUSTOM3_IA_00B2F_BD_B_U00___stair_4">#REF!</definedName>
    <definedName name="CUSTOM3_IA_00B2F_BD_B_U00___store_rm.1">#REF!</definedName>
    <definedName name="CUSTOM3_IA_00B2F_BD_B_U00___store_rm.2">#REF!</definedName>
    <definedName name="CUSTOM3_IA_00B2F_BD_B_U00___store_rm.3">#REF!</definedName>
    <definedName name="CUSTOM3_IA_00B2F_BD_B_U00___store_rm.4">#REF!</definedName>
    <definedName name="CUSTOM3_IA_00B2F_BD_B_U00___store_rm.5">#REF!</definedName>
    <definedName name="CUSTOM3_IA_00B2F_BD_B_U00___tech_rm.1">#REF!</definedName>
    <definedName name="CUSTOM3_IA_00B2F_BD_B_U00___tech_rm.2">#REF!</definedName>
    <definedName name="CUSTOM3_IA_00B2F_BD_B_U00___tech_rm.3">#REF!</definedName>
    <definedName name="CUSTOM3_IA_00B2F_BD_B_U00___water_tank__1">#REF!</definedName>
    <definedName name="CUSTOM3_IA_00B2F_BD_B_U00___water_tank__2">#REF!</definedName>
    <definedName name="CUSTOM3_IA_00B2F_BD_B_U00___water_tank__3">#REF!</definedName>
    <definedName name="CUSTOM3_IA_00B2F_BD_B_U00___water_tank__4">#REF!</definedName>
    <definedName name="CUSTOM3_IA_00B2F_BD_C_U00___driveway_1">#REF!</definedName>
    <definedName name="CUSTOM3_IA_00B2F_BD_C_U00___driveway_1___zebra_line">#REF!</definedName>
    <definedName name="CUSTOM3_IA_00B2F_BD_C_U00___parking_bay_1">#REF!</definedName>
    <definedName name="CUSTOM3_IA_00B2F_BD_C_U00___sidewalk_1">#REF!</definedName>
    <definedName name="CUSTOM3_IA_00BF_BC_A_U00___entrance_lobby">#REF!</definedName>
    <definedName name="CUSTOM3_IA_00BF_BC_A_U00___lift_lobby">#REF!</definedName>
    <definedName name="CUSTOM3_IA_00BF_BC_A_U00___lift_shaft">#REF!</definedName>
    <definedName name="CUSTOM3_IA_00BF_BC_A_U00___main_entrance">#REF!</definedName>
    <definedName name="CUSTOM3_IA_00BF_BC_B_U00___b.m.s._rm.">#REF!</definedName>
    <definedName name="CUSTOM3_IA_00BF_BC_B_U00___e.t.s_rm.">#REF!</definedName>
    <definedName name="CUSTOM3_IA_00BF_BC_B_U00___e.t.s_rm._hallway">#REF!</definedName>
    <definedName name="CUSTOM3_IA_00BF_BC_B_U00___e.t.s_rm.1">#REF!</definedName>
    <definedName name="CUSTOM3_IA_00BF_BC_B_U00___elect._rm">#REF!</definedName>
    <definedName name="CUSTOM3_IA_00BF_BC_B_U00___elect._rm_1">#REF!</definedName>
    <definedName name="CUSTOM3_IA_00BF_BC_B_U00___f.e._stair">#REF!</definedName>
    <definedName name="CUSTOM3_IA_00BF_BC_B_U00___f.e._stair_corridor">#REF!</definedName>
    <definedName name="CUSTOM3_IA_00BF_BC_B_U00___f.e._stair_corridor_lobby">#REF!</definedName>
    <definedName name="CUSTOM3_IA_00BF_BC_B_U00___f.h.c.">#REF!</definedName>
    <definedName name="CUSTOM3_IA_00BF_BC_B_U00___g.s.m._rm.">#REF!</definedName>
    <definedName name="CUSTOM3_IA_00BF_BC_B_U00___garbage_rm.">#REF!</definedName>
    <definedName name="CUSTOM3_IA_00BF_BC_B_U00___garbage_rm._ramp">#REF!</definedName>
    <definedName name="CUSTOM3_IA_00BF_BC_B_U00___generator_rm.">#REF!</definedName>
    <definedName name="CUSTOM3_IA_00BF_BC_B_U00___guard_rm.">#REF!</definedName>
    <definedName name="CUSTOM3_IA_00BF_BC_B_U00___guard_rm._toilet">#REF!</definedName>
    <definedName name="CUSTOM3_IA_00BF_BC_B_U00___h.v._rm.">#REF!</definedName>
    <definedName name="CUSTOM3_IA_00BF_BC_B_U00___platform">#REF!</definedName>
    <definedName name="CUSTOM3_IA_00BF_BC_B_U00___shaft">#REF!</definedName>
    <definedName name="CUSTOM3_IA_00BF_BC_B_U00___stairs_3">#REF!</definedName>
    <definedName name="CUSTOM3_IA_00BF_BC_B_U00___tech._area_1">#REF!</definedName>
    <definedName name="CUSTOM3_IA_00BF_BC_B_U00___tech._area_2">#REF!</definedName>
    <definedName name="CUSTOM3_IA_00BF_BC_B_U00___tech._area_3">#REF!</definedName>
    <definedName name="CUSTOM3_IA_00BF_BC_B_U00___tech._area_3_lobby">#REF!</definedName>
    <definedName name="CUSTOM3_IA_00BF_BC_B_U00___tel_rm.">#REF!</definedName>
    <definedName name="CUSTOM3_IA_00BF_BC_B_U00___toilet">#REF!</definedName>
    <definedName name="CUSTOM3_IA_00BF_BC_B_U00___toilet_female">#REF!</definedName>
    <definedName name="CUSTOM3_IA_00BF_BC_B_U00___toilet_lobby">#REF!</definedName>
    <definedName name="CUSTOM3_IA_00BF_BC_B_U00___toilet_male">#REF!</definedName>
    <definedName name="CUSTOM3_IA_00BF_BC_B_U00___transformer_rm.">#REF!</definedName>
    <definedName name="CUSTOM3_IA_00BF_BC_C_U00___double_volume">#REF!</definedName>
    <definedName name="CUSTOM3_IA_00BF_BC_C_U00___driveway_1">#REF!</definedName>
    <definedName name="CUSTOM3_IA_00BF_BC_C_U00___driveway_ramp">#REF!</definedName>
    <definedName name="CUSTOM3_IA_00BF_BC_C_U00___driveway_zebra_line">#REF!</definedName>
    <definedName name="CUSTOM3_IA_00BF_BC_C_U00___sidewalk_1">#REF!</definedName>
    <definedName name="CUSTOM3_IA_00BF_BC_C_U00___sidewalk_1_ramp">#REF!</definedName>
    <definedName name="CUSTOM3_IA_00BF_BC_C_U00___void">#REF!</definedName>
    <definedName name="CUSTOM3_IA_01F_AA_U01___BR1_lobby">#REF!</definedName>
    <definedName name="CUSTOM3_IA_01F_AA_U01___BR1_rm.">#REF!</definedName>
    <definedName name="CUSTOM3_IA_01F_AA_U01___BR1_t_b">#REF!</definedName>
    <definedName name="CUSTOM3_IA_01F_AA_U01___BR2_dresser">#REF!</definedName>
    <definedName name="CUSTOM3_IA_01F_AA_U01___BR2_lobby">#REF!</definedName>
    <definedName name="CUSTOM3_IA_01F_AA_U01___BR2_rm.">#REF!</definedName>
    <definedName name="CUSTOM3_IA_01F_AA_U01___BR2_t_b">#REF!</definedName>
    <definedName name="CUSTOM3_IA_01F_AA_U01___corridor">#REF!</definedName>
    <definedName name="CUSTOM3_IA_01F_AA_U01___foyer">#REF!</definedName>
    <definedName name="CUSTOM3_IA_01F_AA_U01___kitchen">#REF!</definedName>
    <definedName name="CUSTOM3_IA_01F_AA_U01___living_dining">#REF!</definedName>
    <definedName name="CUSTOM3_IA_01F_AA_U01___maids_rm.">#REF!</definedName>
    <definedName name="CUSTOM3_IA_01F_AA_U01___maids_toi.">#REF!</definedName>
    <definedName name="CUSTOM3_IA_01F_AA_U01___shaft">#REF!</definedName>
    <definedName name="CUSTOM3_IA_01F_AA_U01___toilet">#REF!</definedName>
    <definedName name="CUSTOM3_IA_01F_AA_U01___utility_rm.">#REF!</definedName>
    <definedName name="CUSTOM3_IA_01F_AA_U01___void">#REF!</definedName>
    <definedName name="CUSTOM3_IA_01F_AA_U02___BR1_dresser">#REF!</definedName>
    <definedName name="CUSTOM3_IA_01F_AA_U02___BR1_rm.">#REF!</definedName>
    <definedName name="CUSTOM3_IA_01F_AA_U02___BR1_t_b">#REF!</definedName>
    <definedName name="CUSTOM3_IA_01F_AA_U02___BR2_lobby">#REF!</definedName>
    <definedName name="CUSTOM3_IA_01F_AA_U02___BR2_rm.">#REF!</definedName>
    <definedName name="CUSTOM3_IA_01F_AA_U02___BR2_t_b">#REF!</definedName>
    <definedName name="CUSTOM3_IA_01F_AA_U02___corridor">#REF!</definedName>
    <definedName name="CUSTOM3_IA_01F_AA_U02___foyer">#REF!</definedName>
    <definedName name="CUSTOM3_IA_01F_AA_U02___kitchen">#REF!</definedName>
    <definedName name="CUSTOM3_IA_01F_AA_U02___living_dining">#REF!</definedName>
    <definedName name="CUSTOM3_IA_01F_AA_U02___maids_rm.">#REF!</definedName>
    <definedName name="CUSTOM3_IA_01F_AA_U02___maids_toi.">#REF!</definedName>
    <definedName name="CUSTOM3_IA_01F_AA_U02___shaft">#REF!</definedName>
    <definedName name="CUSTOM3_IA_01F_AA_U02___toilet">#REF!</definedName>
    <definedName name="CUSTOM3_IA_01F_AA_U02___utility_rm.">#REF!</definedName>
    <definedName name="CUSTOM3_IA_01F_AA_U02___void">#REF!</definedName>
    <definedName name="CUSTOM3_IA_01F_AA_U03___BR1_dresser">#REF!</definedName>
    <definedName name="CUSTOM3_IA_01F_AA_U03___BR1_lobby">#REF!</definedName>
    <definedName name="CUSTOM3_IA_01F_AA_U03___BR1_rm.">#REF!</definedName>
    <definedName name="CUSTOM3_IA_01F_AA_U03___BR1_store">#REF!</definedName>
    <definedName name="CUSTOM3_IA_01F_AA_U03___BR1_t_b">#REF!</definedName>
    <definedName name="CUSTOM3_IA_01F_AA_U03___foyer">#REF!</definedName>
    <definedName name="CUSTOM3_IA_01F_AA_U03___kitchen">#REF!</definedName>
    <definedName name="CUSTOM3_IA_01F_AA_U03___living_dining">#REF!</definedName>
    <definedName name="CUSTOM3_IA_01F_AA_U03___shaft">#REF!</definedName>
    <definedName name="CUSTOM3_IA_01F_AA_U03___storage">#REF!</definedName>
    <definedName name="CUSTOM3_IA_01F_AA_U03___toilet">#REF!</definedName>
    <definedName name="CUSTOM3_IA_01F_AA_U03___utility_rm.">#REF!</definedName>
    <definedName name="CUSTOM3_IA_01F_AA_U03___void">#REF!</definedName>
    <definedName name="CUSTOM3_IA_01F_AA_U04___BR1_dresser">#REF!</definedName>
    <definedName name="CUSTOM3_IA_01F_AA_U04___BR1_lobby">#REF!</definedName>
    <definedName name="CUSTOM3_IA_01F_AA_U04___BR1_rm.">#REF!</definedName>
    <definedName name="CUSTOM3_IA_01F_AA_U04___BR1_store">#REF!</definedName>
    <definedName name="CUSTOM3_IA_01F_AA_U04___BR1_t_b">#REF!</definedName>
    <definedName name="CUSTOM3_IA_01F_AA_U04___foyer">#REF!</definedName>
    <definedName name="CUSTOM3_IA_01F_AA_U04___kitchen">#REF!</definedName>
    <definedName name="CUSTOM3_IA_01F_AA_U04___living_dining">#REF!</definedName>
    <definedName name="CUSTOM3_IA_01F_AA_U04___shaft">#REF!</definedName>
    <definedName name="CUSTOM3_IA_01F_AA_U04___storage">#REF!</definedName>
    <definedName name="CUSTOM3_IA_01F_AA_U04___toilet">#REF!</definedName>
    <definedName name="CUSTOM3_IA_01F_AA_U04___utility_rm.">#REF!</definedName>
    <definedName name="CUSTOM3_IA_01F_AA_U04___void">#REF!</definedName>
    <definedName name="CUSTOM3_IA_01F_AA_U05___corridor">#REF!</definedName>
    <definedName name="CUSTOM3_IA_01F_AA_U05___foyer">#REF!</definedName>
    <definedName name="CUSTOM3_IA_01F_AA_U05___kitchen">#REF!</definedName>
    <definedName name="CUSTOM3_IA_01F_AA_U05___living_dining">#REF!</definedName>
    <definedName name="CUSTOM3_IA_01F_AA_U05___maids_lobby">#REF!</definedName>
    <definedName name="CUSTOM3_IA_01F_AA_U05___maids_rm.">#REF!</definedName>
    <definedName name="CUSTOM3_IA_01F_AA_U05___maids_toi.">#REF!</definedName>
    <definedName name="CUSTOM3_IA_01F_AA_U05___shaft">#REF!</definedName>
    <definedName name="CUSTOM3_IA_01F_AA_U05___stairs">#REF!</definedName>
    <definedName name="CUSTOM3_IA_01F_AA_U05___toilet">#REF!</definedName>
    <definedName name="CUSTOM3_IA_01F_AA_U05___utility_rm.">#REF!</definedName>
    <definedName name="CUSTOM3_IA_01F_AA_U06___BR1_lobby">#REF!</definedName>
    <definedName name="CUSTOM3_IA_01F_AA_U06___BR1_rm.">#REF!</definedName>
    <definedName name="CUSTOM3_IA_01F_AA_U06___BR1_t_b">#REF!</definedName>
    <definedName name="CUSTOM3_IA_01F_AA_U06___BR2_dresser">#REF!</definedName>
    <definedName name="CUSTOM3_IA_01F_AA_U06___BR2_lobby">#REF!</definedName>
    <definedName name="CUSTOM3_IA_01F_AA_U06___BR2_rm.">#REF!</definedName>
    <definedName name="CUSTOM3_IA_01F_AA_U06___BR2_t_b">#REF!</definedName>
    <definedName name="CUSTOM3_IA_01F_AA_U06___BR3_dresser">#REF!</definedName>
    <definedName name="CUSTOM3_IA_01F_AA_U06___BR3_lobby">#REF!</definedName>
    <definedName name="CUSTOM3_IA_01F_AA_U06___BR3_rm.">#REF!</definedName>
    <definedName name="CUSTOM3_IA_01F_AA_U06___BR3_t_b">#REF!</definedName>
    <definedName name="CUSTOM3_IA_01F_AA_U06___corridor">#REF!</definedName>
    <definedName name="CUSTOM3_IA_01F_AA_U06___foyer">#REF!</definedName>
    <definedName name="CUSTOM3_IA_01F_AA_U06___kitchen">#REF!</definedName>
    <definedName name="CUSTOM3_IA_01F_AA_U06___living_dining">#REF!</definedName>
    <definedName name="CUSTOM3_IA_01F_AA_U06___maids_rm.">#REF!</definedName>
    <definedName name="CUSTOM3_IA_01F_AA_U06___maids_toi.">#REF!</definedName>
    <definedName name="CUSTOM3_IA_01F_AA_U06___shaft">#REF!</definedName>
    <definedName name="CUSTOM3_IA_01F_AA_U06___toilet">#REF!</definedName>
    <definedName name="CUSTOM3_IA_01F_AA_U06___utility_rm.">#REF!</definedName>
    <definedName name="CUSTOM3_IA_01F_AB_U00___corridor">#REF!</definedName>
    <definedName name="CUSTOM3_IA_01F_AB_U00___lift_lobby">#REF!</definedName>
    <definedName name="CUSTOM3_IA_01F_AB_U00___lift_shaft">#REF!</definedName>
    <definedName name="CUSTOM3_IA_01F_AC_U00___electrical_rm.">#REF!</definedName>
    <definedName name="CUSTOM3_IA_01F_AC_U00___f.e._stair">#REF!</definedName>
    <definedName name="CUSTOM3_IA_01F_AC_U00___f.h.c.">#REF!</definedName>
    <definedName name="CUSTOM3_IA_01F_AC_U00___garbage_rm.">#REF!</definedName>
    <definedName name="CUSTOM3_IA_01F_AC_U00___shaft">#REF!</definedName>
    <definedName name="CUSTOM3_IA_01F_AC_U00___telephone_rm.">#REF!</definedName>
    <definedName name="CUSTOM3_IA_02F_AA_U01___BR1_lobby">#REF!</definedName>
    <definedName name="CUSTOM3_IA_02F_AA_U01___BR1_rm.">#REF!</definedName>
    <definedName name="CUSTOM3_IA_02F_AA_U01___BR1_t_b">#REF!</definedName>
    <definedName name="CUSTOM3_IA_02F_AA_U01___BR2_dresser">#REF!</definedName>
    <definedName name="CUSTOM3_IA_02F_AA_U01___BR2_lobby">#REF!</definedName>
    <definedName name="CUSTOM3_IA_02F_AA_U01___BR2_rm.">#REF!</definedName>
    <definedName name="CUSTOM3_IA_02F_AA_U01___BR2_t_b">#REF!</definedName>
    <definedName name="CUSTOM3_IA_02F_AA_U01___corridor">#REF!</definedName>
    <definedName name="CUSTOM3_IA_02F_AA_U01___foyer">#REF!</definedName>
    <definedName name="CUSTOM3_IA_02F_AA_U01___kitchen">#REF!</definedName>
    <definedName name="CUSTOM3_IA_02F_AA_U01___living_dining">#REF!</definedName>
    <definedName name="CUSTOM3_IA_02F_AA_U01___maids_rm.">#REF!</definedName>
    <definedName name="CUSTOM3_IA_02F_AA_U01___maids_toi.">#REF!</definedName>
    <definedName name="CUSTOM3_IA_02F_AA_U01___shaft">#REF!</definedName>
    <definedName name="CUSTOM3_IA_02F_AA_U01___toilet">#REF!</definedName>
    <definedName name="CUSTOM3_IA_02F_AA_U01___utility_rm.">#REF!</definedName>
    <definedName name="CUSTOM3_IA_02F_AA_U01___void">#REF!</definedName>
    <definedName name="CUSTOM3_IA_02F_AA_U02___BR1_dresser">#REF!</definedName>
    <definedName name="CUSTOM3_IA_02F_AA_U02___BR1_rm.">#REF!</definedName>
    <definedName name="CUSTOM3_IA_02F_AA_U02___BR1_t_b">#REF!</definedName>
    <definedName name="CUSTOM3_IA_02F_AA_U02___BR2_lobby">#REF!</definedName>
    <definedName name="CUSTOM3_IA_02F_AA_U02___BR2_rm.">#REF!</definedName>
    <definedName name="CUSTOM3_IA_02F_AA_U02___BR2_t_b">#REF!</definedName>
    <definedName name="CUSTOM3_IA_02F_AA_U02___corridor">#REF!</definedName>
    <definedName name="CUSTOM3_IA_02F_AA_U02___foyer">#REF!</definedName>
    <definedName name="CUSTOM3_IA_02F_AA_U02___kitchen">#REF!</definedName>
    <definedName name="CUSTOM3_IA_02F_AA_U02___living_dining">#REF!</definedName>
    <definedName name="CUSTOM3_IA_02F_AA_U02___maids_rm.">#REF!</definedName>
    <definedName name="CUSTOM3_IA_02F_AA_U02___maids_toi.">#REF!</definedName>
    <definedName name="CUSTOM3_IA_02F_AA_U02___shaft">#REF!</definedName>
    <definedName name="CUSTOM3_IA_02F_AA_U02___toilet">#REF!</definedName>
    <definedName name="CUSTOM3_IA_02F_AA_U02___utility_rm.">#REF!</definedName>
    <definedName name="CUSTOM3_IA_02F_AA_U02___void">#REF!</definedName>
    <definedName name="CUSTOM3_IA_02F_AA_U05___BR1_rm.">#REF!</definedName>
    <definedName name="CUSTOM3_IA_02F_AA_U05___BR1_t_b">#REF!</definedName>
    <definedName name="CUSTOM3_IA_02F_AA_U05___BR2_lobby">#REF!</definedName>
    <definedName name="CUSTOM3_IA_02F_AA_U05___BR2_rm.">#REF!</definedName>
    <definedName name="CUSTOM3_IA_02F_AA_U05___BR2_t_b">#REF!</definedName>
    <definedName name="CUSTOM3_IA_02F_AA_U05___double_vol.">#REF!</definedName>
    <definedName name="CUSTOM3_IA_02F_AA_U05___foyer">#REF!</definedName>
    <definedName name="CUSTOM3_IA_02F_AA_U05___living_rm.">#REF!</definedName>
    <definedName name="CUSTOM3_IA_02F_AA_U05___shaft">#REF!</definedName>
    <definedName name="CUSTOM3_IA_02F_AA_U05___stairs">#REF!</definedName>
    <definedName name="CUSTOM3_IA_02F_AA_U05___void">#REF!</definedName>
    <definedName name="CUSTOM3_IA_02F_AA_U06___BR1_lobby">#REF!</definedName>
    <definedName name="CUSTOM3_IA_02F_AA_U06___BR1_rm.">#REF!</definedName>
    <definedName name="CUSTOM3_IA_02F_AA_U06___BR1_t_b">#REF!</definedName>
    <definedName name="CUSTOM3_IA_02F_AA_U06___BR2_dresser">#REF!</definedName>
    <definedName name="CUSTOM3_IA_02F_AA_U06___BR2_lobby">#REF!</definedName>
    <definedName name="CUSTOM3_IA_02F_AA_U06___BR2_rm.">#REF!</definedName>
    <definedName name="CUSTOM3_IA_02F_AA_U06___BR2_t_b">#REF!</definedName>
    <definedName name="CUSTOM3_IA_02F_AA_U06___BR3_dresser">#REF!</definedName>
    <definedName name="CUSTOM3_IA_02F_AA_U06___BR3_lobby">#REF!</definedName>
    <definedName name="CUSTOM3_IA_02F_AA_U06___BR3_rm.">#REF!</definedName>
    <definedName name="CUSTOM3_IA_02F_AA_U06___BR3_t_b">#REF!</definedName>
    <definedName name="CUSTOM3_IA_02F_AA_U06___corridor">#REF!</definedName>
    <definedName name="CUSTOM3_IA_02F_AA_U06___foyer">#REF!</definedName>
    <definedName name="CUSTOM3_IA_02F_AA_U06___kitchen">#REF!</definedName>
    <definedName name="CUSTOM3_IA_02F_AA_U06___living_dining">#REF!</definedName>
    <definedName name="CUSTOM3_IA_02F_AA_U06___maids_rm.">#REF!</definedName>
    <definedName name="CUSTOM3_IA_02F_AA_U06___maids_toi.">#REF!</definedName>
    <definedName name="CUSTOM3_IA_02F_AA_U06___shaft">#REF!</definedName>
    <definedName name="CUSTOM3_IA_02F_AA_U06___toilet">#REF!</definedName>
    <definedName name="CUSTOM3_IA_02F_AA_U06___utility_rm.">#REF!</definedName>
    <definedName name="CUSTOM3_IA_03F_AA_U05___corridor">#REF!</definedName>
    <definedName name="CUSTOM3_IA_03F_AA_U05___foyer">#REF!</definedName>
    <definedName name="CUSTOM3_IA_03F_AA_U05___kitchen">#REF!</definedName>
    <definedName name="CUSTOM3_IA_03F_AA_U05___living_dining">#REF!</definedName>
    <definedName name="CUSTOM3_IA_03F_AA_U05___maids_lobby">#REF!</definedName>
    <definedName name="CUSTOM3_IA_03F_AA_U05___maids_rm.">#REF!</definedName>
    <definedName name="CUSTOM3_IA_03F_AA_U05___maids_toi.">#REF!</definedName>
    <definedName name="CUSTOM3_IA_03F_AA_U05___shaft">#REF!</definedName>
    <definedName name="CUSTOM3_IA_03F_AA_U05___stairs">#REF!</definedName>
    <definedName name="CUSTOM3_IA_03F_AA_U05___toilet">#REF!</definedName>
    <definedName name="CUSTOM3_IA_03F_AA_U05___utility_rm.">#REF!</definedName>
    <definedName name="CUSTOM3_IA_05F_AA_U01___BR1_lobby">#REF!</definedName>
    <definedName name="CUSTOM3_IA_05F_AA_U01___BR1_rm.">#REF!</definedName>
    <definedName name="CUSTOM3_IA_05F_AA_U01___BR1_t_b">#REF!</definedName>
    <definedName name="CUSTOM3_IA_05F_AA_U01___BR2_dresser">#REF!</definedName>
    <definedName name="CUSTOM3_IA_05F_AA_U01___BR2_lobby">#REF!</definedName>
    <definedName name="CUSTOM3_IA_05F_AA_U01___BR2_rm.">#REF!</definedName>
    <definedName name="CUSTOM3_IA_05F_AA_U01___BR2_t_b">#REF!</definedName>
    <definedName name="CUSTOM3_IA_05F_AA_U01___corridor">#REF!</definedName>
    <definedName name="CUSTOM3_IA_05F_AA_U01___foyer">#REF!</definedName>
    <definedName name="CUSTOM3_IA_05F_AA_U01___kitchen">#REF!</definedName>
    <definedName name="CUSTOM3_IA_05F_AA_U01___living_dining">#REF!</definedName>
    <definedName name="CUSTOM3_IA_05F_AA_U01___maids_rm.">#REF!</definedName>
    <definedName name="CUSTOM3_IA_05F_AA_U01___maids_toi.">#REF!</definedName>
    <definedName name="CUSTOM3_IA_05F_AA_U01___shaft">#REF!</definedName>
    <definedName name="CUSTOM3_IA_05F_AA_U01___toilet">#REF!</definedName>
    <definedName name="CUSTOM3_IA_05F_AA_U01___utility_rm.">#REF!</definedName>
    <definedName name="CUSTOM3_IA_05F_AA_U01___void">#REF!</definedName>
    <definedName name="CUSTOM3_IA_05F_AA_U02___BR1_dresser">#REF!</definedName>
    <definedName name="CUSTOM3_IA_05F_AA_U02___BR1_rm.">#REF!</definedName>
    <definedName name="CUSTOM3_IA_05F_AA_U02___BR1_t_b">#REF!</definedName>
    <definedName name="CUSTOM3_IA_05F_AA_U02___BR2_lobby">#REF!</definedName>
    <definedName name="CUSTOM3_IA_05F_AA_U02___BR2_rm.">#REF!</definedName>
    <definedName name="CUSTOM3_IA_05F_AA_U02___BR2_t_b">#REF!</definedName>
    <definedName name="CUSTOM3_IA_05F_AA_U02___corridor">#REF!</definedName>
    <definedName name="CUSTOM3_IA_05F_AA_U02___foyer">#REF!</definedName>
    <definedName name="CUSTOM3_IA_05F_AA_U02___kitchen">#REF!</definedName>
    <definedName name="CUSTOM3_IA_05F_AA_U02___living_dining">#REF!</definedName>
    <definedName name="CUSTOM3_IA_05F_AA_U02___maids_rm.">#REF!</definedName>
    <definedName name="CUSTOM3_IA_05F_AA_U02___maids_toi.">#REF!</definedName>
    <definedName name="CUSTOM3_IA_05F_AA_U02___shaft">#REF!</definedName>
    <definedName name="CUSTOM3_IA_05F_AA_U02___toilet">#REF!</definedName>
    <definedName name="CUSTOM3_IA_05F_AA_U02___utility_rm.">#REF!</definedName>
    <definedName name="CUSTOM3_IA_05F_AA_U02___void">#REF!</definedName>
    <definedName name="CUSTOM3_IA_05F_AA_U05___corridor">#REF!</definedName>
    <definedName name="CUSTOM3_IA_05F_AA_U05___foyer">#REF!</definedName>
    <definedName name="CUSTOM3_IA_05F_AA_U05___kitchen">#REF!</definedName>
    <definedName name="CUSTOM3_IA_05F_AA_U05___living_dining">#REF!</definedName>
    <definedName name="CUSTOM3_IA_05F_AA_U05___maids_lobby">#REF!</definedName>
    <definedName name="CUSTOM3_IA_05F_AA_U05___maids_rm.">#REF!</definedName>
    <definedName name="CUSTOM3_IA_05F_AA_U05___maids_toi.">#REF!</definedName>
    <definedName name="CUSTOM3_IA_05F_AA_U05___shaft">#REF!</definedName>
    <definedName name="CUSTOM3_IA_05F_AA_U05___stairs">#REF!</definedName>
    <definedName name="CUSTOM3_IA_05F_AA_U05___toilet">#REF!</definedName>
    <definedName name="CUSTOM3_IA_05F_AA_U05___utility_rm.">#REF!</definedName>
    <definedName name="CUSTOM3_IA_05F_AA_U06___BR1_lobby">#REF!</definedName>
    <definedName name="CUSTOM3_IA_05F_AA_U06___BR1_rm.">#REF!</definedName>
    <definedName name="CUSTOM3_IA_05F_AA_U06___BR1_t_b">#REF!</definedName>
    <definedName name="CUSTOM3_IA_05F_AA_U06___BR2_dresser">#REF!</definedName>
    <definedName name="CUSTOM3_IA_05F_AA_U06___BR2_lobby">#REF!</definedName>
    <definedName name="CUSTOM3_IA_05F_AA_U06___BR2_rm.">#REF!</definedName>
    <definedName name="CUSTOM3_IA_05F_AA_U06___BR2_t_b">#REF!</definedName>
    <definedName name="CUSTOM3_IA_05F_AA_U06___BR3_dresser">#REF!</definedName>
    <definedName name="CUSTOM3_IA_05F_AA_U06___BR3_lobby">#REF!</definedName>
    <definedName name="CUSTOM3_IA_05F_AA_U06___BR3_rm.">#REF!</definedName>
    <definedName name="CUSTOM3_IA_05F_AA_U06___BR3_t_b">#REF!</definedName>
    <definedName name="CUSTOM3_IA_05F_AA_U06___corridor">#REF!</definedName>
    <definedName name="CUSTOM3_IA_05F_AA_U06___foyer">#REF!</definedName>
    <definedName name="CUSTOM3_IA_05F_AA_U06___kitchen">#REF!</definedName>
    <definedName name="CUSTOM3_IA_05F_AA_U06___living_dining">#REF!</definedName>
    <definedName name="CUSTOM3_IA_05F_AA_U06___maids_rm.">#REF!</definedName>
    <definedName name="CUSTOM3_IA_05F_AA_U06___maids_toi.">#REF!</definedName>
    <definedName name="CUSTOM3_IA_05F_AA_U06___shaft">#REF!</definedName>
    <definedName name="CUSTOM3_IA_05F_AA_U06___toilet">#REF!</definedName>
    <definedName name="CUSTOM3_IA_05F_AA_U06___utility_rm.">#REF!</definedName>
    <definedName name="CUSTOM3_IA_06F_AA_U05___BR1_rm.">#REF!</definedName>
    <definedName name="CUSTOM3_IA_06F_AA_U05___BR1_t_b">#REF!</definedName>
    <definedName name="CUSTOM3_IA_06F_AA_U05___BR2_lobby">#REF!</definedName>
    <definedName name="CUSTOM3_IA_06F_AA_U05___BR2_rm.">#REF!</definedName>
    <definedName name="CUSTOM3_IA_06F_AA_U05___BR2_t_b">#REF!</definedName>
    <definedName name="CUSTOM3_IA_06F_AA_U05___double_vol.">#REF!</definedName>
    <definedName name="CUSTOM3_IA_06F_AA_U05___foyer">#REF!</definedName>
    <definedName name="CUSTOM3_IA_06F_AA_U05___living_rm.">#REF!</definedName>
    <definedName name="CUSTOM3_IA_06F_AA_U05___shaft">#REF!</definedName>
    <definedName name="CUSTOM3_IA_06F_AA_U05___stairs">#REF!</definedName>
    <definedName name="CUSTOM3_IA_06F_AA_U05___void">#REF!</definedName>
    <definedName name="CUSTOM3_IA_06F_AA_U06___BR1_lobby">#REF!</definedName>
    <definedName name="CUSTOM3_IA_06F_AA_U06___BR1_rm.">#REF!</definedName>
    <definedName name="CUSTOM3_IA_06F_AA_U06___BR1_t_b">#REF!</definedName>
    <definedName name="CUSTOM3_IA_06F_AA_U06___BR2_dresser">#REF!</definedName>
    <definedName name="CUSTOM3_IA_06F_AA_U06___BR2_lobby">#REF!</definedName>
    <definedName name="CUSTOM3_IA_06F_AA_U06___BR2_rm.">#REF!</definedName>
    <definedName name="CUSTOM3_IA_06F_AA_U06___BR2_t_b">#REF!</definedName>
    <definedName name="CUSTOM3_IA_06F_AA_U06___BR3_dresser">#REF!</definedName>
    <definedName name="CUSTOM3_IA_06F_AA_U06___BR3_lobby">#REF!</definedName>
    <definedName name="CUSTOM3_IA_06F_AA_U06___BR3_rm.">#REF!</definedName>
    <definedName name="CUSTOM3_IA_06F_AA_U06___BR3_t_b">#REF!</definedName>
    <definedName name="CUSTOM3_IA_06F_AA_U06___corridor">#REF!</definedName>
    <definedName name="CUSTOM3_IA_06F_AA_U06___foyer">#REF!</definedName>
    <definedName name="CUSTOM3_IA_06F_AA_U06___kitchen">#REF!</definedName>
    <definedName name="CUSTOM3_IA_06F_AA_U06___living_dining">#REF!</definedName>
    <definedName name="CUSTOM3_IA_06F_AA_U06___maids_rm.">#REF!</definedName>
    <definedName name="CUSTOM3_IA_06F_AA_U06___maids_toi.">#REF!</definedName>
    <definedName name="CUSTOM3_IA_06F_AA_U06___shaft">#REF!</definedName>
    <definedName name="CUSTOM3_IA_06F_AA_U06___toilet">#REF!</definedName>
    <definedName name="CUSTOM3_IA_06F_AA_U06___utility_rm.">#REF!</definedName>
    <definedName name="CUSTOM3_IA_07F_AA_U03___BR1_dresser">#REF!</definedName>
    <definedName name="CUSTOM3_IA_07F_AA_U03___BR1_lobby">#REF!</definedName>
    <definedName name="CUSTOM3_IA_07F_AA_U03___BR1_rm.">#REF!</definedName>
    <definedName name="CUSTOM3_IA_07F_AA_U03___BR1_store">#REF!</definedName>
    <definedName name="CUSTOM3_IA_07F_AA_U03___BR1_t_b">#REF!</definedName>
    <definedName name="CUSTOM3_IA_07F_AA_U03___foyer">#REF!</definedName>
    <definedName name="CUSTOM3_IA_07F_AA_U03___kitchen">#REF!</definedName>
    <definedName name="CUSTOM3_IA_07F_AA_U03___living_dining">#REF!</definedName>
    <definedName name="CUSTOM3_IA_07F_AA_U03___shaft">#REF!</definedName>
    <definedName name="CUSTOM3_IA_07F_AA_U03___storage">#REF!</definedName>
    <definedName name="CUSTOM3_IA_07F_AA_U03___toilet">#REF!</definedName>
    <definedName name="CUSTOM3_IA_07F_AA_U03___utility_rm.">#REF!</definedName>
    <definedName name="CUSTOM3_IA_07F_AA_U03___void">#REF!</definedName>
    <definedName name="CUSTOM3_IA_07F_AA_U04___BR1_dresser">#REF!</definedName>
    <definedName name="CUSTOM3_IA_07F_AA_U04___BR1_lobby">#REF!</definedName>
    <definedName name="CUSTOM3_IA_07F_AA_U04___BR1_rm.">#REF!</definedName>
    <definedName name="CUSTOM3_IA_07F_AA_U04___BR1_store">#REF!</definedName>
    <definedName name="CUSTOM3_IA_07F_AA_U04___BR1_t_b">#REF!</definedName>
    <definedName name="CUSTOM3_IA_07F_AA_U04___foyer">#REF!</definedName>
    <definedName name="CUSTOM3_IA_07F_AA_U04___kitchen">#REF!</definedName>
    <definedName name="CUSTOM3_IA_07F_AA_U04___living_dining">#REF!</definedName>
    <definedName name="CUSTOM3_IA_07F_AA_U04___shaft">#REF!</definedName>
    <definedName name="CUSTOM3_IA_07F_AA_U04___storage">#REF!</definedName>
    <definedName name="CUSTOM3_IA_07F_AA_U04___toilet">#REF!</definedName>
    <definedName name="CUSTOM3_IA_07F_AA_U04___utility_rm.">#REF!</definedName>
    <definedName name="CUSTOM3_IA_07F_AA_U04___void">#REF!</definedName>
    <definedName name="CUSTOM3_IA_07F_AA_U06___BR1_lobby">#REF!</definedName>
    <definedName name="CUSTOM3_IA_07F_AA_U06___BR1_rm.">#REF!</definedName>
    <definedName name="CUSTOM3_IA_07F_AA_U06___BR1_t_b">#REF!</definedName>
    <definedName name="CUSTOM3_IA_07F_AA_U06___BR2_dresser">#REF!</definedName>
    <definedName name="CUSTOM3_IA_07F_AA_U06___BR2_lobby">#REF!</definedName>
    <definedName name="CUSTOM3_IA_07F_AA_U06___BR2_rm.">#REF!</definedName>
    <definedName name="CUSTOM3_IA_07F_AA_U06___BR2_t_b">#REF!</definedName>
    <definedName name="CUSTOM3_IA_07F_AA_U06___BR3_dresser">#REF!</definedName>
    <definedName name="CUSTOM3_IA_07F_AA_U06___BR3_lobby">#REF!</definedName>
    <definedName name="CUSTOM3_IA_07F_AA_U06___BR3_rm.">#REF!</definedName>
    <definedName name="CUSTOM3_IA_07F_AA_U06___BR3_t_b">#REF!</definedName>
    <definedName name="CUSTOM3_IA_07F_AA_U06___corridor">#REF!</definedName>
    <definedName name="CUSTOM3_IA_07F_AA_U06___foyer">#REF!</definedName>
    <definedName name="CUSTOM3_IA_07F_AA_U06___kitchen">#REF!</definedName>
    <definedName name="CUSTOM3_IA_07F_AA_U06___living_dining">#REF!</definedName>
    <definedName name="CUSTOM3_IA_07F_AA_U06___maids_rm.">#REF!</definedName>
    <definedName name="CUSTOM3_IA_07F_AA_U06___maids_toi.">#REF!</definedName>
    <definedName name="CUSTOM3_IA_07F_AA_U06___shaft">#REF!</definedName>
    <definedName name="CUSTOM3_IA_07F_AA_U06___toilet">#REF!</definedName>
    <definedName name="CUSTOM3_IA_07F_AA_U06___utility_rm.">#REF!</definedName>
    <definedName name="CUSTOM3_IA_08F_AA_U03___BR1_dresser">#REF!</definedName>
    <definedName name="CUSTOM3_IA_08F_AA_U03___BR1_lobby">#REF!</definedName>
    <definedName name="CUSTOM3_IA_08F_AA_U03___BR1_rm.">#REF!</definedName>
    <definedName name="CUSTOM3_IA_08F_AA_U03___BR1_t_b">#REF!</definedName>
    <definedName name="CUSTOM3_IA_08F_AA_U03___foyer">#REF!</definedName>
    <definedName name="CUSTOM3_IA_08F_AA_U03___kitchen">#REF!</definedName>
    <definedName name="CUSTOM3_IA_08F_AA_U03___living_dining">#REF!</definedName>
    <definedName name="CUSTOM3_IA_08F_AA_U03___shaft">#REF!</definedName>
    <definedName name="CUSTOM3_IA_08F_AA_U03___storage">#REF!</definedName>
    <definedName name="CUSTOM3_IA_08F_AA_U03___toilet">#REF!</definedName>
    <definedName name="CUSTOM3_IA_08F_AA_U03___utility_rm.">#REF!</definedName>
    <definedName name="CUSTOM3_IA_08F_AA_U04___BR1_dresser">#REF!</definedName>
    <definedName name="CUSTOM3_IA_08F_AA_U04___BR1_lobby">#REF!</definedName>
    <definedName name="CUSTOM3_IA_08F_AA_U04___BR1_rm.">#REF!</definedName>
    <definedName name="CUSTOM3_IA_08F_AA_U04___BR1_t_b">#REF!</definedName>
    <definedName name="CUSTOM3_IA_08F_AA_U04___foyer">#REF!</definedName>
    <definedName name="CUSTOM3_IA_08F_AA_U04___kitchen">#REF!</definedName>
    <definedName name="CUSTOM3_IA_08F_AA_U04___living_dining">#REF!</definedName>
    <definedName name="CUSTOM3_IA_08F_AA_U04___shaft">#REF!</definedName>
    <definedName name="CUSTOM3_IA_08F_AA_U04___storage">#REF!</definedName>
    <definedName name="CUSTOM3_IA_08F_AA_U04___toilet">#REF!</definedName>
    <definedName name="CUSTOM3_IA_08F_AA_U04___utility_rm.">#REF!</definedName>
    <definedName name="CUSTOM3_IA_08F_AA_U06___BR1_lobby">#REF!</definedName>
    <definedName name="CUSTOM3_IA_08F_AA_U06___BR1_rm.">#REF!</definedName>
    <definedName name="CUSTOM3_IA_08F_AA_U06___BR1_t_b">#REF!</definedName>
    <definedName name="CUSTOM3_IA_08F_AA_U06___BR2_dresser">#REF!</definedName>
    <definedName name="CUSTOM3_IA_08F_AA_U06___BR2_lobby">#REF!</definedName>
    <definedName name="CUSTOM3_IA_08F_AA_U06___BR2_rm.">#REF!</definedName>
    <definedName name="CUSTOM3_IA_08F_AA_U06___BR2_t_b">#REF!</definedName>
    <definedName name="CUSTOM3_IA_08F_AA_U06___BR3_dresser">#REF!</definedName>
    <definedName name="CUSTOM3_IA_08F_AA_U06___BR3_lobby">#REF!</definedName>
    <definedName name="CUSTOM3_IA_08F_AA_U06___BR3_rm.">#REF!</definedName>
    <definedName name="CUSTOM3_IA_08F_AA_U06___BR3_t_b">#REF!</definedName>
    <definedName name="CUSTOM3_IA_08F_AA_U06___corridor">#REF!</definedName>
    <definedName name="CUSTOM3_IA_08F_AA_U06___foyer">#REF!</definedName>
    <definedName name="CUSTOM3_IA_08F_AA_U06___kitchen">#REF!</definedName>
    <definedName name="CUSTOM3_IA_08F_AA_U06___living_dining">#REF!</definedName>
    <definedName name="CUSTOM3_IA_08F_AA_U06___maids_rm.">#REF!</definedName>
    <definedName name="CUSTOM3_IA_08F_AA_U06___maids_toi.">#REF!</definedName>
    <definedName name="CUSTOM3_IA_08F_AA_U06___shaft">#REF!</definedName>
    <definedName name="CUSTOM3_IA_08F_AA_U06___toilet">#REF!</definedName>
    <definedName name="CUSTOM3_IA_08F_AA_U06___utility_rm.">#REF!</definedName>
    <definedName name="CUSTOM3_IA_09F_AA_U06___BR1_lobby">#REF!</definedName>
    <definedName name="CUSTOM3_IA_09F_AA_U06___BR1_rm.">#REF!</definedName>
    <definedName name="CUSTOM3_IA_09F_AA_U06___BR1_t_b">#REF!</definedName>
    <definedName name="CUSTOM3_IA_09F_AA_U06___BR2_dresser">#REF!</definedName>
    <definedName name="CUSTOM3_IA_09F_AA_U06___BR2_lobby">#REF!</definedName>
    <definedName name="CUSTOM3_IA_09F_AA_U06___BR2_rm.">#REF!</definedName>
    <definedName name="CUSTOM3_IA_09F_AA_U06___BR2_t_b">#REF!</definedName>
    <definedName name="CUSTOM3_IA_09F_AA_U06___BR3_dresser">#REF!</definedName>
    <definedName name="CUSTOM3_IA_09F_AA_U06___BR3_lobby">#REF!</definedName>
    <definedName name="CUSTOM3_IA_09F_AA_U06___BR3_rm.">#REF!</definedName>
    <definedName name="CUSTOM3_IA_09F_AA_U06___BR3_t_b">#REF!</definedName>
    <definedName name="CUSTOM3_IA_09F_AA_U06___corridor">#REF!</definedName>
    <definedName name="CUSTOM3_IA_09F_AA_U06___foyer">#REF!</definedName>
    <definedName name="CUSTOM3_IA_09F_AA_U06___kitchen">#REF!</definedName>
    <definedName name="CUSTOM3_IA_09F_AA_U06___living_dining">#REF!</definedName>
    <definedName name="CUSTOM3_IA_09F_AA_U06___maids_rm.">#REF!</definedName>
    <definedName name="CUSTOM3_IA_09F_AA_U06___maids_toi.">#REF!</definedName>
    <definedName name="CUSTOM3_IA_09F_AA_U06___shaft">#REF!</definedName>
    <definedName name="CUSTOM3_IA_09F_AA_U06___toilet">#REF!</definedName>
    <definedName name="CUSTOM3_IA_09F_AA_U06___utility_rm.">#REF!</definedName>
    <definedName name="CUSTOM3_IA_11F_AA_U01___BR1_lobby">#REF!</definedName>
    <definedName name="CUSTOM3_IA_11F_AA_U01___BR1_rm.">#REF!</definedName>
    <definedName name="CUSTOM3_IA_11F_AA_U01___BR1_t_b">#REF!</definedName>
    <definedName name="CUSTOM3_IA_11F_AA_U01___BR2_dresser">#REF!</definedName>
    <definedName name="CUSTOM3_IA_11F_AA_U01___BR2_lobby">#REF!</definedName>
    <definedName name="CUSTOM3_IA_11F_AA_U01___BR2_rm.">#REF!</definedName>
    <definedName name="CUSTOM3_IA_11F_AA_U01___BR2_t_b">#REF!</definedName>
    <definedName name="CUSTOM3_IA_11F_AA_U01___corridor">#REF!</definedName>
    <definedName name="CUSTOM3_IA_11F_AA_U01___foyer">#REF!</definedName>
    <definedName name="CUSTOM3_IA_11F_AA_U01___kitchen">#REF!</definedName>
    <definedName name="CUSTOM3_IA_11F_AA_U01___living_dining">#REF!</definedName>
    <definedName name="CUSTOM3_IA_11F_AA_U01___maids_rm.">#REF!</definedName>
    <definedName name="CUSTOM3_IA_11F_AA_U01___maids_toi.">#REF!</definedName>
    <definedName name="CUSTOM3_IA_11F_AA_U01___shaft">#REF!</definedName>
    <definedName name="CUSTOM3_IA_11F_AA_U01___toilet">#REF!</definedName>
    <definedName name="CUSTOM3_IA_11F_AA_U01___utility_rm.">#REF!</definedName>
    <definedName name="CUSTOM3_IA_11F_AA_U01___void">#REF!</definedName>
    <definedName name="CUSTOM3_IA_11F_AA_U02___BR1_dresser">#REF!</definedName>
    <definedName name="CUSTOM3_IA_11F_AA_U02___BR1_rm.">#REF!</definedName>
    <definedName name="CUSTOM3_IA_11F_AA_U02___BR1_t_b">#REF!</definedName>
    <definedName name="CUSTOM3_IA_11F_AA_U02___BR2_lobby">#REF!</definedName>
    <definedName name="CUSTOM3_IA_11F_AA_U02___BR2_rm.">#REF!</definedName>
    <definedName name="CUSTOM3_IA_11F_AA_U02___BR2_t_b">#REF!</definedName>
    <definedName name="CUSTOM3_IA_11F_AA_U02___corridor">#REF!</definedName>
    <definedName name="CUSTOM3_IA_11F_AA_U02___foyer">#REF!</definedName>
    <definedName name="CUSTOM3_IA_11F_AA_U02___kitchen">#REF!</definedName>
    <definedName name="CUSTOM3_IA_11F_AA_U02___living_dining">#REF!</definedName>
    <definedName name="CUSTOM3_IA_11F_AA_U02___maids_rm.">#REF!</definedName>
    <definedName name="CUSTOM3_IA_11F_AA_U02___maids_toi.">#REF!</definedName>
    <definedName name="CUSTOM3_IA_11F_AA_U02___shaft">#REF!</definedName>
    <definedName name="CUSTOM3_IA_11F_AA_U02___toilet">#REF!</definedName>
    <definedName name="CUSTOM3_IA_11F_AA_U02___utility_rm.">#REF!</definedName>
    <definedName name="CUSTOM3_IA_11F_AA_U02___void">#REF!</definedName>
    <definedName name="CUSTOM3_IA_11F_AA_U03___BR1_dresser">#REF!</definedName>
    <definedName name="CUSTOM3_IA_11F_AA_U03___BR1_lobby">#REF!</definedName>
    <definedName name="CUSTOM3_IA_11F_AA_U03___BR1_rm.">#REF!</definedName>
    <definedName name="CUSTOM3_IA_11F_AA_U03___BR1_t_b">#REF!</definedName>
    <definedName name="CUSTOM3_IA_11F_AA_U03___foyer">#REF!</definedName>
    <definedName name="CUSTOM3_IA_11F_AA_U03___kitchen">#REF!</definedName>
    <definedName name="CUSTOM3_IA_11F_AA_U03___living_dining">#REF!</definedName>
    <definedName name="CUSTOM3_IA_11F_AA_U03___shaft">#REF!</definedName>
    <definedName name="CUSTOM3_IA_11F_AA_U03___storage">#REF!</definedName>
    <definedName name="CUSTOM3_IA_11F_AA_U03___toilet">#REF!</definedName>
    <definedName name="CUSTOM3_IA_11F_AA_U03___utility_rm.">#REF!</definedName>
    <definedName name="CUSTOM3_IA_11F_AA_U04___BR1_dresser">#REF!</definedName>
    <definedName name="CUSTOM3_IA_11F_AA_U04___BR1_lobby">#REF!</definedName>
    <definedName name="CUSTOM3_IA_11F_AA_U04___BR1_rm.">#REF!</definedName>
    <definedName name="CUSTOM3_IA_11F_AA_U04___BR1_t_b">#REF!</definedName>
    <definedName name="CUSTOM3_IA_11F_AA_U04___foyer">#REF!</definedName>
    <definedName name="CUSTOM3_IA_11F_AA_U04___kitchen">#REF!</definedName>
    <definedName name="CUSTOM3_IA_11F_AA_U04___living_dining">#REF!</definedName>
    <definedName name="CUSTOM3_IA_11F_AA_U04___shaft">#REF!</definedName>
    <definedName name="CUSTOM3_IA_11F_AA_U04___storage">#REF!</definedName>
    <definedName name="CUSTOM3_IA_11F_AA_U04___toilet">#REF!</definedName>
    <definedName name="CUSTOM3_IA_11F_AA_U04___utility_rm.">#REF!</definedName>
    <definedName name="CUSTOM3_IA_11F_AA_U06___BR1_lobby">#REF!</definedName>
    <definedName name="CUSTOM3_IA_11F_AA_U06___BR1_rm.">#REF!</definedName>
    <definedName name="CUSTOM3_IA_11F_AA_U06___BR1_t_b">#REF!</definedName>
    <definedName name="CUSTOM3_IA_11F_AA_U06___BR2_dresser">#REF!</definedName>
    <definedName name="CUSTOM3_IA_11F_AA_U06___BR2_lobby">#REF!</definedName>
    <definedName name="CUSTOM3_IA_11F_AA_U06___BR2_rm.">#REF!</definedName>
    <definedName name="CUSTOM3_IA_11F_AA_U06___BR2_t_b">#REF!</definedName>
    <definedName name="CUSTOM3_IA_11F_AA_U06___BR3_dresser">#REF!</definedName>
    <definedName name="CUSTOM3_IA_11F_AA_U06___BR3_lobby">#REF!</definedName>
    <definedName name="CUSTOM3_IA_11F_AA_U06___BR3_rm.">#REF!</definedName>
    <definedName name="CUSTOM3_IA_11F_AA_U06___BR3_t_b">#REF!</definedName>
    <definedName name="CUSTOM3_IA_11F_AA_U06___corridor">#REF!</definedName>
    <definedName name="CUSTOM3_IA_11F_AA_U06___foyer">#REF!</definedName>
    <definedName name="CUSTOM3_IA_11F_AA_U06___kitchen">#REF!</definedName>
    <definedName name="CUSTOM3_IA_11F_AA_U06___living_dining">#REF!</definedName>
    <definedName name="CUSTOM3_IA_11F_AA_U06___maids_rm.">#REF!</definedName>
    <definedName name="CUSTOM3_IA_11F_AA_U06___maids_toi.">#REF!</definedName>
    <definedName name="CUSTOM3_IA_11F_AA_U06___shaft">#REF!</definedName>
    <definedName name="CUSTOM3_IA_11F_AA_U06___toilet">#REF!</definedName>
    <definedName name="CUSTOM3_IA_11F_AA_U06___utility_rm.">#REF!</definedName>
    <definedName name="CUSTOM3_IA_11F_AB_U00___corridor">#REF!</definedName>
    <definedName name="CUSTOM3_IA_11F_AB_U00___lift_lobby">#REF!</definedName>
    <definedName name="CUSTOM3_IA_11F_AB_U00___lift_shaft">#REF!</definedName>
    <definedName name="CUSTOM3_IA_11F_AC_U00___electrical_rm.">#REF!</definedName>
    <definedName name="CUSTOM3_IA_11F_AC_U00___f.e._stair">#REF!</definedName>
    <definedName name="CUSTOM3_IA_11F_AC_U00___f.h.c.">#REF!</definedName>
    <definedName name="CUSTOM3_IA_11F_AC_U00___garbage_rm.">#REF!</definedName>
    <definedName name="CUSTOM3_IA_11F_AC_U00___shaft">#REF!</definedName>
    <definedName name="CUSTOM3_IA_11F_AC_U00___telephone_rm.">#REF!</definedName>
    <definedName name="CUSTOM3_IA_31F_AA_U01___BR1_lobby">#REF!</definedName>
    <definedName name="CUSTOM3_IA_31F_AA_U01___BR1_rm.">#REF!</definedName>
    <definedName name="CUSTOM3_IA_31F_AA_U01___BR1_t_b">#REF!</definedName>
    <definedName name="CUSTOM3_IA_31F_AA_U01___BR2_dresser">#REF!</definedName>
    <definedName name="CUSTOM3_IA_31F_AA_U01___BR2_lobby">#REF!</definedName>
    <definedName name="CUSTOM3_IA_31F_AA_U01___BR2_rm.">#REF!</definedName>
    <definedName name="CUSTOM3_IA_31F_AA_U01___BR2_t_b">#REF!</definedName>
    <definedName name="CUSTOM3_IA_31F_AA_U01___corridor">#REF!</definedName>
    <definedName name="CUSTOM3_IA_31F_AA_U01___foyer">#REF!</definedName>
    <definedName name="CUSTOM3_IA_31F_AA_U01___kitchen">#REF!</definedName>
    <definedName name="CUSTOM3_IA_31F_AA_U01___living_dining">#REF!</definedName>
    <definedName name="CUSTOM3_IA_31F_AA_U01___maids_rm.">#REF!</definedName>
    <definedName name="CUSTOM3_IA_31F_AA_U01___maids_toi.">#REF!</definedName>
    <definedName name="CUSTOM3_IA_31F_AA_U01___shaft">#REF!</definedName>
    <definedName name="CUSTOM3_IA_31F_AA_U01___toilet">#REF!</definedName>
    <definedName name="CUSTOM3_IA_31F_AA_U01___utility_rm.">#REF!</definedName>
    <definedName name="CUSTOM3_IA_31F_AA_U01___void">#REF!</definedName>
    <definedName name="CUSTOM3_IA_31F_AA_U02___BR1_dresser">#REF!</definedName>
    <definedName name="CUSTOM3_IA_31F_AA_U02___BR1_rm.">#REF!</definedName>
    <definedName name="CUSTOM3_IA_31F_AA_U02___BR1_t_b">#REF!</definedName>
    <definedName name="CUSTOM3_IA_31F_AA_U02___BR2_lobby">#REF!</definedName>
    <definedName name="CUSTOM3_IA_31F_AA_U02___BR2_rm.">#REF!</definedName>
    <definedName name="CUSTOM3_IA_31F_AA_U02___BR2_t_b">#REF!</definedName>
    <definedName name="CUSTOM3_IA_31F_AA_U02___corridor">#REF!</definedName>
    <definedName name="CUSTOM3_IA_31F_AA_U02___foyer">#REF!</definedName>
    <definedName name="CUSTOM3_IA_31F_AA_U02___kitchen">#REF!</definedName>
    <definedName name="CUSTOM3_IA_31F_AA_U02___living_dining">#REF!</definedName>
    <definedName name="CUSTOM3_IA_31F_AA_U02___maids_rm.">#REF!</definedName>
    <definedName name="CUSTOM3_IA_31F_AA_U02___maids_toi.">#REF!</definedName>
    <definedName name="CUSTOM3_IA_31F_AA_U02___shaft">#REF!</definedName>
    <definedName name="CUSTOM3_IA_31F_AA_U02___toilet">#REF!</definedName>
    <definedName name="CUSTOM3_IA_31F_AA_U02___utility_rm.">#REF!</definedName>
    <definedName name="CUSTOM3_IA_31F_AA_U02___void">#REF!</definedName>
    <definedName name="CUSTOM3_IA_31F_AA_U03___BR1_dresser">#REF!</definedName>
    <definedName name="CUSTOM3_IA_31F_AA_U03___BR1_lobby">#REF!</definedName>
    <definedName name="CUSTOM3_IA_31F_AA_U03___BR1_rm.">#REF!</definedName>
    <definedName name="CUSTOM3_IA_31F_AA_U03___BR1_t_b">#REF!</definedName>
    <definedName name="CUSTOM3_IA_31F_AA_U03___foyer">#REF!</definedName>
    <definedName name="CUSTOM3_IA_31F_AA_U03___kitchen">#REF!</definedName>
    <definedName name="CUSTOM3_IA_31F_AA_U03___living_dining">#REF!</definedName>
    <definedName name="CUSTOM3_IA_31F_AA_U03___shaft">#REF!</definedName>
    <definedName name="CUSTOM3_IA_31F_AA_U03___storage">#REF!</definedName>
    <definedName name="CUSTOM3_IA_31F_AA_U03___toilet">#REF!</definedName>
    <definedName name="CUSTOM3_IA_31F_AA_U03___utility_rm.">#REF!</definedName>
    <definedName name="CUSTOM3_IA_31F_AA_U04___BR1_dresser">#REF!</definedName>
    <definedName name="CUSTOM3_IA_31F_AA_U04___BR1_lobby">#REF!</definedName>
    <definedName name="CUSTOM3_IA_31F_AA_U04___BR1_rm.">#REF!</definedName>
    <definedName name="CUSTOM3_IA_31F_AA_U04___BR1_t_b">#REF!</definedName>
    <definedName name="CUSTOM3_IA_31F_AA_U04___foyer">#REF!</definedName>
    <definedName name="CUSTOM3_IA_31F_AA_U04___kitchen">#REF!</definedName>
    <definedName name="CUSTOM3_IA_31F_AA_U04___living_dining">#REF!</definedName>
    <definedName name="CUSTOM3_IA_31F_AA_U04___shaft">#REF!</definedName>
    <definedName name="CUSTOM3_IA_31F_AA_U04___storage">#REF!</definedName>
    <definedName name="CUSTOM3_IA_31F_AA_U04___toilet">#REF!</definedName>
    <definedName name="CUSTOM3_IA_31F_AA_U04___utility_rm.">#REF!</definedName>
    <definedName name="CUSTOM3_IA_31F_AA_U05___corridor">#REF!</definedName>
    <definedName name="CUSTOM3_IA_31F_AA_U05___foyer">#REF!</definedName>
    <definedName name="CUSTOM3_IA_31F_AA_U05___kitchen">#REF!</definedName>
    <definedName name="CUSTOM3_IA_31F_AA_U05___living_dining">#REF!</definedName>
    <definedName name="CUSTOM3_IA_31F_AA_U05___maids_lobby">#REF!</definedName>
    <definedName name="CUSTOM3_IA_31F_AA_U05___maids_rm.">#REF!</definedName>
    <definedName name="CUSTOM3_IA_31F_AA_U05___maids_toi.">#REF!</definedName>
    <definedName name="CUSTOM3_IA_31F_AA_U05___shaft">#REF!</definedName>
    <definedName name="CUSTOM3_IA_31F_AA_U05___stairs">#REF!</definedName>
    <definedName name="CUSTOM3_IA_31F_AA_U05___toilet">#REF!</definedName>
    <definedName name="CUSTOM3_IA_31F_AA_U05___utility_rm.">#REF!</definedName>
    <definedName name="CUSTOM3_IA_31F_AA_U06___BR1_lobby">#REF!</definedName>
    <definedName name="CUSTOM3_IA_31F_AA_U06___BR1_rm.">#REF!</definedName>
    <definedName name="CUSTOM3_IA_31F_AA_U06___BR1_t_b">#REF!</definedName>
    <definedName name="CUSTOM3_IA_31F_AA_U06___BR2_dresser">#REF!</definedName>
    <definedName name="CUSTOM3_IA_31F_AA_U06___BR2_lobby">#REF!</definedName>
    <definedName name="CUSTOM3_IA_31F_AA_U06___BR2_rm.">#REF!</definedName>
    <definedName name="CUSTOM3_IA_31F_AA_U06___BR2_t_b">#REF!</definedName>
    <definedName name="CUSTOM3_IA_31F_AA_U06___corridor">#REF!</definedName>
    <definedName name="CUSTOM3_IA_31F_AA_U06___foyer">#REF!</definedName>
    <definedName name="CUSTOM3_IA_31F_AA_U06___kitchen">#REF!</definedName>
    <definedName name="CUSTOM3_IA_31F_AA_U06___living_dining">#REF!</definedName>
    <definedName name="CUSTOM3_IA_31F_AA_U06___maids_rm.">#REF!</definedName>
    <definedName name="CUSTOM3_IA_31F_AA_U06___maids_toi.">#REF!</definedName>
    <definedName name="CUSTOM3_IA_31F_AA_U06___shaft">#REF!</definedName>
    <definedName name="CUSTOM3_IA_31F_AA_U06___solaria">#REF!</definedName>
    <definedName name="CUSTOM3_IA_31F_AA_U06___stair">#REF!</definedName>
    <definedName name="CUSTOM3_IA_31F_AA_U06___toilet">#REF!</definedName>
    <definedName name="CUSTOM3_IA_31F_AA_U06___utility_rm.">#REF!</definedName>
    <definedName name="CUSTOM3_IA_31F_AA_U06___void">#REF!</definedName>
    <definedName name="CUSTOM3_IA_31F_AB_U00___corridor">#REF!</definedName>
    <definedName name="CUSTOM3_IA_31F_AB_U00___lift_lobby">#REF!</definedName>
    <definedName name="CUSTOM3_IA_31F_AB_U00___lift_shaft">#REF!</definedName>
    <definedName name="CUSTOM3_IA_31F_AC_U00___electrical_rm.">#REF!</definedName>
    <definedName name="CUSTOM3_IA_31F_AC_U00___f.e._stair">#REF!</definedName>
    <definedName name="CUSTOM3_IA_31F_AC_U00___f.h.c.">#REF!</definedName>
    <definedName name="CUSTOM3_IA_31F_AC_U00___garbage_rm.">#REF!</definedName>
    <definedName name="CUSTOM3_IA_31F_AC_U00___shaft">#REF!</definedName>
    <definedName name="CUSTOM3_IA_31F_AC_U00___telephone_rm.">#REF!</definedName>
    <definedName name="CUSTOM3_IA_32F_AA_U05___BR1_rm.">#REF!</definedName>
    <definedName name="CUSTOM3_IA_32F_AA_U05___BR1_t_b">#REF!</definedName>
    <definedName name="CUSTOM3_IA_32F_AA_U05___BR2_lobby">#REF!</definedName>
    <definedName name="CUSTOM3_IA_32F_AA_U05___BR2_rm.">#REF!</definedName>
    <definedName name="CUSTOM3_IA_32F_AA_U05___BR2_t_b">#REF!</definedName>
    <definedName name="CUSTOM3_IA_32F_AA_U05___double_vol.">#REF!</definedName>
    <definedName name="CUSTOM3_IA_32F_AA_U05___foyer">#REF!</definedName>
    <definedName name="CUSTOM3_IA_32F_AA_U05___living_rm.">#REF!</definedName>
    <definedName name="CUSTOM3_IA_32F_AA_U05___shaft">#REF!</definedName>
    <definedName name="CUSTOM3_IA_32F_AA_U05___stairs">#REF!</definedName>
    <definedName name="CUSTOM3_IA_32F_AA_U05___void">#REF!</definedName>
    <definedName name="CUSTOM3_IA_32F_AA_U06___BR1_lobby">#REF!</definedName>
    <definedName name="CUSTOM3_IA_32F_AA_U06___BR1_rm.">#REF!</definedName>
    <definedName name="CUSTOM3_IA_32F_AA_U06___BR1_t_b">#REF!</definedName>
    <definedName name="CUSTOM3_IA_32F_AA_U06___BR2_dresser">#REF!</definedName>
    <definedName name="CUSTOM3_IA_32F_AA_U06___BR2_lobby">#REF!</definedName>
    <definedName name="CUSTOM3_IA_32F_AA_U06___BR2_rm.">#REF!</definedName>
    <definedName name="CUSTOM3_IA_32F_AA_U06___BR2_t_b">#REF!</definedName>
    <definedName name="CUSTOM3_IA_32F_AA_U06___corridor">#REF!</definedName>
    <definedName name="CUSTOM3_IA_32F_AA_U06___double_vol.">#REF!</definedName>
    <definedName name="CUSTOM3_IA_32F_AA_U06___jacuzzi_area">#REF!</definedName>
    <definedName name="CUSTOM3_IA_32F_AA_U06___living_foyer">#REF!</definedName>
    <definedName name="CUSTOM3_IA_32F_AA_U06___pantry">#REF!</definedName>
    <definedName name="CUSTOM3_IA_32F_AA_U06___shaft">#REF!</definedName>
    <definedName name="CUSTOM3_IA_32F_AA_U06___stair">#REF!</definedName>
    <definedName name="CUSTOM3_IA_32F_AA_U06___study">#REF!</definedName>
    <definedName name="CUSTOM3_IA_33RF_AC_U00___electrical_rm.">#REF!</definedName>
    <definedName name="CUSTOM3_IA_33RF_AC_U00___f.e._stair">#REF!</definedName>
    <definedName name="CUSTOM3_IA_33RF_AC_U00___g.s.m._rm.">#REF!</definedName>
    <definedName name="CUSTOM3_IA_33RF_AC_U00___lift_shaft">#REF!</definedName>
    <definedName name="CUSTOM3_IA_33RF_AC_U00___shaft">#REF!</definedName>
    <definedName name="CUSTOM3_IA_33RF_AC_U00___tech._rm.">#REF!</definedName>
    <definedName name="CUSTOM3_IA_33RF_AC_U00___telephone_rm.">#REF!</definedName>
    <definedName name="CUSTOM3_IA_33RF_AC_U00___water_tank">#REF!</definedName>
    <definedName name="CUSTOM3_IA_34uRF_AC_U00___machine_rm.">#REF!</definedName>
    <definedName name="CUSTOM3_IA_34uRF_AC_U00___machine_rm._lobby">#REF!</definedName>
    <definedName name="CUSTOM3_IA_34uRF_AC_U00___pump_rm.">#REF!</definedName>
    <definedName name="CUSTOM3_IA_34uRF_AC_U00___r.c._water_tank">#REF!</definedName>
    <definedName name="CUSTOM3_IA_34uRF_AC_U00___shaft">#REF!</definedName>
    <definedName name="CUSTOM3_Intelligent_Water_Meter_by_DEWA">#REF!</definedName>
    <definedName name="CUSTOM3_Internal_Ceiling_Finishes__Bulkhead">#REF!</definedName>
    <definedName name="CUSTOM3_Internal_Ceiling_Finishes__PF01">#REF!</definedName>
    <definedName name="CUSTOM3_Internal_Ceiling_Finishes__PF02">#REF!</definedName>
    <definedName name="CUSTOM3_Internal_Ceiling_Finishes__PH01">#REF!</definedName>
    <definedName name="CUSTOM3_Internal_Doors__D_02">#REF!</definedName>
    <definedName name="CUSTOM3_Internal_Doors__D_03">#REF!</definedName>
    <definedName name="CUSTOM3_Internal_Doors__D_04">#REF!</definedName>
    <definedName name="CUSTOM3_Internal_Doors__D_06">#REF!</definedName>
    <definedName name="CUSTOM3_Internal_Floor_Finishes__FF01">#REF!</definedName>
    <definedName name="CUSTOM3_Internal_Floor_Finishes__FF03">#REF!</definedName>
    <definedName name="CUSTOM3_Internal_Floor_Finishes__FF05">#REF!</definedName>
    <definedName name="CUSTOM3_Internal_Floor_Finishes__Wet_Areas">#REF!</definedName>
    <definedName name="CUSTOM3_Internal_Wall__Blockwork___BW_1">#REF!</definedName>
    <definedName name="CUSTOM3_Internal_Wall__Blockwork___BW_2">#REF!</definedName>
    <definedName name="CUSTOM3_Internal_Wall__Blockwork___BW_3">#REF!</definedName>
    <definedName name="CUSTOM3_Internal_Wall__Threshold">#REF!</definedName>
    <definedName name="CUSTOM3_Internal_Wall_Finishes__PF03">#REF!</definedName>
    <definedName name="CUSTOM3_Internal_Wall_Finishes__PF04">#REF!</definedName>
    <definedName name="CUSTOM3_Internal_Wall_Finishes__Render">#REF!</definedName>
    <definedName name="CUSTOM3_Internal_Wall_Finishes__W01">#REF!</definedName>
    <definedName name="CUSTOM3_Internal_Wall_Finishes__W03">#REF!</definedName>
    <definedName name="CUSTOM3_Internal_Wall_Finishes__WF05">#REF!</definedName>
    <definedName name="CUSTOM3_Internal_Wall_Finishes__WF07">#REF!</definedName>
    <definedName name="CUSTOM3_Isolation_Valve">#REF!</definedName>
    <definedName name="CUSTOM3_L0__TW1_250">#REF!</definedName>
    <definedName name="CUSTOM3_L0__TW2_200">#REF!</definedName>
    <definedName name="CUSTOM3_L0__TW3_300">#REF!</definedName>
    <definedName name="CUSTOM3_L0__TW3_400">#REF!</definedName>
    <definedName name="CUSTOM3_L0__TW4_500">#REF!</definedName>
    <definedName name="CUSTOM3_L0__TW4_600">#REF!</definedName>
    <definedName name="CUSTOM3_L0__W1__300">#REF!</definedName>
    <definedName name="CUSTOM3_L0__W1_300_Door_Overhead">#REF!</definedName>
    <definedName name="CUSTOM3_L0_Beams">#REF!</definedName>
    <definedName name="CUSTOM3_L0_DP1_3000x3000x350">#REF!</definedName>
    <definedName name="CUSTOM3_L0_DP2_3000x1750x350">#REF!</definedName>
    <definedName name="CUSTOM3_L0_DP5_3000x3000x400">#REF!</definedName>
    <definedName name="CUSTOM3_L0_DP6_6500x4000x550">#REF!</definedName>
    <definedName name="CUSTOM3_L0_DP7_3500x1900x400">#REF!</definedName>
    <definedName name="CUSTOM3_L0_Ramp">#REF!</definedName>
    <definedName name="CUSTOM3_L0_Slab_200">#REF!</definedName>
    <definedName name="CUSTOM3_L0_Slab_220">#REF!</definedName>
    <definedName name="CUSTOM3_L0_Slab_240">#REF!</definedName>
    <definedName name="CUSTOM3_L0_Slab_250">#REF!</definedName>
    <definedName name="CUSTOM3_L0_Slab_260">#REF!</definedName>
    <definedName name="CUSTOM3_L0_Slab_400">#REF!</definedName>
    <definedName name="CUSTOM3_L0_Slab_450">#REF!</definedName>
    <definedName name="CUSTOM3_L00__Column_C1">#REF!</definedName>
    <definedName name="CUSTOM3_L00__Column_C10">#REF!</definedName>
    <definedName name="CUSTOM3_L00__Column_C11">#REF!</definedName>
    <definedName name="CUSTOM3_L00__Column_C12">#REF!</definedName>
    <definedName name="CUSTOM3_L00__Column_C2">#REF!</definedName>
    <definedName name="CUSTOM3_L00__Column_C3">#REF!</definedName>
    <definedName name="CUSTOM3_L00__Column_C4">#REF!</definedName>
    <definedName name="CUSTOM3_L00__Column_C5">#REF!</definedName>
    <definedName name="CUSTOM3_L00__Column_C6">#REF!</definedName>
    <definedName name="CUSTOM3_L00__Column_C7">#REF!</definedName>
    <definedName name="CUSTOM3_L00__Column_C8">#REF!</definedName>
    <definedName name="CUSTOM3_L00__Column_C9">#REF!</definedName>
    <definedName name="CUSTOM3_L00__Column_FC1">#REF!</definedName>
    <definedName name="CUSTOM3_L00__Column_TC1">#REF!</definedName>
    <definedName name="CUSTOM3_L00__Column_TC2">#REF!</definedName>
    <definedName name="CUSTOM3_L00__Column_TC3">#REF!</definedName>
    <definedName name="CUSTOM3_L00__Column_TC4">#REF!</definedName>
    <definedName name="CUSTOM3_L00__Column_TC5">#REF!</definedName>
    <definedName name="CUSTOM3_L01__Column_C10">#REF!</definedName>
    <definedName name="CUSTOM3_L01__Column_C6">#REF!</definedName>
    <definedName name="CUSTOM3_L01__Column_C7">#REF!</definedName>
    <definedName name="CUSTOM3_L01__Column_TC1">#REF!</definedName>
    <definedName name="CUSTOM3_L01__Column_TC2">#REF!</definedName>
    <definedName name="CUSTOM3_L01__Column_TC3">#REF!</definedName>
    <definedName name="CUSTOM3_L01__Column_TC4">#REF!</definedName>
    <definedName name="CUSTOM3_L01__Column_TC5">#REF!</definedName>
    <definedName name="CUSTOM3_L02__Column_TC1">#REF!</definedName>
    <definedName name="CUSTOM3_L02__Column_TC2">#REF!</definedName>
    <definedName name="CUSTOM3_L02__Column_TC3">#REF!</definedName>
    <definedName name="CUSTOM3_L02__Column_TC4">#REF!</definedName>
    <definedName name="CUSTOM3_L02__Column_TC5">#REF!</definedName>
    <definedName name="CUSTOM3_L02_to_L03__CORE_Typical">#REF!</definedName>
    <definedName name="CUSTOM3_L03_to_L05__CORE_TYPICAL">#REF!</definedName>
    <definedName name="CUSTOM3_L03_to_L05__Opening">#REF!</definedName>
    <definedName name="CUSTOM3_L05_to_L14__CORE_Typical">#REF!</definedName>
    <definedName name="CUSTOM3_L1__TW1_250">#REF!</definedName>
    <definedName name="CUSTOM3_L1__TW2_200">#REF!</definedName>
    <definedName name="CUSTOM3_L1__TW3_300">#REF!</definedName>
    <definedName name="CUSTOM3_L1__TW4_600">#REF!</definedName>
    <definedName name="CUSTOM3_L1__TW5_300">#REF!</definedName>
    <definedName name="CUSTOM3_L1_Beams">#REF!</definedName>
    <definedName name="CUSTOM3_L1_DP">#REF!</definedName>
    <definedName name="CUSTOM3_L1_DP1_3000x3000x350">#REF!</definedName>
    <definedName name="CUSTOM3_L1_DP11_3250x1750x350">#REF!</definedName>
    <definedName name="CUSTOM3_L1_DP13_3250x1750x600">#REF!</definedName>
    <definedName name="CUSTOM3_L1_DP14_3000x3000x600">#REF!</definedName>
    <definedName name="CUSTOM3_L1_DP15_3500x3500x600">#REF!</definedName>
    <definedName name="CUSTOM3_L1_DP3_3500x1900x350">#REF!</definedName>
    <definedName name="CUSTOM3_L1_DP4_3500x3500x400">#REF!</definedName>
    <definedName name="CUSTOM3_L1_DP8_8000x5500x600">#REF!</definedName>
    <definedName name="CUSTOM3_L1_Slab_200">#REF!</definedName>
    <definedName name="CUSTOM3_L1_Slab_240">#REF!</definedName>
    <definedName name="CUSTOM3_L1_Slab_280">#REF!</definedName>
    <definedName name="CUSTOM3_L1_Slab_360">#REF!</definedName>
    <definedName name="CUSTOM3_L14__COMFLOR_100">#REF!</definedName>
    <definedName name="CUSTOM3_L14__CONC_SLAB">#REF!</definedName>
    <definedName name="CUSTOM3_L14__RC_CORE_VOIDS">#REF!</definedName>
    <definedName name="CUSTOM3_L15__COMFLOR_100">#REF!</definedName>
    <definedName name="CUSTOM3_L15__HEA_320">#REF!</definedName>
    <definedName name="CUSTOM3_L15__HEB_160">#REF!</definedName>
    <definedName name="CUSTOM3_L15__HEM_180">#REF!</definedName>
    <definedName name="CUSTOM3_L15__RHS_400x200x16">#REF!</definedName>
    <definedName name="CUSTOM3_L15__TW1_250">#REF!</definedName>
    <definedName name="CUSTOM3_L15__TW2_200">#REF!</definedName>
    <definedName name="CUSTOM3_L15__TW3_300">#REF!</definedName>
    <definedName name="CUSTOM3_L15__TW4_600">#REF!</definedName>
    <definedName name="CUSTOM3_L15__TW5_300">#REF!</definedName>
    <definedName name="CUSTOM3_L15_Beams">#REF!</definedName>
    <definedName name="CUSTOM3_L15_Slab_250">#REF!</definedName>
    <definedName name="CUSTOM3_L15_Slab_400">#REF!</definedName>
    <definedName name="CUSTOM3_L15_to_L16__CONC_SLAB">#REF!</definedName>
    <definedName name="CUSTOM3_L16__COMFLOR_100">#REF!</definedName>
    <definedName name="CUSTOM3_L16__HEA_320">#REF!</definedName>
    <definedName name="CUSTOM3_L16__HEB_160">#REF!</definedName>
    <definedName name="CUSTOM3_L16__HEM_180">#REF!</definedName>
    <definedName name="CUSTOM3_L16__RHS_400x200x16">#REF!</definedName>
    <definedName name="CUSTOM3_L16__TW1_250">#REF!</definedName>
    <definedName name="CUSTOM3_L16__TW2_200">#REF!</definedName>
    <definedName name="CUSTOM3_L16__TW3_300">#REF!</definedName>
    <definedName name="CUSTOM3_L16__TW4_600">#REF!</definedName>
    <definedName name="CUSTOM3_L16_Beams">#REF!</definedName>
    <definedName name="CUSTOM3_L16_Slab_200">#REF!</definedName>
    <definedName name="CUSTOM3_L16_Slab_240">#REF!</definedName>
    <definedName name="CUSTOM3_L16_Slab_280">#REF!</definedName>
    <definedName name="CUSTOM3_L17__COMFLOR_100">#REF!</definedName>
    <definedName name="CUSTOM3_L17__HEA_320">#REF!</definedName>
    <definedName name="CUSTOM3_L17__HEB_160">#REF!</definedName>
    <definedName name="CUSTOM3_L17__HEM_180">#REF!</definedName>
    <definedName name="CUSTOM3_L17__RHS_400x200x16">#REF!</definedName>
    <definedName name="CUSTOM3_L17__TW1_250">#REF!</definedName>
    <definedName name="CUSTOM3_L17__TW2_200">#REF!</definedName>
    <definedName name="CUSTOM3_L17__TW3_300">#REF!</definedName>
    <definedName name="CUSTOM3_L17__TW4_600">#REF!</definedName>
    <definedName name="CUSTOM3_L17_Beams">#REF!</definedName>
    <definedName name="CUSTOM3_L17_Slab_200">#REF!</definedName>
    <definedName name="CUSTOM3_L17_Slab_240">#REF!</definedName>
    <definedName name="CUSTOM3_L17_Slab_280">#REF!</definedName>
    <definedName name="CUSTOM3_L17_to_L35__CONC_SLAB">#REF!</definedName>
    <definedName name="CUSTOM3_L18__COMFLOR_100">#REF!</definedName>
    <definedName name="CUSTOM3_L18__HEA_320">#REF!</definedName>
    <definedName name="CUSTOM3_L18__HEB_160">#REF!</definedName>
    <definedName name="CUSTOM3_L18__HEM_180">#REF!</definedName>
    <definedName name="CUSTOM3_L18__RC_CORE_VOIDS">#REF!</definedName>
    <definedName name="CUSTOM3_L18__RHS_400x200x16">#REF!</definedName>
    <definedName name="CUSTOM3_L19__COMFLOR_100">#REF!</definedName>
    <definedName name="CUSTOM3_L19__HEA_320">#REF!</definedName>
    <definedName name="CUSTOM3_L19__HEB_160">#REF!</definedName>
    <definedName name="CUSTOM3_L19__HEM_180">#REF!</definedName>
    <definedName name="CUSTOM3_L19__RHS_400x200x16">#REF!</definedName>
    <definedName name="CUSTOM3_L2___1000x1500mm">#REF!</definedName>
    <definedName name="CUSTOM3_L2___1000x1500mm_curved">#REF!</definedName>
    <definedName name="CUSTOM3_L2___1200x1200x1500mm">#REF!</definedName>
    <definedName name="CUSTOM3_L2___1200x1500mm">#REF!</definedName>
    <definedName name="CUSTOM3_L2___1200x3000x1500mm">#REF!</definedName>
    <definedName name="CUSTOM3_L2___1500x1500x1500mm">#REF!</definedName>
    <definedName name="CUSTOM3_L2___1800x1800x1500mm">#REF!</definedName>
    <definedName name="CUSTOM3_L2___1800x4500x1500mm">#REF!</definedName>
    <definedName name="CUSTOM3_L2___400mm_raft_slab">#REF!</definedName>
    <definedName name="CUSTOM3_L2___400mm_Retaining_wall">#REF!</definedName>
    <definedName name="CUSTOM3_L2___400mm_Retaining_wall_curved">#REF!</definedName>
    <definedName name="CUSTOM3_L2___400x1500mm">#REF!</definedName>
    <definedName name="CUSTOM3_L2___500mm_Retaining_wall">#REF!</definedName>
    <definedName name="CUSTOM3_L2___500mm_Retaining_wall_curved">#REF!</definedName>
    <definedName name="CUSTOM3_L2___600mm_diameter">#REF!</definedName>
    <definedName name="CUSTOM3_L2___750mm_diameter">#REF!</definedName>
    <definedName name="CUSTOM3_L2___800x1500mm">#REF!</definedName>
    <definedName name="CUSTOM3_L2___900mm_diameter">#REF!</definedName>
    <definedName name="CUSTOM3_L2___Pilecaps">#REF!</definedName>
    <definedName name="CUSTOM3_L2__Column__550dia__assumed_size_as_per_plan_">#REF!</definedName>
    <definedName name="CUSTOM3_L2__TW1_250">#REF!</definedName>
    <definedName name="CUSTOM3_L2__TW2_200">#REF!</definedName>
    <definedName name="CUSTOM3_L2__TW3_300">#REF!</definedName>
    <definedName name="CUSTOM3_L2__TW4_600">#REF!</definedName>
    <definedName name="CUSTOM3_L2__TW5_300">#REF!</definedName>
    <definedName name="CUSTOM3_L2__Wall__250__assumed_">#REF!</definedName>
    <definedName name="CUSTOM3_L2__Wall__250_curved__assumed_">#REF!</definedName>
    <definedName name="CUSTOM3_L2_Beams">#REF!</definedName>
    <definedName name="CUSTOM3_L2_Slab_200">#REF!</definedName>
    <definedName name="CUSTOM3_L2_Slab_240">#REF!</definedName>
    <definedName name="CUSTOM3_L2_Slab_280">#REF!</definedName>
    <definedName name="CUSTOM3_L20__COMFLOR_100">#REF!</definedName>
    <definedName name="CUSTOM3_L20__HEA_320">#REF!</definedName>
    <definedName name="CUSTOM3_L20__HEB_160">#REF!</definedName>
    <definedName name="CUSTOM3_L20__HEM_180">#REF!</definedName>
    <definedName name="CUSTOM3_L20__RHS_400x400x16">#REF!</definedName>
    <definedName name="CUSTOM3_L21__COMFLOR_100">#REF!</definedName>
    <definedName name="CUSTOM3_L21__HEA_320">#REF!</definedName>
    <definedName name="CUSTOM3_L21__HEB_160">#REF!</definedName>
    <definedName name="CUSTOM3_L21__HEM_180">#REF!</definedName>
    <definedName name="CUSTOM3_L21__RHS_400x400x16">#REF!</definedName>
    <definedName name="CUSTOM3_L22__COMFLOR_100">#REF!</definedName>
    <definedName name="CUSTOM3_L22__HEA_320">#REF!</definedName>
    <definedName name="CUSTOM3_L22__HEB_160">#REF!</definedName>
    <definedName name="CUSTOM3_L22__HEM_180">#REF!</definedName>
    <definedName name="CUSTOM3_L22__RHS_400x400x16">#REF!</definedName>
    <definedName name="CUSTOM3_L23__COMFLOR_100">#REF!</definedName>
    <definedName name="CUSTOM3_L23__HEA_320">#REF!</definedName>
    <definedName name="CUSTOM3_L23__HEB_160">#REF!</definedName>
    <definedName name="CUSTOM3_L23__HEM_180">#REF!</definedName>
    <definedName name="CUSTOM3_L23__RHS_400x400x16">#REF!</definedName>
    <definedName name="CUSTOM3_L24__COMFLOR_100">#REF!</definedName>
    <definedName name="CUSTOM3_L24__HEA_320">#REF!</definedName>
    <definedName name="CUSTOM3_L24__HEB_160">#REF!</definedName>
    <definedName name="CUSTOM3_L24__HEM_180">#REF!</definedName>
    <definedName name="CUSTOM3_L24__RHS_400x400x16">#REF!</definedName>
    <definedName name="CUSTOM3_L25__COMFLOR_100">#REF!</definedName>
    <definedName name="CUSTOM3_L25__HEA_320">#REF!</definedName>
    <definedName name="CUSTOM3_L25__HEB_160">#REF!</definedName>
    <definedName name="CUSTOM3_L25__HEM_180">#REF!</definedName>
    <definedName name="CUSTOM3_L25__RHS_400x200x16">#REF!</definedName>
    <definedName name="CUSTOM3_L26__COMFLOR_100">#REF!</definedName>
    <definedName name="CUSTOM3_L26__HEA_320">#REF!</definedName>
    <definedName name="CUSTOM3_L26__HEB_160">#REF!</definedName>
    <definedName name="CUSTOM3_L26__HEM_180">#REF!</definedName>
    <definedName name="CUSTOM3_L26__RC_CORE_VOIDS">#REF!</definedName>
    <definedName name="CUSTOM3_L26__RHS_400x200x16">#REF!</definedName>
    <definedName name="CUSTOM3_L27__COMFLOR_100">#REF!</definedName>
    <definedName name="CUSTOM3_L27__HEA_320">#REF!</definedName>
    <definedName name="CUSTOM3_L27__HEB_160">#REF!</definedName>
    <definedName name="CUSTOM3_L27__HEM_180">#REF!</definedName>
    <definedName name="CUSTOM3_L27__RHS_400x200x16">#REF!</definedName>
    <definedName name="CUSTOM3_L28__COMFLOR_100">#REF!</definedName>
    <definedName name="CUSTOM3_L28__HEA_320">#REF!</definedName>
    <definedName name="CUSTOM3_L28__HEB_160">#REF!</definedName>
    <definedName name="CUSTOM3_L28__HEM_180">#REF!</definedName>
    <definedName name="CUSTOM3_L28__rHS_400x200x16">#REF!</definedName>
    <definedName name="CUSTOM3_L29__COMFLOR_100">#REF!</definedName>
    <definedName name="CUSTOM3_L29__HEA_320">#REF!</definedName>
    <definedName name="CUSTOM3_L29__HEB_160">#REF!</definedName>
    <definedName name="CUSTOM3_L29__HEM_180">#REF!</definedName>
    <definedName name="CUSTOM3_L29__RHS_400x200x16">#REF!</definedName>
    <definedName name="CUSTOM3_L3___1000x1500mm">#REF!</definedName>
    <definedName name="CUSTOM3_L3___1200x1200x1500mm">#REF!</definedName>
    <definedName name="CUSTOM3_L3___1200x3000x1500mm">#REF!</definedName>
    <definedName name="CUSTOM3_L3___1500x1500mm">#REF!</definedName>
    <definedName name="CUSTOM3_L3___1500x3000x1500mm">#REF!</definedName>
    <definedName name="CUSTOM3_L3___1800x1800x1500mm">#REF!</definedName>
    <definedName name="CUSTOM3_L3___1800x4500x1500mm">#REF!</definedName>
    <definedName name="CUSTOM3_L3___400mm_Retaining_wall">#REF!</definedName>
    <definedName name="CUSTOM3_L3___400mm_Retaining_wall_curved">#REF!</definedName>
    <definedName name="CUSTOM3_L3___500mm_thick_W3_curved">#REF!</definedName>
    <definedName name="CUSTOM3_L3___600mm_diameter">#REF!</definedName>
    <definedName name="CUSTOM3_L3___650mm_thick_W4_curved">#REF!</definedName>
    <definedName name="CUSTOM3_L3___700x1500mm">#REF!</definedName>
    <definedName name="CUSTOM3_L3___700x1500mm_curved">#REF!</definedName>
    <definedName name="CUSTOM3_L3___800x1500mm">#REF!</definedName>
    <definedName name="CUSTOM3_L3___800x1500mm_curved">#REF!</definedName>
    <definedName name="CUSTOM3_L3___900mm_diameter">#REF!</definedName>
    <definedName name="CUSTOM3_L3___Pilecaps">#REF!</definedName>
    <definedName name="CUSTOM3_L3__Beam__1000x800__assumed_">#REF!</definedName>
    <definedName name="CUSTOM3_L3__Beam__1100x800__assumed_">#REF!</definedName>
    <definedName name="CUSTOM3_L3__Beam__1300x800__assumed_">#REF!</definedName>
    <definedName name="CUSTOM3_L3__Beam__700x800__assumed_">#REF!</definedName>
    <definedName name="CUSTOM3_L3__Beam__800x800__assumed_">#REF!</definedName>
    <definedName name="CUSTOM3_L3__C1__800x800">#REF!</definedName>
    <definedName name="CUSTOM3_L3__C10__400x1000">#REF!</definedName>
    <definedName name="CUSTOM3_L3__C2__600x1200__assumed_size_as_per_plan_">#REF!</definedName>
    <definedName name="CUSTOM3_L3__C2__800x800">#REF!</definedName>
    <definedName name="CUSTOM3_L3__C3__800dia">#REF!</definedName>
    <definedName name="CUSTOM3_L3__C4__600x600">#REF!</definedName>
    <definedName name="CUSTOM3_L3__C5__400x400">#REF!</definedName>
    <definedName name="CUSTOM3_L3__C6__600x1200">#REF!</definedName>
    <definedName name="CUSTOM3_L3__C7__600x800">#REF!</definedName>
    <definedName name="CUSTOM3_L3__C8__550dia">#REF!</definedName>
    <definedName name="CUSTOM3_L3__C9__600dia">#REF!</definedName>
    <definedName name="CUSTOM3_L3__Column_Head__3000x3000x400">#REF!</definedName>
    <definedName name="CUSTOM3_L3__TW1_250">#REF!</definedName>
    <definedName name="CUSTOM3_L3__TW2_200">#REF!</definedName>
    <definedName name="CUSTOM3_L3__TW3_300">#REF!</definedName>
    <definedName name="CUSTOM3_L3__TW4_600">#REF!</definedName>
    <definedName name="CUSTOM3_L3__TW5_300">#REF!</definedName>
    <definedName name="CUSTOM3_L3__W1__250">#REF!</definedName>
    <definedName name="CUSTOM3_L3__W1__250_curved">#REF!</definedName>
    <definedName name="CUSTOM3_L3_Beams">#REF!</definedName>
    <definedName name="CUSTOM3_L3_Slab_200">#REF!</definedName>
    <definedName name="CUSTOM3_L3_Slab_240">#REF!</definedName>
    <definedName name="CUSTOM3_L3_Slab_280">#REF!</definedName>
    <definedName name="CUSTOM3_L30__COMFLOR_100">#REF!</definedName>
    <definedName name="CUSTOM3_L30__HEA_320">#REF!</definedName>
    <definedName name="CUSTOM3_L30__HEB_160">#REF!</definedName>
    <definedName name="CUSTOM3_L30__HEM_180">#REF!</definedName>
    <definedName name="CUSTOM3_L30__RHS_400x200x16">#REF!</definedName>
    <definedName name="CUSTOM3_L30__TW1_250">#REF!</definedName>
    <definedName name="CUSTOM3_L30__TW2_200">#REF!</definedName>
    <definedName name="CUSTOM3_L30__TW3_300">#REF!</definedName>
    <definedName name="CUSTOM3_L30__TW4_600">#REF!</definedName>
    <definedName name="CUSTOM3_L30_Beams">#REF!</definedName>
    <definedName name="CUSTOM3_L30_Slab_200">#REF!</definedName>
    <definedName name="CUSTOM3_L30_Slab_240">#REF!</definedName>
    <definedName name="CUSTOM3_L30_Slab_280">#REF!</definedName>
    <definedName name="CUSTOM3_L31__COMFLOR_100">#REF!</definedName>
    <definedName name="CUSTOM3_L31__HEA_320">#REF!</definedName>
    <definedName name="CUSTOM3_L31__HEB_160">#REF!</definedName>
    <definedName name="CUSTOM3_L31__HEM_180">#REF!</definedName>
    <definedName name="CUSTOM3_L31__RHS_400x200x16">#REF!</definedName>
    <definedName name="CUSTOM3_L31__TW1_250">#REF!</definedName>
    <definedName name="CUSTOM3_L31__TW2_200">#REF!</definedName>
    <definedName name="CUSTOM3_L31__TW3_300">#REF!</definedName>
    <definedName name="CUSTOM3_L31__TW4_600">#REF!</definedName>
    <definedName name="CUSTOM3_L31__TW5_300">#REF!</definedName>
    <definedName name="CUSTOM3_L31_Beams">#REF!</definedName>
    <definedName name="CUSTOM3_L31_Slab_200">#REF!</definedName>
    <definedName name="CUSTOM3_L31_Slab_240">#REF!</definedName>
    <definedName name="CUSTOM3_L31_Slab_280">#REF!</definedName>
    <definedName name="CUSTOM3_L32__RC_SLAB_500mm_THICK">#REF!</definedName>
    <definedName name="CUSTOM3_L33__COMFLOR_100">#REF!</definedName>
    <definedName name="CUSTOM3_L33__HEA_320">#REF!</definedName>
    <definedName name="CUSTOM3_L33__HEB_160">#REF!</definedName>
    <definedName name="CUSTOM3_L33__HEM_180">#REF!</definedName>
    <definedName name="CUSTOM3_L33__RHS_400x200x16">#REF!</definedName>
    <definedName name="CUSTOM3_L34__COMFLOR_100">#REF!</definedName>
    <definedName name="CUSTOM3_L34__HEA_320">#REF!</definedName>
    <definedName name="CUSTOM3_L34__HEB_160">#REF!</definedName>
    <definedName name="CUSTOM3_L34__HEM_180">#REF!</definedName>
    <definedName name="CUSTOM3_L34__RHS_400x200x16">#REF!</definedName>
    <definedName name="CUSTOM3_L35__COMFLOR_100">#REF!</definedName>
    <definedName name="CUSTOM3_L35__HEA_320">#REF!</definedName>
    <definedName name="CUSTOM3_L35__HEB_160">#REF!</definedName>
    <definedName name="CUSTOM3_L35__HEM_180">#REF!</definedName>
    <definedName name="CUSTOM3_L35__RHS_400x200x16">#REF!</definedName>
    <definedName name="CUSTOM3_L36__COMFLOR_100">#REF!</definedName>
    <definedName name="CUSTOM3_L36__CONC_SLAB">#REF!</definedName>
    <definedName name="CUSTOM3_L36__HEA_320">#REF!</definedName>
    <definedName name="CUSTOM3_L36__HEB_160">#REF!</definedName>
    <definedName name="CUSTOM3_L36__HEM_180">#REF!</definedName>
    <definedName name="CUSTOM3_L36__RHS_400x200x16">#REF!</definedName>
    <definedName name="CUSTOM3_L36__TW1_250">#REF!</definedName>
    <definedName name="CUSTOM3_L36__TW2_200">#REF!</definedName>
    <definedName name="CUSTOM3_L36__TW3_300">#REF!</definedName>
    <definedName name="CUSTOM3_L36__TW5_300">#REF!</definedName>
    <definedName name="CUSTOM3_L36_Beams">#REF!</definedName>
    <definedName name="CUSTOM3_L36_Slab_200">#REF!</definedName>
    <definedName name="CUSTOM3_L36_Slab_240">#REF!</definedName>
    <definedName name="CUSTOM3_L36_Slab_280">#REF!</definedName>
    <definedName name="CUSTOM3_L36_Slab_500">#REF!</definedName>
    <definedName name="CUSTOM3_L37__COMFLOR_100">#REF!</definedName>
    <definedName name="CUSTOM3_L37__HEA_320">#REF!</definedName>
    <definedName name="CUSTOM3_L37__HEB_160">#REF!</definedName>
    <definedName name="CUSTOM3_L37__HEM_180">#REF!</definedName>
    <definedName name="CUSTOM3_L37__RHS_400x200x16">#REF!</definedName>
    <definedName name="CUSTOM3_L37__TW1_250">#REF!</definedName>
    <definedName name="CUSTOM3_L37__TW2_200">#REF!</definedName>
    <definedName name="CUSTOM3_L37__TW3_300">#REF!</definedName>
    <definedName name="CUSTOM3_L37__TW5_300">#REF!</definedName>
    <definedName name="CUSTOM3_L37_Beams">#REF!</definedName>
    <definedName name="CUSTOM3_L37_Slab_200">#REF!</definedName>
    <definedName name="CUSTOM3_L37_Slab_350">#REF!</definedName>
    <definedName name="CUSTOM3_L38__Bracing_Elemnt_Passing_Lift_Over_Run">#REF!</definedName>
    <definedName name="CUSTOM3_L38__COMFLOR_100">#REF!</definedName>
    <definedName name="CUSTOM3_L38__HEA_320">#REF!</definedName>
    <definedName name="CUSTOM3_L38__HEB_160">#REF!</definedName>
    <definedName name="CUSTOM3_L38__HEM_180">#REF!</definedName>
    <definedName name="CUSTOM3_L38__RHS_400x200x16">#REF!</definedName>
    <definedName name="CUSTOM3_L38__TW1_250">#REF!</definedName>
    <definedName name="CUSTOM3_L38__TW2_200">#REF!</definedName>
    <definedName name="CUSTOM3_L38__TW3_300">#REF!</definedName>
    <definedName name="CUSTOM3_L38__TW5_300">#REF!</definedName>
    <definedName name="CUSTOM3_L38_Beams">#REF!</definedName>
    <definedName name="CUSTOM3_L38_Slab_200">#REF!</definedName>
    <definedName name="CUSTOM3_L38_Slab_350">#REF!</definedName>
    <definedName name="CUSTOM3_L39__2nd_Layer__HEA_320">#REF!</definedName>
    <definedName name="CUSTOM3_L39__2nd_Layer__HEB_160">#REF!</definedName>
    <definedName name="CUSTOM3_L39__2nd_Layer__HEM_180">#REF!</definedName>
    <definedName name="CUSTOM3_L39__2nd_Layer__RHS_400x200x16">#REF!</definedName>
    <definedName name="CUSTOM3_L39__Bracing_Elemnt_Passing_Lift_Over_Run">#REF!</definedName>
    <definedName name="CUSTOM3_L39__COMFLOR_100">#REF!</definedName>
    <definedName name="CUSTOM3_L39__HEA_320">#REF!</definedName>
    <definedName name="CUSTOM3_L39__HEB_160">#REF!</definedName>
    <definedName name="CUSTOM3_L39__HEM_180">#REF!</definedName>
    <definedName name="CUSTOM3_L39__RHS_400x200x16">#REF!</definedName>
    <definedName name="CUSTOM3_L4___1000x1500mm_curved">#REF!</definedName>
    <definedName name="CUSTOM3_L4___1500x1500x1500mm">#REF!</definedName>
    <definedName name="CUSTOM3_L4___600mm_diameter">#REF!</definedName>
    <definedName name="CUSTOM3_L4___750mm_diameter">#REF!</definedName>
    <definedName name="CUSTOM3_L4___800x1500mm">#REF!</definedName>
    <definedName name="CUSTOM3_L4___800x1500mm_curved">#REF!</definedName>
    <definedName name="CUSTOM3_L4__B1__800x600">#REF!</definedName>
    <definedName name="CUSTOM3_L4__B1__800x600_curved">#REF!</definedName>
    <definedName name="CUSTOM3_L4__B2__800x1000">#REF!</definedName>
    <definedName name="CUSTOM3_L4__B2__800x1000_curved">#REF!</definedName>
    <definedName name="CUSTOM3_L4__B3__800x1300">#REF!</definedName>
    <definedName name="CUSTOM3_L4__B3__800x1300_curved">#REF!</definedName>
    <definedName name="CUSTOM3_L4__B4__1500x1600_curved">#REF!</definedName>
    <definedName name="CUSTOM3_L4__Beam__300x600__assumed_">#REF!</definedName>
    <definedName name="CUSTOM3_L4__C3__800dia">#REF!</definedName>
    <definedName name="CUSTOM3_L4__C6__550dia__assumed_size_as_per_plan_">#REF!</definedName>
    <definedName name="CUSTOM3_L4__C9__600dia">#REF!</definedName>
    <definedName name="CUSTOM3_L4__Column_Head__4000x4000x400">#REF!</definedName>
    <definedName name="CUSTOM3_L4__W1__250">#REF!</definedName>
    <definedName name="CUSTOM3_L4__W1__250_curved">#REF!</definedName>
    <definedName name="CUSTOM3_L4__W2__350">#REF!</definedName>
    <definedName name="CUSTOM3_L4__W2__350_curved">#REF!</definedName>
    <definedName name="CUSTOM3_L40__2nd_Layer__RHS_400x200x16">#REF!</definedName>
    <definedName name="CUSTOM3_L40__Bracing_Elemnt_Passing_Lift_Over_Run">#REF!</definedName>
    <definedName name="CUSTOM3_L40__COMFLOR_100">#REF!</definedName>
    <definedName name="CUSTOM3_L40__HEB_320">#REF!</definedName>
    <definedName name="CUSTOM3_L40__RHS_400x200x16">#REF!</definedName>
    <definedName name="CUSTOM3_L40__RHS_450x450x25">#REF!</definedName>
    <definedName name="CUSTOM3_L40__RHS_500x300x20">#REF!</definedName>
    <definedName name="CUSTOM3_L40__Trussing_spanning_column_restrai">#REF!</definedName>
    <definedName name="CUSTOM3_L41__2nd_Layer__RHS_400x200x16">#REF!</definedName>
    <definedName name="CUSTOM3_L41__Bracing_Elemnt_Passing_Lift_Over_Run">#REF!</definedName>
    <definedName name="CUSTOM3_L41__COMFLOR_100">#REF!</definedName>
    <definedName name="CUSTOM3_L41__Flying_Strut">#REF!</definedName>
    <definedName name="CUSTOM3_L41__HEB_320">#REF!</definedName>
    <definedName name="CUSTOM3_L41__RHS_400x200x16">#REF!</definedName>
    <definedName name="CUSTOM3_L41__RHS_450x450x25">#REF!</definedName>
    <definedName name="CUSTOM3_L41__RHS_500x300x20">#REF!</definedName>
    <definedName name="CUSTOM3_L42__2nd_Layer__RHS_400x200x16">#REF!</definedName>
    <definedName name="CUSTOM3_L42__COMFLOR_100">#REF!</definedName>
    <definedName name="CUSTOM3_L42__HEB_320">#REF!</definedName>
    <definedName name="CUSTOM3_L42__RHS_400x420x16">#REF!</definedName>
    <definedName name="CUSTOM3_L42__RHS_450x450x25">#REF!</definedName>
    <definedName name="CUSTOM3_L42__RHS_500x300x20">#REF!</definedName>
    <definedName name="CUSTOM3_L43__COMFLOR_100">#REF!</definedName>
    <definedName name="CUSTOM3_L43__HE_320">#REF!</definedName>
    <definedName name="CUSTOM3_L44__COMFLOR_100">#REF!</definedName>
    <definedName name="CUSTOM3_L44__HEA_320">#REF!</definedName>
    <definedName name="CUSTOM3_L45__COMFLOR_100">#REF!</definedName>
    <definedName name="CUSTOM3_L46__COMFLOR_100">#REF!</definedName>
    <definedName name="CUSTOM3_L47__COMFLOR_100">#REF!</definedName>
    <definedName name="CUSTOM3_L48__RC_SLAB_350mm_THICK">#REF!</definedName>
    <definedName name="CUSTOM3_L49__COMFLOR_100">#REF!</definedName>
    <definedName name="CUSTOM3_L49__HEB_260">#REF!</definedName>
    <definedName name="CUSTOM3_L5___Slab_on_grade">#REF!</definedName>
    <definedName name="CUSTOM3_L5__B1__500x1300_curved">#REF!</definedName>
    <definedName name="CUSTOM3_L5__B2__800x1300">#REF!</definedName>
    <definedName name="CUSTOM3_L5__B2__800x1300_curved">#REF!</definedName>
    <definedName name="CUSTOM3_L5__B3__800x1100">#REF!</definedName>
    <definedName name="CUSTOM3_L5__B3__800x1100_curved">#REF!</definedName>
    <definedName name="CUSTOM3_L5__B4__800x1600">#REF!</definedName>
    <definedName name="CUSTOM3_L5__B5__400x800">#REF!</definedName>
    <definedName name="CUSTOM3_L5__B6__600x1250">#REF!</definedName>
    <definedName name="CUSTOM3_L5__B6__600x1250_curved">#REF!</definedName>
    <definedName name="CUSTOM3_L5__B7__800x1250">#REF!</definedName>
    <definedName name="CUSTOM3_L5__B7__800x1250_curved">#REF!</definedName>
    <definedName name="CUSTOM3_L5__B8__1400x1250_curved">#REF!</definedName>
    <definedName name="CUSTOM3_L5__B9__1800x1250">#REF!</definedName>
    <definedName name="CUSTOM3_L5__B9__1800x1250_curved">#REF!</definedName>
    <definedName name="CUSTOM3_L5__Beam__800x1600_curved__assumed_">#REF!</definedName>
    <definedName name="CUSTOM3_L50__COMFLOR_100">#REF!</definedName>
    <definedName name="CUSTOM3_L50__HEB_260">#REF!</definedName>
    <definedName name="CUSTOM3_L51__COMFLOR_100">#REF!</definedName>
    <definedName name="CUSTOM3_Land_Area">#REF!</definedName>
    <definedName name="CUSTOM3_Lettable_Area__lvl_3_">#REF!</definedName>
    <definedName name="CUSTOM3_Lettable_areas__lvl_2_">#REF!</definedName>
    <definedName name="CUSTOM3_Level_3_balcony_handrails">#REF!</definedName>
    <definedName name="CUSTOM3_Lift_voids__GF_">#REF!</definedName>
    <definedName name="CUSTOM3_Lift_voids__lvl_1_">#REF!</definedName>
    <definedName name="CUSTOM3_Lift_voids__lvl_2_">#REF!</definedName>
    <definedName name="CUSTOM3_Lift_voids__lvl_3_">#REF!</definedName>
    <definedName name="CUSTOM3_Lift_voids__Podium_1_">#REF!</definedName>
    <definedName name="CUSTOM3_Lift_Voids__Podium_2_">#REF!</definedName>
    <definedName name="CUSTOM3_Lift_voids__Roof_">#REF!</definedName>
    <definedName name="CUSTOM3_Louver_1A">#REF!</definedName>
    <definedName name="CUSTOM3_lvl_1__BOH_">#REF!</definedName>
    <definedName name="CUSTOM3_lvl_1__Car_Park_">#REF!</definedName>
    <definedName name="CUSTOM3_lvl_1__Externals_">#REF!</definedName>
    <definedName name="CUSTOM3_lvl_1__FOH_Areas_">#REF!</definedName>
    <definedName name="CUSTOM3_lvl_1__FOH_Circulation_">#REF!</definedName>
    <definedName name="CUSTOM3_lvl_1__GFA_">#REF!</definedName>
    <definedName name="CUSTOM3_lvl_1__GIFA_">#REF!</definedName>
    <definedName name="CUSTOM3_lvl_1__offices_">#REF!</definedName>
    <definedName name="CUSTOM3_lvl_1__Stairs_">#REF!</definedName>
    <definedName name="CUSTOM3_lvl_1__vertical_storage_">#REF!</definedName>
    <definedName name="CUSTOM3_lvl_1__Voids_">#REF!</definedName>
    <definedName name="CUSTOM3_lvl_1__WCs_">#REF!</definedName>
    <definedName name="CUSTOM3_lvl_1_BOH">#REF!</definedName>
    <definedName name="CUSTOM3_lvl_1_Doors_Internal_Double__FOH_">#REF!</definedName>
    <definedName name="CUSTOM3_lvl_1_Doors_Internal_Single__BOH_">#REF!</definedName>
    <definedName name="CUSTOM3_lvl_1_Doors_Internal_Single__FOH_">#REF!</definedName>
    <definedName name="CUSTOM3_lvl_1_External_Double_door__FOH_">#REF!</definedName>
    <definedName name="CUSTOM3_lvl_1_External_double_doors__FOH_">#REF!</definedName>
    <definedName name="CUSTOM3_lvl_1_FOH">#REF!</definedName>
    <definedName name="CUSTOM3_lvl_1_GFA">#REF!</definedName>
    <definedName name="CUSTOM3_lvl_1_GIFA">#REF!</definedName>
    <definedName name="CUSTOM3_lvl_1_Internal_Double_doors__BOH_">#REF!</definedName>
    <definedName name="CUSTOM3_lvl_1_Internal_double_doors__FOH_">#REF!</definedName>
    <definedName name="CUSTOM3_lvl_1_Internal_single_doors__BOH_">#REF!</definedName>
    <definedName name="CUSTOM3_lvl_1_Internal_single_doors__FOH_">#REF!</definedName>
    <definedName name="CUSTOM3_lvl_1_Internal_single_doors__Stairs_">#REF!</definedName>
    <definedName name="CUSTOM3_lvl_1_Offices">#REF!</definedName>
    <definedName name="CUSTOM3_lvl_1_Stairs">#REF!</definedName>
    <definedName name="CUSTOM3_lvl_1_Store">#REF!</definedName>
    <definedName name="CUSTOM3_lvl_1_Voids">#REF!</definedName>
    <definedName name="CUSTOM3_lvl_2__Apartments_">#REF!</definedName>
    <definedName name="CUSTOM3_lvl_2__BOH_">#REF!</definedName>
    <definedName name="CUSTOM3_lvl_2__FOH_Circulation_">#REF!</definedName>
    <definedName name="CUSTOM3_lvl_2__GFA_">#REF!</definedName>
    <definedName name="CUSTOM3_lvl_2__GIFA_">#REF!</definedName>
    <definedName name="CUSTOM3_lvl_2__Stairs_">#REF!</definedName>
    <definedName name="CUSTOM3_lvl_2__Voids_">#REF!</definedName>
    <definedName name="CUSTOM3_lvl_2_External_dble_doors__FOH_">#REF!</definedName>
    <definedName name="CUSTOM3_lvl_2_Internal_dble_doors__Aprt_">#REF!</definedName>
    <definedName name="CUSTOM3_lvl_2_Internal_double_doors__BOH_">#REF!</definedName>
    <definedName name="CUSTOM3_lvl_2_Internal_Single_doors__Apartments_">#REF!</definedName>
    <definedName name="CUSTOM3_lvl_2_Internal_Single_doors__Apartments_Entrances_">#REF!</definedName>
    <definedName name="CUSTOM3_lvl_2_Internal_single_doors__Aprt_">#REF!</definedName>
    <definedName name="CUSTOM3_lvl_2_Internal_single_doors__Aprt_Entrance_">#REF!</definedName>
    <definedName name="CUSTOM3_lvl_2_Internal_Single_doors__BOH_">#REF!</definedName>
    <definedName name="CUSTOM3_lvl_2_Internal_Sliding_doors__Apartments_">#REF!</definedName>
    <definedName name="CUSTOM3_lvl_2_Internal_sliding_doors__Aprt_">#REF!</definedName>
    <definedName name="CUSTOM3_lvl_3__Apartments_">#REF!</definedName>
    <definedName name="CUSTOM3_lvl_3__BOH_">#REF!</definedName>
    <definedName name="CUSTOM3_lvl_3__Car_Park_">#REF!</definedName>
    <definedName name="CUSTOM3_lvl_3__FOH_Circulation_">#REF!</definedName>
    <definedName name="CUSTOM3_lvl_3__GFA_">#REF!</definedName>
    <definedName name="CUSTOM3_lvl_3__GIFA_">#REF!</definedName>
    <definedName name="CUSTOM3_lvl_3__Stairs_">#REF!</definedName>
    <definedName name="CUSTOM3_lvl_3__voids_">#REF!</definedName>
    <definedName name="CUSTOM3_lvl_3_External_balcony_doors__Aprt_">#REF!</definedName>
    <definedName name="CUSTOM3_lvl_3_Internal_dble_doors__Aprt_">#REF!</definedName>
    <definedName name="CUSTOM3_lvl_3_Internal_Double_doors__BOH_">#REF!</definedName>
    <definedName name="CUSTOM3_lvl_3_Internal_Single_doors__Apartment_">#REF!</definedName>
    <definedName name="CUSTOM3_lvl_3_Internal_Single_doors__Apartment_entrances_">#REF!</definedName>
    <definedName name="CUSTOM3_lvl_3_Internal_single_doors__Aprt_">#REF!</definedName>
    <definedName name="CUSTOM3_lvl_3_Internal_single_doors__Aprt_entrance_">#REF!</definedName>
    <definedName name="CUSTOM3_lvl_3_Internal_Single_doors__BOH_">#REF!</definedName>
    <definedName name="CUSTOM3_lvl_3_Internal_Single_doors__FOH_">#REF!</definedName>
    <definedName name="CUSTOM3_lvl_3_Internal_Sliding_doors__Apartment_">#REF!</definedName>
    <definedName name="CUSTOM3_lvl_3_Internal_sliding_doors__Aprt_">#REF!</definedName>
    <definedName name="CUSTOM3_lvl_5__BOH_">#REF!</definedName>
    <definedName name="CUSTOM3_lvl_5__Externals_">#REF!</definedName>
    <definedName name="CUSTOM3_lvl_5__GFA_">#REF!</definedName>
    <definedName name="CUSTOM3_lvl_5__GIFA_">#REF!</definedName>
    <definedName name="CUSTOM3_lvl_5__Stairs_">#REF!</definedName>
    <definedName name="CUSTOM3_lvl_5__voids_">#REF!</definedName>
    <definedName name="CUSTOM3_lvl_5_External_Single_Door__BOH_">#REF!</definedName>
    <definedName name="CUSTOM3_lvl_6__BOH_">#REF!</definedName>
    <definedName name="CUSTOM3_lvl_6__Externals_">#REF!</definedName>
    <definedName name="CUSTOM3_lvl_6__FOH_amenities_">#REF!</definedName>
    <definedName name="CUSTOM3_lvl_6__FOH_Circulation_">#REF!</definedName>
    <definedName name="CUSTOM3_lvl_6__GFA_">#REF!</definedName>
    <definedName name="CUSTOM3_lvl_6__GIFA_">#REF!</definedName>
    <definedName name="CUSTOM3_lvl_6__Pool_">#REF!</definedName>
    <definedName name="CUSTOM3_lvl_6__Roof___Pool_deck_">#REF!</definedName>
    <definedName name="CUSTOM3_lvl_6__Stairs_">#REF!</definedName>
    <definedName name="CUSTOM3_lvl_6__Voids_">#REF!</definedName>
    <definedName name="CUSTOM3_lvl_6_External_double_doors__BOH_">#REF!</definedName>
    <definedName name="CUSTOM3_lvl_6_External_double_doors__FOH_">#REF!</definedName>
    <definedName name="CUSTOM3_lvl_6_External_single_doors__BOH_">#REF!</definedName>
    <definedName name="CUSTOM3_lvl_6_Internal_Single_doors__BOH_">#REF!</definedName>
    <definedName name="CUSTOM3_lvl_6_Internal_Single_doors__FOH_">#REF!</definedName>
    <definedName name="CUSTOM3_M01__Column_C1">#REF!</definedName>
    <definedName name="CUSTOM3_M01__Column_C10">#REF!</definedName>
    <definedName name="CUSTOM3_M01__Column_C11">#REF!</definedName>
    <definedName name="CUSTOM3_M01__Column_C12">#REF!</definedName>
    <definedName name="CUSTOM3_M01__Column_C2">#REF!</definedName>
    <definedName name="CUSTOM3_M01__Column_C3">#REF!</definedName>
    <definedName name="CUSTOM3_M01__Column_C4">#REF!</definedName>
    <definedName name="CUSTOM3_M01__Column_C5">#REF!</definedName>
    <definedName name="CUSTOM3_M01__Column_C6">#REF!</definedName>
    <definedName name="CUSTOM3_M01__Column_C7">#REF!</definedName>
    <definedName name="CUSTOM3_M01__Column_C8">#REF!</definedName>
    <definedName name="CUSTOM3_M01__Column_C9">#REF!</definedName>
    <definedName name="CUSTOM3_M01__Column_FC1">#REF!</definedName>
    <definedName name="CUSTOM3_M01__Column_TC1">#REF!</definedName>
    <definedName name="CUSTOM3_M01__Column_TC2">#REF!</definedName>
    <definedName name="CUSTOM3_M01__Column_TC3">#REF!</definedName>
    <definedName name="CUSTOM3_M01__Column_TC4">#REF!</definedName>
    <definedName name="CUSTOM3_M01__Column_TC5">#REF!</definedName>
    <definedName name="CUSTOM3_M1__TW1_250">#REF!</definedName>
    <definedName name="CUSTOM3_M1__TW2_200">#REF!</definedName>
    <definedName name="CUSTOM3_M1__TW3_300">#REF!</definedName>
    <definedName name="CUSTOM3_M1__TW3_400">#REF!</definedName>
    <definedName name="CUSTOM3_M1__TW4_500">#REF!</definedName>
    <definedName name="CUSTOM3_M1__TW4_600">#REF!</definedName>
    <definedName name="CUSTOM3_M1__TW5_300">#REF!</definedName>
    <definedName name="CUSTOM3_M1_Beams">#REF!</definedName>
    <definedName name="CUSTOM3_M1_DP">#REF!</definedName>
    <definedName name="CUSTOM3_M1_DP1">#REF!</definedName>
    <definedName name="CUSTOM3_M1_DP10">#REF!</definedName>
    <definedName name="CUSTOM3_M1_DP2">#REF!</definedName>
    <definedName name="CUSTOM3_M1_DP3">#REF!</definedName>
    <definedName name="CUSTOM3_M1_DP4">#REF!</definedName>
    <definedName name="CUSTOM3_M1_DP7">#REF!</definedName>
    <definedName name="CUSTOM3_M1_DP8">#REF!</definedName>
    <definedName name="CUSTOM3_M1_DP9">#REF!</definedName>
    <definedName name="CUSTOM3_M1_Ramp">#REF!</definedName>
    <definedName name="CUSTOM3_M1_Slab_200">#REF!</definedName>
    <definedName name="CUSTOM3_M1_Slab_220">#REF!</definedName>
    <definedName name="CUSTOM3_M1_Slab_250">#REF!</definedName>
    <definedName name="CUSTOM3_M1_Slab_280">#REF!</definedName>
    <definedName name="CUSTOM3_Mezz">#REF!</definedName>
    <definedName name="CUSTOM3_Mezzanine___BOH___Admin_Support">#REF!</definedName>
    <definedName name="CUSTOM3_Mezzanine___BOH___Administration_Offices">#REF!</definedName>
    <definedName name="CUSTOM3_Mezzanine___BOH___Administration_Offices_Toilet">#REF!</definedName>
    <definedName name="CUSTOM3_Mezzanine___BOH___Conference___Meeting">#REF!</definedName>
    <definedName name="CUSTOM3_Mezzanine___BOH___Event_Center_Core">#REF!</definedName>
    <definedName name="CUSTOM3_Mezzanine___BOH___Event_Center_Core_lift_shafts">#REF!</definedName>
    <definedName name="CUSTOM3_Mezzanine___BOH___Event_Center_Pantry___Service">#REF!</definedName>
    <definedName name="CUSTOM3_Mezzanine___BOH___Event_Center_Service">#REF!</definedName>
    <definedName name="CUSTOM3_Mezzanine___BOH___Finance___Accounting">#REF!</definedName>
    <definedName name="CUSTOM3_Mezzanine___BOH___Fire_Escape_Stairs">#REF!</definedName>
    <definedName name="CUSTOM3_Mezzanine___BOH___Guest_Core">#REF!</definedName>
    <definedName name="CUSTOM3_Mezzanine___BOH___Guest_Core_lift_shafts">#REF!</definedName>
    <definedName name="CUSTOM3_Mezzanine___BOH___Reservation___PABX">#REF!</definedName>
    <definedName name="CUSTOM3_Mezzanine___BOH___Service_Core">#REF!</definedName>
    <definedName name="CUSTOM3_Mezzanine___BOH___Service_Core_ducts">#REF!</definedName>
    <definedName name="CUSTOM3_Mezzanine___BOH___Service_Core_lift_shafts">#REF!</definedName>
    <definedName name="CUSTOM3_Mezzanine___BOH___Staff_Core">#REF!</definedName>
    <definedName name="CUSTOM3_Mezzanine___BOH___Staff_Core_lift_shafts">#REF!</definedName>
    <definedName name="CUSTOM3_Mezzanine___Double_Volume__Conference___Meeting_">#REF!</definedName>
    <definedName name="CUSTOM3_Mezzanine___Double_Volume__Lobby_Bar_">#REF!</definedName>
    <definedName name="CUSTOM3_Mezzanine___Double_Volume__Reception_Lobby_">#REF!</definedName>
    <definedName name="CUSTOM3_Mezzanine___FOH___Ball_Room">#REF!</definedName>
    <definedName name="CUSTOM3_Mezzanine___FOH___Ball_Room_Pre_Function">#REF!</definedName>
    <definedName name="CUSTOM3_Mezzanine___FOH___Circulation">#REF!</definedName>
    <definedName name="CUSTOM3_Mezzanine___FOH___Guestroom_Terrace">#REF!</definedName>
    <definedName name="CUSTOM3_Mezzanine___FOH___Guestrooms">#REF!</definedName>
    <definedName name="CUSTOM3_MF_Admin._Offices_area">#REF!</definedName>
    <definedName name="CUSTOM3_MF_BOH_Service_and_Utility_area">#REF!</definedName>
    <definedName name="CUSTOM3_MF_BOH_Staircase">#REF!</definedName>
    <definedName name="CUSTOM3_MF_Circulation_Corr._to_Admin._Offices">#REF!</definedName>
    <definedName name="CUSTOM3_MF_Guest_Core">#REF!</definedName>
    <definedName name="CUSTOM3_MF_Guestrooms">#REF!</definedName>
    <definedName name="CUSTOM3_MF_HGR_BOH">#REF!</definedName>
    <definedName name="CUSTOM3_MF_HGR_Circulation">#REF!</definedName>
    <definedName name="CUSTOM3_MF_HGR_Covered_Balcony">#REF!</definedName>
    <definedName name="CUSTOM3_MF_HGR_Fire_Staircase">#REF!</definedName>
    <definedName name="CUSTOM3_MF_Lift_Shaft">#REF!</definedName>
    <definedName name="CUSTOM3_MF_Roof_of_MEP_area">#REF!</definedName>
    <definedName name="CUSTOM3_MF_Services_Core">#REF!</definedName>
    <definedName name="CUSTOM3_MF_Voids___Dead_space">#REF!</definedName>
    <definedName name="CUSTOM3_Non_return_valve">#REF!</definedName>
    <definedName name="CUSTOM3_Open_Terrace___2F">#REF!</definedName>
    <definedName name="CUSTOM3_Open_Terrace___3F">#REF!</definedName>
    <definedName name="CUSTOM3_Open_Terrace___4F">#REF!</definedName>
    <definedName name="CUSTOM3_Parapet_capping">#REF!</definedName>
    <definedName name="CUSTOM3_Parapet_capping_1CRF">#REF!</definedName>
    <definedName name="CUSTOM3_Parapet_capping1BRF">#REF!</definedName>
    <definedName name="CUSTOM3_Pedestrian_Access">#REF!</definedName>
    <definedName name="CUSTOM3_PLATE___1F">#REF!</definedName>
    <definedName name="CUSTOM3_PLATE___2F">#REF!</definedName>
    <definedName name="CUSTOM3_PLATE___3F">#REF!</definedName>
    <definedName name="CUSTOM3_PLATE___4F">#REF!</definedName>
    <definedName name="CUSTOM3_PLATE___5F">#REF!</definedName>
    <definedName name="CUSTOM3_PLATE___B1">#REF!</definedName>
    <definedName name="CUSTOM3_PLATE___B2">#REF!</definedName>
    <definedName name="CUSTOM3_PLATE___GF">#REF!</definedName>
    <definedName name="CUSTOM3_PLATE___MF">#REF!</definedName>
    <definedName name="CUSTOM3_Plot_Area">#REF!</definedName>
    <definedName name="CUSTOM3_Pod_1_Internal_single_doors__BOH_">#REF!</definedName>
    <definedName name="CUSTOM3_Pod_1_Internal_single_doors__FOH_">#REF!</definedName>
    <definedName name="CUSTOM3_Pod_2___Internal_single_doors__BOH_">#REF!</definedName>
    <definedName name="CUSTOM3_Pod_2___Internal_single_doors__FOH_">#REF!</definedName>
    <definedName name="CUSTOM3_Pond">#REF!</definedName>
    <definedName name="CUSTOM3_Public_Toilets__GF_">#REF!</definedName>
    <definedName name="CUSTOM3_Raft___13800mm_thick_raft">#REF!</definedName>
    <definedName name="CUSTOM3_Rainwater_Drain">#REF!</definedName>
    <definedName name="CUSTOM3_Rainwater_Drain_GF">#REF!</definedName>
    <definedName name="CUSTOM3_Rainwater_Drain_Pipe">#REF!</definedName>
    <definedName name="CUSTOM3_RF__Isolation_Valve">#REF!</definedName>
    <definedName name="CUSTOM3_Roof__Canopies">#REF!</definedName>
    <definedName name="CUSTOM3_Roof__Suspened_Roof">#REF!</definedName>
    <definedName name="CUSTOM3_Roof_External_single_doors__FOH_">#REF!</definedName>
    <definedName name="CUSTOM3_Roof_Internal_Single_doors__BOH_">#REF!</definedName>
    <definedName name="CUSTOM3_Roof_Internal_single_doors__FOH_">#REF!</definedName>
    <definedName name="CUSTOM3_Roof_Terrace___3F">#REF!</definedName>
    <definedName name="CUSTOM3_Roof_Terrace___4F">#REF!</definedName>
    <definedName name="CUSTOM3_Roof_Terrace___5F">#REF!</definedName>
    <definedName name="CUSTOM3_RWO">#REF!</definedName>
    <definedName name="CUSTOM3_Sellable">#REF!</definedName>
    <definedName name="CUSTOM3_Shops__GF_">#REF!</definedName>
    <definedName name="CUSTOM3_Stairs__GF_">#REF!</definedName>
    <definedName name="CUSTOM3_Stairs__lvl_1_">#REF!</definedName>
    <definedName name="CUSTOM3_Stairs__lvl_2_">#REF!</definedName>
    <definedName name="CUSTOM3_Stairs__lvl_3_">#REF!</definedName>
    <definedName name="CUSTOM3_Stairs__Podium_1_">#REF!</definedName>
    <definedName name="CUSTOM3_Stairs__Podium_2_">#REF!</definedName>
    <definedName name="CUSTOM3_Stairs__riser___Ceramic_floor_tile_ff05">#REF!</definedName>
    <definedName name="CUSTOM3_Stairs__Risers_150mm___Ceramic_Floor_tile_FF05___Copy">#REF!</definedName>
    <definedName name="CUSTOM3_stairs__Roof_">#REF!</definedName>
    <definedName name="CUSTOM3_Stairs__Skirting">#REF!</definedName>
    <definedName name="CUSTOM3_Stairs__step_200mm___Ceramic_Floor_tile_FF05">#REF!</definedName>
    <definedName name="CUSTOM3_STRUT_RAFT">#REF!</definedName>
    <definedName name="CUSTOM3_Studio_2_burner_hob">#REF!</definedName>
    <definedName name="CUSTOM3_Studio_balcony">#REF!</definedName>
    <definedName name="CUSTOM3_Studio_bath_tub">#REF!</definedName>
    <definedName name="CUSTOM3_Studio_bath_tub_mixer">#REF!</definedName>
    <definedName name="CUSTOM3_Studio_Bathroom">#REF!</definedName>
    <definedName name="CUSTOM3_Studio_Bedroom">#REF!</definedName>
    <definedName name="CUSTOM3_Studio_kitchen_sink">#REF!</definedName>
    <definedName name="CUSTOM3_Studio_kitchen_sink_mixer">#REF!</definedName>
    <definedName name="CUSTOM3_studio_kitchen_units">#REF!</definedName>
    <definedName name="CUSTOM3_Studio_mirror">#REF!</definedName>
    <definedName name="CUSTOM3_Studio_NIA">#REF!</definedName>
    <definedName name="CUSTOM3_Studio_vanitys">#REF!</definedName>
    <definedName name="CUSTOM3_Studio_wardrobe">#REF!</definedName>
    <definedName name="CUSTOM3_Studio_Wash_basin">#REF!</definedName>
    <definedName name="CUSTOM3_Studio_Wash_basin_mixer">#REF!</definedName>
    <definedName name="CUSTOM3_Studio_Washing_machine">#REF!</definedName>
    <definedName name="CUSTOM3_Studio_WC">#REF!</definedName>
    <definedName name="CUSTOM3_T.C._A_01AF">#REF!</definedName>
    <definedName name="CUSTOM3_T.C._A_01F___U01">#REF!</definedName>
    <definedName name="CUSTOM3_T.C._A_01F___U02">#REF!</definedName>
    <definedName name="CUSTOM3_T.C._A_01F___U03">#REF!</definedName>
    <definedName name="CUSTOM3_T.C._A_01F___U04">#REF!</definedName>
    <definedName name="CUSTOM3_T.C._A_01F___U05">#REF!</definedName>
    <definedName name="CUSTOM3_T.C._A_01F___U06">#REF!</definedName>
    <definedName name="CUSTOM3_T.C._A_02F___04F___U01">#REF!</definedName>
    <definedName name="CUSTOM3_T.C._A_02F___04F___U02">#REF!</definedName>
    <definedName name="CUSTOM3_T.C._A_02F___04F___U03">#REF!</definedName>
    <definedName name="CUSTOM3_T.C._A_02F___04F___U04">#REF!</definedName>
    <definedName name="CUSTOM3_T.C._A_02F___04F___U06">#REF!</definedName>
    <definedName name="CUSTOM3_T.C._A_03F___U01">#REF!</definedName>
    <definedName name="CUSTOM3_T.C._A_03F___U02">#REF!</definedName>
    <definedName name="CUSTOM3_T.C._A_03F___U03">#REF!</definedName>
    <definedName name="CUSTOM3_T.C._A_03F___U04">#REF!</definedName>
    <definedName name="CUSTOM3_T.C._A_03F___U05">#REF!</definedName>
    <definedName name="CUSTOM3_T.C._A_03F___U06">#REF!</definedName>
    <definedName name="CUSTOM3_T.C._A_05F___U01">#REF!</definedName>
    <definedName name="CUSTOM3_T.C._A_05F___U02">#REF!</definedName>
    <definedName name="CUSTOM3_T.C._A_05F___U03">#REF!</definedName>
    <definedName name="CUSTOM3_T.C._A_05F___U04">#REF!</definedName>
    <definedName name="CUSTOM3_T.C._A_05F___U05">#REF!</definedName>
    <definedName name="CUSTOM3_T.C._A_05F___U06">#REF!</definedName>
    <definedName name="CUSTOM3_T.C._A_06F___U01">#REF!</definedName>
    <definedName name="CUSTOM3_T.C._A_06F___U02">#REF!</definedName>
    <definedName name="CUSTOM3_T.C._A_06F___U03">#REF!</definedName>
    <definedName name="CUSTOM3_T.C._A_06F___U04">#REF!</definedName>
    <definedName name="CUSTOM3_T.C._A_06F___U06">#REF!</definedName>
    <definedName name="CUSTOM3_T.C._A_07F___U01">#REF!</definedName>
    <definedName name="CUSTOM3_T.C._A_07F___U02">#REF!</definedName>
    <definedName name="CUSTOM3_T.C._A_07F___U03">#REF!</definedName>
    <definedName name="CUSTOM3_T.C._A_07F___U04">#REF!</definedName>
    <definedName name="CUSTOM3_T.C._A_07F___U05">#REF!</definedName>
    <definedName name="CUSTOM3_T.C._A_07F___U06">#REF!</definedName>
    <definedName name="CUSTOM3_T.C._A_08f___10F___U01">#REF!</definedName>
    <definedName name="CUSTOM3_T.C._A_08f___10F___U02">#REF!</definedName>
    <definedName name="CUSTOM3_T.C._A_08f___10F___U03">#REF!</definedName>
    <definedName name="CUSTOM3_T.C._A_08f___10F___U04">#REF!</definedName>
    <definedName name="CUSTOM3_T.C._A_08f___10F___U06">#REF!</definedName>
    <definedName name="CUSTOM3_T.C._A_09F___U01">#REF!</definedName>
    <definedName name="CUSTOM3_T.C._A_09F___U02">#REF!</definedName>
    <definedName name="CUSTOM3_T.C._A_09F___U03">#REF!</definedName>
    <definedName name="CUSTOM3_T.C._A_09F___U04">#REF!</definedName>
    <definedName name="CUSTOM3_T.C._A_09F___U05">#REF!</definedName>
    <definedName name="CUSTOM3_T.C._A_09F___U06">#REF!</definedName>
    <definedName name="CUSTOM3_T.C._A_11F___U01">#REF!</definedName>
    <definedName name="CUSTOM3_T.C._A_11F___U02">#REF!</definedName>
    <definedName name="CUSTOM3_T.C._A_11F___U03">#REF!</definedName>
    <definedName name="CUSTOM3_T.C._A_11F___U04">#REF!</definedName>
    <definedName name="CUSTOM3_T.C._A_11F___U05">#REF!</definedName>
    <definedName name="CUSTOM3_T.C._A_11F___U06">#REF!</definedName>
    <definedName name="CUSTOM3_T.C._A_12F___U01">#REF!</definedName>
    <definedName name="CUSTOM3_T.C._A_12F___U02">#REF!</definedName>
    <definedName name="CUSTOM3_T.C._A_12F___U03">#REF!</definedName>
    <definedName name="CUSTOM3_T.C._A_12F___U04">#REF!</definedName>
    <definedName name="CUSTOM3_T.C._A_12F___U06">#REF!</definedName>
    <definedName name="CUSTOM3_T.C._A_31F___U01">#REF!</definedName>
    <definedName name="CUSTOM3_T.C._A_31F___U02">#REF!</definedName>
    <definedName name="CUSTOM3_T.C._A_31F___U03">#REF!</definedName>
    <definedName name="CUSTOM3_T.C._A_31F___U04">#REF!</definedName>
    <definedName name="CUSTOM3_T.C._B_GF___main_entrance">#REF!</definedName>
    <definedName name="CUSTOM3_T.C._B_GF___near_escape_corridor">#REF!</definedName>
    <definedName name="CUSTOM3_T.C._B_GF___near_ramp">#REF!</definedName>
    <definedName name="CUSTOM3_T.C._B_GF___near_tech._area">#REF!</definedName>
    <definedName name="CUSTOM3_T.C._B_GF___stair_3">#REF!</definedName>
    <definedName name="CUSTOM3_T.U._A_01AF">#REF!</definedName>
    <definedName name="CUSTOM3_T.U._A_01AF___swimming_pool">#REF!</definedName>
    <definedName name="CUSTOM3_T.U._A_07F___U03">#REF!</definedName>
    <definedName name="CUSTOM3_T.U._A_07F___U04">#REF!</definedName>
    <definedName name="CUSTOM3_T.U._A_31F___U02">#REF!</definedName>
    <definedName name="CUSTOM3_T.U._A_31F___U05">#REF!</definedName>
    <definedName name="CUSTOM3_T.U._A_32F___U01">#REF!</definedName>
    <definedName name="CUSTOM3_T.U._A_32F___U02">#REF!</definedName>
    <definedName name="CUSTOM3_T.U._A_32F___U03">#REF!</definedName>
    <definedName name="CUSTOM3_T.U._A_32F___U04">#REF!</definedName>
    <definedName name="CUSTOM3_T.U._A_33F__">#REF!</definedName>
    <definedName name="CUSTOM3_T.U._A_35uRF__">#REF!</definedName>
    <definedName name="CUSTOM3_T.U._B_GF___external_double_volume">#REF!</definedName>
    <definedName name="CUSTOM3_T.U._B_GF___external_driveway">#REF!</definedName>
    <definedName name="CUSTOM3_T.U._B_GF___external_ramp">#REF!</definedName>
    <definedName name="CUSTOM3_T.U._B_GF___external_sidewalk">#REF!</definedName>
    <definedName name="CUSTOM3_T.U._B_GF___external_stair">#REF!</definedName>
    <definedName name="CUSTOM3_T.U._B_GF___external_stair___ramp">#REF!</definedName>
    <definedName name="CUSTOM3_T.U._B_P2F__waterfall">#REF!</definedName>
    <definedName name="CUSTOM3_Test_Length">#REF!</definedName>
    <definedName name="CUSTOM3_TH__L02__Column_500_x_1000">#REF!</definedName>
    <definedName name="CUSTOM3_TH__L02__Column_500_x_1100">#REF!</definedName>
    <definedName name="CUSTOM3_TH__L02__Column_500_x_1200">#REF!</definedName>
    <definedName name="CUSTOM3_TH__L02__TW1_250">#REF!</definedName>
    <definedName name="CUSTOM3_TH__L03__Column_500_x_1000">#REF!</definedName>
    <definedName name="CUSTOM3_TH__L03__Column_500_x_1100">#REF!</definedName>
    <definedName name="CUSTOM3_TH__L03__Column_500_x_1200">#REF!</definedName>
    <definedName name="CUSTOM3_TH__L03__TW1_250">#REF!</definedName>
    <definedName name="CUSTOM3_TH_L02_Beams">#REF!</definedName>
    <definedName name="CUSTOM3_TH_L02_Slab_200">#REF!</definedName>
    <definedName name="CUSTOM3_TH_L02_Slab_250">#REF!</definedName>
    <definedName name="CUSTOM3_TH_L02_Slab_300">#REF!</definedName>
    <definedName name="CUSTOM3_TH_L03_Beams">#REF!</definedName>
    <definedName name="CUSTOM3_TH_L03_Slab_250">#REF!</definedName>
    <definedName name="CUSTOM3_TH2_V2__Shared_Unit_1_2____1000g_Polystyrene_Sheet_to_Footing">#REF!</definedName>
    <definedName name="CUSTOM3_TH2_V2__Shared_Unit_1_2____200mm_thk_Suitable_Well_Graded_Compacted_Materiall_90__to_footing">#REF!</definedName>
    <definedName name="CUSTOM3_TH2_V2__Shared_Unit_1_2____50mm_thk_PCC_to_Footing">#REF!</definedName>
    <definedName name="CUSTOM3_TH2_V2__Shared_Unit_1_2____Excavation_to_Footing">#REF!</definedName>
    <definedName name="CUSTOM3_TH2_V2__Shared_Unit_1_2____Soil_Compaction_to_Footing">#REF!</definedName>
    <definedName name="CUSTOM3_TH2_V2__Shared_Unit_1_2___Concrete_to_Beams__FF">#REF!</definedName>
    <definedName name="CUSTOM3_TH2_V2__Shared_Unit_1_2___Concrete_to_Beams_GF">#REF!</definedName>
    <definedName name="CUSTOM3_TH2_V2__Shared_Unit_1_2___Concrete_to_Colum_FF">#REF!</definedName>
    <definedName name="CUSTOM3_TH2_V2__Shared_Unit_1_2___Concrete_to_Column_below_grade">#REF!</definedName>
    <definedName name="CUSTOM3_TH2_V2__Shared_Unit_1_2___Concrete_to_Column_GF">#REF!</definedName>
    <definedName name="CUSTOM3_TH2_V2__Shared_Unit_1_2___Concrete_to_Column_RF">#REF!</definedName>
    <definedName name="CUSTOM3_TH2_V2__Shared_Unit_1_2___Concrete_to_Footing">#REF!</definedName>
    <definedName name="CUSTOM3_TH2_V2__Shared_Unit_1_2___Concrete_to_Grade_Beam">#REF!</definedName>
    <definedName name="CUSTOM3_TH2_V2__Shared_Unit_1_2___Concrete_to_ST_Beams">#REF!</definedName>
    <definedName name="CUSTOM3_TH2_V2__Shared_Unit_1_2___Excavation_to_ST_Beam">#REF!</definedName>
    <definedName name="CUSTOM3_TH2_V2__Shared_Unit_1_2___Formworks_to_Sides_of_Beams_FF">#REF!</definedName>
    <definedName name="CUSTOM3_TH2_V2__Shared_Unit_1_2___Formworks_to_Sides_of_Beams_GF">#REF!</definedName>
    <definedName name="CUSTOM3_TH2_V2__Shared_Unit_1_2___Formworks_to_Sides_of_Colum___Copy">#REF!</definedName>
    <definedName name="CUSTOM3_TH2_V2__Shared_Unit_1_2___Formworks_to_Sides_of_Column_GF">#REF!</definedName>
    <definedName name="CUSTOM3_TH2_V2__Shared_Unit_1_2___Formworks_to_Sides_of_Column_RF">#REF!</definedName>
    <definedName name="CUSTOM3_TH2_V2__Shared_Unit_1_2___Formworks_to_Sides_of_Columns">#REF!</definedName>
    <definedName name="CUSTOM3_TH2_V2__Shared_Unit_1_2___Formworks_to_Sides_of_Grade_Beams">#REF!</definedName>
    <definedName name="CUSTOM3_TH2_V2__Shared_Unit_1_2___Formworks_to_Soffit_of_Beams_FF">#REF!</definedName>
    <definedName name="CUSTOM3_TH2_V2__Shared_Unit_1_2___Formworks_to_Soffit_of_Beams_GF">#REF!</definedName>
    <definedName name="CUSTOM3_TH2_V2__Shared_Unit_1_2___Formworks_to_Soffit_of_Grade_Beams">#REF!</definedName>
    <definedName name="CUSTOM3_TH2_V2__Shared_Unit_1_2___Reinforcement_to_Column">#REF!</definedName>
    <definedName name="CUSTOM3_TH2_V2__Shared_Unit_1_2___Reinforcement_to_Footing">#REF!</definedName>
    <definedName name="CUSTOM3_TH2_V2__Unit_1____1000g_polystyrene_Sheet_to_footing">#REF!</definedName>
    <definedName name="CUSTOM3_TH2_V2__Unit_1____200_thk._Suitable_Well_Graded_Compacted_Materials_to_Footing">#REF!</definedName>
    <definedName name="CUSTOM3_TH2_V2__Unit_1____50_mm_thk_PCC_to_footing">#REF!</definedName>
    <definedName name="CUSTOM3_TH2_V2__Unit_1____Excavation_to_Footing">#REF!</definedName>
    <definedName name="CUSTOM3_TH2_V2__Unit_1____Soil_Compaction_to_Footing">#REF!</definedName>
    <definedName name="CUSTOM3_TH2_V2__Unit_1___Compacted_Soil_95__ready_to_receive_pavers">#REF!</definedName>
    <definedName name="CUSTOM3_TH2_V2__Unit_1___Concrete_to_Beams_FF">#REF!</definedName>
    <definedName name="CUSTOM3_TH2_V2__Unit_1___Concrete_to_Beams_GF">#REF!</definedName>
    <definedName name="CUSTOM3_TH2_V2__Unit_1___Concrete_to_Column_below_grade">#REF!</definedName>
    <definedName name="CUSTOM3_TH2_V2__Unit_1___Concrete_to_Column_FF">#REF!</definedName>
    <definedName name="CUSTOM3_TH2_V2__Unit_1___Concrete_to_Column_GF">#REF!</definedName>
    <definedName name="CUSTOM3_TH2_V2__Unit_1___Concrete_to_Column_RF">#REF!</definedName>
    <definedName name="CUSTOM3_TH2_V2__Unit_1___Concrete_to_entry_slabs">#REF!</definedName>
    <definedName name="CUSTOM3_TH2_V2__Unit_1___Concrete_to_Footing">#REF!</definedName>
    <definedName name="CUSTOM3_TH2_V2__Unit_1___Concrete_to_Grade_Beams">#REF!</definedName>
    <definedName name="CUSTOM3_TH2_V2__Unit_1___Concrete_to_Grade_Slab">#REF!</definedName>
    <definedName name="CUSTOM3_TH2_V2__Unit_1___Concrete_to_Roof">#REF!</definedName>
    <definedName name="CUSTOM3_TH2_V2__Unit_1___Concrete_to_Roof_Slab_GF">#REF!</definedName>
    <definedName name="CUSTOM3_TH2_V2__Unit_1___Concrete_to_ST_Beams">#REF!</definedName>
    <definedName name="CUSTOM3_TH2_V2__Unit_1___Concrete_to_steps">#REF!</definedName>
    <definedName name="CUSTOM3_TH2_V2__Unit_1___Concrete_to_Suspended_Slab_GF">#REF!</definedName>
    <definedName name="CUSTOM3_TH2_V2__Unit_1___Concrete_to_Suspended_Slabs_FF">#REF!</definedName>
    <definedName name="CUSTOM3_TH2_V2__Unit_1___Concrete_to_terrace_slabs">#REF!</definedName>
    <definedName name="CUSTOM3_TH2_V2__Unit_1___Excavation_to_Footing">#REF!</definedName>
    <definedName name="CUSTOM3_TH2_V2__Unit_1___Excavation_to_ST_Beams">#REF!</definedName>
    <definedName name="CUSTOM3_TH2_V2__Unit_1___Formworks_to_Roof">#REF!</definedName>
    <definedName name="CUSTOM3_TH2_V2__Unit_1___Formworks_to_Roof_Slab_GF">#REF!</definedName>
    <definedName name="CUSTOM3_TH2_V2__Unit_1___Formworks_to_Sides_Beams_FF">#REF!</definedName>
    <definedName name="CUSTOM3_TH2_V2__Unit_1___Formworks_to_Sides_of_Beams_GF">#REF!</definedName>
    <definedName name="CUSTOM3_TH2_V2__Unit_1___Formworks_to_Sides_of_Column">#REF!</definedName>
    <definedName name="CUSTOM3_TH2_V2__Unit_1___Formworks_to_Sides_of_Column_FF___Copy">#REF!</definedName>
    <definedName name="CUSTOM3_TH2_V2__Unit_1___Formworks_to_Sides_of_Column_RF">#REF!</definedName>
    <definedName name="CUSTOM3_TH2_V2__Unit_1___Formworks_to_Sides_of_Columns_GF">#REF!</definedName>
    <definedName name="CUSTOM3_TH2_V2__Unit_1___Formworks_to_Sides_of_Grade_Beams">#REF!</definedName>
    <definedName name="CUSTOM3_TH2_V2__Unit_1___Formworks_to_Soffit_of_Beams_FF">#REF!</definedName>
    <definedName name="CUSTOM3_TH2_V2__Unit_1___Formworks_to_Soffit_of_Beams_GF">#REF!</definedName>
    <definedName name="CUSTOM3_TH2_V2__Unit_1___Formworks_to_Soffit_of_Grade_Beams">#REF!</definedName>
    <definedName name="CUSTOM3_TH2_V2__Unit_1___Formworks_to_Suspended_Slab__FF">#REF!</definedName>
    <definedName name="CUSTOM3_TH2_V2__Unit_1___Formworks_to_Suspended_Slab_GF">#REF!</definedName>
    <definedName name="CUSTOM3_TH2_V2__Unit_1___Reinforcement_to_Column_below_grade">#REF!</definedName>
    <definedName name="CUSTOM3_TH2_V2__Unit_1___Reinforcement_to_Footing">#REF!</definedName>
    <definedName name="CUSTOM3_TH2_V2__Unit_1___Reinforcement_to_ST_Beams">#REF!</definedName>
    <definedName name="CUSTOM3_TH2_V2__Unit_2____1000g_Polystyrene_to_Footing">#REF!</definedName>
    <definedName name="CUSTOM3_TH2_V2__Unit_2____200_mm_thk_Suitable_Well_Graded_Compacted_Materials_to_Footing">#REF!</definedName>
    <definedName name="CUSTOM3_TH2_V2__Unit_2____50_mm_thk_PCC_to_Footing">#REF!</definedName>
    <definedName name="CUSTOM3_TH2_V2__Unit_2____Excavation_to_Footing">#REF!</definedName>
    <definedName name="CUSTOM3_TH2_V2__Unit_2____Soil_Compaction_to_Footing">#REF!</definedName>
    <definedName name="CUSTOM3_TH2_V2__Unit_2___Compacted_Soil_95__ready_t_o_receive_pavers">#REF!</definedName>
    <definedName name="CUSTOM3_TH2_V2__Unit_2___Concrete_to_Beams_FF">#REF!</definedName>
    <definedName name="CUSTOM3_TH2_V2__Unit_2___Concrete_to_Beams_GF">#REF!</definedName>
    <definedName name="CUSTOM3_TH2_V2__Unit_2___Concrete_to_Column_below_grade">#REF!</definedName>
    <definedName name="CUSTOM3_TH2_V2__Unit_2___Concrete_to_Column_FF">#REF!</definedName>
    <definedName name="CUSTOM3_TH2_V2__Unit_2___Concrete_to_Column_RF">#REF!</definedName>
    <definedName name="CUSTOM3_TH2_V2__Unit_2___Concrete_to_Columns_GF">#REF!</definedName>
    <definedName name="CUSTOM3_TH2_V2__Unit_2___Concrete_to_entry_slabs">#REF!</definedName>
    <definedName name="CUSTOM3_TH2_V2__Unit_2___Concrete_to_Footing">#REF!</definedName>
    <definedName name="CUSTOM3_TH2_V2__UNit_2___Concrete_to_Grade_Beam">#REF!</definedName>
    <definedName name="CUSTOM3_TH2_V2__Unit_2___Concrete_to_Grade_Slab">#REF!</definedName>
    <definedName name="CUSTOM3_TH2_V2__Unit_2___Concrete_to_Roof">#REF!</definedName>
    <definedName name="CUSTOM3_TH2_V2__Unit_2___Concrete_to_Roof_Slab_GF">#REF!</definedName>
    <definedName name="CUSTOM3_TH2_V2__Unit_2___Concrete_to_ST_Beams">#REF!</definedName>
    <definedName name="CUSTOM3_TH2_V2__Unit_2___Concrete_to_steps">#REF!</definedName>
    <definedName name="CUSTOM3_TH2_V2__Unit_2___Concrete_to_Suspended_Slab__FF">#REF!</definedName>
    <definedName name="CUSTOM3_TH2_V2__Unit_2___Concrete_to_Suspended_Slab_GF">#REF!</definedName>
    <definedName name="CUSTOM3_TH2_V2__Unit_2___Concrete_to_terrace_slabs">#REF!</definedName>
    <definedName name="CUSTOM3_TH2_V2__Unit_2___Excavation_to_Footing">#REF!</definedName>
    <definedName name="CUSTOM3_TH2_V2__Unit_2___Excavation_to_ST_Beams">#REF!</definedName>
    <definedName name="CUSTOM3_TH2_V2__Unit_2___Formworks_to_Roof">#REF!</definedName>
    <definedName name="CUSTOM3_TH2_V2__Unit_2___Formworks_to_Roof_Slab_GF">#REF!</definedName>
    <definedName name="CUSTOM3_TH2_V2__Unit_2___Formworks_to_Sides_of_Beams_FF">#REF!</definedName>
    <definedName name="CUSTOM3_TH2_V2__Unit_2___Formworks_to_Sides_of_Beams_GF">#REF!</definedName>
    <definedName name="CUSTOM3_TH2_V2__Unit_2___Formworks_to_Sides_of_Column">#REF!</definedName>
    <definedName name="CUSTOM3_TH2_V2__Unit_2___Formworks_to_Sides_of_Column_FF___Copy">#REF!</definedName>
    <definedName name="CUSTOM3_TH2_V2__Unit_2___Formworks_to_Sides_of_Column_RF">#REF!</definedName>
    <definedName name="CUSTOM3_TH2_V2__Unit_2___Formworks_to_Sides_of_Columns_GF">#REF!</definedName>
    <definedName name="CUSTOM3_TH2_V2__UNit_2___Formworks_to_Sides_of_Grade_Beam">#REF!</definedName>
    <definedName name="CUSTOM3_TH2_V2__Unit_2___Formworks_to_Soffit_of_Beam_FF">#REF!</definedName>
    <definedName name="CUSTOM3_TH2_V2__Unit_2___Formworks_to_Soffit_of_Beams_GF">#REF!</definedName>
    <definedName name="CUSTOM3_TH2_V2__UNit_2___Formworks_to_Soffit_of_Grade_Beam">#REF!</definedName>
    <definedName name="CUSTOM3_TH2_V2__Unit_2___Formworks_to_Suspended_Slab_FF">#REF!</definedName>
    <definedName name="CUSTOM3_TH2_V2__Unit_2___Formworks_to_Suspended_Slab_GF">#REF!</definedName>
    <definedName name="CUSTOM3_TH2_V2__Unit_2___Reinforcement_to_Column_below_grade">#REF!</definedName>
    <definedName name="CUSTOM3_TH2_V2__Unit_2___Reinforcement_to_Footing">#REF!</definedName>
    <definedName name="CUSTOM3_TH2_V2__Unit_2__Reinforcement_to_ST_Beams">#REF!</definedName>
    <definedName name="CUSTOM3_TH2_V2__units_1___Blockworks_100mm_thick">#REF!</definedName>
    <definedName name="CUSTOM3_TH2_V2__units_1___Blockworks_BW_1">#REF!</definedName>
    <definedName name="CUSTOM3_TH2_V2__units_1___Blockworks_BW_2">#REF!</definedName>
    <definedName name="CUSTOM3_TH2_V2__units_1___Blockworks_BW_3">#REF!</definedName>
    <definedName name="CUSTOM3_TH2_V2__units_1___Blockworks_BW_3_External">#REF!</definedName>
    <definedName name="CUSTOM3_TH2_V2__units_1___Blockworks_BW_4">#REF!</definedName>
    <definedName name="CUSTOM3_TH2_V2__units_1___Ceiling_Finishes__390mm_high_BH">#REF!</definedName>
    <definedName name="CUSTOM3_TH2_V2__units_1___Ceiling_Finishes__450mm_high_BH">#REF!</definedName>
    <definedName name="CUSTOM3_TH2_V2__units_1___Ceiling_Finishes__460mm_high_BH">#REF!</definedName>
    <definedName name="CUSTOM3_TH2_V2__units_1___Ceiling_Finishes__490mm_high_BH">#REF!</definedName>
    <definedName name="CUSTOM3_TH2_V2__units_1___Ceiling_Finishes__560mm_high_BH">#REF!</definedName>
    <definedName name="CUSTOM3_TH2_V2__units_1___Ceiling_Finishes_Plaster_w__Paint__Moisture_">#REF!</definedName>
    <definedName name="CUSTOM3_TH2_V2__units_1___Ceiling_Finishes_Plaster_w__Paint_PF01">#REF!</definedName>
    <definedName name="CUSTOM3_TH2_V2__units_1___Ceiling_Finishes_Plasterboard_w__Paint_PF01">#REF!</definedName>
    <definedName name="CUSTOM3_TH2_V2__units_1___Ceiling_Finishes_Plasterboard_w__Paint_PF02">#REF!</definedName>
    <definedName name="CUSTOM3_TH2_V2__units_1___Floor_Finishes_Ceramic_Tiles">#REF!</definedName>
    <definedName name="CUSTOM3_TH2_V2__units_1___Floor_Finishes_FF01">#REF!</definedName>
    <definedName name="CUSTOM3_TH2_V2__units_1___Floor_Finishes_FF03">#REF!</definedName>
    <definedName name="CUSTOM3_TH2_V2__units_1___Floor_Finishes_Interlock">#REF!</definedName>
    <definedName name="CUSTOM3_TH2_V2__units_1___Floor_Finishes_Pavers">#REF!</definedName>
    <definedName name="CUSTOM3_TH2_V2__units_1___Floor_Finishes_Pavers_Kerbs">#REF!</definedName>
    <definedName name="CUSTOM3_TH2_V2__units_1___Floor_Finishes_Screed_only">#REF!</definedName>
    <definedName name="CUSTOM3_TH2_V2__units_1___Handrail__1100mm_high">#REF!</definedName>
    <definedName name="CUSTOM3_TH2_V2__units_1___Roof_Finishes_Precast_Concrete">#REF!</definedName>
    <definedName name="CUSTOM3_TH2_V2__units_1___Roof_Finishes_Waterproofing_w__Paint">#REF!</definedName>
    <definedName name="CUSTOM3_TH2_V2__units_1___Skirting_External">#REF!</definedName>
    <definedName name="CUSTOM3_TH2_V2__units_1___Skirting_FF01">#REF!</definedName>
    <definedName name="CUSTOM3_TH2_V2__units_1___Staircase_Finishes_FF05">#REF!</definedName>
    <definedName name="CUSTOM3_TH2_V2__units_1___Type_AL_01__1000_x_2100mm_high">#REF!</definedName>
    <definedName name="CUSTOM3_TH2_V2__units_1___Type_AL_02__600_x_1350mm_high">#REF!</definedName>
    <definedName name="CUSTOM3_TH2_V2__units_1___Type_AL_03__350_x_1350mm_high">#REF!</definedName>
    <definedName name="CUSTOM3_TH2_V2__units_1___Type_AL_04__800_x_1350mm_high">#REF!</definedName>
    <definedName name="CUSTOM3_TH2_V2__units_1___Type_D_01__1100_x_2400mm_high">#REF!</definedName>
    <definedName name="CUSTOM3_TH2_V2__units_1___Type_D_02__900_x_2200mm_high">#REF!</definedName>
    <definedName name="CUSTOM3_TH2_V2__units_1___Type_D_03__850_x_2200mm_high">#REF!</definedName>
    <definedName name="CUSTOM3_TH2_V2__units_1___Type_D_03__850_x_2200mm_high_Internal">#REF!</definedName>
    <definedName name="CUSTOM3_TH2_V2__units_1___Type_D_04__900_x_2200mm_high">#REF!</definedName>
    <definedName name="CUSTOM3_TH2_V2__units_1___Type_GL_01__750_x_1250mm_high">#REF!</definedName>
    <definedName name="CUSTOM3_TH2_V2__units_1___Type_GL_02__600_x_1250mm_high">#REF!</definedName>
    <definedName name="CUSTOM3_TH2_V2__units_1___Type_GL_03__2225_x_3750mm_high__corner">#REF!</definedName>
    <definedName name="CUSTOM3_TH2_V2__units_1___Type_GL_04__2200_x_2700mm_high">#REF!</definedName>
    <definedName name="CUSTOM3_TH2_V2__units_1___Type_GL_05__2700_x_2550mm_high__corner">#REF!</definedName>
    <definedName name="CUSTOM3_TH2_V2__units_1___Type_GL_06__1400_x_1250mm_high">#REF!</definedName>
    <definedName name="CUSTOM3_TH2_V2__units_1___Type_GL_16__2400_x_2400mm_high__corner">#REF!</definedName>
    <definedName name="CUSTOM3_TH2_V2__units_1___Type_GL_17__750_x_2550mm_high">#REF!</definedName>
    <definedName name="CUSTOM3_TH2_V2__units_1___Type_GL_18__750_x_2100mm_high">#REF!</definedName>
    <definedName name="CUSTOM3_TH2_V2__units_1___Type_GL_19__700_x_1250mm_high">#REF!</definedName>
    <definedName name="CUSTOM3_TH2_V2__units_1___Type_GL_20__2850_x_2400mm_high">#REF!</definedName>
    <definedName name="CUSTOM3_TH2_V2__units_1___Type_GL_21__1400_x_2400mm_high">#REF!</definedName>
    <definedName name="CUSTOM3_TH2_V2__units_1___Type_GL_22__900_x_2200mm_high">#REF!</definedName>
    <definedName name="CUSTOM3_TH2_V2__units_1___Type_GL_23__1900_x_2700mm_high">#REF!</definedName>
    <definedName name="CUSTOM3_TH2_V2__units_1___Wall_Finishes_PF03">#REF!</definedName>
    <definedName name="CUSTOM3_TH2_V2__units_1___Wall_Finishes_PF04">#REF!</definedName>
    <definedName name="CUSTOM3_TH2_V2__units_1___Wall_Finishes_Plaster_w__paint">#REF!</definedName>
    <definedName name="CUSTOM3_TH2_V2__units_1___Wall_Finishes_Plaster_w__paint__dark_">#REF!</definedName>
    <definedName name="CUSTOM3_TH2_V2__units_1___Wall_Finishes_SS">#REF!</definedName>
    <definedName name="CUSTOM3_TH2_V2__units_1___Wall_Finishes_WF01">#REF!</definedName>
    <definedName name="CUSTOM3_TH2_V2__units_1___Wall_Finishes_WF02">#REF!</definedName>
    <definedName name="CUSTOM3_TH2_V2__units_1___Wall_Finishes_WF03">#REF!</definedName>
    <definedName name="CUSTOM3_TH2_V2__units_1___Wall_Finishes_WF04">#REF!</definedName>
    <definedName name="CUSTOM3_TH2_V2__units_1___Wall_Finishes_WF05">#REF!</definedName>
    <definedName name="CUSTOM3_TH2_V2__units_1___Wall_Finishes_WF06">#REF!</definedName>
    <definedName name="CUSTOM3_TH2_V2__units_1___Wall_Finishes_WF07">#REF!</definedName>
    <definedName name="CUSTOM3_TH2_V2__units_1___Wall_Finishes_WF08">#REF!</definedName>
    <definedName name="CUSTOM3_TH2_V2__units_1___Wall_Insulation">#REF!</definedName>
    <definedName name="CUSTOM3_TH2_V2__units_1___Waterproofing_to_walls">#REF!</definedName>
    <definedName name="CUSTOM3_TH2_V2__units_1___Waterproofing_to_wet_areas">#REF!</definedName>
    <definedName name="CUSTOM3_Trees___Around_Perimeter">#REF!</definedName>
    <definedName name="CUSTOM3_Trees___Inside_Plot">#REF!</definedName>
    <definedName name="CUSTOM3_TYPICAL__ADDL_SLAB">#REF!</definedName>
    <definedName name="CUSTOM3_TYPICAL__HEB_100">#REF!</definedName>
    <definedName name="CUSTOM3_TYPICAL__HEB_160">#REF!</definedName>
    <definedName name="CUSTOM3_TYPICAL__L_150x150x15">#REF!</definedName>
    <definedName name="CUSTOM3_TYPICAL__MEP_FLOOR">#REF!</definedName>
    <definedName name="CUSTOM3_Unallocated_Rooms">#REF!</definedName>
    <definedName name="CUSTOM3_uPVC_Sewage_Pipe_1F">#REF!</definedName>
    <definedName name="CUSTOM3_uPVC_Sewage_Pipe_GF">#REF!</definedName>
    <definedName name="CUSTOM3_uPVC_Waste_Pipe_1F">#REF!</definedName>
    <definedName name="CUSTOM3_uPVC_Waste_Pipe_1F_collection">#REF!</definedName>
    <definedName name="CUSTOM3_uPVC_Waste_Pipe_GF">#REF!</definedName>
    <definedName name="CUSTOM3_uPVC_Waste_Pipe_GF_Collection">#REF!</definedName>
    <definedName name="CUSTOM3_Water_Feature">#REF!</definedName>
    <definedName name="CUSTOM3_Water_Hammer_Arrestor">#REF!</definedName>
    <definedName name="CUSTOM3_Water_jets">#REF!</definedName>
    <definedName name="Customer_Settlement">#REF!</definedName>
    <definedName name="customs" localSheetId="1">#REF!</definedName>
    <definedName name="customs">#REF!</definedName>
    <definedName name="cut" hidden="1">#REF!</definedName>
    <definedName name="cutoutArea" localSheetId="1">#REF!</definedName>
    <definedName name="cutoutArea">#REF!</definedName>
    <definedName name="cutoutPerimeter" localSheetId="1">#REF!</definedName>
    <definedName name="cutoutPerimeter">#REF!</definedName>
    <definedName name="cuv" localSheetId="1">#REF!</definedName>
    <definedName name="cuv">#REF!</definedName>
    <definedName name="CV" hidden="1">#NAME?</definedName>
    <definedName name="cvb" localSheetId="1" hidden="1">{#N/A,#N/A,TRUE,"Cover";#N/A,#N/A,TRUE,"Conts";#N/A,#N/A,TRUE,"VOS";#N/A,#N/A,TRUE,"Warrington";#N/A,#N/A,TRUE,"Widnes"}</definedName>
    <definedName name="cvb" hidden="1">{#N/A,#N/A,TRUE,"Cover";#N/A,#N/A,TRUE,"Conts";#N/A,#N/A,TRUE,"VOS";#N/A,#N/A,TRUE,"Warrington";#N/A,#N/A,TRUE,"Widnes"}</definedName>
    <definedName name="cvbh" localSheetId="1">"Page "&amp;IF(ISNA(MATCH(ROW(),[1]!COUNT_TH2_V2__units_1___Type_D_04__900_x_2200mm_high,1)),1,MATCH(ROW(),[1]!COUNT_TH2_V2__units_1___Type_D_04__900_x_2200mm_high,1)+1)&amp;" of " &amp; [1]!CUSTOM1_Shops__GF_ + 0*NOW()</definedName>
    <definedName name="cvbh">"Page "&amp;IF(ISNA(MATCH(ROW(),RowAfterpgbrk,1)),1,MATCH(ROW(),RowAfterpgbrk,1)+1)&amp;" of " &amp; TotPageCount + 0*NOW()</definedName>
    <definedName name="cvcad">#N/A</definedName>
    <definedName name="cvcd">#N/A</definedName>
    <definedName name="CvData">#REF!</definedName>
    <definedName name="cvdf" localSheetId="1">#REF!</definedName>
    <definedName name="cvdf">#REF!</definedName>
    <definedName name="cvfgty" localSheetId="1" hidden="1">{"'Break down'!$A$4"}</definedName>
    <definedName name="cvfgty" hidden="1">{"'Break down'!$A$4"}</definedName>
    <definedName name="CVGYU" localSheetId="1" hidden="1">{#N/A,#N/A,TRUE,"Cover";#N/A,#N/A,TRUE,"Conts";#N/A,#N/A,TRUE,"VOS";#N/A,#N/A,TRUE,"Warrington";#N/A,#N/A,TRUE,"Widnes"}</definedName>
    <definedName name="CVGYU" hidden="1">{#N/A,#N/A,TRUE,"Cover";#N/A,#N/A,TRUE,"Conts";#N/A,#N/A,TRUE,"VOS";#N/A,#N/A,TRUE,"Warrington";#N/A,#N/A,TRUE,"Widnes"}</definedName>
    <definedName name="CVL_FAC" localSheetId="1">#REF!</definedName>
    <definedName name="CVL_FAC">#REF!</definedName>
    <definedName name="CVSA" localSheetId="1">#REF!</definedName>
    <definedName name="CVSA">#REF!</definedName>
    <definedName name="cwaervgtbhynjoiuyhjtgvcf">#REF!</definedName>
    <definedName name="CWAmt">#REF!</definedName>
    <definedName name="cwd" localSheetId="1" hidden="1">{#N/A,#N/A,FALSE,"Header P";#N/A,#N/A,FALSE,"Summary";#N/A,#N/A,FALSE,"CONTRACT WORKS";#N/A,#N/A,FALSE,"Variations";#N/A,#N/A,FALSE,"Dwk"}</definedName>
    <definedName name="cwd" hidden="1">{#N/A,#N/A,FALSE,"Header P";#N/A,#N/A,FALSE,"Summary";#N/A,#N/A,FALSE,"CONTRACT WORKS";#N/A,#N/A,FALSE,"Variations";#N/A,#N/A,FALSE,"Dwk"}</definedName>
    <definedName name="cwe" localSheetId="1">"Page "&amp;IF(ISNA(MATCH(ROW(),[1]!COUNT_TH2_V2__units_1___Type_D_04__900_x_2200mm_high,1)),1,MATCH(ROW(),[1]!COUNT_TH2_V2__units_1___Type_D_04__900_x_2200mm_high,1)+1)&amp;" of " &amp; [1]!CUSTOM1_Shops__GF_ + 0*NOW()</definedName>
    <definedName name="cwe">"Page "&amp;IF(ISNA(MATCH(ROW(),RowAfterpgbrk,1)),1,MATCH(ROW(),RowAfterpgbrk,1)+1)&amp;" of " &amp; TotPageCount + 0*NOW()</definedName>
    <definedName name="Cwvu.CapersView." hidden="1">#REF!</definedName>
    <definedName name="Cwvu.Japan_Capers_Ed_Pub." hidden="1">#REF!</definedName>
    <definedName name="Cwvu.KJP_CC." localSheetId="1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cx" localSheetId="1">#REF!</definedName>
    <definedName name="cx">#REF!</definedName>
    <definedName name="cxcdsd">#N/A</definedName>
    <definedName name="cxcxcxcx">#N/A</definedName>
    <definedName name="cxcxxcx">#N/A</definedName>
    <definedName name="cxn" localSheetId="1">#REF!</definedName>
    <definedName name="cxn">#REF!</definedName>
    <definedName name="cxv" localSheetId="1">#REF!</definedName>
    <definedName name="cxv">#REF!</definedName>
    <definedName name="cxxhgxvc" localSheetId="1">#REF!</definedName>
    <definedName name="cxxhgxvc">#REF!</definedName>
    <definedName name="cxz" localSheetId="1" hidden="1">{#N/A,#N/A,FALSE,"Header P";#N/A,#N/A,FALSE,"Summary";#N/A,#N/A,FALSE,"CONTRACT WORKS";#N/A,#N/A,FALSE,"Variations";#N/A,#N/A,FALSE,"Dwk"}</definedName>
    <definedName name="cxz" hidden="1">{#N/A,#N/A,FALSE,"Header P";#N/A,#N/A,FALSE,"Summary";#N/A,#N/A,FALSE,"CONTRACT WORKS";#N/A,#N/A,FALSE,"Variations";#N/A,#N/A,FALSE,"Dwk"}</definedName>
    <definedName name="cy">#REF!</definedName>
    <definedName name="CY_1999">#REF!</definedName>
    <definedName name="CY_2000">#REF!</definedName>
    <definedName name="CY_2001">#REF!</definedName>
    <definedName name="CY_2002">#REF!</definedName>
    <definedName name="czfgbhnd" localSheetId="1">#REF!</definedName>
    <definedName name="czfgbhnd">#REF!</definedName>
    <definedName name="czvbxjnkm" localSheetId="1">#REF!</definedName>
    <definedName name="czvbxjnkm">#REF!</definedName>
    <definedName name="D" localSheetId="1">#REF!</definedName>
    <definedName name="D">#REF!</definedName>
    <definedName name="d___0" localSheetId="1">#REF!</definedName>
    <definedName name="d___0">#REF!</definedName>
    <definedName name="d___0___0">"$#REF!.$#REF!$#REF!"</definedName>
    <definedName name="d___0___3">"$#REF!.$#REF!$#REF!"</definedName>
    <definedName name="d___0___4">"$#REF!.$#REF!$#REF!"</definedName>
    <definedName name="d___13">#REF!</definedName>
    <definedName name="d___2" localSheetId="1">#REF!</definedName>
    <definedName name="d___2">#REF!</definedName>
    <definedName name="d___2___0">"$#REF!.$#REF!$#REF!"</definedName>
    <definedName name="d___2___3">"$#REF!.$#REF!$#REF!"</definedName>
    <definedName name="d___3">#REF!</definedName>
    <definedName name="d___3___0">"$#REF!.$#REF!$#REF!"</definedName>
    <definedName name="d___3___3">"$#REF!.$#REF!$#REF!"</definedName>
    <definedName name="d___3___4">"$#REF!.$#REF!$#REF!"</definedName>
    <definedName name="d___4">#REF!</definedName>
    <definedName name="d___4___0">"$#REF!.$#REF!$#REF!"</definedName>
    <definedName name="d___4___3">"$#REF!.$#REF!$#REF!"</definedName>
    <definedName name="d___7">"$#REF!.$#REF!$#REF!"</definedName>
    <definedName name="d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_22">#REF!</definedName>
    <definedName name="D_7101A_B" localSheetId="1">#REF!</definedName>
    <definedName name="D_7101A_B">#REF!</definedName>
    <definedName name="D_AHD">#REF!</definedName>
    <definedName name="D_BHD">#REF!</definedName>
    <definedName name="D_Concrete">#REF!</definedName>
    <definedName name="D_CONSTR2">#REF!</definedName>
    <definedName name="D_DISC" localSheetId="1">#REF!</definedName>
    <definedName name="D_DISC">#REF!</definedName>
    <definedName name="D_ENGR">#REF!</definedName>
    <definedName name="D_INCR" localSheetId="1">#REF!</definedName>
    <definedName name="D_INCR">#REF!</definedName>
    <definedName name="d_jp" localSheetId="1" hidden="1">{"'Sheet1'!$A$4386:$N$4591"}</definedName>
    <definedName name="d_jp" hidden="1">{"'Sheet1'!$A$4386:$N$4591"}</definedName>
    <definedName name="D_LABEL">#REF!</definedName>
    <definedName name="D_LM">#REF!</definedName>
    <definedName name="D_Masonry">#REF!</definedName>
    <definedName name="D_P1">#REF!</definedName>
    <definedName name="D_P2">#REF!</definedName>
    <definedName name="D_PERF">#REF!</definedName>
    <definedName name="D_PROGRESS">#REF!</definedName>
    <definedName name="D_STATUS_DRGS">#REF!</definedName>
    <definedName name="D_STATUS_NO">#REF!</definedName>
    <definedName name="D_STATUS_NUMBER">#REF!</definedName>
    <definedName name="D_TGO">#REF!</definedName>
    <definedName name="D_TIME">#REF!</definedName>
    <definedName name="D_TYPE1">#REF!</definedName>
    <definedName name="D.2">#N/A</definedName>
    <definedName name="D0" localSheetId="1">#REF!</definedName>
    <definedName name="D0">#REF!</definedName>
    <definedName name="D10b" localSheetId="1">#REF!</definedName>
    <definedName name="D10b">#REF!</definedName>
    <definedName name="D12_">#N/A</definedName>
    <definedName name="D20_">#N/A</definedName>
    <definedName name="D2E" localSheetId="1">1/[1]!E2D</definedName>
    <definedName name="D2E">1/E2D</definedName>
    <definedName name="D6_" localSheetId="1">#REF!</definedName>
    <definedName name="D6_">#REF!</definedName>
    <definedName name="DA" localSheetId="1" hidden="1">{"'Break down'!$A$4"}</definedName>
    <definedName name="DA" hidden="1">{"'Break down'!$A$4"}</definedName>
    <definedName name="dad" hidden="1">#REF!</definedName>
    <definedName name="dad_1">0</definedName>
    <definedName name="dada" localSheetId="1" hidden="1">{#N/A,#N/A,TRUE,"Cover";#N/A,#N/A,TRUE,"Conts";#N/A,#N/A,TRUE,"VOS";#N/A,#N/A,TRUE,"Warrington";#N/A,#N/A,TRUE,"Widnes"}</definedName>
    <definedName name="dada" hidden="1">{#N/A,#N/A,TRUE,"Cover";#N/A,#N/A,TRUE,"Conts";#N/A,#N/A,TRUE,"VOS";#N/A,#N/A,TRUE,"Warrington";#N/A,#N/A,TRUE,"Widnes"}</definedName>
    <definedName name="dada_1" localSheetId="1" hidden="1">{#N/A,#N/A,TRUE,"Cover";#N/A,#N/A,TRUE,"Conts";#N/A,#N/A,TRUE,"VOS";#N/A,#N/A,TRUE,"Warrington";#N/A,#N/A,TRUE,"Widnes"}</definedName>
    <definedName name="dada_1" hidden="1">{#N/A,#N/A,TRUE,"Cover";#N/A,#N/A,TRUE,"Conts";#N/A,#N/A,TRUE,"VOS";#N/A,#N/A,TRUE,"Warrington";#N/A,#N/A,TRUE,"Widnes"}</definedName>
    <definedName name="DAdsaD" hidden="1">#REF!</definedName>
    <definedName name="dadwtgwgw" localSheetId="1">#REF!</definedName>
    <definedName name="dadwtgwgw">#REF!</definedName>
    <definedName name="Daff" localSheetId="1">#REF!</definedName>
    <definedName name="Daff">#REF!</definedName>
    <definedName name="DailyLabourReturns" localSheetId="1">#REF!</definedName>
    <definedName name="DailyLabourReturns">#REF!</definedName>
    <definedName name="dailyrates">#REF!</definedName>
    <definedName name="DALLAYA">#REF!</definedName>
    <definedName name="DAMAGE">#REF!</definedName>
    <definedName name="dana" localSheetId="1" hidden="1">{#N/A,#N/A,TRUE,"Cover";#N/A,#N/A,TRUE,"Conts";#N/A,#N/A,TRUE,"VOS";#N/A,#N/A,TRUE,"Warrington";#N/A,#N/A,TRUE,"Widnes"}</definedName>
    <definedName name="dana" hidden="1">{#N/A,#N/A,TRUE,"Cover";#N/A,#N/A,TRUE,"Conts";#N/A,#N/A,TRUE,"VOS";#N/A,#N/A,TRUE,"Warrington";#N/A,#N/A,TRUE,"Widnes"}</definedName>
    <definedName name="DANGA">#REF!</definedName>
    <definedName name="DANGA_1">"$#REF!.$AG$9:$AG$97"</definedName>
    <definedName name="daniel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aniel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aralhansha">#REF!</definedName>
    <definedName name="DAS">#N/A</definedName>
    <definedName name="dasd" localSheetId="1" hidden="1">{"'Bill No. 7'!$A$1:$G$32"}</definedName>
    <definedName name="dasd" hidden="1">{"'Bill No. 7'!$A$1:$G$32"}</definedName>
    <definedName name="dasdas" localSheetId="1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dasdas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dasdfa">#REF!</definedName>
    <definedName name="dat0">#REF!</definedName>
    <definedName name="Data" localSheetId="1">#REF!</definedName>
    <definedName name="Data">#REF!</definedName>
    <definedName name="DATA_1" localSheetId="1">#REF!</definedName>
    <definedName name="DATA_1">#REF!</definedName>
    <definedName name="DATA_10">#REF!</definedName>
    <definedName name="DATA_11">#REF!</definedName>
    <definedName name="DATA_12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3">#REF!</definedName>
    <definedName name="DATA_4">#REF!</definedName>
    <definedName name="DATA_5">#REF!</definedName>
    <definedName name="DATA_6">#REF!</definedName>
    <definedName name="DATA_7">#REF!</definedName>
    <definedName name="DATA_8">#REF!</definedName>
    <definedName name="DATA_9">#REF!</definedName>
    <definedName name="DATA_CONT">#REF!</definedName>
    <definedName name="DATA_ESC">#REF!</definedName>
    <definedName name="DATA_FAC" localSheetId="1">#REF!</definedName>
    <definedName name="DATA_FAC">#REF!</definedName>
    <definedName name="DATA_FEE">#REF!</definedName>
    <definedName name="DATA_SALES">#REF!</definedName>
    <definedName name="data_v" localSheetId="1">#REF!</definedName>
    <definedName name="data_v">#REF!</definedName>
    <definedName name="data_variance">#REF!</definedName>
    <definedName name="Data.Dump" localSheetId="1" hidden="1">OFFSET([1]!Data.Top.Left,1,0)</definedName>
    <definedName name="Data.Dump" hidden="1">OFFSET([1]!Data.Top.Left,1,0)</definedName>
    <definedName name="data1" hidden="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">#REF!</definedName>
    <definedName name="dataaa">#REF!</definedName>
    <definedName name="dataaaaa">#REF!</definedName>
    <definedName name="DataArea">#REF!</definedName>
    <definedName name="_xlnm.Database" localSheetId="1">#REF!</definedName>
    <definedName name="_xlnm.Database">#REF!</definedName>
    <definedName name="Database.File" hidden="1">#REF!</definedName>
    <definedName name="DATABASE1">#REF!</definedName>
    <definedName name="DATACHECKED_ELBK">#REF!</definedName>
    <definedName name="DATACHECKED_ELEQ">#REF!</definedName>
    <definedName name="DATACHECKED_INSTR">#REF!</definedName>
    <definedName name="DATAFILL">#REF!</definedName>
    <definedName name="datalist" localSheetId="1">#REF!</definedName>
    <definedName name="datalist">#REF!</definedName>
    <definedName name="DATDAO">#REF!</definedName>
    <definedName name="date">#REF!</definedName>
    <definedName name="Date_Bidding" localSheetId="1">#REF!</definedName>
    <definedName name="Date_Bidding">#REF!</definedName>
    <definedName name="Date_lookup">#REF!</definedName>
    <definedName name="date_of_site_visit">#REF!</definedName>
    <definedName name="DATE_PERIOD">#REF!</definedName>
    <definedName name="Date1" localSheetId="1">#REF!</definedName>
    <definedName name="Date1">#REF!</definedName>
    <definedName name="DATECHECKED_ELBK">#REF!</definedName>
    <definedName name="DATECHECKED_ELEQ">#REF!</definedName>
    <definedName name="DATECHECKED_INSTR">#REF!</definedName>
    <definedName name="Daten_Anfang_1">#REF!</definedName>
    <definedName name="Daten_Anfang_2">#REF!</definedName>
    <definedName name="DateRange" localSheetId="1">#REF!</definedName>
    <definedName name="DateRange">#REF!</definedName>
    <definedName name="DATES">#REF!</definedName>
    <definedName name="Datum">#REF!</definedName>
    <definedName name="daw" hidden="1">#REF!</definedName>
    <definedName name="DAWJKFSJKFBWSUILFBIKNSEOL" localSheetId="1">#REF!</definedName>
    <definedName name="DAWJKFSJKFBWSUILFBIKNSEOL">#REF!</definedName>
    <definedName name="dax_adj.contract.sum">#REF!</definedName>
    <definedName name="dax_con.bal">#REF!</definedName>
    <definedName name="dax_cont.r">#REF!</definedName>
    <definedName name="dax_final.sum">#REF!</definedName>
    <definedName name="dax_org.contract">#REF!</definedName>
    <definedName name="dax_rev.sum">#REF!</definedName>
    <definedName name="dax_uncommit">#REF!</definedName>
    <definedName name="dax_vo.app">#REF!</definedName>
    <definedName name="dax_vo.pend">#REF!</definedName>
    <definedName name="dax_vo.total">#REF!</definedName>
    <definedName name="dax_work.complete">#REF!</definedName>
    <definedName name="DAY">#REF!</definedName>
    <definedName name="DAYS_NEXT_MONTH">#REF!</definedName>
    <definedName name="daywork" localSheetId="1">#REF!</definedName>
    <definedName name="daywork">#REF!</definedName>
    <definedName name="Daywork1" localSheetId="1" hidden="1">{#N/A,#N/A,FALSE,"MARCH"}</definedName>
    <definedName name="Daywork1" hidden="1">{#N/A,#N/A,FALSE,"MARCH"}</definedName>
    <definedName name="Daywork1_1" localSheetId="1" hidden="1">{#N/A,#N/A,FALSE,"MARCH"}</definedName>
    <definedName name="Daywork1_1" hidden="1">{#N/A,#N/A,FALSE,"MARCH"}</definedName>
    <definedName name="db" localSheetId="1">#REF!</definedName>
    <definedName name="db">#REF!</definedName>
    <definedName name="db___0" localSheetId="1">#REF!</definedName>
    <definedName name="db___0">#REF!</definedName>
    <definedName name="db___13" localSheetId="1">#REF!</definedName>
    <definedName name="db___13">#REF!</definedName>
    <definedName name="DB_PRICING">#REF!</definedName>
    <definedName name="DBASE">#REF!</definedName>
    <definedName name="DBASE1">#REF!</definedName>
    <definedName name="DBASEM">#REF!</definedName>
    <definedName name="DBASEP" localSheetId="1">#REF!</definedName>
    <definedName name="DBASEP">#REF!</definedName>
    <definedName name="Dbl_Frige_T1">#REF!</definedName>
    <definedName name="Dbl_Tough" localSheetId="1">#REF!</definedName>
    <definedName name="Dbl_Tough">#REF!</definedName>
    <definedName name="dbs" localSheetId="1">#REF!</definedName>
    <definedName name="dbs">#REF!</definedName>
    <definedName name="DC">3.68</definedName>
    <definedName name="DCAA">#REF!</definedName>
    <definedName name="dcebmtfggj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ebmtfggj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f" localSheetId="1">#REF!</definedName>
    <definedName name="dcf">#REF!</definedName>
    <definedName name="DCHRes">#REF!</definedName>
    <definedName name="DC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R" localSheetId="1">#REF!</definedName>
    <definedName name="DCR">#REF!</definedName>
    <definedName name="DCS_SYS">#REF!</definedName>
    <definedName name="dcsyhg">#REF!</definedName>
    <definedName name="dcx" localSheetId="1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dcx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DD" localSheetId="1">#REF!</definedName>
    <definedName name="DD">#REF!</definedName>
    <definedName name="DD_1">0</definedName>
    <definedName name="DD_22" localSheetId="1">#REF!</definedName>
    <definedName name="DD_22">#REF!</definedName>
    <definedName name="DD_Fee">#REF!</definedName>
    <definedName name="ddd" localSheetId="1" hidden="1">{#N/A,#N/A,FALSE,"VARIATIONS";#N/A,#N/A,FALSE,"BUDGET";#N/A,#N/A,FALSE,"CIVIL QNTY VAR";#N/A,#N/A,FALSE,"SUMMARY";#N/A,#N/A,FALSE,"MATERIAL VAR"}</definedName>
    <definedName name="DDD">#REF!</definedName>
    <definedName name="DDD_1">0</definedName>
    <definedName name="dddd" localSheetId="1" hidden="1">{#N/A,#N/A,FALSE,"VARIATIONS";#N/A,#N/A,FALSE,"BUDGET";#N/A,#N/A,FALSE,"CIVIL QNTY VAR";#N/A,#N/A,FALSE,"SUMMARY";#N/A,#N/A,FALSE,"MATERIAL VAR"}</definedName>
    <definedName name="DDDD">#REF!</definedName>
    <definedName name="d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1" localSheetId="1" hidden="1">{#N/A,#N/A,TRUE,"Cover";#N/A,#N/A,TRUE,"Conts";#N/A,#N/A,TRUE,"VOS";#N/A,#N/A,TRUE,"Warrington";#N/A,#N/A,TRUE,"Widnes"}</definedName>
    <definedName name="ddddd_1" hidden="1">{#N/A,#N/A,TRUE,"Cover";#N/A,#N/A,TRUE,"Conts";#N/A,#N/A,TRUE,"VOS";#N/A,#N/A,TRUE,"Warrington";#N/A,#N/A,TRUE,"Widnes"}</definedName>
    <definedName name="ddddddd">#REF!</definedName>
    <definedName name="dddddddd" localSheetId="1">#REF!</definedName>
    <definedName name="dddddddd">#REF!</definedName>
    <definedName name="ddddddddddd" localSheetId="1">#REF!</definedName>
    <definedName name="ddddddddddd">#REF!</definedName>
    <definedName name="dddddddddddddddddddddddddddd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ddddddddddddddddddddd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f" localSheetId="1">BlankMacro1</definedName>
    <definedName name="dddf">BlankMacro1</definedName>
    <definedName name="dddgdg">#REF!</definedName>
    <definedName name="ddds" localSheetId="1">BlankMacro1</definedName>
    <definedName name="ddds">BlankMacro1</definedName>
    <definedName name="dddt" localSheetId="1">{"'Break down'!$A$4"}</definedName>
    <definedName name="dddt">{"'Break down'!$A$4"}</definedName>
    <definedName name="dddt_1" localSheetId="1">{"'Break down'!$A$4"}</definedName>
    <definedName name="dddt_1">{"'Break down'!$A$4"}</definedName>
    <definedName name="dddvdb" localSheetId="1" hidden="1">{#N/A,#N/A,FALSE,"Calculator"}</definedName>
    <definedName name="dddvdb" hidden="1">{#N/A,#N/A,FALSE,"Calculator"}</definedName>
    <definedName name="ddeeewe">#REF!</definedName>
    <definedName name="ddf" localSheetId="1" hidden="1">{#N/A,#N/A,TRUE,"Cover";#N/A,#N/A,TRUE,"Conts";#N/A,#N/A,TRUE,"VOS";#N/A,#N/A,TRUE,"Warrington";#N/A,#N/A,TRUE,"Widnes"}</definedName>
    <definedName name="ddf" hidden="1">{#N/A,#N/A,TRUE,"Cover";#N/A,#N/A,TRUE,"Conts";#N/A,#N/A,TRUE,"VOS";#N/A,#N/A,TRUE,"Warrington";#N/A,#N/A,TRUE,"Widnes"}</definedName>
    <definedName name="ddfdd">#N/A</definedName>
    <definedName name="ddgh" localSheetId="1">BlankMacro1</definedName>
    <definedName name="ddgh">BlankMacro1</definedName>
    <definedName name="DDHTHT">#N/A</definedName>
    <definedName name="ddsa" localSheetId="1" hidden="1">{#N/A,#N/A,TRUE,"Cover";#N/A,#N/A,TRUE,"Conts";#N/A,#N/A,TRUE,"VOS";#N/A,#N/A,TRUE,"Warrington";#N/A,#N/A,TRUE,"Widnes"}</definedName>
    <definedName name="ddsa" hidden="1">{#N/A,#N/A,TRUE,"Cover";#N/A,#N/A,TRUE,"Conts";#N/A,#N/A,TRUE,"VOS";#N/A,#N/A,TRUE,"Warrington";#N/A,#N/A,TRUE,"Widnes"}</definedName>
    <definedName name="DDSD" localSheetId="1" hidden="1">{#N/A,#N/A,TRUE,"Cover";#N/A,#N/A,TRUE,"Conts";#N/A,#N/A,TRUE,"VOS";#N/A,#N/A,TRUE,"Warrington";#N/A,#N/A,TRUE,"Widnes"}</definedName>
    <definedName name="DDSD" hidden="1">{#N/A,#N/A,TRUE,"Cover";#N/A,#N/A,TRUE,"Conts";#N/A,#N/A,TRUE,"VOS";#N/A,#N/A,TRUE,"Warrington";#N/A,#N/A,TRUE,"Widnes"}</definedName>
    <definedName name="Ddt_H_Screed" localSheetId="1">#REF!</definedName>
    <definedName name="Ddt_H_Screed">#REF!</definedName>
    <definedName name="Ddt_H_Screed_AC">#REF!</definedName>
    <definedName name="de">#REF!</definedName>
    <definedName name="DEA" localSheetId="1">#REF!</definedName>
    <definedName name="DEA">#REF!</definedName>
    <definedName name="deal1">#REF!</definedName>
    <definedName name="DealData" localSheetId="1">#REF!</definedName>
    <definedName name="DealData">#REF!</definedName>
    <definedName name="Debt_Coverage_Ratio">#REF!</definedName>
    <definedName name="deck">#REF!</definedName>
    <definedName name="Deck_boxes">#REF!</definedName>
    <definedName name="DECS">#REF!</definedName>
    <definedName name="deddd">#REF!</definedName>
    <definedName name="DEDU">#REF!</definedName>
    <definedName name="deee">#N/A</definedName>
    <definedName name="def" hidden="1">#REF!</definedName>
    <definedName name="DEFECT_LIABILITY_PERIOD" localSheetId="1">#REF!</definedName>
    <definedName name="DEFECT_LIABILITY_PERIOD">#REF!</definedName>
    <definedName name="DEFWERFWER">#N/A</definedName>
    <definedName name="Dehumidifiers" localSheetId="1">#REF!</definedName>
    <definedName name="Dehumidifiers">#REF!</definedName>
    <definedName name="delete" localSheetId="1" hidden="1">{#N/A,#N/A,TRUE,"Inflation";#N/A,#N/A,TRUE,"HCA Summary";#N/A,#N/A,TRUE,"Operating ratio graphs";#N/A,#N/A,TRUE,"HCA";#N/A,#N/A,TRUE,"Revenue";#N/A,#N/A,TRUE,"Opex";#N/A,#N/A,TRUE,"Fixed assets";#N/A,#N/A,TRUE,"Reserves"}</definedName>
    <definedName name="delete" hidden="1">{#N/A,#N/A,TRUE,"Inflation";#N/A,#N/A,TRUE,"HCA Summary";#N/A,#N/A,TRUE,"Operating ratio graphs";#N/A,#N/A,TRUE,"HCA";#N/A,#N/A,TRUE,"Revenue";#N/A,#N/A,TRUE,"Opex";#N/A,#N/A,TRUE,"Fixed assets";#N/A,#N/A,TRUE,"Reserves"}</definedName>
    <definedName name="DELETE_D">#REF!</definedName>
    <definedName name="DELETE_U">#REF!</definedName>
    <definedName name="delete1" localSheetId="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elete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elete2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elete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elete3" localSheetId="1" hidden="1">{"outturn",#N/A,TRUE,"HCA";#N/A,#N/A,TRUE,"HCA Summary";#N/A,#N/A,TRUE,"Operating ratio graphs";"Profit and loss",#N/A,TRUE,"HCA"}</definedName>
    <definedName name="delete3" hidden="1">{"outturn",#N/A,TRUE,"HCA";#N/A,#N/A,TRUE,"HCA Summary";#N/A,#N/A,TRUE,"Operating ratio graphs";"Profit and loss",#N/A,TRUE,"HCA"}</definedName>
    <definedName name="delete4" localSheetId="1" hidden="1">{#N/A,#N/A,FALSE,"HCA";#N/A,#N/A,FALSE,"Revenue";#N/A,#N/A,FALSE,"Opex";#N/A,#N/A,FALSE,"AMP"}</definedName>
    <definedName name="delete4" hidden="1">{#N/A,#N/A,FALSE,"HCA";#N/A,#N/A,FALSE,"Revenue";#N/A,#N/A,FALSE,"Opex";#N/A,#N/A,FALSE,"AMP"}</definedName>
    <definedName name="delete5" localSheetId="1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delete5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delete6" localSheetId="1" hidden="1">{#N/A,#N/A,TRUE,"HCA";#N/A,#N/A,TRUE,"Tax";#N/A,#N/A,TRUE,"Losses and ACT";#N/A,#N/A,TRUE,"Divis";#N/A,#N/A,TRUE,"Reserves";#N/A,#N/A,TRUE,"Enhancement data"}</definedName>
    <definedName name="delete6" hidden="1">{#N/A,#N/A,TRUE,"HCA";#N/A,#N/A,TRUE,"Tax";#N/A,#N/A,TRUE,"Losses and ACT";#N/A,#N/A,TRUE,"Divis";#N/A,#N/A,TRUE,"Reserves";#N/A,#N/A,TRUE,"Enhancement data"}</definedName>
    <definedName name="delete7" localSheetId="1">#REF!,#REF!,#REF!</definedName>
    <definedName name="delete7">#REF!,#REF!,#REF!</definedName>
    <definedName name="Delete8" localSheetId="1">#REF!,#REF!,#REF!</definedName>
    <definedName name="Delete8">#REF!,#REF!,#REF!</definedName>
    <definedName name="Delete9" localSheetId="1">#REF!,#REF!,#REF!,#REF!,#REF!,#REF!</definedName>
    <definedName name="Delete9">#REF!,#REF!,#REF!,#REF!,#REF!,#REF!</definedName>
    <definedName name="DELfeb09" localSheetId="1" hidden="1">#REF!</definedName>
    <definedName name="DELfeb09" hidden="1">#REF!</definedName>
    <definedName name="Delivery" localSheetId="1">#REF!</definedName>
    <definedName name="Delivery">#REF!</definedName>
    <definedName name="Delshan" localSheetId="1" hidden="1">{#N/A,#N/A,FALSE,"VCR"}</definedName>
    <definedName name="Delshan" hidden="1">{#N/A,#N/A,FALSE,"VCR"}</definedName>
    <definedName name="DELTA20">#REF!</definedName>
    <definedName name="DELTA20___0" localSheetId="1">#REF!</definedName>
    <definedName name="DELTA20___0">#REF!</definedName>
    <definedName name="DELTA20___13" localSheetId="1">#REF!</definedName>
    <definedName name="DELTA20___13">#REF!</definedName>
    <definedName name="Delux" localSheetId="1" hidden="1">#REF!</definedName>
    <definedName name="Delux" hidden="1">#REF!</definedName>
    <definedName name="DeluxeArea" localSheetId="1">#REF!</definedName>
    <definedName name="DeluxeArea">#REF!</definedName>
    <definedName name="DeluxePerimeter" localSheetId="1">#REF!</definedName>
    <definedName name="DeluxePerimeter">#REF!</definedName>
    <definedName name="DEM">#REF!</definedName>
    <definedName name="demand">#REF!</definedName>
    <definedName name="DemandGrowth">#REF!</definedName>
    <definedName name="DEMI1">#N/A</definedName>
    <definedName name="DEMI2">#N/A</definedName>
    <definedName name="DEMO" localSheetId="1">#REF!</definedName>
    <definedName name="DEMO">#REF!</definedName>
    <definedName name="Demolition">#REF!</definedName>
    <definedName name="Demolition_Works">#REF!</definedName>
    <definedName name="Dep_Scaff" localSheetId="1">#REF!</definedName>
    <definedName name="Dep_Scaff">#REF!</definedName>
    <definedName name="depart" localSheetId="1" hidden="1">{"'Sheet1'!$A$4386:$N$4591"}</definedName>
    <definedName name="depart" hidden="1">{"'Sheet1'!$A$4386:$N$4591"}</definedName>
    <definedName name="Depereciation" localSheetId="1" hidden="1">{"'Furniture&amp; O.E'!$A$4:$D$27"}</definedName>
    <definedName name="Depereciation" hidden="1">{"'Furniture&amp; O.E'!$A$4:$D$27"}</definedName>
    <definedName name="Depn">#REF!</definedName>
    <definedName name="Depn_PMEScaff">#REF!</definedName>
    <definedName name="Depn_Props">#REF!</definedName>
    <definedName name="dept">#REF!</definedName>
    <definedName name="dept1">#REF!</definedName>
    <definedName name="dept2">#REF!</definedName>
    <definedName name="DEPTH">#REF!</definedName>
    <definedName name="DEQ">#N/A</definedName>
    <definedName name="der" localSheetId="1">#REF!</definedName>
    <definedName name="der">#REF!</definedName>
    <definedName name="DERE" localSheetId="1">#REF!</definedName>
    <definedName name="DERE">#REF!</definedName>
    <definedName name="deree" localSheetId="1">#REF!</definedName>
    <definedName name="deree">#REF!</definedName>
    <definedName name="derf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derf">IF(ISNA(MATCH(ROW(),RowAfterpgbrk,1)),1,MATCH(ROW(),RowAfterpgbrk,1)+1)&lt;&gt;IF(ISNA(MATCH(ROW()+1,RowAfterpgbrk,1)),1,MATCH(ROW()+1,RowAfterpgbrk,1)+1)</definedName>
    <definedName name="DES" localSheetId="1">#REF!</definedName>
    <definedName name="DES">#REF!</definedName>
    <definedName name="Des_Pkg">#REF!</definedName>
    <definedName name="des_vinyl">#REF!</definedName>
    <definedName name="desa" localSheetId="1">"Page "&amp;IF(ISNA(MATCH(ROW(),[1]!COUNT_TH2_V2__units_1___Type_D_04__900_x_2200mm_high,1)),1,MATCH(ROW(),[1]!COUNT_TH2_V2__units_1___Type_D_04__900_x_2200mm_high,1)+1)&amp;" of " &amp; [1]!CUSTOM1_Shops__GF_ + 0*NOW()</definedName>
    <definedName name="desa">"Page "&amp;IF(ISNA(MATCH(ROW(),RowAfterpgbrk,1)),1,MATCH(ROW(),RowAfterpgbrk,1)+1)&amp;" of " &amp; TotPageCount + 0*NOW()</definedName>
    <definedName name="DESAF">#N/A</definedName>
    <definedName name="Desc_Cntl_Valves">#N/A</definedName>
    <definedName name="Desc_Conduit">#N/A</definedName>
    <definedName name="Desc_DB">#N/A</definedName>
    <definedName name="Desc_DB1">#N/A</definedName>
    <definedName name="Desc_DC">#N/A</definedName>
    <definedName name="Desc_MV_Cable">#N/A</definedName>
    <definedName name="Desc_Other">IF(VLOOKUP(#REF!,#REF!,2,FALSE)=0,0,VLOOKUP(#REF!,#REF!,2,FALSE))</definedName>
    <definedName name="Desc_Par1_Conduit">#N/A</definedName>
    <definedName name="Desc_Par1_DB">#N/A</definedName>
    <definedName name="Desc_Par2_Conduit">#N/A</definedName>
    <definedName name="Desc_Par3_DB">#N/A</definedName>
    <definedName name="Desc_Par6_DB">#N/A</definedName>
    <definedName name="Desc_Tray">IF(VLOOKUP(#REF!,#REF!,3,FALSE)=0,0,VLOOKUP(#REF!,#REF!,3,FALSE))</definedName>
    <definedName name="Desc01" localSheetId="1">#REF!</definedName>
    <definedName name="Desc01">#REF!</definedName>
    <definedName name="Desc02" localSheetId="1">#REF!</definedName>
    <definedName name="Desc02">#REF!</definedName>
    <definedName name="Desc1_Conduit" localSheetId="1">#N/A</definedName>
    <definedName name="Desc1_Conduit">IF(VLOOKUP(#REF!,[1]!COND_PRICING,2,FALSE)=0,0,VLOOKUP(#REF!,[1]!COND_PRICING,2,FALSE))</definedName>
    <definedName name="Desc1_MV_Cable" localSheetId="1">#N/A</definedName>
    <definedName name="Desc1_MV_Cable">IF(VLOOKUP(#REF!,[1]!CABLE_PRICING,2,FALSE)=0,0,VLOOKUP(#REF!,[1]!CABLE_PRICING,2,FALSE))</definedName>
    <definedName name="Desc1_Other">IF(VLOOKUP(#REF!,#REF!,2,FALSE)=0,0,VLOOKUP(#REF!,#REF!,2,FALSE))</definedName>
    <definedName name="Desc1_Par1_Conduit" localSheetId="1">#N/A</definedName>
    <definedName name="Desc1_Par1_Conduit">IF(VLOOKUP(#REF!,[1]!COND_PRICING,3,FALSE)=0,0,VLOOKUP(#REF!,[1]!COND_PRICING,3,FALSE))</definedName>
    <definedName name="Desc1_Tray">IF(VLOOKUP(#REF!,#REF!,3,FALSE)=0,0,VLOOKUP(#REF!,#REF!,3,FALSE))</definedName>
    <definedName name="Desc2_MV_Cable" localSheetId="1">#N/A</definedName>
    <definedName name="Desc2_MV_Cable">IF(VLOOKUP(#REF!,[1]!CABLE_PRICING,3,FALSE)=0,0,VLOOKUP(#REF!,[1]!CABLE_PRICING,3,FALSE))</definedName>
    <definedName name="Desc2_Par2_Conduit" localSheetId="1">#N/A</definedName>
    <definedName name="Desc2_Par2_Conduit">IF(VLOOKUP(#REF!,[1]!COND_PRICING,4,FALSE)=0,0,VLOOKUP(#REF!,[1]!COND_PRICING,4,FALSE))</definedName>
    <definedName name="DESCEIL">#REF!</definedName>
    <definedName name="DESCEILQ2">#REF!</definedName>
    <definedName name="DESCRIP" localSheetId="1">#REF!</definedName>
    <definedName name="DESCRIP">#REF!</definedName>
    <definedName name="DESCRIPTION">"B1"</definedName>
    <definedName name="Description_1">"B1"</definedName>
    <definedName name="DESCRIPTION2">#REF!,#REF!,#REF!,#REF!,#REF!,#REF!,#REF!</definedName>
    <definedName name="Descriptions" localSheetId="1">#REF!</definedName>
    <definedName name="Descriptions">#REF!</definedName>
    <definedName name="Desert_Landscape_Company_LLC" localSheetId="1">#REF!</definedName>
    <definedName name="Desert_Landscape_Company_LLC">#REF!</definedName>
    <definedName name="Desert_Turfcare_LLC" localSheetId="1">#REF!</definedName>
    <definedName name="Desert_Turfcare_LLC">#REF!</definedName>
    <definedName name="design">#REF!</definedName>
    <definedName name="DESIGN_CONST" localSheetId="1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esigned" localSheetId="1">#REF!</definedName>
    <definedName name="designed">#REF!</definedName>
    <definedName name="DesRatio">#REF!</definedName>
    <definedName name="DEST">#REF!</definedName>
    <definedName name="DESUP_HTRS">#REF!</definedName>
    <definedName name="DETAC">#REF!</definedName>
    <definedName name="DETAIL_TOT">#REF!</definedName>
    <definedName name="DETL">#REF!</definedName>
    <definedName name="dev">#REF!</definedName>
    <definedName name="Development_Costs" localSheetId="1">#REF!</definedName>
    <definedName name="Development_Costs">#REF!</definedName>
    <definedName name="Developmentcost">#REF!</definedName>
    <definedName name="DevelopmentCosts">#REF!</definedName>
    <definedName name="Developproforma">#REF!</definedName>
    <definedName name="devise">#REF!</definedName>
    <definedName name="devman">#REF!</definedName>
    <definedName name="devprefreturn">#REF!</definedName>
    <definedName name="DEWA">#REF!</definedName>
    <definedName name="dewghjuyidu">#REF!</definedName>
    <definedName name="df">#REF!</definedName>
    <definedName name="dfafdasdf">#REF!</definedName>
    <definedName name="DFASDFDA">#REF!</definedName>
    <definedName name="dfbd" localSheetId="1" hidden="1">{#N/A,#N/A,FALSE,"Calculator"}</definedName>
    <definedName name="dfbd" hidden="1">{#N/A,#N/A,FALSE,"Calculator"}</definedName>
    <definedName name="dfbdb" localSheetId="1" hidden="1">{#N/A,#N/A,FALSE,"Calculator"}</definedName>
    <definedName name="dfbdb" hidden="1">{#N/A,#N/A,FALSE,"Calculator"}</definedName>
    <definedName name="dfbdfb" localSheetId="1" hidden="1">{"year1",#N/A,FALSE,"IZT";"year2",#N/A,FALSE,"IZT"}</definedName>
    <definedName name="dfbdfb" hidden="1">{"year1",#N/A,FALSE,"IZT";"year2",#N/A,FALSE,"IZT"}</definedName>
    <definedName name="dfbdfbd" localSheetId="1" hidden="1">{"year1",#N/A,FALSE,"IZT";"year2",#N/A,FALSE,"IZT"}</definedName>
    <definedName name="dfbdfbd" hidden="1">{"year1",#N/A,FALSE,"IZT";"year2",#N/A,FALSE,"IZT"}</definedName>
    <definedName name="dfbg">#REF!</definedName>
    <definedName name="dfbgdfsgbg" localSheetId="1">#REF!</definedName>
    <definedName name="dfbgdfsgbg">#REF!</definedName>
    <definedName name="dfbgsdfgd" localSheetId="1">#REF!</definedName>
    <definedName name="dfbgsdfgd">#REF!</definedName>
    <definedName name="dfcc" localSheetId="1">BlankMacro1</definedName>
    <definedName name="dfcc">BlankMacro1</definedName>
    <definedName name="dfd" localSheetId="1">#REF!</definedName>
    <definedName name="dfd">#REF!</definedName>
    <definedName name="dfdddd" localSheetId="1">#REF!</definedName>
    <definedName name="dfdddd">#REF!</definedName>
    <definedName name="dfddfdfdfdf">#N/A</definedName>
    <definedName name="dfdf" localSheetId="1">#REF!</definedName>
    <definedName name="dfdf">#REF!</definedName>
    <definedName name="dfdfd" localSheetId="1" hidden="1">{#N/A,#N/A,TRUE,"Cover";#N/A,#N/A,TRUE,"Conts";#N/A,#N/A,TRUE,"VOS";#N/A,#N/A,TRUE,"Warrington";#N/A,#N/A,TRUE,"Widnes"}</definedName>
    <definedName name="dfdfd" hidden="1">{#N/A,#N/A,TRUE,"Cover";#N/A,#N/A,TRUE,"Conts";#N/A,#N/A,TRUE,"VOS";#N/A,#N/A,TRUE,"Warrington";#N/A,#N/A,TRUE,"Widnes"}</definedName>
    <definedName name="dfdfdf" localSheetId="1" hidden="1">{#N/A,#N/A,FALSE,"Tower &amp; Car Park"}</definedName>
    <definedName name="dfdfdf" hidden="1">{#N/A,#N/A,FALSE,"Tower &amp; Car Park"}</definedName>
    <definedName name="dfdfdfdfdfdfd">#N/A</definedName>
    <definedName name="DFDFF">#REF!</definedName>
    <definedName name="dfdffd" localSheetId="1">#REF!</definedName>
    <definedName name="dfdffd">#REF!</definedName>
    <definedName name="dfdffdgg" localSheetId="1">#REF!</definedName>
    <definedName name="dfdffdgg">#REF!</definedName>
    <definedName name="DFDFG">#REF!</definedName>
    <definedName name="DFDFQDFSD">#N/A</definedName>
    <definedName name="dfdfs" localSheetId="1" hidden="1">{"'Sheet1'!$A$4386:$N$4591"}</definedName>
    <definedName name="dfdfs" hidden="1">{"'Sheet1'!$A$4386:$N$4591"}</definedName>
    <definedName name="dfdfw">#REF!</definedName>
    <definedName name="DFDPROG" localSheetId="1">#REF!</definedName>
    <definedName name="DFDPROG">#REF!</definedName>
    <definedName name="DFDPROGHEADER">#REF!</definedName>
    <definedName name="DFDPROGTITLE">#REF!</definedName>
    <definedName name="DFDSCORE">#REF!</definedName>
    <definedName name="dfdsf">#REF!</definedName>
    <definedName name="dfdwew">#N/A</definedName>
    <definedName name="dfe">#REF!</definedName>
    <definedName name="dferttfr" localSheetId="1">#REF!</definedName>
    <definedName name="dferttfr">#REF!</definedName>
    <definedName name="Dff" localSheetId="1">#REF!</definedName>
    <definedName name="Dff">#REF!</definedName>
    <definedName name="dffd" localSheetId="1" hidden="1">{#N/A,#N/A,FALSE,"MARCH"}</definedName>
    <definedName name="dffd" hidden="1">{#N/A,#N/A,FALSE,"MARCH"}</definedName>
    <definedName name="dffddf" localSheetId="1">{"'Break down'!$A$4"}</definedName>
    <definedName name="dffddf">{"'Break down'!$A$4"}</definedName>
    <definedName name="dffddf_1" localSheetId="1">{"'Break down'!$A$4"}</definedName>
    <definedName name="dffddf_1">{"'Break down'!$A$4"}</definedName>
    <definedName name="dffd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">#REF!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">"Page "&amp;IF(ISNA(MATCH(ROW(),[1]!COUNT_TH2_V2__units_1___Type_D_04__900_x_2200mm_high,1)),1,MATCH(ROW(),[1]!COUNT_TH2_V2__units_1___Type_D_04__900_x_2200mm_high,1)+1)&amp;" of " &amp; [1]!CUSTOM1_Shops__GF_ + 0*NOW()</definedName>
    <definedName name="dfg">"Page "&amp;IF(ISNA(MATCH(ROW(),RowAfterpgbrk,1)),1,MATCH(ROW(),RowAfterpgbrk,1)+1)&amp;" of " &amp; TotPageCount + 0*NOW()</definedName>
    <definedName name="dfgbdfdzv">#REF!</definedName>
    <definedName name="DFGBJH">#N/A</definedName>
    <definedName name="dfgd" localSheetId="1" hidden="1">{#N/A,#N/A,TRUE,"Cover";#N/A,#N/A,TRUE,"Conts";#N/A,#N/A,TRUE,"VOS";#N/A,#N/A,TRUE,"Warrington";#N/A,#N/A,TRUE,"Widnes"}</definedName>
    <definedName name="dfgd" hidden="1">{#N/A,#N/A,TRUE,"Cover";#N/A,#N/A,TRUE,"Conts";#N/A,#N/A,TRUE,"VOS";#N/A,#N/A,TRUE,"Warrington";#N/A,#N/A,TRUE,"Widnes"}</definedName>
    <definedName name="DFGDF">#REF!</definedName>
    <definedName name="dfgdz" localSheetId="1" hidden="1">{#N/A,#N/A,FALSE,"VARIATIONS";#N/A,#N/A,FALSE,"BUDGET";#N/A,#N/A,FALSE,"CIVIL QNTY VAR";#N/A,#N/A,FALSE,"SUMMARY";#N/A,#N/A,FALSE,"MATERIAL VAR"}</definedName>
    <definedName name="dfgdz" hidden="1">{#N/A,#N/A,FALSE,"VARIATIONS";#N/A,#N/A,FALSE,"BUDGET";#N/A,#N/A,FALSE,"CIVIL QNTY VAR";#N/A,#N/A,FALSE,"SUMMARY";#N/A,#N/A,FALSE,"MATERIAL VAR"}</definedName>
    <definedName name="dfgf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g" localSheetId="1" hidden="1">{#N/A,#N/A,FALSE,"gc (2)"}</definedName>
    <definedName name="dfgg" hidden="1">{#N/A,#N/A,FALSE,"gc (2)"}</definedName>
    <definedName name="dfgh" localSheetId="1">"Page "&amp;IF(ISNA(MATCH(ROW(),[1]!COUNT_TH2_V2__units_1___Type_D_04__900_x_2200mm_high,1)),1,MATCH(ROW(),[1]!COUNT_TH2_V2__units_1___Type_D_04__900_x_2200mm_high,1)+1)&amp;" of " &amp; [1]!CUSTOM1_Shops__GF_ + 0*NOW()</definedName>
    <definedName name="dfgh">"Page "&amp;IF(ISNA(MATCH(ROW(),RowAfterpgbrk,1)),1,MATCH(ROW(),RowAfterpgbrk,1)+1)&amp;" of " &amp; TotPageCount + 0*NOW()</definedName>
    <definedName name="DFGHGJ">#N/A</definedName>
    <definedName name="dfgs" localSheetId="1" hidden="1">{#N/A,#N/A,FALSE,"Header P";#N/A,#N/A,FALSE,"Summary";#N/A,#N/A,FALSE,"CONTRACT WORKS";#N/A,#N/A,FALSE,"Variations";#N/A,#N/A,FALSE,"Dwk"}</definedName>
    <definedName name="dfgs" hidden="1">{#N/A,#N/A,FALSE,"Header P";#N/A,#N/A,FALSE,"Summary";#N/A,#N/A,FALSE,"CONTRACT WORKS";#N/A,#N/A,FALSE,"Variations";#N/A,#N/A,FALSE,"Dwk"}</definedName>
    <definedName name="dfgszrghdfxh">#N/A</definedName>
    <definedName name="DFGTAETETYER" localSheetId="1" hidden="1">{"'Break down'!$A$4"}</definedName>
    <definedName name="DFGTAETETYER" hidden="1">{"'Break down'!$A$4"}</definedName>
    <definedName name="dfguj" localSheetId="1" hidden="1">{#N/A,#N/A,FALSE,"VARIATIONS";#N/A,#N/A,FALSE,"BUDGET";#N/A,#N/A,FALSE,"CIVIL QNTY VAR";#N/A,#N/A,FALSE,"SUMMARY";#N/A,#N/A,FALSE,"MATERIAL VAR"}</definedName>
    <definedName name="dfguj" hidden="1">{#N/A,#N/A,FALSE,"VARIATIONS";#N/A,#N/A,FALSE,"BUDGET";#N/A,#N/A,FALSE,"CIVIL QNTY VAR";#N/A,#N/A,FALSE,"SUMMARY";#N/A,#N/A,FALSE,"MATERIAL VAR"}</definedName>
    <definedName name="DFGVDFVGDZGV">#N/A</definedName>
    <definedName name="DFGWSDGFSDGSGDSDG">#REF!</definedName>
    <definedName name="DFHADAWEHYWER3WYEHRQH" localSheetId="1">#REF!</definedName>
    <definedName name="DFHADAWEHYWER3WYEHRQH">#REF!</definedName>
    <definedName name="dfhb" localSheetId="1" hidden="1">{"year1",#N/A,FALSE,"IZT";"year2",#N/A,FALSE,"IZT"}</definedName>
    <definedName name="dfhb" hidden="1">{"year1",#N/A,FALSE,"IZT";"year2",#N/A,FALSE,"IZT"}</definedName>
    <definedName name="dfhfj">#REF!</definedName>
    <definedName name="dfhhhhhhhhh" hidden="1">#REF!</definedName>
    <definedName name="dfhnfdh" localSheetId="1">#REF!</definedName>
    <definedName name="dfhnfdh">#REF!</definedName>
    <definedName name="dfmlksfas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mlksfas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R">#N/A</definedName>
    <definedName name="dfsafwefwewff">#N/A</definedName>
    <definedName name="dfsd">#REF!</definedName>
    <definedName name="dfsdf" localSheetId="1">#REF!</definedName>
    <definedName name="dfsdf">#REF!</definedName>
    <definedName name="dfsdfds" localSheetId="1">#REF!</definedName>
    <definedName name="dfsdfds">#REF!</definedName>
    <definedName name="dfsdfs">#REF!</definedName>
    <definedName name="dfsdfs_1">0</definedName>
    <definedName name="dfsg" localSheetId="1" hidden="1">{#N/A,#N/A,FALSE,"估價單  (3)"}</definedName>
    <definedName name="dfsg" hidden="1">{#N/A,#N/A,FALSE,"估價單  (3)"}</definedName>
    <definedName name="dfshdfhdfhsdfhsdfh">#REF!</definedName>
    <definedName name="dftktdukt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dftktdukt">IF(ISNA(MATCH(ROW(),RowAfterpgbrk,1)),1,MATCH(ROW(),RowAfterpgbrk,1)+1)&lt;&gt;IF(ISNA(MATCH(ROW()+1,RowAfterpgbrk,1)),1,MATCH(ROW()+1,RowAfterpgbrk,1)+1)</definedName>
    <definedName name="dfv" localSheetId="1">"Page "&amp;IF(ISNA(MATCH(ROW(),[1]!COUNT_TH2_V2__units_1___Type_D_04__900_x_2200mm_high,1)),1,MATCH(ROW(),[1]!COUNT_TH2_V2__units_1___Type_D_04__900_x_2200mm_high,1)+1)&amp;" of " &amp; [1]!CUSTOM1_Shops__GF_ + 0*NOW()</definedName>
    <definedName name="dfv">"Page "&amp;IF(ISNA(MATCH(ROW(),RowAfterpgbrk,1)),1,MATCH(ROW(),RowAfterpgbrk,1)+1)&amp;" of " &amp; TotPageCount + 0*NOW()</definedName>
    <definedName name="dfvb">#REF!</definedName>
    <definedName name="dfzc" hidden="1">#REF!</definedName>
    <definedName name="dg" localSheetId="1">#REF!</definedName>
    <definedName name="dg">#REF!</definedName>
    <definedName name="DG_KVA_RATING">#REF!</definedName>
    <definedName name="dgd" localSheetId="1" hidden="1">{#N/A,#N/A,FALSE,"Calculator"}</definedName>
    <definedName name="dgd" hidden="1">{#N/A,#N/A,FALSE,"Calculator"}</definedName>
    <definedName name="DGDF">#REF!</definedName>
    <definedName name="DGDFG" localSheetId="1">#REF!</definedName>
    <definedName name="DGDFG">#REF!</definedName>
    <definedName name="dgdg">#REF!</definedName>
    <definedName name="dgf" localSheetId="1">#REF!</definedName>
    <definedName name="dgf">#REF!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gfd" localSheetId="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fsahjkl">#REF!</definedName>
    <definedName name="dgfshfj" localSheetId="1" hidden="1">{"'Break down'!$A$4"}</definedName>
    <definedName name="dgfshfj" hidden="1">{"'Break down'!$A$4"}</definedName>
    <definedName name="dggqwq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gqw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hkl" localSheetId="1" hidden="1">{"'Bill No. 7'!$A$1:$G$32"}</definedName>
    <definedName name="dghkl" hidden="1">{"'Bill No. 7'!$A$1:$G$32"}</definedName>
    <definedName name="dghp">#REF!</definedName>
    <definedName name="dgr" localSheetId="1" hidden="1">{#N/A,#N/A,FALSE,"VARIATIONS";#N/A,#N/A,FALSE,"BUDGET";#N/A,#N/A,FALSE,"CIVIL QNTY VAR";#N/A,#N/A,FALSE,"SUMMARY";#N/A,#N/A,FALSE,"MATERIAL VAR"}</definedName>
    <definedName name="dgr" hidden="1">{#N/A,#N/A,FALSE,"VARIATIONS";#N/A,#N/A,FALSE,"BUDGET";#N/A,#N/A,FALSE,"CIVIL QNTY VAR";#N/A,#N/A,FALSE,"SUMMARY";#N/A,#N/A,FALSE,"MATERIAL VAR"}</definedName>
    <definedName name="DGTH">#REF!</definedName>
    <definedName name="dgthss3" localSheetId="1">#REF!</definedName>
    <definedName name="dgthss3">#REF!</definedName>
    <definedName name="dha" localSheetId="1">#REF!</definedName>
    <definedName name="dha">#REF!</definedName>
    <definedName name="dharsha">#REF!</definedName>
    <definedName name="dhdfh" localSheetId="1" hidden="1">{#N/A,#N/A,FALSE,"물량산출"}</definedName>
    <definedName name="dhdfh" hidden="1">{#N/A,#N/A,FALSE,"물량산출"}</definedName>
    <definedName name="dhdghh" localSheetId="1" hidden="1">{#N/A,#N/A,FALSE,"포장2"}</definedName>
    <definedName name="dhdghh" hidden="1">{#N/A,#N/A,FALSE,"포장2"}</definedName>
    <definedName name="dhdhfh" localSheetId="1" hidden="1">{#N/A,#N/A,FALSE,"물량산출"}</definedName>
    <definedName name="dhdhfh" hidden="1">{#N/A,#N/A,FALSE,"물량산출"}</definedName>
    <definedName name="dhdhg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d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dh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d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fdh" localSheetId="1" hidden="1">{#N/A,#N/A,FALSE,"운반시간"}</definedName>
    <definedName name="dhfdh" hidden="1">{#N/A,#N/A,FALSE,"운반시간"}</definedName>
    <definedName name="dhg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h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hghdh" localSheetId="1" hidden="1">{#N/A,#N/A,FALSE,"갑지";#N/A,#N/A,FALSE,"개요";#N/A,#N/A,FALSE,"비목별";#N/A,#N/A,FALSE,"건물별";#N/A,#N/A,FALSE,"기구표";#N/A,#N/A,FALSE,"직원투입"}</definedName>
    <definedName name="dhghdh" hidden="1">{#N/A,#N/A,FALSE,"갑지";#N/A,#N/A,FALSE,"개요";#N/A,#N/A,FALSE,"비목별";#N/A,#N/A,FALSE,"건물별";#N/A,#N/A,FALSE,"기구표";#N/A,#N/A,FALSE,"직원투입"}</definedName>
    <definedName name="dhghjhg" localSheetId="1" hidden="1">{#N/A,#N/A,FALSE,"물량산출"}</definedName>
    <definedName name="dhghjhg" hidden="1">{#N/A,#N/A,FALSE,"물량산출"}</definedName>
    <definedName name="dh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olpur">#REF!</definedName>
    <definedName name="dhrtg" localSheetId="1" hidden="1">{#N/A,#N/A,FALSE,"VARIATIONS";#N/A,#N/A,FALSE,"BUDGET";#N/A,#N/A,FALSE,"CIVIL QNTY VAR";#N/A,#N/A,FALSE,"SUMMARY";#N/A,#N/A,FALSE,"MATERIAL VAR"}</definedName>
    <definedName name="dhrtg" hidden="1">{#N/A,#N/A,FALSE,"VARIATIONS";#N/A,#N/A,FALSE,"BUDGET";#N/A,#N/A,FALSE,"CIVIL QNTY VAR";#N/A,#N/A,FALSE,"SUMMARY";#N/A,#N/A,FALSE,"MATERIAL VAR"}</definedName>
    <definedName name="DHTML" localSheetId="1" hidden="1">{"'Sheet1'!$A$4386:$N$4591"}</definedName>
    <definedName name="DHTML" hidden="1">{"'Sheet1'!$A$4386:$N$4591"}</definedName>
    <definedName name="dhzhgh">#REF!</definedName>
    <definedName name="di">#N/A</definedName>
    <definedName name="diameter" localSheetId="1">#REF!</definedName>
    <definedName name="diameter">#REF!</definedName>
    <definedName name="diaphragm">#REF!</definedName>
    <definedName name="dIESEL">#REF!</definedName>
    <definedName name="Difference">#REF!</definedName>
    <definedName name="DILINI">#REF!</definedName>
    <definedName name="DIM" localSheetId="1" hidden="1">{#N/A,#N/A,FALSE,"CAM-G7";#N/A,#N/A,FALSE,"SPL";#N/A,#N/A,FALSE,"butt-in G7";#N/A,#N/A,FALSE,"dia-in G7";#N/A,#N/A,FALSE,"추가-STA G7"}</definedName>
    <definedName name="DIM" hidden="1">{#N/A,#N/A,FALSE,"CAM-G7";#N/A,#N/A,FALSE,"SPL";#N/A,#N/A,FALSE,"butt-in G7";#N/A,#N/A,FALSE,"dia-in G7";#N/A,#N/A,FALSE,"추가-STA G7"}</definedName>
    <definedName name="dim4_4">#REF!</definedName>
    <definedName name="dim4_4_1" localSheetId="1">#REF!</definedName>
    <definedName name="dim4_4_1">#REF!</definedName>
    <definedName name="dim4_6" localSheetId="1">#REF!</definedName>
    <definedName name="dim4_6">#REF!</definedName>
    <definedName name="dimension">#REF!</definedName>
    <definedName name="Dimming___Lighting_Control">#REF!</definedName>
    <definedName name="Dimming___Lighting_Control_Cables">#REF!</definedName>
    <definedName name="dimv">#REF!</definedName>
    <definedName name="din" localSheetId="1">#REF!</definedName>
    <definedName name="din">#REF!</definedName>
    <definedName name="DIns" localSheetId="1">#REF!</definedName>
    <definedName name="DIns">#REF!</definedName>
    <definedName name="Dir" localSheetId="1">#REF!</definedName>
    <definedName name="Dir">#REF!</definedName>
    <definedName name="DIRECT">#REF!</definedName>
    <definedName name="DIRECT_BURIAL">#REF!</definedName>
    <definedName name="DirectCost">#REF!</definedName>
    <definedName name="DIRECTHIRE_LABOR_UNIT_HOURS">#REF!,#REF!,#REF!,#REF!,#REF!,#REF!,#REF!</definedName>
    <definedName name="DIRECTHIRE_WAGE_RATE">#REF!,#REF!,#REF!,#REF!,#REF!,#REF!,#REF!</definedName>
    <definedName name="DirHrs">#N/A</definedName>
    <definedName name="DirHrs1">#N/A</definedName>
    <definedName name="DIS_UNIT">#REF!</definedName>
    <definedName name="Disaggregations" localSheetId="1">#REF!</definedName>
    <definedName name="Disaggregations">#REF!</definedName>
    <definedName name="DISB" localSheetId="1">#REF!</definedName>
    <definedName name="DISB">#REF!</definedName>
    <definedName name="disc_Prog_chart">#REF!</definedName>
    <definedName name="DiscAUD">1</definedName>
    <definedName name="DiscAV">1</definedName>
    <definedName name="DiscBMS">1</definedName>
    <definedName name="DiscDEV">1</definedName>
    <definedName name="DiscFA">1</definedName>
    <definedName name="DiscGEN">1</definedName>
    <definedName name="discipline">#REF!</definedName>
    <definedName name="Disciplines" localSheetId="1">#REF!</definedName>
    <definedName name="Disciplines">#REF!</definedName>
    <definedName name="DiscLITE">1</definedName>
    <definedName name="DiscLVcab">1</definedName>
    <definedName name="DiscMVcab">1</definedName>
    <definedName name="Discount" localSheetId="1" hidden="1">#REF!</definedName>
    <definedName name="Discount" hidden="1">#REF!</definedName>
    <definedName name="DISCOUNT_AMOUNT">#REF!</definedName>
    <definedName name="DISCOUNT_PERCENTAGE">#REF!</definedName>
    <definedName name="discount." localSheetId="1">#REF!</definedName>
    <definedName name="discount.">#REF!</definedName>
    <definedName name="DiscPA">1</definedName>
    <definedName name="DiscPNL">1</definedName>
    <definedName name="DiscRep" localSheetId="1">#REF!</definedName>
    <definedName name="DiscRep">#REF!</definedName>
    <definedName name="DiscSEC">1</definedName>
    <definedName name="DiscSUB">1</definedName>
    <definedName name="DiscSWGR">1</definedName>
    <definedName name="DiscTEL">0.79</definedName>
    <definedName name="DiscTRAFO">1</definedName>
    <definedName name="DiscTV">1</definedName>
    <definedName name="Dish_Washer_T1">#REF!</definedName>
    <definedName name="DISP" localSheetId="1">#REF!</definedName>
    <definedName name="DISP">#REF!</definedName>
    <definedName name="display_area_2" localSheetId="1" hidden="1">#REF!</definedName>
    <definedName name="display_area_2" hidden="1">#REF!</definedName>
    <definedName name="displayunit">#REF!</definedName>
    <definedName name="disposal" localSheetId="1">#REF!</definedName>
    <definedName name="disposal">#REF!</definedName>
    <definedName name="DISPOSAL__INSTALLATIONS" localSheetId="1">#REF!</definedName>
    <definedName name="DISPOSAL__INSTALLATIONS">#REF!</definedName>
    <definedName name="Disposal_Installations">#REF!</definedName>
    <definedName name="distribution" localSheetId="1">#REF!</definedName>
    <definedName name="Distribution">#REF!</definedName>
    <definedName name="Distribution_Efficiency">#REF!</definedName>
    <definedName name="div" localSheetId="1">#REF!</definedName>
    <definedName name="div">#REF!</definedName>
    <definedName name="Div1xx" localSheetId="1">IF([1]!_xlnm.Print_Area='City Walk - Comparison'!ge,"GE","ST")</definedName>
    <definedName name="Div1xx">IF([1]!fdsfsdfsdf=ge,"GE","ST")</definedName>
    <definedName name="DIVcompare">#REF!</definedName>
    <definedName name="DIXI_BGP" localSheetId="1">#REF!</definedName>
    <definedName name="DIXI_BGP">#REF!</definedName>
    <definedName name="DIXI_CC" localSheetId="1">#REF!</definedName>
    <definedName name="DIXI_CC">#REF!</definedName>
    <definedName name="DIXI_FMF" localSheetId="1">#REF!</definedName>
    <definedName name="DIXI_FMF">#REF!</definedName>
    <definedName name="DIXI_MOC">#REF!</definedName>
    <definedName name="DIXI_Sales">#REF!</definedName>
    <definedName name="DIXI_SGP">#REF!</definedName>
    <definedName name="DIXI_SMC">#REF!</definedName>
    <definedName name="dj" localSheetId="1">BlankMacro1</definedName>
    <definedName name="dj">BlankMacro1</definedName>
    <definedName name="djhdgjd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hdgjd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hgjghj" localSheetId="1" hidden="1">{#N/A,#N/A,FALSE,"2~8번"}</definedName>
    <definedName name="djhgjghj" hidden="1">{#N/A,#N/A,FALSE,"2~8번"}</definedName>
    <definedName name="djhk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hk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jii" localSheetId="1" hidden="1">{#N/A,#N/A,TRUE,"Cover";#N/A,#N/A,TRUE,"Conts";#N/A,#N/A,TRUE,"VOS";#N/A,#N/A,TRUE,"Warrington";#N/A,#N/A,TRUE,"Widnes"}</definedName>
    <definedName name="djjii" hidden="1">{#N/A,#N/A,TRUE,"Cover";#N/A,#N/A,TRUE,"Conts";#N/A,#N/A,TRUE,"VOS";#N/A,#N/A,TRUE,"Warrington";#N/A,#N/A,TRUE,"Widnes"}</definedName>
    <definedName name="djjii_1" localSheetId="1" hidden="1">{#N/A,#N/A,TRUE,"Cover";#N/A,#N/A,TRUE,"Conts";#N/A,#N/A,TRUE,"VOS";#N/A,#N/A,TRUE,"Warrington";#N/A,#N/A,TRUE,"Widnes"}</definedName>
    <definedName name="djjii_1" hidden="1">{#N/A,#N/A,TRUE,"Cover";#N/A,#N/A,TRUE,"Conts";#N/A,#N/A,TRUE,"VOS";#N/A,#N/A,TRUE,"Warrington";#N/A,#N/A,TRUE,"Widnes"}</definedName>
    <definedName name="dk" localSheetId="1">#REF!</definedName>
    <definedName name="dk">#REF!</definedName>
    <definedName name="dk_1">0</definedName>
    <definedName name="dk4_">#REF!</definedName>
    <definedName name="dk4__1">0</definedName>
    <definedName name="DKD" localSheetId="1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K">#REF!</definedName>
    <definedName name="dl" localSheetId="1">#REF!</definedName>
    <definedName name="dl">#REF!</definedName>
    <definedName name="dl___0" localSheetId="1">#REF!</definedName>
    <definedName name="dl___0">#REF!</definedName>
    <definedName name="dl___13">#REF!</definedName>
    <definedName name="DLchannel">#REF!</definedName>
    <definedName name="DLD" localSheetId="1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gBearbAnzeigen" localSheetId="1">'City Walk - Comparison'!DlgBearbAnzeigen</definedName>
    <definedName name="DlgBearbAnzeigen">[1]!DlgBearbAnzeigen</definedName>
    <definedName name="DlgSchaltfAnzeigen" localSheetId="1">'City Walk - Comparison'!DlgSchaltfAnzeigen</definedName>
    <definedName name="DlgSchaltfAnzeigen">[1]!DlgSchaltfAnzeigen</definedName>
    <definedName name="dlog" localSheetId="1">#REF!</definedName>
    <definedName name="dlog">#REF!</definedName>
    <definedName name="DLP" localSheetId="1">#REF!</definedName>
    <definedName name="DLP">#REF!</definedName>
    <definedName name="dm">0.8</definedName>
    <definedName name="DM_Area_Deductables" localSheetId="1">#REF!</definedName>
    <definedName name="DM_Area_Deductables">#REF!</definedName>
    <definedName name="DMargin" localSheetId="1">#REF!</definedName>
    <definedName name="DMargin">#REF!</definedName>
    <definedName name="DMF_Engineering">#REF!</definedName>
    <definedName name="dmfds">#REF!</definedName>
    <definedName name="dn" localSheetId="1" hidden="1">{#N/A,#N/A,FALSE,"혼합골재"}</definedName>
    <definedName name="dn" hidden="1">{#N/A,#N/A,FALSE,"혼합골재"}</definedName>
    <definedName name="dndgtable">#REF!</definedName>
    <definedName name="dnfgjkdshgljkshdjkgls" hidden="1">#REF!</definedName>
    <definedName name="dngshfdzg" localSheetId="1">#REF!</definedName>
    <definedName name="dngshfdzg">#REF!</definedName>
    <definedName name="do" localSheetId="1" hidden="1">{#N/A,#N/A,TRUE,"Cover";#N/A,#N/A,TRUE,"Conts";#N/A,#N/A,TRUE,"VOS";#N/A,#N/A,TRUE,"Warrington";#N/A,#N/A,TRUE,"Widnes"}</definedName>
    <definedName name="do" hidden="1">{#N/A,#N/A,TRUE,"Cover";#N/A,#N/A,TRUE,"Conts";#N/A,#N/A,TRUE,"VOS";#N/A,#N/A,TRUE,"Warrington";#N/A,#N/A,TRUE,"Widnes"}</definedName>
    <definedName name="DOC">#REF!</definedName>
    <definedName name="Doc_Hrs" localSheetId="1">#REF!</definedName>
    <definedName name="Doc_Hrs">#REF!</definedName>
    <definedName name="DocType" localSheetId="1">________saj2</definedName>
    <definedName name="DocType">[1]!ARCH_OLD_PROD</definedName>
    <definedName name="docu" localSheetId="1">#REF!</definedName>
    <definedName name="docu">#REF!</definedName>
    <definedName name="DOCUMENT" localSheetId="1">{"Book1","my ddc.xls"}</definedName>
    <definedName name="DOCUMENT">{"Book1","my ddc.xls"}</definedName>
    <definedName name="Document_array" localSheetId="1">{"Book1","DOC&amp;DWG.xls"}</definedName>
    <definedName name="Document_array">{"Book1","DOC&amp;DWG.xls"}</definedName>
    <definedName name="Documents_array">#REF!</definedName>
    <definedName name="dokaris" hidden="1">#REF!</definedName>
    <definedName name="dongia" localSheetId="1">#REF!</definedName>
    <definedName name="dongia">#REF!</definedName>
    <definedName name="DONGRE_ASSOCIATES______________PROJECT">#REF!</definedName>
    <definedName name="donotuse1" localSheetId="1">#REF!</definedName>
    <definedName name="donotuse1">#REF!</definedName>
    <definedName name="donotuse10" localSheetId="1">#REF!</definedName>
    <definedName name="donotuse10">#REF!</definedName>
    <definedName name="donotuse12" localSheetId="1">#REF!</definedName>
    <definedName name="donotuse12">#REF!</definedName>
    <definedName name="donotuse14">#REF!</definedName>
    <definedName name="donotuse15">#REF!</definedName>
    <definedName name="donotuse2">#REF!</definedName>
    <definedName name="DOO" localSheetId="1">OFFSET('City Walk - Comparison'!Full_Print,0,0,[1]!CUSTOM1_DP3_3500x1900x350)</definedName>
    <definedName name="DOO">OFFSET(Full_Print,0,0,SEE)</definedName>
    <definedName name="door" localSheetId="1" hidden="1">{"'Break down'!$A$4"}</definedName>
    <definedName name="door" hidden="1">{"'Break down'!$A$4"}</definedName>
    <definedName name="Door_no">#REF!</definedName>
    <definedName name="DOOR_Painting" localSheetId="1">#REF!</definedName>
    <definedName name="DOOR_Painting">#REF!</definedName>
    <definedName name="Door_Seal" localSheetId="1">#REF!</definedName>
    <definedName name="Door_Seal">#REF!</definedName>
    <definedName name="door1" localSheetId="1" hidden="1">{"'Break down'!$A$4"}</definedName>
    <definedName name="door1" hidden="1">{"'Break down'!$A$4"}</definedName>
    <definedName name="DOORS" localSheetId="1">#REF!</definedName>
    <definedName name="Doors">#REF!</definedName>
    <definedName name="doorsill">#REF!,#REF!,#REF!</definedName>
    <definedName name="Dor" localSheetId="1">#REF!</definedName>
    <definedName name="Dor">#REF!</definedName>
    <definedName name="dosteen" localSheetId="1" hidden="1">{#N/A,#N/A,FALSE,"估價單  (3)"}</definedName>
    <definedName name="dosteen" hidden="1">{#N/A,#N/A,FALSE,"估價單  (3)"}</definedName>
    <definedName name="DOW_CORNING_789_SILICONE_SEALANT" localSheetId="1">#REF!</definedName>
    <definedName name="DOW_CORNING_789_SILICONE_SEALANT">#REF!</definedName>
    <definedName name="DownP" localSheetId="1">#REF!</definedName>
    <definedName name="DownP">#REF!</definedName>
    <definedName name="DP">#REF!</definedName>
    <definedName name="dP_INST">#REF!</definedName>
    <definedName name="dpc">#REF!</definedName>
    <definedName name="dpd">#REF!</definedName>
    <definedName name="dpm">#REF!</definedName>
    <definedName name="dpr" localSheetId="1" hidden="1">{"'Sheet1'!$A$4386:$N$4591"}</definedName>
    <definedName name="dpr" hidden="1">{"'Sheet1'!$A$4386:$N$4591"}</definedName>
    <definedName name="dpSC">#REF!</definedName>
    <definedName name="dq">#REF!</definedName>
    <definedName name="dr" localSheetId="1">#N/A</definedName>
    <definedName name="dr">#REF!</definedName>
    <definedName name="Dr_rate" localSheetId="1">#REF!</definedName>
    <definedName name="Dr_rate">#REF!</definedName>
    <definedName name="Dra">#REF!</definedName>
    <definedName name="draft">#REF!</definedName>
    <definedName name="Draft_4__BR">#REF!</definedName>
    <definedName name="Drain_Length">#REF!</definedName>
    <definedName name="drain_trap">#REF!</definedName>
    <definedName name="DRAINAGE">#REF!</definedName>
    <definedName name="DrainSpecs">#REF!</definedName>
    <definedName name="dranage">#N/A</definedName>
    <definedName name="Drawdown_Reconciled_Flag">#REF!</definedName>
    <definedName name="drawingnr" localSheetId="1">#REF!</definedName>
    <definedName name="drawingnr">#REF!</definedName>
    <definedName name="Drawings1">#N/A</definedName>
    <definedName name="Dref" localSheetId="1">#REF!</definedName>
    <definedName name="Dref">#REF!</definedName>
    <definedName name="Drehfeld_Klick" localSheetId="1">'City Walk - Comparison'!Drehfeld_Klick</definedName>
    <definedName name="Drehfeld_Klick">[1]!Drehfeld_Klick</definedName>
    <definedName name="drill" localSheetId="1">#REF!</definedName>
    <definedName name="drill">#REF!</definedName>
    <definedName name="driver">#N/A</definedName>
    <definedName name="DRIVER_INFO">#REF!,#REF!,#REF!,#REF!,#REF!,#REF!</definedName>
    <definedName name="drnh" localSheetId="1">#REF!</definedName>
    <definedName name="drnh">#REF!</definedName>
    <definedName name="DROP_DOWN_ARCH" localSheetId="1">#REF!</definedName>
    <definedName name="DROP_DOWN_ARCH">#REF!</definedName>
    <definedName name="dropblkQ" localSheetId="1">#REF!</definedName>
    <definedName name="dropblkQ">#REF!</definedName>
    <definedName name="DropData">#REF!</definedName>
    <definedName name="DROW">#N/A</definedName>
    <definedName name="drs" localSheetId="1">#REF!</definedName>
    <definedName name="drs">#REF!</definedName>
    <definedName name="DRT">#N/A</definedName>
    <definedName name="drwlam1" localSheetId="1">#REF!</definedName>
    <definedName name="drwlam1">#REF!</definedName>
    <definedName name="drwven1" localSheetId="1">#REF!</definedName>
    <definedName name="drwven1">#REF!</definedName>
    <definedName name="Dryer_T1">#REF!</definedName>
    <definedName name="drytytuyu" localSheetId="1" hidden="1">{#N/A,#N/A,TRUE,"Cover";#N/A,#N/A,TRUE,"Conts";#N/A,#N/A,TRUE,"VOS";#N/A,#N/A,TRUE,"Warrington";#N/A,#N/A,TRUE,"Widnes"}</definedName>
    <definedName name="drytytuyu" hidden="1">{#N/A,#N/A,TRUE,"Cover";#N/A,#N/A,TRUE,"Conts";#N/A,#N/A,TRUE,"VOS";#N/A,#N/A,TRUE,"Warrington";#N/A,#N/A,TRUE,"Widnes"}</definedName>
    <definedName name="drytytuyu_1" localSheetId="1" hidden="1">{#N/A,#N/A,TRUE,"Cover";#N/A,#N/A,TRUE,"Conts";#N/A,#N/A,TRUE,"VOS";#N/A,#N/A,TRUE,"Warrington";#N/A,#N/A,TRUE,"Widnes"}</definedName>
    <definedName name="drytytuyu_1" hidden="1">{#N/A,#N/A,TRUE,"Cover";#N/A,#N/A,TRUE,"Conts";#N/A,#N/A,TRUE,"VOS";#N/A,#N/A,TRUE,"Warrington";#N/A,#N/A,TRUE,"Widnes"}</definedName>
    <definedName name="ds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__0">#REF!</definedName>
    <definedName name="Ds___13" localSheetId="1">#REF!</definedName>
    <definedName name="Ds___13">#REF!</definedName>
    <definedName name="DSA" localSheetId="1" hidden="1">{#N/A,#N/A,FALSE,"물량산출"}</definedName>
    <definedName name="DSA" hidden="1">{#N/A,#N/A,FALSE,"물량산출"}</definedName>
    <definedName name="dsadaD" localSheetId="1" hidden="1">{#N/A,#N/A,FALSE,"COVER1.XLS ";#N/A,#N/A,FALSE,"RACT1.XLS";#N/A,#N/A,FALSE,"RACT2.XLS";#N/A,#N/A,FALSE,"ECCMP";#N/A,#N/A,FALSE,"WELDER.XLS"}</definedName>
    <definedName name="dsadaD" hidden="1">{#N/A,#N/A,FALSE,"COVER1.XLS ";#N/A,#N/A,FALSE,"RACT1.XLS";#N/A,#N/A,FALSE,"RACT2.XLS";#N/A,#N/A,FALSE,"ECCMP";#N/A,#N/A,FALSE,"WELDER.XLS"}</definedName>
    <definedName name="dsd" localSheetId="1" hidden="1">{#N/A,#N/A,FALSE,"포장1";#N/A,#N/A,FALSE,"포장1"}</definedName>
    <definedName name="dsd" hidden="1">{#N/A,#N/A,FALSE,"포장1";#N/A,#N/A,FALSE,"포장1"}</definedName>
    <definedName name="dsdasff">#REF!</definedName>
    <definedName name="dsderer">#N/A</definedName>
    <definedName name="DSDF">#N/A</definedName>
    <definedName name="dsds">#REF!</definedName>
    <definedName name="DSDSC">#N/A</definedName>
    <definedName name="dsdsds" localSheetId="1" hidden="1">#REF!</definedName>
    <definedName name="dsdsds" hidden="1">#REF!</definedName>
    <definedName name="dsdsdsds">#N/A</definedName>
    <definedName name="DSDSDSDSDD">#N/A</definedName>
    <definedName name="DSDSDSDSDSD">#N/A</definedName>
    <definedName name="dsdsdsdss">#N/A</definedName>
    <definedName name="dsdsdsdsss">#N/A</definedName>
    <definedName name="dsdssds">#N/A</definedName>
    <definedName name="dsdssdsddsdsdssd">#N/A</definedName>
    <definedName name="dsdud" localSheetId="1">#REF!</definedName>
    <definedName name="dsdud">#REF!</definedName>
    <definedName name="dsf" localSheetId="1" hidden="1">{#N/A,#N/A,FALSE,"估價單  (3)"}</definedName>
    <definedName name="dsf" hidden="1">{#N/A,#N/A,FALSE,"估價單  (3)"}</definedName>
    <definedName name="dsfasfgssga">#REF!</definedName>
    <definedName name="dsfdsfdsfdasfdfs" localSheetId="1">#REF!</definedName>
    <definedName name="dsfdsfdsfdasfdfs">#REF!</definedName>
    <definedName name="dsfdsffsdf" localSheetId="1">#REF!</definedName>
    <definedName name="dsfdsffsdf">#REF!</definedName>
    <definedName name="DSFEEERER">#N/A</definedName>
    <definedName name="dsfg" localSheetId="1" hidden="1">{#N/A,#N/A,FALSE,"估價單  (3)"}</definedName>
    <definedName name="dsfg" hidden="1">{#N/A,#N/A,FALSE,"估價單  (3)"}</definedName>
    <definedName name="DSFGDRSTRY">#N/A</definedName>
    <definedName name="dsflkj">#REF!</definedName>
    <definedName name="dsfsf">#N/A</definedName>
    <definedName name="dsfsfs">#REF!</definedName>
    <definedName name="dsgfdgdg" localSheetId="1">#REF!</definedName>
    <definedName name="dsgfdgdg">#REF!</definedName>
    <definedName name="DSM" localSheetId="1">#REF!</definedName>
    <definedName name="DSM">#REF!</definedName>
    <definedName name="dsmnfsf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mnfsf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N">#REF!</definedName>
    <definedName name="DSNN" localSheetId="1">#REF!</definedName>
    <definedName name="DSNN">#REF!</definedName>
    <definedName name="DSRA_Calc">#REF!</definedName>
    <definedName name="DSRA_COPY">#REF!</definedName>
    <definedName name="dsra_hcpaste" localSheetId="1">#N/A</definedName>
    <definedName name="dsra_hcpaste">OFFSET(DSRA_Calc,Option,0)</definedName>
    <definedName name="dsrs" localSheetId="1">#REF!</definedName>
    <definedName name="dsrs">#REF!</definedName>
    <definedName name="dss">#REF!</definedName>
    <definedName name="dssdsdsdsdsdsd">#N/A</definedName>
    <definedName name="dssdss">#N/A</definedName>
    <definedName name="dsssd">#N/A</definedName>
    <definedName name="DSSSV">#N/A</definedName>
    <definedName name="DST" localSheetId="1">#REF!</definedName>
    <definedName name="DST">#REF!</definedName>
    <definedName name="dstb" localSheetId="1">#REF!</definedName>
    <definedName name="dstb">#REF!</definedName>
    <definedName name="DSUMDATA">#REF!</definedName>
    <definedName name="DSUMF">#REF!</definedName>
    <definedName name="DSumRange">#REF!</definedName>
    <definedName name="dsvfsda">#REF!</definedName>
    <definedName name="DT">#REF!</definedName>
    <definedName name="DT_A2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DT_A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DTCMS_Steps" localSheetId="1">#REF!</definedName>
    <definedName name="DTCMS_Steps">#REF!</definedName>
    <definedName name="dtdry" localSheetId="1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dry_1" localSheetId="1" hidden="1">{#N/A,#N/A,TRUE,"Cover";#N/A,#N/A,TRUE,"Conts";#N/A,#N/A,TRUE,"VOS";#N/A,#N/A,TRUE,"Warrington";#N/A,#N/A,TRUE,"Widnes"}</definedName>
    <definedName name="dtdry_1" hidden="1">{#N/A,#N/A,TRUE,"Cover";#N/A,#N/A,TRUE,"Conts";#N/A,#N/A,TRUE,"VOS";#N/A,#N/A,TRUE,"Warrington";#N/A,#N/A,TRUE,"Widnes"}</definedName>
    <definedName name="dtest" localSheetId="1" hidden="1">{#N/A,#N/A,FALSE,"Tower &amp; Car Park"}</definedName>
    <definedName name="dtest" hidden="1">{#N/A,#N/A,FALSE,"Tower &amp; Car Park"}</definedName>
    <definedName name="dthy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hy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j" localSheetId="1">BlankMacro1</definedName>
    <definedName name="dtj">BlankMacro1</definedName>
    <definedName name="dtngn" localSheetId="1" hidden="1">{"'Break down'!$A$4"}</definedName>
    <definedName name="dtngn" hidden="1">{"'Break down'!$A$4"}</definedName>
    <definedName name="dtr">#REF!</definedName>
    <definedName name="DTS">#REF!</definedName>
    <definedName name="DTSORT">#REF!</definedName>
    <definedName name="dturuthju" localSheetId="1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turuthju_1" localSheetId="1" hidden="1">{#N/A,#N/A,TRUE,"Cover";#N/A,#N/A,TRUE,"Conts";#N/A,#N/A,TRUE,"VOS";#N/A,#N/A,TRUE,"Warrington";#N/A,#N/A,TRUE,"Widnes"}</definedName>
    <definedName name="dturuthju_1" hidden="1">{#N/A,#N/A,TRUE,"Cover";#N/A,#N/A,TRUE,"Conts";#N/A,#N/A,TRUE,"VOS";#N/A,#N/A,TRUE,"Warrington";#N/A,#N/A,TRUE,"Widnes"}</definedName>
    <definedName name="DTYPE">#REF!</definedName>
    <definedName name="dtyusd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sd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ual_plate_check" localSheetId="1">#REF!</definedName>
    <definedName name="dual_plate_check">#REF!</definedName>
    <definedName name="Dual_Ported_RTU_with_interface_cabinet_and_equipped_capacity" localSheetId="1">#REF!</definedName>
    <definedName name="Dual_Ported_RTU_with_interface_cabinet_and_equipped_capacity">#REF!</definedName>
    <definedName name="Dubai_Civil_Defense">#REF!</definedName>
    <definedName name="Dubai_Gulf_Contracting_LLC">#REF!</definedName>
    <definedName name="Dubai_Municipality_">#REF!</definedName>
    <definedName name="duco">#REF!</definedName>
    <definedName name="DUCT" localSheetId="1">#REF!</definedName>
    <definedName name="DUCT">#REF!</definedName>
    <definedName name="Duct_Plaster">#REF!</definedName>
    <definedName name="DUCTS">#N/A</definedName>
    <definedName name="DuctworkCarpark" localSheetId="1">#REF!</definedName>
    <definedName name="DuctworkCarpark">#REF!</definedName>
    <definedName name="DuctworkCarpark1" localSheetId="1">#REF!</definedName>
    <definedName name="DuctworkCarpark1">#REF!</definedName>
    <definedName name="DuctworkTowerBldg" localSheetId="1">#REF!</definedName>
    <definedName name="DuctworkTowerBldg">#REF!</definedName>
    <definedName name="dueuuiyj" localSheetId="1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ueuuiyj_1" localSheetId="1" hidden="1">{#N/A,#N/A,TRUE,"Cover";#N/A,#N/A,TRUE,"Conts";#N/A,#N/A,TRUE,"VOS";#N/A,#N/A,TRUE,"Warrington";#N/A,#N/A,TRUE,"Widnes"}</definedName>
    <definedName name="dueuuiyj_1" hidden="1">{#N/A,#N/A,TRUE,"Cover";#N/A,#N/A,TRUE,"Conts";#N/A,#N/A,TRUE,"VOS";#N/A,#N/A,TRUE,"Warrington";#N/A,#N/A,TRUE,"Widnes"}</definedName>
    <definedName name="dummy">#N/A</definedName>
    <definedName name="duplex_strainer" localSheetId="1">#REF!</definedName>
    <definedName name="duplex_strainer">#REF!</definedName>
    <definedName name="Duration" localSheetId="1">#REF!</definedName>
    <definedName name="Duration">#REF!</definedName>
    <definedName name="Duration1" localSheetId="1">#REF!</definedName>
    <definedName name="Duration1">#REF!</definedName>
    <definedName name="DurationCalc">#REF!</definedName>
    <definedName name="durchschnittl_MuA">#REF!</definedName>
    <definedName name="durlam2">#REF!</definedName>
    <definedName name="durlum">#REF!</definedName>
    <definedName name="Dut_Cab_Jap" localSheetId="1">#REF!</definedName>
    <definedName name="Dut_Cab_Jap">#REF!</definedName>
    <definedName name="Dut_Cab_US" localSheetId="1">#REF!</definedName>
    <definedName name="Dut_Cab_US">#REF!</definedName>
    <definedName name="Dut_Pow_Jap" localSheetId="1">#REF!</definedName>
    <definedName name="Dut_Pow_Jap">#REF!</definedName>
    <definedName name="Dut_Pow_US">#REF!</definedName>
    <definedName name="Dut_TE_Jap">#REF!</definedName>
    <definedName name="Dut_TE_US">#REF!</definedName>
    <definedName name="duyetyd" localSheetId="1">BlankMacro1</definedName>
    <definedName name="duyetyd">BlankMacro1</definedName>
    <definedName name="dvbd.test4" localSheetId="1" hidden="1">{#N/A,#N/A,FALSE,"Calculator"}</definedName>
    <definedName name="dvbd.test4" hidden="1">{#N/A,#N/A,FALSE,"Calculator"}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IN">#REF!</definedName>
    <definedName name="dvin1" localSheetId="1">#REF!</definedName>
    <definedName name="dvin1">#REF!</definedName>
    <definedName name="DVM_Clients" localSheetId="1">#REF!</definedName>
    <definedName name="DVM_Clients">#REF!</definedName>
    <definedName name="DVNAM">"PRT05"</definedName>
    <definedName name="DVSA">#REF!</definedName>
    <definedName name="dvsfdgdf" hidden="1">#REF!</definedName>
    <definedName name="DVTYP">"PRINTER"</definedName>
    <definedName name="dw" localSheetId="1">#REF!</definedName>
    <definedName name="dw">#REF!</definedName>
    <definedName name="dw_1">0</definedName>
    <definedName name="DW9_">#N/A</definedName>
    <definedName name="DWAmt" localSheetId="1">#REF!</definedName>
    <definedName name="DWAmt">#REF!</definedName>
    <definedName name="dwdwdw">#REF!</definedName>
    <definedName name="dweqfewf">#N/A</definedName>
    <definedName name="DWETF34TG45E">#N/A</definedName>
    <definedName name="dweww">#N/A</definedName>
    <definedName name="DWGREG" localSheetId="1">#REF!</definedName>
    <definedName name="DWGREG">#REF!</definedName>
    <definedName name="dwgy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ydfugfuj" localSheetId="1" hidden="1">{#N/A,#N/A,TRUE,"Cover";#N/A,#N/A,TRUE,"Conts";#N/A,#N/A,TRUE,"VOS";#N/A,#N/A,TRUE,"Warrington";#N/A,#N/A,TRUE,"Widnes"}</definedName>
    <definedName name="dydfugfuj" hidden="1">{#N/A,#N/A,TRUE,"Cover";#N/A,#N/A,TRUE,"Conts";#N/A,#N/A,TRUE,"VOS";#N/A,#N/A,TRUE,"Warrington";#N/A,#N/A,TRUE,"Widnes"}</definedName>
    <definedName name="dydfugfuj_1" localSheetId="1" hidden="1">{#N/A,#N/A,TRUE,"Cover";#N/A,#N/A,TRUE,"Conts";#N/A,#N/A,TRUE,"VOS";#N/A,#N/A,TRUE,"Warrington";#N/A,#N/A,TRUE,"Widnes"}</definedName>
    <definedName name="dydfugfuj_1" hidden="1">{#N/A,#N/A,TRUE,"Cover";#N/A,#N/A,TRUE,"Conts";#N/A,#N/A,TRUE,"VOS";#N/A,#N/A,TRUE,"Warrington";#N/A,#N/A,TRUE,"Widnes"}</definedName>
    <definedName name="dyj" localSheetId="1">BlankMacro1</definedName>
    <definedName name="dyj">BlankMacro1</definedName>
    <definedName name="dytyyx">#N/A</definedName>
    <definedName name="dyuiuouo" localSheetId="1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dyuiuouo_1" localSheetId="1" hidden="1">{#N/A,#N/A,TRUE,"Cover";#N/A,#N/A,TRUE,"Conts";#N/A,#N/A,TRUE,"VOS";#N/A,#N/A,TRUE,"Warrington";#N/A,#N/A,TRUE,"Widnes"}</definedName>
    <definedName name="dyuiuouo_1" hidden="1">{#N/A,#N/A,TRUE,"Cover";#N/A,#N/A,TRUE,"Conts";#N/A,#N/A,TRUE,"VOS";#N/A,#N/A,TRUE,"Warrington";#N/A,#N/A,TRUE,"Widnes"}</definedName>
    <definedName name="E" localSheetId="1">#REF!</definedName>
    <definedName name="E">#REF!</definedName>
    <definedName name="e___0">#REF!</definedName>
    <definedName name="e___0___0">"$#REF!.$#REF!$#REF!"</definedName>
    <definedName name="e___0___3">"$#REF!.$#REF!$#REF!"</definedName>
    <definedName name="e___0___4">"$#REF!.$#REF!$#REF!"</definedName>
    <definedName name="e___2">#REF!</definedName>
    <definedName name="e___2___0">"$#REF!.$#REF!$#REF!"</definedName>
    <definedName name="e___2___3">"$#REF!.$#REF!$#REF!"</definedName>
    <definedName name="e___3">#REF!</definedName>
    <definedName name="e___3___0">"$#REF!.$#REF!$#REF!"</definedName>
    <definedName name="e___3___3">"$#REF!.$#REF!$#REF!"</definedName>
    <definedName name="e___3___4">"$#REF!.$#REF!$#REF!"</definedName>
    <definedName name="e___4">#REF!</definedName>
    <definedName name="e___4___0">"$#REF!.$#REF!$#REF!"</definedName>
    <definedName name="e___4___3">"$#REF!.$#REF!$#REF!"</definedName>
    <definedName name="e___7">"$#REF!.$#REF!$#REF!"</definedName>
    <definedName name="E__Clear" localSheetId="1">#REF!</definedName>
    <definedName name="E__Clear">#REF!</definedName>
    <definedName name="E_1">0</definedName>
    <definedName name="E_22" localSheetId="1">#REF!</definedName>
    <definedName name="E_22">#REF!</definedName>
    <definedName name="E_AND_R">#REF!</definedName>
    <definedName name="e_coat" localSheetId="1">#REF!</definedName>
    <definedName name="e_coat">#REF!</definedName>
    <definedName name="E_MONTH">#REF!</definedName>
    <definedName name="E_MONTH_CUM">#REF!</definedName>
    <definedName name="E_MONTH_INCR">#REF!</definedName>
    <definedName name="e_r">#REF!</definedName>
    <definedName name="E_score">#REF!</definedName>
    <definedName name="E_STAFF" localSheetId="1">#REF!</definedName>
    <definedName name="E_STAFF">#REF!</definedName>
    <definedName name="E_STAFF_SUP_ACT">#REF!</definedName>
    <definedName name="E_STAFF_SUP_FR">#REF!</definedName>
    <definedName name="E_STAFF_SUP_PLN">#REF!</definedName>
    <definedName name="E_STAFF_TOT_ACT">#REF!</definedName>
    <definedName name="E_STAFF_TOT_FR">#REF!</definedName>
    <definedName name="E_STAFF_TOT_PLN">#REF!</definedName>
    <definedName name="E_TM">#REF!</definedName>
    <definedName name="E_TOT_ACT">#REF!</definedName>
    <definedName name="E_TOT_FRCST">#REF!</definedName>
    <definedName name="E_TOT_PLAN">#REF!</definedName>
    <definedName name="E_Waterproofing">#REF!</definedName>
    <definedName name="e.1" localSheetId="1">#REF!</definedName>
    <definedName name="e.1">#REF!</definedName>
    <definedName name="e.10">#REF!</definedName>
    <definedName name="e.11">#REF!</definedName>
    <definedName name="e.12">#REF!</definedName>
    <definedName name="e.13">#REF!</definedName>
    <definedName name="e.14">#REF!</definedName>
    <definedName name="e.15">#REF!</definedName>
    <definedName name="e.16">#REF!</definedName>
    <definedName name="e.17">#REF!</definedName>
    <definedName name="e.18">#REF!</definedName>
    <definedName name="e.19">#REF!</definedName>
    <definedName name="e.2">#REF!</definedName>
    <definedName name="e.20">#REF!</definedName>
    <definedName name="e.21">#REF!</definedName>
    <definedName name="e.22">#REF!</definedName>
    <definedName name="e.23">#REF!</definedName>
    <definedName name="e.24">#REF!</definedName>
    <definedName name="e.3">#REF!</definedName>
    <definedName name="e.4">#REF!</definedName>
    <definedName name="e.5">#REF!</definedName>
    <definedName name="e.6">#REF!</definedName>
    <definedName name="e.7">#REF!</definedName>
    <definedName name="e.8">#REF!</definedName>
    <definedName name="e.9">#REF!</definedName>
    <definedName name="E2D">1.25</definedName>
    <definedName name="e2q">#REF!</definedName>
    <definedName name="E2T4">#N/A</definedName>
    <definedName name="e2u" localSheetId="1">#REF!</definedName>
    <definedName name="e2u">#REF!</definedName>
    <definedName name="e3u" localSheetId="1">#REF!</definedName>
    <definedName name="e3u">#REF!</definedName>
    <definedName name="e3u_3" localSheetId="1">#REF!</definedName>
    <definedName name="e3u_3">#REF!</definedName>
    <definedName name="e4tae" localSheetId="1" hidden="1">{#N/A,#N/A,FALSE,"VARIATIONS";#N/A,#N/A,FALSE,"BUDGET";#N/A,#N/A,FALSE,"CIVIL QNTY VAR";#N/A,#N/A,FALSE,"SUMMARY";#N/A,#N/A,FALSE,"MATERIAL VAR"}</definedName>
    <definedName name="e4tae" hidden="1">{#N/A,#N/A,FALSE,"VARIATIONS";#N/A,#N/A,FALSE,"BUDGET";#N/A,#N/A,FALSE,"CIVIL QNTY VAR";#N/A,#N/A,FALSE,"SUMMARY";#N/A,#N/A,FALSE,"MATERIAL VAR"}</definedName>
    <definedName name="Eagle_Electromechanical_Co._LLC">#REF!</definedName>
    <definedName name="eagrga" localSheetId="1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agrga_1" localSheetId="1" hidden="1">{#N/A,#N/A,TRUE,"Cover";#N/A,#N/A,TRUE,"Conts";#N/A,#N/A,TRUE,"VOS";#N/A,#N/A,TRUE,"Warrington";#N/A,#N/A,TRUE,"Widnes"}</definedName>
    <definedName name="eagrga_1" hidden="1">{#N/A,#N/A,TRUE,"Cover";#N/A,#N/A,TRUE,"Conts";#N/A,#N/A,TRUE,"VOS";#N/A,#N/A,TRUE,"Warrington";#N/A,#N/A,TRUE,"Widnes"}</definedName>
    <definedName name="Early_Warnings">#REF!</definedName>
    <definedName name="Earned_CTD">#REF!</definedName>
    <definedName name="Earth_Leakage">#REF!</definedName>
    <definedName name="Earth_p60" localSheetId="1">#REF!</definedName>
    <definedName name="Earth_p60">#REF!</definedName>
    <definedName name="Earth_p70">#REF!</definedName>
    <definedName name="Earth_p90">#REF!</definedName>
    <definedName name="EARTH_WORK">#REF!</definedName>
    <definedName name="Earthworks">#REF!</definedName>
    <definedName name="EAT">#REF!</definedName>
    <definedName name="Ebc">#REF!</definedName>
    <definedName name="Ecart3" localSheetId="1">SUM(#REF!)-SUM(#REF!)</definedName>
    <definedName name="Ecart3">SUM(#REF!)-SUM(#REF!)</definedName>
    <definedName name="ECC_Size">#REF!</definedName>
    <definedName name="ECH">OFFSET(#REF!,1,0,COUNTA(#REF!)-(#REF!+3))</definedName>
    <definedName name="ECHCert">OFFSET(#REF!,1,0,COUNTA(#REF!)-(#REF!+2))</definedName>
    <definedName name="ECList">#REF!</definedName>
    <definedName name="EconIndicators" localSheetId="1">#REF!</definedName>
    <definedName name="EconIndicators">#REF!</definedName>
    <definedName name="EconIndPrimary">#REF!</definedName>
    <definedName name="Economic_Ground_Rent">#REF!</definedName>
    <definedName name="Economy">#REF!</definedName>
    <definedName name="ECOPHON">#REF!</definedName>
    <definedName name="ECP">#REF!</definedName>
    <definedName name="ECU" localSheetId="1">#REF!</definedName>
    <definedName name="ECU">#REF!</definedName>
    <definedName name="ed" localSheetId="1">#REF!</definedName>
    <definedName name="ed">#REF!</definedName>
    <definedName name="EData">#REF!</definedName>
    <definedName name="edd" localSheetId="1">#REF!</definedName>
    <definedName name="edd">#REF!</definedName>
    <definedName name="edgar" localSheetId="1">#REF!</definedName>
    <definedName name="edgar">#REF!</definedName>
    <definedName name="edsed" localSheetId="1" hidden="1">#REF!</definedName>
    <definedName name="edsed" hidden="1">#REF!</definedName>
    <definedName name="edtg" localSheetId="1" hidden="1">{#N/A,#N/A,FALSE,"Header P";#N/A,#N/A,FALSE,"Summary";#N/A,#N/A,FALSE,"CONTRACT WORKS";#N/A,#N/A,FALSE,"Variations";#N/A,#N/A,FALSE,"Dwk"}</definedName>
    <definedName name="edtg" hidden="1">{#N/A,#N/A,FALSE,"Header P";#N/A,#N/A,FALSE,"Summary";#N/A,#N/A,FALSE,"CONTRACT WORKS";#N/A,#N/A,FALSE,"Variations";#N/A,#N/A,FALSE,"Dwk"}</definedName>
    <definedName name="Education" localSheetId="1" hidden="1">{#N/A,#N/A,FALSE,"1-1";#N/A,#N/A,FALSE,"2-1";#N/A,#N/A,FALSE,"3-1";#N/A,#N/A,FALSE,"4-1";#N/A,#N/A,FALSE,"5-1";#N/A,#N/A,FALSE,"6-1"}</definedName>
    <definedName name="Education" hidden="1">{#N/A,#N/A,FALSE,"1-1";#N/A,#N/A,FALSE,"2-1";#N/A,#N/A,FALSE,"3-1";#N/A,#N/A,FALSE,"4-1";#N/A,#N/A,FALSE,"5-1";#N/A,#N/A,FALSE,"6-1"}</definedName>
    <definedName name="Education_type">#REF!</definedName>
    <definedName name="edwe" localSheetId="1">#REF!</definedName>
    <definedName name="edwe">#REF!</definedName>
    <definedName name="edweed" localSheetId="1">#REF!</definedName>
    <definedName name="edweed">#REF!</definedName>
    <definedName name="edwefref">#N/A</definedName>
    <definedName name="EDWRFWT">#N/A</definedName>
    <definedName name="edyt" localSheetId="1">BlankMacro1</definedName>
    <definedName name="edyt">BlankMacro1</definedName>
    <definedName name="EE" localSheetId="1">#REF!</definedName>
    <definedName name="EE">#REF!</definedName>
    <definedName name="ee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22">#REF!</definedName>
    <definedName name="eedrf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drf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dwwewe">#REF!</definedName>
    <definedName name="eee" localSheetId="1">#REF!</definedName>
    <definedName name="eee">#REF!</definedName>
    <definedName name="eeee">#REF!</definedName>
    <definedName name="eeeee" localSheetId="1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eeee_1">0</definedName>
    <definedName name="eeeeeeeee_1">0</definedName>
    <definedName name="eeeeeeeeeee">#REF!</definedName>
    <definedName name="eeeeeeeeeeeeeeeeeeeeeeeeeee" hidden="1">#REF!</definedName>
    <definedName name="eeeeeeeeeeeeeeeeeeeeeeeeeeeeeeeeew" hidden="1">#REF!</definedName>
    <definedName name="eeeew" localSheetId="1">BlankMacro1</definedName>
    <definedName name="eeeew">BlankMacro1</definedName>
    <definedName name="eeerty" localSheetId="1">#REF!</definedName>
    <definedName name="eeerty">#REF!</definedName>
    <definedName name="eeett" localSheetId="1" hidden="1">{#N/A,#N/A,TRUE,"Cover";#N/A,#N/A,TRUE,"Conts";#N/A,#N/A,TRUE,"VOS";#N/A,#N/A,TRUE,"Warrington";#N/A,#N/A,TRUE,"Widnes"}</definedName>
    <definedName name="eeett" hidden="1">{#N/A,#N/A,TRUE,"Cover";#N/A,#N/A,TRUE,"Conts";#N/A,#N/A,TRUE,"VOS";#N/A,#N/A,TRUE,"Warrington";#N/A,#N/A,TRUE,"Widnes"}</definedName>
    <definedName name="eeewe">#REF!</definedName>
    <definedName name="eef" localSheetId="1">#REF!</definedName>
    <definedName name="eef">#REF!</definedName>
    <definedName name="ees" localSheetId="1">#REF!</definedName>
    <definedName name="ees">#REF!</definedName>
    <definedName name="eetd" localSheetId="1">BlankMacro1</definedName>
    <definedName name="eetd">BlankMacro1</definedName>
    <definedName name="EF" localSheetId="1">#REF!</definedName>
    <definedName name="EF">#REF!</definedName>
    <definedName name="EFA">#REF!</definedName>
    <definedName name="efeco">#REF!</definedName>
    <definedName name="EFF">#REF!</definedName>
    <definedName name="EFGERGEG">#N/A</definedName>
    <definedName name="efrdefd" localSheetId="1" hidden="1">{#N/A,#N/A,FALSE,"BS-lead";#N/A,#N/A,FALSE,"BS- cladding";#N/A,#N/A,FALSE,"BS-GRC";#N/A,#N/A,FALSE,"P&amp;L-Lead";#N/A,#N/A,FALSE,"P&amp;L-Cladding";#N/A,#N/A,FALSE,"P&amp;L-GRC"}</definedName>
    <definedName name="efrdefd" hidden="1">{#N/A,#N/A,FALSE,"BS-lead";#N/A,#N/A,FALSE,"BS- cladding";#N/A,#N/A,FALSE,"BS-GRC";#N/A,#N/A,FALSE,"P&amp;L-Lead";#N/A,#N/A,FALSE,"P&amp;L-Cladding";#N/A,#N/A,FALSE,"P&amp;L-GRC"}</definedName>
    <definedName name="EfS" localSheetId="1" hidden="1">{#N/A,#N/A,FALSE,"VARIATIONS";#N/A,#N/A,FALSE,"BUDGET";#N/A,#N/A,FALSE,"CIVIL QNTY VAR";#N/A,#N/A,FALSE,"SUMMARY";#N/A,#N/A,FALSE,"MATERIAL VAR"}</definedName>
    <definedName name="EfS" hidden="1">{#N/A,#N/A,FALSE,"VARIATIONS";#N/A,#N/A,FALSE,"BUDGET";#N/A,#N/A,FALSE,"CIVIL QNTY VAR";#N/A,#N/A,FALSE,"SUMMARY";#N/A,#N/A,FALSE,"MATERIAL VAR"}</definedName>
    <definedName name="eftr">#REF!</definedName>
    <definedName name="EFTR2" localSheetId="1">#REF!</definedName>
    <definedName name="EFTR2">#REF!</definedName>
    <definedName name="eg">#N/A</definedName>
    <definedName name="egag" localSheetId="1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gag_1" localSheetId="1" hidden="1">{#N/A,#N/A,TRUE,"Cover";#N/A,#N/A,TRUE,"Conts";#N/A,#N/A,TRUE,"VOS";#N/A,#N/A,TRUE,"Warrington";#N/A,#N/A,TRUE,"Widnes"}</definedName>
    <definedName name="egag_1" hidden="1">{#N/A,#N/A,TRUE,"Cover";#N/A,#N/A,TRUE,"Conts";#N/A,#N/A,TRUE,"VOS";#N/A,#N/A,TRUE,"Warrington";#N/A,#N/A,TRUE,"Widnes"}</definedName>
    <definedName name="EGFRC">#REF!</definedName>
    <definedName name="ehhhhhhhhhhhhghhhhhhhhh" hidden="1">#REF!</definedName>
    <definedName name="Ei_Summary" localSheetId="1">#REF!</definedName>
    <definedName name="Ei_Summary">#REF!</definedName>
    <definedName name="EI27_0002" localSheetId="1">#REF!</definedName>
    <definedName name="EI27_0002">#REF!</definedName>
    <definedName name="EI27_0010C" localSheetId="1">#REF!</definedName>
    <definedName name="EI27_0010C">#REF!</definedName>
    <definedName name="EI27_0011B">#REF!</definedName>
    <definedName name="EI27_0015">#REF!</definedName>
    <definedName name="EI27_0017">#REF!</definedName>
    <definedName name="EI27_0019A">#REF!</definedName>
    <definedName name="EI27_0021">#REF!</definedName>
    <definedName name="EI27_0024">#REF!</definedName>
    <definedName name="EI27_0035">#REF!</definedName>
    <definedName name="EIGHT">#REF!</definedName>
    <definedName name="EIGHTEEN">#REF!</definedName>
    <definedName name="EIR">#N/A</definedName>
    <definedName name="ejs" localSheetId="1">#REF!</definedName>
    <definedName name="ejs">#REF!</definedName>
    <definedName name="eki" localSheetId="1">#REF!</definedName>
    <definedName name="eki">#REF!</definedName>
    <definedName name="ELAPCO_Electronics_Appliances_Est." localSheetId="1">#REF!</definedName>
    <definedName name="ELAPCO_Electronics_Appliances_Est.">#REF!</definedName>
    <definedName name="ELBLK_REMARKS">#REF!</definedName>
    <definedName name="Elcb">#REF!</definedName>
    <definedName name="ELCON">#REF!</definedName>
    <definedName name="Ele" localSheetId="1" hidden="1">{"'Break down'!$A$4"}</definedName>
    <definedName name="Ele" hidden="1">{"'Break down'!$A$4"}</definedName>
    <definedName name="ELEC" hidden="1">#REF!</definedName>
    <definedName name="ELEC_1">0</definedName>
    <definedName name="Elec_con">#REF!</definedName>
    <definedName name="ELEC_D">#REF!</definedName>
    <definedName name="elec_d1">#REF!</definedName>
    <definedName name="ELEC_INSTR">#REF!</definedName>
    <definedName name="elecbasic">#REF!</definedName>
    <definedName name="Electric_Light___Power">#REF!</definedName>
    <definedName name="ELECTRICAL" localSheetId="1" hidden="1">{#N/A,#N/A,FALSE,"mpph1";#N/A,#N/A,FALSE,"mpmseb";#N/A,#N/A,FALSE,"mpph2"}</definedName>
    <definedName name="Electrical">#REF!</definedName>
    <definedName name="ELECTRICAL__INSTALLATIONS" localSheetId="1">#REF!</definedName>
    <definedName name="ELECTRICAL__INSTALLATIONS">#REF!</definedName>
    <definedName name="ELECTRICAL_SERVICES" localSheetId="1">#REF!</definedName>
    <definedName name="ELECTRICAL_SERVICES">#REF!</definedName>
    <definedName name="Electrical_works">#REF!</definedName>
    <definedName name="ElectricalBasic">#REF!</definedName>
    <definedName name="ELECTRICITY_CHARGES">#REF!</definedName>
    <definedName name="ELEE" localSheetId="1">{"'Break down'!$A$4"}</definedName>
    <definedName name="ELEE">{"'Break down'!$A$4"}</definedName>
    <definedName name="ELEE_1" localSheetId="1">{"'Break down'!$A$4"}</definedName>
    <definedName name="ELEE_1">{"'Break down'!$A$4"}</definedName>
    <definedName name="ELELLELEELE" localSheetId="1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LEM">#REF!</definedName>
    <definedName name="eleme" localSheetId="1">#REF!</definedName>
    <definedName name="eleme">#REF!</definedName>
    <definedName name="element" localSheetId="1">#REF!</definedName>
    <definedName name="element">#REF!</definedName>
    <definedName name="elementenlijst" localSheetId="1">#REF!</definedName>
    <definedName name="elementenlijst">#REF!</definedName>
    <definedName name="Elements" localSheetId="1">#REF!</definedName>
    <definedName name="Elements">#REF!</definedName>
    <definedName name="ELEQ_REMARKS" localSheetId="1">#REF!</definedName>
    <definedName name="ELEQ_REMARKS">#REF!</definedName>
    <definedName name="Elesum">#REF!</definedName>
    <definedName name="ELEVEN">#REF!</definedName>
    <definedName name="elie" hidden="1">#REF!</definedName>
    <definedName name="ELINS" localSheetId="1">#REF!</definedName>
    <definedName name="ELINS">#REF!</definedName>
    <definedName name="elltab">#REF!</definedName>
    <definedName name="Em" localSheetId="1">#REF!</definedName>
    <definedName name="Em">#REF!</definedName>
    <definedName name="Em___0" localSheetId="1">#REF!</definedName>
    <definedName name="Em___0">#REF!</definedName>
    <definedName name="Em___13" localSheetId="1">#REF!</definedName>
    <definedName name="Em___13">#REF!</definedName>
    <definedName name="emad">#REF!</definedName>
    <definedName name="Email">#REF!</definedName>
    <definedName name="EMB_METAL_COND">#REF!</definedName>
    <definedName name="Emb108a">#REF!</definedName>
    <definedName name="Emb108c">#REF!</definedName>
    <definedName name="EmbedQty">#N/A</definedName>
    <definedName name="EmbedQty1">#N/A</definedName>
    <definedName name="EMDB" localSheetId="1">#REF!</definedName>
    <definedName name="EMDB">#REF!</definedName>
    <definedName name="EMDF_City" hidden="1">#REF!</definedName>
    <definedName name="EMDF_Desc" hidden="1">#REF!</definedName>
    <definedName name="EMDF_DevMgn" hidden="1">#REF!</definedName>
    <definedName name="EMDF_Eq_DatePk" hidden="1">#REF!</definedName>
    <definedName name="EMDF_Eq_Funds" hidden="1">#REF!</definedName>
    <definedName name="EMDF_Eq_Pback" hidden="1">#REF!</definedName>
    <definedName name="EMDF_IRR" hidden="1">#REF!</definedName>
    <definedName name="EMDF_Land" hidden="1">#REF!</definedName>
    <definedName name="EMDF_LandHold" hidden="1">#REF!</definedName>
    <definedName name="EMDF_Misc2" hidden="1">#REF!</definedName>
    <definedName name="EMDF_Misc3" hidden="1">#REF!</definedName>
    <definedName name="EMDF_NetProf" hidden="1">#REF!</definedName>
    <definedName name="EMDF_OthLand" hidden="1">#REF!</definedName>
    <definedName name="EMDF_PrepBy" hidden="1">#REF!</definedName>
    <definedName name="EMDF_Proj" hidden="1">#REF!</definedName>
    <definedName name="EMDF_ProjCont" hidden="1">#REF!</definedName>
    <definedName name="EMDF_RLVMgn" hidden="1">#REF!</definedName>
    <definedName name="EMDF_SellCost" hidden="1">#REF!</definedName>
    <definedName name="EMDF_Status" hidden="1">#REF!</definedName>
    <definedName name="EMDF_Type" hidden="1">#REF!</definedName>
    <definedName name="EMI" localSheetId="1">#REF!</definedName>
    <definedName name="EMI">#REF!</definedName>
    <definedName name="Emirates_Trading_Agency_LLC" localSheetId="1">#REF!</definedName>
    <definedName name="Emirates_Trading_Agency_LLC">#REF!</definedName>
    <definedName name="Emirates_Trading_Agency_LLC_" localSheetId="1">#REF!</definedName>
    <definedName name="Emirates_Trading_Agency_LLC_">#REF!</definedName>
    <definedName name="emjh" localSheetId="1" hidden="1">{#N/A,#N/A,TRUE,"Cover";#N/A,#N/A,TRUE,"Conts";#N/A,#N/A,TRUE,"VOS";#N/A,#N/A,TRUE,"Warrington";#N/A,#N/A,TRUE,"Widnes"}</definedName>
    <definedName name="emjh" hidden="1">{#N/A,#N/A,TRUE,"Cover";#N/A,#N/A,TRUE,"Conts";#N/A,#N/A,TRUE,"VOS";#N/A,#N/A,TRUE,"Warrington";#N/A,#N/A,TRUE,"Widnes"}</definedName>
    <definedName name="emp_id" localSheetId="1">#REF!</definedName>
    <definedName name="emp_id">#REF!</definedName>
    <definedName name="employee_id">#REF!</definedName>
    <definedName name="employer">#REF!</definedName>
    <definedName name="Employer_Name">#REF!</definedName>
    <definedName name="Employers">#REF!</definedName>
    <definedName name="Employers_Name">#REF!</definedName>
    <definedName name="EMU">#REF!</definedName>
    <definedName name="ENABLE" localSheetId="1">#REF!</definedName>
    <definedName name="ENABLE">#REF!</definedName>
    <definedName name="end" localSheetId="1">#REF!</definedName>
    <definedName name="end">#REF!</definedName>
    <definedName name="End_1" localSheetId="1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nd_Row">#REF!</definedName>
    <definedName name="EndBorder">#REF!</definedName>
    <definedName name="ENDD">#REF!</definedName>
    <definedName name="endhome">#REF!</definedName>
    <definedName name="Ending_Balance">"#N/A"</definedName>
    <definedName name="endrow">#REF!</definedName>
    <definedName name="Eng_Hrs" localSheetId="1">#REF!</definedName>
    <definedName name="Eng_Hrs">#REF!</definedName>
    <definedName name="Eng_phases">#REF!</definedName>
    <definedName name="Eng_Rev">#REF!</definedName>
    <definedName name="EngAddress">#REF!</definedName>
    <definedName name="EngAddress_4">#REF!</definedName>
    <definedName name="EngAddress_4_1">#REF!</definedName>
    <definedName name="EngAddress_6">#REF!</definedName>
    <definedName name="EngCity">#REF!</definedName>
    <definedName name="EngCity_4">#REF!</definedName>
    <definedName name="EngCity_4_1">#REF!</definedName>
    <definedName name="EngCity_6">#REF!</definedName>
    <definedName name="engg_svc">#N/A</definedName>
    <definedName name="EngineeringCost" localSheetId="1">#REF!</definedName>
    <definedName name="EngineeringCost">#REF!</definedName>
    <definedName name="england" localSheetId="1">#REF!</definedName>
    <definedName name="england">#REF!</definedName>
    <definedName name="EngName" localSheetId="1">#REF!</definedName>
    <definedName name="EngName">#REF!</definedName>
    <definedName name="EngName_4" localSheetId="1">#REF!</definedName>
    <definedName name="EngName_4">#REF!</definedName>
    <definedName name="EngName_4_1" localSheetId="1">#REF!</definedName>
    <definedName name="EngName_4_1">#REF!</definedName>
    <definedName name="EngName_6">#REF!</definedName>
    <definedName name="ENGNEERMH" localSheetId="1">#REF!</definedName>
    <definedName name="ENGNEERMH">#REF!</definedName>
    <definedName name="EngPostal" localSheetId="1">#REF!</definedName>
    <definedName name="EngPostal">#REF!</definedName>
    <definedName name="EngPostal_4" localSheetId="1">#REF!</definedName>
    <definedName name="EngPostal_4">#REF!</definedName>
    <definedName name="EngPostal_4_1" localSheetId="1">#REF!</definedName>
    <definedName name="EngPostal_4_1">#REF!</definedName>
    <definedName name="EngPostal_6">#REF!</definedName>
    <definedName name="EngPrio">#REF!</definedName>
    <definedName name="EngPrio_4">#REF!</definedName>
    <definedName name="EngPrio_4_1">#REF!</definedName>
    <definedName name="EngPrio_6">#REF!</definedName>
    <definedName name="EngPrio_Text">#REF!</definedName>
    <definedName name="EngPrio_Text_4">#REF!</definedName>
    <definedName name="EngPrio_Text_4_1">#REF!</definedName>
    <definedName name="EngPrio_Text_6">#REF!</definedName>
    <definedName name="engr_act">#REF!</definedName>
    <definedName name="ENGR_ACT_CUM">#REF!</definedName>
    <definedName name="engr_deliverables">#REF!</definedName>
    <definedName name="ENGR_FOR_CUM" localSheetId="1">#REF!</definedName>
    <definedName name="ENGR_FOR_CUM">#REF!</definedName>
    <definedName name="ENGR_PLAN_CUM">#REF!</definedName>
    <definedName name="engr_progress">#REF!</definedName>
    <definedName name="engr_progress_details">#REF!</definedName>
    <definedName name="engr_staff">#REF!</definedName>
    <definedName name="engr_table">#REF!</definedName>
    <definedName name="EngState" localSheetId="1">#REF!</definedName>
    <definedName name="EngState">#REF!</definedName>
    <definedName name="EngState_4" localSheetId="1">#REF!</definedName>
    <definedName name="EngState_4">#REF!</definedName>
    <definedName name="EngState_4_1" localSheetId="1">#REF!</definedName>
    <definedName name="EngState_4_1">#REF!</definedName>
    <definedName name="EngState_6">#REF!</definedName>
    <definedName name="engstone">#REF!</definedName>
    <definedName name="enkwgvk" hidden="1">#REF!</definedName>
    <definedName name="enqregform" localSheetId="1">#REF!</definedName>
    <definedName name="enqregform">#REF!</definedName>
    <definedName name="ENTE" localSheetId="1" hidden="1">{#N/A,#N/A,TRUE,"ENTETE";#N/A,#N/A,TRUE,"COMPOSANTS"}</definedName>
    <definedName name="ENTE" hidden="1">{#N/A,#N/A,TRUE,"ENTETE";#N/A,#N/A,TRUE,"COMPOSANTS"}</definedName>
    <definedName name="ENTERTAINMENT__REFRESHMENT_ETC.">#REF!</definedName>
    <definedName name="EOL" localSheetId="1">#REF!</definedName>
    <definedName name="EOL">#REF!</definedName>
    <definedName name="EOTLAST">#REF!</definedName>
    <definedName name="EPC_DOM_CO">#REF!</definedName>
    <definedName name="EPC_DOM_FREIGHT">#REF!</definedName>
    <definedName name="EPC_DOM_PS">#REF!</definedName>
    <definedName name="EPC_IMP_CO">#REF!</definedName>
    <definedName name="EPC_IMP_FREIGHT">#REF!</definedName>
    <definedName name="EPC_IMP_PS">#REF!</definedName>
    <definedName name="ephase">#REF!</definedName>
    <definedName name="epp">#REF!</definedName>
    <definedName name="eqpmtds">#REF!</definedName>
    <definedName name="eqpmtss">#REF!</definedName>
    <definedName name="EquGFA_Chk">#REF!</definedName>
    <definedName name="equip" localSheetId="1">#REF!</definedName>
    <definedName name="equip">#REF!</definedName>
    <definedName name="equip_date">#REF!</definedName>
    <definedName name="equip_rev">#REF!</definedName>
    <definedName name="EQUIP70_CITY" localSheetId="1">#REF!</definedName>
    <definedName name="EQUIP70_CITY">#REF!</definedName>
    <definedName name="EQUIP70_ESC">#REF!</definedName>
    <definedName name="EQUIP70_HRS">#REF!</definedName>
    <definedName name="EQUIP70_LAB">#REF!</definedName>
    <definedName name="EQUIP70_MAT">#REF!</definedName>
    <definedName name="EQUIP70_OLD_CITY">#REF!</definedName>
    <definedName name="EQUIP70_OLD_ESC">#REF!</definedName>
    <definedName name="EQUIP70_OLD_PROD">#REF!</definedName>
    <definedName name="EQUIP70_OLD_WAGE">#REF!</definedName>
    <definedName name="EQUIP70_PROD">#REF!</definedName>
    <definedName name="EQUIP70_SC">#REF!</definedName>
    <definedName name="EQUIP70_SCHRS">#REF!</definedName>
    <definedName name="EQUIP70_TOT">#REF!</definedName>
    <definedName name="EQUIP70_WAGE">#REF!</definedName>
    <definedName name="equipData">OFFSET(#REF!,0,0,COUNTA(#REF!)-1,7)</definedName>
    <definedName name="equipData1">OFFSET(#REF!,0,0,COUNTA(#REF!)-1,2)</definedName>
    <definedName name="equipData2">OFFSET(#REF!,0,2,COUNTA(#REF!)-1,5)</definedName>
    <definedName name="equipdim" localSheetId="1">#REF!</definedName>
    <definedName name="equipdim">#REF!</definedName>
    <definedName name="Equipment" localSheetId="1">#REF!</definedName>
    <definedName name="Equipment">#REF!</definedName>
    <definedName name="equipsds" localSheetId="1">#REF!</definedName>
    <definedName name="equipsds">#REF!</definedName>
    <definedName name="equipsewer">#REF!</definedName>
    <definedName name="Equity">#REF!</definedName>
    <definedName name="Equity_Del_Item">#REF!</definedName>
    <definedName name="Equity_Ins_Item">#REF!</definedName>
    <definedName name="EquityYield" localSheetId="1">#REF!</definedName>
    <definedName name="EquityYield">#REF!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ataee" localSheetId="1" hidden="1">{#N/A,#N/A,FALSE,"VARIATIONS";#N/A,#N/A,FALSE,"BUDGET";#N/A,#N/A,FALSE,"CIVIL QNTY VAR";#N/A,#N/A,FALSE,"SUMMARY";#N/A,#N/A,FALSE,"MATERIAL VAR"}</definedName>
    <definedName name="erataee" hidden="1">{#N/A,#N/A,FALSE,"VARIATIONS";#N/A,#N/A,FALSE,"BUDGET";#N/A,#N/A,FALSE,"CIVIL QNTY VAR";#N/A,#N/A,FALSE,"SUMMARY";#N/A,#N/A,FALSE,"MATERIAL VAR"}</definedName>
    <definedName name="ERATE">#REF!</definedName>
    <definedName name="ere" localSheetId="1" hidden="1">{#N/A,#N/A,TRUE,"Cover";#N/A,#N/A,TRUE,"Conts";#N/A,#N/A,TRUE,"VOS";#N/A,#N/A,TRUE,"Warrington";#N/A,#N/A,TRUE,"Widnes"}</definedName>
    <definedName name="ere" hidden="1">{#N/A,#N/A,TRUE,"Cover";#N/A,#N/A,TRUE,"Conts";#N/A,#N/A,TRUE,"VOS";#N/A,#N/A,TRUE,"Warrington";#N/A,#N/A,TRUE,"Widnes"}</definedName>
    <definedName name="Erection_Cost">#REF!</definedName>
    <definedName name="Erection_Sales" localSheetId="1">#REF!</definedName>
    <definedName name="Erection_Sales">#REF!</definedName>
    <definedName name="ereere">#N/A</definedName>
    <definedName name="ereq">#N/A</definedName>
    <definedName name="erer" localSheetId="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E" localSheetId="1" hidden="1">{#N/A,#N/A,TRUE,"Cover";#N/A,#N/A,TRUE,"Conts";#N/A,#N/A,TRUE,"VOS";#N/A,#N/A,TRUE,"Warrington";#N/A,#N/A,TRUE,"Widnes"}</definedName>
    <definedName name="ERERE" hidden="1">{#N/A,#N/A,TRUE,"Cover";#N/A,#N/A,TRUE,"Conts";#N/A,#N/A,TRUE,"VOS";#N/A,#N/A,TRUE,"Warrington";#N/A,#N/A,TRUE,"Widnes"}</definedName>
    <definedName name="erereee">#N/A</definedName>
    <definedName name="erererere">#N/A</definedName>
    <definedName name="ERERERERQRQ">#N/A</definedName>
    <definedName name="ererew">#N/A</definedName>
    <definedName name="erewewe">#N/A</definedName>
    <definedName name="erewr" localSheetId="1">#REF!</definedName>
    <definedName name="erewr">#REF!</definedName>
    <definedName name="ERFWERFW">#N/A</definedName>
    <definedName name="erg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erg">IF(ISNA(MATCH(ROW(),RowAfterpgbrk,1)),1,MATCH(ROW(),RowAfterpgbrk,1)+1)&lt;&gt;IF(ISNA(MATCH(ROW()+1,RowAfterpgbrk,1)),1,MATCH(ROW()+1,RowAfterpgbrk,1)+1)</definedName>
    <definedName name="ergaghag" localSheetId="1" hidden="1">{#N/A,#N/A,TRUE,"Cover";#N/A,#N/A,TRUE,"Conts";#N/A,#N/A,TRUE,"VOS";#N/A,#N/A,TRUE,"Warrington";#N/A,#N/A,TRUE,"Widnes"}</definedName>
    <definedName name="ergaghag" hidden="1">{#N/A,#N/A,TRUE,"Cover";#N/A,#N/A,TRUE,"Conts";#N/A,#N/A,TRUE,"VOS";#N/A,#N/A,TRUE,"Warrington";#N/A,#N/A,TRUE,"Widnes"}</definedName>
    <definedName name="ergaghag_1" localSheetId="1" hidden="1">{#N/A,#N/A,TRUE,"Cover";#N/A,#N/A,TRUE,"Conts";#N/A,#N/A,TRUE,"VOS";#N/A,#N/A,TRUE,"Warrington";#N/A,#N/A,TRUE,"Widnes"}</definedName>
    <definedName name="ergaghag_1" hidden="1">{#N/A,#N/A,TRUE,"Cover";#N/A,#N/A,TRUE,"Conts";#N/A,#N/A,TRUE,"VOS";#N/A,#N/A,TRUE,"Warrington";#N/A,#N/A,TRUE,"Widnes"}</definedName>
    <definedName name="ergega" localSheetId="1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ega_1" localSheetId="1" hidden="1">{#N/A,#N/A,TRUE,"Cover";#N/A,#N/A,TRUE,"Conts";#N/A,#N/A,TRUE,"VOS";#N/A,#N/A,TRUE,"Warrington";#N/A,#N/A,TRUE,"Widnes"}</definedName>
    <definedName name="ergega_1" hidden="1">{#N/A,#N/A,TRUE,"Cover";#N/A,#N/A,TRUE,"Conts";#N/A,#N/A,TRUE,"VOS";#N/A,#N/A,TRUE,"Warrington";#N/A,#N/A,TRUE,"Widnes"}</definedName>
    <definedName name="ergergth" localSheetId="1">"Page "&amp;IF(ISNA(MATCH(ROW(),[1]!COUNT_TH2_V2__units_1___Type_D_04__900_x_2200mm_high,1)),1,MATCH(ROW(),[1]!COUNT_TH2_V2__units_1___Type_D_04__900_x_2200mm_high,1)+1)&amp;" of " &amp; [1]!CUSTOM1_Shops__GF_ + 0*NOW()</definedName>
    <definedName name="ergergth">"Page "&amp;IF(ISNA(MATCH(ROW(),RowAfterpgbrk,1)),1,MATCH(ROW(),RowAfterpgbrk,1)+1)&amp;" of " &amp; TotPageCount + 0*NOW()</definedName>
    <definedName name="erggg" localSheetId="1" hidden="1">{#N/A,#N/A,FALSE,"Header P";#N/A,#N/A,FALSE,"Summary";#N/A,#N/A,FALSE,"CONTRACT WORKS";#N/A,#N/A,FALSE,"Variations";#N/A,#N/A,FALSE,"Dwk"}</definedName>
    <definedName name="erggg" hidden="1">{#N/A,#N/A,FALSE,"Header P";#N/A,#N/A,FALSE,"Summary";#N/A,#N/A,FALSE,"CONTRACT WORKS";#N/A,#N/A,FALSE,"Variations";#N/A,#N/A,FALSE,"Dwk"}</definedName>
    <definedName name="ergr" localSheetId="1">"Page "&amp;IF(ISNA(MATCH(ROW(),[1]!COUNT_TH2_V2__units_1___Type_D_04__900_x_2200mm_high,1)),1,MATCH(ROW(),[1]!COUNT_TH2_V2__units_1___Type_D_04__900_x_2200mm_high,1)+1)&amp;" of " &amp; [1]!CUSTOM1_Shops__GF_ + 0*NOW()</definedName>
    <definedName name="ergr">"Page "&amp;IF(ISNA(MATCH(ROW(),RowAfterpgbrk,1)),1,MATCH(ROW(),RowAfterpgbrk,1)+1)&amp;" of " &amp; TotPageCount + 0*NOW()</definedName>
    <definedName name="ergre" localSheetId="1">"Page "&amp;IF(ISNA(MATCH(ROW(),[1]!COUNT_TH2_V2__units_1___Type_D_04__900_x_2200mm_high,1)),1,MATCH(ROW(),[1]!COUNT_TH2_V2__units_1___Type_D_04__900_x_2200mm_high,1)+1)&amp;" of " &amp; [1]!CUSTOM1_Shops__GF_ + 0*NOW()</definedName>
    <definedName name="ergre">"Page "&amp;IF(ISNA(MATCH(ROW(),RowAfterpgbrk,1)),1,MATCH(ROW(),RowAfterpgbrk,1)+1)&amp;" of " &amp; TotPageCount + 0*NOW()</definedName>
    <definedName name="ergrg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ergrg">IF(ISNA(MATCH(ROW(),RowAfterpgbrk,1)),1,MATCH(ROW(),RowAfterpgbrk,1)+1)&lt;&gt;IF(ISNA(MATCH(ROW()-1,RowAfterpgbrk,1)),1,MATCH(ROW()-1,RowAfterpgbrk,1)+1)</definedName>
    <definedName name="ergtaeg" localSheetId="1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gtaeg_1" localSheetId="1" hidden="1">{#N/A,#N/A,TRUE,"Cover";#N/A,#N/A,TRUE,"Conts";#N/A,#N/A,TRUE,"VOS";#N/A,#N/A,TRUE,"Warrington";#N/A,#N/A,TRUE,"Widnes"}</definedName>
    <definedName name="ergtaeg_1" hidden="1">{#N/A,#N/A,TRUE,"Cover";#N/A,#N/A,TRUE,"Conts";#N/A,#N/A,TRUE,"VOS";#N/A,#N/A,TRUE,"Warrington";#N/A,#N/A,TRUE,"Widnes"}</definedName>
    <definedName name="ERKGNR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KGN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fdaf">#REF!</definedName>
    <definedName name="Err_D_Ltg">#REF!</definedName>
    <definedName name="Err_DN">#REF!</definedName>
    <definedName name="Errech_Ltg_MuA">#REF!</definedName>
    <definedName name="errew">#REF!</definedName>
    <definedName name="ERROR" localSheetId="1">#REF!</definedName>
    <definedName name="ERROR">#REF!</definedName>
    <definedName name="Ersatzteile">#REF!</definedName>
    <definedName name="Ersatzteile_D_G">#REF!</definedName>
    <definedName name="Ersatzteile_Gesamt">#REF!</definedName>
    <definedName name="erstty" localSheetId="1">BlankMacro1</definedName>
    <definedName name="erstty">BlankMacro1</definedName>
    <definedName name="ersy" localSheetId="1">#REF!</definedName>
    <definedName name="ersy">#REF!</definedName>
    <definedName name="ersyy" localSheetId="1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syy_1" localSheetId="1" hidden="1">{#N/A,#N/A,TRUE,"Cover";#N/A,#N/A,TRUE,"Conts";#N/A,#N/A,TRUE,"VOS";#N/A,#N/A,TRUE,"Warrington";#N/A,#N/A,TRUE,"Widnes"}</definedName>
    <definedName name="ersyy_1" hidden="1">{#N/A,#N/A,TRUE,"Cover";#N/A,#N/A,TRUE,"Conts";#N/A,#N/A,TRUE,"VOS";#N/A,#N/A,TRUE,"Warrington";#N/A,#N/A,TRUE,"Widnes"}</definedName>
    <definedName name="ert" localSheetId="1" hidden="1">{#N/A,#N/A,TRUE,"Cover";#N/A,#N/A,TRUE,"Conts";#N/A,#N/A,TRUE,"VOS";#N/A,#N/A,TRUE,"Warrington";#N/A,#N/A,TRUE,"Widnes"}</definedName>
    <definedName name="ert" hidden="1">{#N/A,#N/A,TRUE,"Cover";#N/A,#N/A,TRUE,"Conts";#N/A,#N/A,TRUE,"VOS";#N/A,#N/A,TRUE,"Warrington";#N/A,#N/A,TRUE,"Widnes"}</definedName>
    <definedName name="erte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ertyry" localSheetId="1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tyry_1" localSheetId="1" hidden="1">{#N/A,#N/A,TRUE,"Cover";#N/A,#N/A,TRUE,"Conts";#N/A,#N/A,TRUE,"VOS";#N/A,#N/A,TRUE,"Warrington";#N/A,#N/A,TRUE,"Widnes"}</definedName>
    <definedName name="ertertyry_1" hidden="1">{#N/A,#N/A,TRUE,"Cover";#N/A,#N/A,TRUE,"Conts";#N/A,#N/A,TRUE,"VOS";#N/A,#N/A,TRUE,"Warrington";#N/A,#N/A,TRUE,"Widnes"}</definedName>
    <definedName name="erterydrutru" localSheetId="1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rydrutru_1" localSheetId="1" hidden="1">{#N/A,#N/A,TRUE,"Cover";#N/A,#N/A,TRUE,"Conts";#N/A,#N/A,TRUE,"VOS";#N/A,#N/A,TRUE,"Warrington";#N/A,#N/A,TRUE,"Widnes"}</definedName>
    <definedName name="erterydrutru_1" hidden="1">{#N/A,#N/A,TRUE,"Cover";#N/A,#N/A,TRUE,"Conts";#N/A,#N/A,TRUE,"VOS";#N/A,#N/A,TRUE,"Warrington";#N/A,#N/A,TRUE,"Widnes"}</definedName>
    <definedName name="erteysry" localSheetId="1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eysry_1" localSheetId="1" hidden="1">{#N/A,#N/A,TRUE,"Cover";#N/A,#N/A,TRUE,"Conts";#N/A,#N/A,TRUE,"VOS";#N/A,#N/A,TRUE,"Warrington";#N/A,#N/A,TRUE,"Widnes"}</definedName>
    <definedName name="erteysry_1" hidden="1">{#N/A,#N/A,TRUE,"Cover";#N/A,#N/A,TRUE,"Conts";#N/A,#N/A,TRUE,"VOS";#N/A,#N/A,TRUE,"Warrington";#N/A,#N/A,TRUE,"Widnes"}</definedName>
    <definedName name="ertf" localSheetId="1" hidden="1">{#N/A,#N/A,FALSE,"VARIATIONS";#N/A,#N/A,FALSE,"BUDGET";#N/A,#N/A,FALSE,"CIVIL QNTY VAR";#N/A,#N/A,FALSE,"SUMMARY";#N/A,#N/A,FALSE,"MATERIAL VAR"}</definedName>
    <definedName name="ertf" hidden="1">{#N/A,#N/A,FALSE,"VARIATIONS";#N/A,#N/A,FALSE,"BUDGET";#N/A,#N/A,FALSE,"CIVIL QNTY VAR";#N/A,#N/A,FALSE,"SUMMARY";#N/A,#N/A,FALSE,"MATERIAL VAR"}</definedName>
    <definedName name="ertgwre" localSheetId="1">"Page "&amp;IF(ISNA(MATCH(ROW(),[1]!COUNT_TH2_V2__units_1___Type_D_04__900_x_2200mm_high,1)),1,MATCH(ROW(),[1]!COUNT_TH2_V2__units_1___Type_D_04__900_x_2200mm_high,1)+1)&amp;" of " &amp; [1]!CUSTOM1_Shops__GF_ + 0*NOW()</definedName>
    <definedName name="ertgwre">"Page "&amp;IF(ISNA(MATCH(ROW(),RowAfterpgbrk,1)),1,MATCH(ROW(),RowAfterpgbrk,1)+1)&amp;" of " &amp; TotPageCount + 0*NOW()</definedName>
    <definedName name="ertwe">#REF!</definedName>
    <definedName name="ertwertewrt6asdr45" localSheetId="1">#REF!</definedName>
    <definedName name="ertwertewrt6asdr45">#REF!</definedName>
    <definedName name="ertwertwert" localSheetId="1" hidden="1">{"'PRODUCTIONCOST SHEET'!$B$3:$G$48"}</definedName>
    <definedName name="ertwertwert" hidden="1">{"'PRODUCTIONCOST SHEET'!$B$3:$G$48"}</definedName>
    <definedName name="ertyu" localSheetId="1" hidden="1">{#N/A,#N/A,TRUE,"Cover";#N/A,#N/A,TRUE,"Conts";#N/A,#N/A,TRUE,"VOS";#N/A,#N/A,TRUE,"Warrington";#N/A,#N/A,TRUE,"Widnes"}</definedName>
    <definedName name="ertyu" hidden="1">{#N/A,#N/A,TRUE,"Cover";#N/A,#N/A,TRUE,"Conts";#N/A,#N/A,TRUE,"VOS";#N/A,#N/A,TRUE,"Warrington";#N/A,#N/A,TRUE,"Widnes"}</definedName>
    <definedName name="ertyui" localSheetId="1" hidden="1">{#N/A,#N/A,TRUE,"Cover";#N/A,#N/A,TRUE,"Conts";#N/A,#N/A,TRUE,"VOS";#N/A,#N/A,TRUE,"Warrington";#N/A,#N/A,TRUE,"Widnes"}</definedName>
    <definedName name="ertyui" hidden="1">{#N/A,#N/A,TRUE,"Cover";#N/A,#N/A,TRUE,"Conts";#N/A,#N/A,TRUE,"VOS";#N/A,#N/A,TRUE,"Warrington";#N/A,#N/A,TRUE,"Widnes"}</definedName>
    <definedName name="eru">#REF!</definedName>
    <definedName name="erw" localSheetId="1">"Page "&amp;IF(ISNA(MATCH(ROW(),[1]!COUNT_TH2_V2__units_1___Type_D_04__900_x_2200mm_high,1)),1,MATCH(ROW(),[1]!COUNT_TH2_V2__units_1___Type_D_04__900_x_2200mm_high,1)+1)&amp;" of " &amp; [1]!CUSTOM1_Shops__GF_ + 0*NOW()</definedName>
    <definedName name="erw">"Page "&amp;IF(ISNA(MATCH(ROW(),RowAfterpgbrk,1)),1,MATCH(ROW(),RowAfterpgbrk,1)+1)&amp;" of " &amp; TotPageCount + 0*NOW()</definedName>
    <definedName name="erwef" localSheetId="1">IF('City Walk - Comparison'!Loan_Amount*[1]!Interest_Rate*[1]!Loan_Years*'City Walk - Comparison'!Loan_Start&gt;0,1,0)</definedName>
    <definedName name="erwef">IF(Loan_Amount*Interest_Rate*Loan_Years*Loan_Start&gt;0,1,0)</definedName>
    <definedName name="erwefer">#N/A</definedName>
    <definedName name="erwew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wew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wrg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erwrg">IF(ISNA(MATCH(ROW(),RowAfterpgbrk,1)),1,MATCH(ROW(),RowAfterpgbrk,1)+1)&lt;&gt;IF(ISNA(MATCH(ROW()+1,RowAfterpgbrk,1)),1,MATCH(ROW()+1,RowAfterpgbrk,1)+1)</definedName>
    <definedName name="erwuhy">#N/A</definedName>
    <definedName name="eryeyehxcghbd" localSheetId="1">#REF!</definedName>
    <definedName name="eryeyehxcghbd">#REF!</definedName>
    <definedName name="erygj" localSheetId="1">BlankMacro1</definedName>
    <definedName name="erygj">BlankMacro1</definedName>
    <definedName name="erygthhbgfhnfg">#N/A</definedName>
    <definedName name="eryr" localSheetId="1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_1" localSheetId="1" hidden="1">{#N/A,#N/A,TRUE,"Cover";#N/A,#N/A,TRUE,"Conts";#N/A,#N/A,TRUE,"VOS";#N/A,#N/A,TRUE,"Warrington";#N/A,#N/A,TRUE,"Widnes"}</definedName>
    <definedName name="eryr_1" hidden="1">{#N/A,#N/A,TRUE,"Cover";#N/A,#N/A,TRUE,"Conts";#N/A,#N/A,TRUE,"VOS";#N/A,#N/A,TRUE,"Warrington";#N/A,#N/A,TRUE,"Widnes"}</definedName>
    <definedName name="eryrte" localSheetId="1" hidden="1">{#N/A,#N/A,FALSE,"속도"}</definedName>
    <definedName name="eryrte" hidden="1">{#N/A,#N/A,FALSE,"속도"}</definedName>
    <definedName name="eryrutru" localSheetId="1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rutru_1" localSheetId="1" hidden="1">{#N/A,#N/A,TRUE,"Cover";#N/A,#N/A,TRUE,"Conts";#N/A,#N/A,TRUE,"VOS";#N/A,#N/A,TRUE,"Warrington";#N/A,#N/A,TRUE,"Widnes"}</definedName>
    <definedName name="eryrutru_1" hidden="1">{#N/A,#N/A,TRUE,"Cover";#N/A,#N/A,TRUE,"Conts";#N/A,#N/A,TRUE,"VOS";#N/A,#N/A,TRUE,"Warrington";#N/A,#N/A,TRUE,"Widnes"}</definedName>
    <definedName name="eryt" localSheetId="1">BlankMacro1</definedName>
    <definedName name="eryt">BlankMacro1</definedName>
    <definedName name="erytrh" localSheetId="1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rh_1" localSheetId="1" hidden="1">{#N/A,#N/A,TRUE,"Cover";#N/A,#N/A,TRUE,"Conts";#N/A,#N/A,TRUE,"VOS";#N/A,#N/A,TRUE,"Warrington";#N/A,#N/A,TRUE,"Widnes"}</definedName>
    <definedName name="erytrh_1" hidden="1">{#N/A,#N/A,TRUE,"Cover";#N/A,#N/A,TRUE,"Conts";#N/A,#N/A,TRUE,"VOS";#N/A,#N/A,TRUE,"Warrington";#N/A,#N/A,TRUE,"Widnes"}</definedName>
    <definedName name="erytuui" localSheetId="1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tuui_1" localSheetId="1" hidden="1">{#N/A,#N/A,TRUE,"Cover";#N/A,#N/A,TRUE,"Conts";#N/A,#N/A,TRUE,"VOS";#N/A,#N/A,TRUE,"Warrington";#N/A,#N/A,TRUE,"Widnes"}</definedName>
    <definedName name="erytuui_1" hidden="1">{#N/A,#N/A,TRUE,"Cover";#N/A,#N/A,TRUE,"Conts";#N/A,#N/A,TRUE,"VOS";#N/A,#N/A,TRUE,"Warrington";#N/A,#N/A,TRUE,"Widnes"}</definedName>
    <definedName name="erywwwgy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wwg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ytrysy" localSheetId="1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ryytrysy_1" localSheetId="1" hidden="1">{#N/A,#N/A,TRUE,"Cover";#N/A,#N/A,TRUE,"Conts";#N/A,#N/A,TRUE,"VOS";#N/A,#N/A,TRUE,"Warrington";#N/A,#N/A,TRUE,"Widnes"}</definedName>
    <definedName name="eryytrysy_1" hidden="1">{#N/A,#N/A,TRUE,"Cover";#N/A,#N/A,TRUE,"Conts";#N/A,#N/A,TRUE,"VOS";#N/A,#N/A,TRUE,"Warrington";#N/A,#N/A,TRUE,"Widnes"}</definedName>
    <definedName name="es">#N/A</definedName>
    <definedName name="Es___0" localSheetId="1">#REF!</definedName>
    <definedName name="Es___0">#REF!</definedName>
    <definedName name="Es___13" localSheetId="1">#REF!</definedName>
    <definedName name="Es___13">#REF!</definedName>
    <definedName name="es5_base" localSheetId="1">#REF!</definedName>
    <definedName name="es5_base">#REF!</definedName>
    <definedName name="es5_msp">#REF!</definedName>
    <definedName name="es5_pup">#REF!</definedName>
    <definedName name="es5_reup">#REF!</definedName>
    <definedName name="es5_slot_nbrs">#REF!</definedName>
    <definedName name="ESA">#REF!</definedName>
    <definedName name="ESC" localSheetId="1">#REF!/100</definedName>
    <definedName name="esc">#REF!</definedName>
    <definedName name="ESC_CABLE" localSheetId="1">#REF!</definedName>
    <definedName name="ESC_CABLE">#REF!</definedName>
    <definedName name="ESC_CNTL_VLVES">#REF!</definedName>
    <definedName name="ESC_COND">#REF!</definedName>
    <definedName name="ESC_DB">#REF!</definedName>
    <definedName name="ESC_OTHER">#REF!</definedName>
    <definedName name="esc_percent">#REF!</definedName>
    <definedName name="ESC_TRAY">#REF!</definedName>
    <definedName name="esc_year">#REF!</definedName>
    <definedName name="esca">#REF!</definedName>
    <definedName name="Escalation" localSheetId="1">#REF!</definedName>
    <definedName name="Escalation">#REF!</definedName>
    <definedName name="esrte">#REF!</definedName>
    <definedName name="EssOptions">"1100000000010000_01000"</definedName>
    <definedName name="ESTAB">#REF!</definedName>
    <definedName name="ESTABX" localSheetId="1">#REF!</definedName>
    <definedName name="ESTABX">#REF!</definedName>
    <definedName name="EstCost" localSheetId="1">#REF!</definedName>
    <definedName name="EstCost">#REF!</definedName>
    <definedName name="EstCost_4">#REF!</definedName>
    <definedName name="EstCost_4_1">#REF!</definedName>
    <definedName name="EstCost_6">#REF!</definedName>
    <definedName name="estetystry" localSheetId="1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etystry_1" localSheetId="1" hidden="1">{#N/A,#N/A,TRUE,"Cover";#N/A,#N/A,TRUE,"Conts";#N/A,#N/A,TRUE,"VOS";#N/A,#N/A,TRUE,"Warrington";#N/A,#N/A,TRUE,"Widnes"}</definedName>
    <definedName name="estetystry_1" hidden="1">{#N/A,#N/A,TRUE,"Cover";#N/A,#N/A,TRUE,"Conts";#N/A,#N/A,TRUE,"VOS";#N/A,#N/A,TRUE,"Warrington";#N/A,#N/A,TRUE,"Widnes"}</definedName>
    <definedName name="estim">#REF!</definedName>
    <definedName name="Estimate" localSheetId="1">#REF!</definedName>
    <definedName name="Estimate">#REF!</definedName>
    <definedName name="estimateb" localSheetId="1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b_1" localSheetId="1" hidden="1">{#N/A,#N/A,TRUE,"Cover";#N/A,#N/A,TRUE,"Conts";#N/A,#N/A,TRUE,"VOS";#N/A,#N/A,TRUE,"Warrington";#N/A,#N/A,TRUE,"Widnes"}</definedName>
    <definedName name="estimateb_1" hidden="1">{#N/A,#N/A,TRUE,"Cover";#N/A,#N/A,TRUE,"Conts";#N/A,#N/A,TRUE,"VOS";#N/A,#N/A,TRUE,"Warrington";#N/A,#N/A,TRUE,"Widnes"}</definedName>
    <definedName name="estimateb_2">NA()</definedName>
    <definedName name="estimateb_3">NA()</definedName>
    <definedName name="estimateb_4">NA()</definedName>
    <definedName name="Estimated_Building_Cost" localSheetId="1">#REF!</definedName>
    <definedName name="Estimated_Building_Cost">#REF!</definedName>
    <definedName name="ESTIMATED_COST" localSheetId="1">#REF!</definedName>
    <definedName name="ESTIMATED_COST">#REF!</definedName>
    <definedName name="Estimated_Drawdowns">#REF!</definedName>
    <definedName name="Estimated_Land_Value" localSheetId="1">#REF!</definedName>
    <definedName name="Estimated_Land_Value">#REF!</definedName>
    <definedName name="EstimateType">#REF!</definedName>
    <definedName name="Estimating_Click">#N/A</definedName>
    <definedName name="Estimating_Click_PDBT">#N/A</definedName>
    <definedName name="Estimation">OFFSET(#REF!,0,0,COUNTA(#REF!),13)</definedName>
    <definedName name="ESUMF" localSheetId="1">#REF!</definedName>
    <definedName name="ESUMF">#REF!</definedName>
    <definedName name="et" localSheetId="1" hidden="1">{#N/A,#N/A,TRUE,"Cover";#N/A,#N/A,TRUE,"Conts";#N/A,#N/A,TRUE,"VOS";#N/A,#N/A,TRUE,"Warrington";#N/A,#N/A,TRUE,"Widnes"}</definedName>
    <definedName name="et" hidden="1">{#N/A,#N/A,TRUE,"Cover";#N/A,#N/A,TRUE,"Conts";#N/A,#N/A,TRUE,"VOS";#N/A,#N/A,TRUE,"Warrington";#N/A,#N/A,TRUE,"Widnes"}</definedName>
    <definedName name="Et___0">#REF!</definedName>
    <definedName name="Et___13" localSheetId="1">#REF!</definedName>
    <definedName name="Et___13">#REF!</definedName>
    <definedName name="et6u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et6u">IF(ISNA(MATCH(ROW(),RowAfterpgbrk,1)),1,MATCH(ROW(),RowAfterpgbrk,1)+1)&lt;&gt;IF(ISNA(MATCH(ROW()+1,RowAfterpgbrk,1)),1,MATCH(ROW()+1,RowAfterpgbrk,1)+1)</definedName>
    <definedName name="etaeta" localSheetId="1" hidden="1">{#N/A,#N/A,FALSE,"VARIATIONS";#N/A,#N/A,FALSE,"BUDGET";#N/A,#N/A,FALSE,"CIVIL QNTY VAR";#N/A,#N/A,FALSE,"SUMMARY";#N/A,#N/A,FALSE,"MATERIAL VAR"}</definedName>
    <definedName name="etaeta" hidden="1">{#N/A,#N/A,FALSE,"VARIATIONS";#N/A,#N/A,FALSE,"BUDGET";#N/A,#N/A,FALSE,"CIVIL QNTY VAR";#N/A,#N/A,FALSE,"SUMMARY";#N/A,#N/A,FALSE,"MATERIAL VAR"}</definedName>
    <definedName name="ETCMH" localSheetId="1">#REF!</definedName>
    <definedName name="ETCMH">#REF!</definedName>
    <definedName name="etertyr" localSheetId="1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rtyr_1" localSheetId="1" hidden="1">{#N/A,#N/A,TRUE,"Cover";#N/A,#N/A,TRUE,"Conts";#N/A,#N/A,TRUE,"VOS";#N/A,#N/A,TRUE,"Warrington";#N/A,#N/A,TRUE,"Widnes"}</definedName>
    <definedName name="etertyr_1" hidden="1">{#N/A,#N/A,TRUE,"Cover";#N/A,#N/A,TRUE,"Conts";#N/A,#N/A,TRUE,"VOS";#N/A,#N/A,TRUE,"Warrington";#N/A,#N/A,TRUE,"Widnes"}</definedName>
    <definedName name="etet" localSheetId="1" hidden="1">{#N/A,#N/A,TRUE,"Cover";#N/A,#N/A,TRUE,"Conts";#N/A,#N/A,TRUE,"VOS";#N/A,#N/A,TRUE,"Warrington";#N/A,#N/A,TRUE,"Widnes"}</definedName>
    <definedName name="etet" hidden="1">{#N/A,#N/A,TRUE,"Cover";#N/A,#N/A,TRUE,"Conts";#N/A,#N/A,TRUE,"VOS";#N/A,#N/A,TRUE,"Warrington";#N/A,#N/A,TRUE,"Widnes"}</definedName>
    <definedName name="etetert" localSheetId="1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etert_1" localSheetId="1" hidden="1">{#N/A,#N/A,TRUE,"Cover";#N/A,#N/A,TRUE,"Conts";#N/A,#N/A,TRUE,"VOS";#N/A,#N/A,TRUE,"Warrington";#N/A,#N/A,TRUE,"Widnes"}</definedName>
    <definedName name="etetert_1" hidden="1">{#N/A,#N/A,TRUE,"Cover";#N/A,#N/A,TRUE,"Conts";#N/A,#N/A,TRUE,"VOS";#N/A,#N/A,TRUE,"Warrington";#N/A,#N/A,TRUE,"Widnes"}</definedName>
    <definedName name="etgewt" localSheetId="1" hidden="1">{#N/A,#N/A,FALSE,"CAM-G7";#N/A,#N/A,FALSE,"SPL";#N/A,#N/A,FALSE,"butt-in G7";#N/A,#N/A,FALSE,"dia-in G7";#N/A,#N/A,FALSE,"추가-STA G7"}</definedName>
    <definedName name="etgewt" hidden="1">{#N/A,#N/A,FALSE,"CAM-G7";#N/A,#N/A,FALSE,"SPL";#N/A,#N/A,FALSE,"butt-in G7";#N/A,#N/A,FALSE,"dia-in G7";#N/A,#N/A,FALSE,"추가-STA G7"}</definedName>
    <definedName name="eth" hidden="1">#REF!</definedName>
    <definedName name="eth_1">0</definedName>
    <definedName name="etr6str7tuiuo" localSheetId="1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6str7tuiuo_1" localSheetId="1" hidden="1">{#N/A,#N/A,TRUE,"Cover";#N/A,#N/A,TRUE,"Conts";#N/A,#N/A,TRUE,"VOS";#N/A,#N/A,TRUE,"Warrington";#N/A,#N/A,TRUE,"Widnes"}</definedName>
    <definedName name="etr6str7tuiuo_1" hidden="1">{#N/A,#N/A,TRUE,"Cover";#N/A,#N/A,TRUE,"Conts";#N/A,#N/A,TRUE,"VOS";#N/A,#N/A,TRUE,"Warrington";#N/A,#N/A,TRUE,"Widnes"}</definedName>
    <definedName name="etrdgf" localSheetId="1">BlankMacro1</definedName>
    <definedName name="etrdgf">BlankMacro1</definedName>
    <definedName name="etretyer" localSheetId="1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retyer_1" localSheetId="1" hidden="1">{#N/A,#N/A,TRUE,"Cover";#N/A,#N/A,TRUE,"Conts";#N/A,#N/A,TRUE,"VOS";#N/A,#N/A,TRUE,"Warrington";#N/A,#N/A,TRUE,"Widnes"}</definedName>
    <definedName name="etretyer_1" hidden="1">{#N/A,#N/A,TRUE,"Cover";#N/A,#N/A,TRUE,"Conts";#N/A,#N/A,TRUE,"VOS";#N/A,#N/A,TRUE,"Warrington";#N/A,#N/A,TRUE,"Widnes"}</definedName>
    <definedName name="etrytwe" localSheetId="1" hidden="1">{#N/A,#N/A,FALSE,"CAM-G7";#N/A,#N/A,FALSE,"SPL";#N/A,#N/A,FALSE,"butt-in G7";#N/A,#N/A,FALSE,"dia-in G7";#N/A,#N/A,FALSE,"추가-STA G7"}</definedName>
    <definedName name="etrytwe" hidden="1">{#N/A,#N/A,FALSE,"CAM-G7";#N/A,#N/A,FALSE,"SPL";#N/A,#N/A,FALSE,"butt-in G7";#N/A,#N/A,FALSE,"dia-in G7";#N/A,#N/A,FALSE,"추가-STA G7"}</definedName>
    <definedName name="ett" localSheetId="1" hidden="1">{#N/A,#N/A,TRUE,"Cover";#N/A,#N/A,TRUE,"Conts";#N/A,#N/A,TRUE,"VOS";#N/A,#N/A,TRUE,"Warrington";#N/A,#N/A,TRUE,"Widnes"}</definedName>
    <definedName name="ett" hidden="1">{#N/A,#N/A,TRUE,"Cover";#N/A,#N/A,TRUE,"Conts";#N/A,#N/A,TRUE,"VOS";#N/A,#N/A,TRUE,"Warrington";#N/A,#N/A,TRUE,"Widnes"}</definedName>
    <definedName name="etw">#REF!</definedName>
    <definedName name="etwrtwt" localSheetId="1" hidden="1">{#N/A,#N/A,FALSE,"물량산출"}</definedName>
    <definedName name="etwrtwt" hidden="1">{#N/A,#N/A,FALSE,"물량산출"}</definedName>
    <definedName name="etwttr">#REF!</definedName>
    <definedName name="ety" localSheetId="1">BlankMacro1</definedName>
    <definedName name="ety">BlankMacro1</definedName>
    <definedName name="etyegf" localSheetId="1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egf_1" localSheetId="1" hidden="1">{#N/A,#N/A,TRUE,"Cover";#N/A,#N/A,TRUE,"Conts";#N/A,#N/A,TRUE,"VOS";#N/A,#N/A,TRUE,"Warrington";#N/A,#N/A,TRUE,"Widnes"}</definedName>
    <definedName name="etyegf_1" hidden="1">{#N/A,#N/A,TRUE,"Cover";#N/A,#N/A,TRUE,"Conts";#N/A,#N/A,TRUE,"VOS";#N/A,#N/A,TRUE,"Warrington";#N/A,#N/A,TRUE,"Widnes"}</definedName>
    <definedName name="etyytr" localSheetId="1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tyytr_1" localSheetId="1" hidden="1">{#N/A,#N/A,TRUE,"Cover";#N/A,#N/A,TRUE,"Conts";#N/A,#N/A,TRUE,"VOS";#N/A,#N/A,TRUE,"Warrington";#N/A,#N/A,TRUE,"Widnes"}</definedName>
    <definedName name="etyytr_1" hidden="1">{#N/A,#N/A,TRUE,"Cover";#N/A,#N/A,TRUE,"Conts";#N/A,#N/A,TRUE,"VOS";#N/A,#N/A,TRUE,"Warrington";#N/A,#N/A,TRUE,"Widnes"}</definedName>
    <definedName name="eu" localSheetId="1" hidden="1">{"'Sheet1'!$L$16"}</definedName>
    <definedName name="eu" hidden="1">{"'Sheet1'!$L$16"}</definedName>
    <definedName name="eu_4">#REF!</definedName>
    <definedName name="eu_4_1">#REF!</definedName>
    <definedName name="eu_6">#REF!</definedName>
    <definedName name="eur">#REF!</definedName>
    <definedName name="EURO">#REF!</definedName>
    <definedName name="ev" localSheetId="1">#REF!</definedName>
    <definedName name="ev">#REF!</definedName>
    <definedName name="ev_1">0</definedName>
    <definedName name="Evaporative_Cooling" localSheetId="1">#REF!</definedName>
    <definedName name="Evaporative_Cooling">#REF!</definedName>
    <definedName name="EvData">#REF!</definedName>
    <definedName name="evo" localSheetId="1">#REF!</definedName>
    <definedName name="evo">#REF!</definedName>
    <definedName name="EVSA">#REF!</definedName>
    <definedName name="ew">#REF!</definedName>
    <definedName name="ew_1">0</definedName>
    <definedName name="EW_DB">#REF!</definedName>
    <definedName name="ew4_">#REF!</definedName>
    <definedName name="ew4__1">0</definedName>
    <definedName name="ew4a">#REF!</definedName>
    <definedName name="ew4a_1">0</definedName>
    <definedName name="ewateryryxyz" localSheetId="1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bhpkkpk" localSheetId="1">#REF!</definedName>
    <definedName name="ewbhpkkpk">#REF!</definedName>
    <definedName name="ewdsd" localSheetId="1">{"'Break down'!$A$4"}</definedName>
    <definedName name="ewdsd">{"'Break down'!$A$4"}</definedName>
    <definedName name="ewdsd_1" localSheetId="1">{"'Break down'!$A$4"}</definedName>
    <definedName name="ewdsd_1">{"'Break down'!$A$4"}</definedName>
    <definedName name="EWE">#REF!</definedName>
    <definedName name="ewewew">#N/A</definedName>
    <definedName name="ewewewew">#N/A</definedName>
    <definedName name="ewewewewew">#N/A</definedName>
    <definedName name="ewfrytsudiuof" localSheetId="1">#REF!</definedName>
    <definedName name="ewfrytsudiuof">#REF!</definedName>
    <definedName name="ewk" localSheetId="1">#REF!</definedName>
    <definedName name="ewk">#REF!</definedName>
    <definedName name="ewk_1">0</definedName>
    <definedName name="ewqasd" localSheetId="1" hidden="1">{#N/A,#N/A,TRUE,"Cover";#N/A,#N/A,TRUE,"Conts";#N/A,#N/A,TRUE,"VOS";#N/A,#N/A,TRUE,"Warrington";#N/A,#N/A,TRUE,"Widnes"}</definedName>
    <definedName name="ewqasd" hidden="1">{#N/A,#N/A,TRUE,"Cover";#N/A,#N/A,TRUE,"Conts";#N/A,#N/A,TRUE,"VOS";#N/A,#N/A,TRUE,"Warrington";#N/A,#N/A,TRUE,"Widnes"}</definedName>
    <definedName name="EWQWR" localSheetId="1">[1]!CUSTOM1_2_bed_fridge_freezer+Extra_Payment</definedName>
    <definedName name="EWQWR">Scheduled_Payment+Extra_Payment</definedName>
    <definedName name="ewr" localSheetId="1">#REF!</definedName>
    <definedName name="ewr">#REF!</definedName>
    <definedName name="ewre" localSheetId="1" hidden="1">{#N/A,#N/A,FALSE,"MARCH"}</definedName>
    <definedName name="ewre" hidden="1">{#N/A,#N/A,FALSE,"MARCH"}</definedName>
    <definedName name="ewreret" localSheetId="1" hidden="1">{#N/A,#N/A,FALSE,"MARCH"}</definedName>
    <definedName name="ewreret" hidden="1">{#N/A,#N/A,FALSE,"MARCH"}</definedName>
    <definedName name="ewrf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ewrf">IF(ISNA(MATCH(ROW(),RowAfterpgbrk,1)),1,MATCH(ROW(),RowAfterpgbrk,1)+1)&lt;&gt;IF(ISNA(MATCH(ROW()+1,RowAfterpgbrk,1)),1,MATCH(ROW()+1,RowAfterpgbrk,1)+1)</definedName>
    <definedName name="ewrg" localSheetId="1">#REF!</definedName>
    <definedName name="ewrg">#REF!</definedName>
    <definedName name="ewsdsds">#N/A</definedName>
    <definedName name="ewsrtr" localSheetId="1">BlankMacro1</definedName>
    <definedName name="ewsrtr">BlankMacro1</definedName>
    <definedName name="ewt" localSheetId="1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_1" localSheetId="1" hidden="1">{#N/A,#N/A,TRUE,"Cover";#N/A,#N/A,TRUE,"Conts";#N/A,#N/A,TRUE,"VOS";#N/A,#N/A,TRUE,"Warrington";#N/A,#N/A,TRUE,"Widnes"}</definedName>
    <definedName name="ewt_1" hidden="1">{#N/A,#N/A,TRUE,"Cover";#N/A,#N/A,TRUE,"Conts";#N/A,#N/A,TRUE,"VOS";#N/A,#N/A,TRUE,"Warrington";#N/A,#N/A,TRUE,"Widnes"}</definedName>
    <definedName name="ewtateryry" localSheetId="1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tateryry_1" localSheetId="1" hidden="1">{#N/A,#N/A,TRUE,"Cover";#N/A,#N/A,TRUE,"Conts";#N/A,#N/A,TRUE,"VOS";#N/A,#N/A,TRUE,"Warrington";#N/A,#N/A,TRUE,"Widnes"}</definedName>
    <definedName name="ewtateryry_1" hidden="1">{#N/A,#N/A,TRUE,"Cover";#N/A,#N/A,TRUE,"Conts";#N/A,#N/A,TRUE,"VOS";#N/A,#N/A,TRUE,"Warrington";#N/A,#N/A,TRUE,"Widnes"}</definedName>
    <definedName name="ewteset">#REF!</definedName>
    <definedName name="ewtewtew" localSheetId="1" hidden="1">{#N/A,#N/A,FALSE,"CAM-G7";#N/A,#N/A,FALSE,"SPL";#N/A,#N/A,FALSE,"butt-in G7";#N/A,#N/A,FALSE,"dia-in G7";#N/A,#N/A,FALSE,"추가-STA G7"}</definedName>
    <definedName name="ewtewtew" hidden="1">{#N/A,#N/A,FALSE,"CAM-G7";#N/A,#N/A,FALSE,"SPL";#N/A,#N/A,FALSE,"butt-in G7";#N/A,#N/A,FALSE,"dia-in G7";#N/A,#N/A,FALSE,"추가-STA G7"}</definedName>
    <definedName name="ewtre">#REF!</definedName>
    <definedName name="ewtw453wt" localSheetId="1" hidden="1">{#N/A,#N/A,FALSE,"토공2"}</definedName>
    <definedName name="ewtw453wt" hidden="1">{#N/A,#N/A,FALSE,"토공2"}</definedName>
    <definedName name="ewwew">#N/A</definedName>
    <definedName name="ewwewewe">#REF!</definedName>
    <definedName name="EX" localSheetId="1">#REF!</definedName>
    <definedName name="EX">#REF!</definedName>
    <definedName name="EX_1">"#REF!"</definedName>
    <definedName name="EX_2">"#REF!"</definedName>
    <definedName name="EX_3">"#REF!"</definedName>
    <definedName name="EX_4">"#REF!"</definedName>
    <definedName name="EX_Aus">0.5467</definedName>
    <definedName name="ex_joint" localSheetId="1">#REF!</definedName>
    <definedName name="ex_joint">#REF!</definedName>
    <definedName name="Exam1st">#REF!</definedName>
    <definedName name="Exam2nd">#REF!</definedName>
    <definedName name="exc">#REF!</definedName>
    <definedName name="exc1.5" localSheetId="1">#REF!</definedName>
    <definedName name="exc1.5">#REF!</definedName>
    <definedName name="EXCA" localSheetId="1">#REF!</definedName>
    <definedName name="EXCA">#REF!</definedName>
    <definedName name="Exca_unitprice">#REF!</definedName>
    <definedName name="Exca_unitprice_h">#REF!</definedName>
    <definedName name="Exca_unitprice_u">#REF!</definedName>
    <definedName name="excav">#REF!</definedName>
    <definedName name="Excavation">#REF!</definedName>
    <definedName name="Excavation_for_foundations__substructures__trenches__sumps__tunnels__pits_etc._in_all_types_of_ordinary_and_hard_soils_including_hard_murum__including_necessary_shoring__strutting__stacking_selected_material_for_backfilling_or_disposing_excess_excavated_m">#REF!</definedName>
    <definedName name="EXCAVS">#REF!</definedName>
    <definedName name="excdp" localSheetId="1">#REF!</definedName>
    <definedName name="excdp">#REF!</definedName>
    <definedName name="excel" localSheetId="1">#REF!</definedName>
    <definedName name="excel">#REF!</definedName>
    <definedName name="Excel_BuiltIn__FilterDatabase_1">#REF!</definedName>
    <definedName name="Excel_BuiltIn__FilterDatabase_15">"$'ESTIMATE SUMMARY'.$#REF!$#REF!:$#REF!$#REF!"</definedName>
    <definedName name="Excel_BuiltIn__FilterDatabase_2" localSheetId="1">#REF!</definedName>
    <definedName name="Excel_BuiltIn__FilterDatabase_2">#REF!</definedName>
    <definedName name="Excel_BuiltIn__FilterDatabase_2_1" localSheetId="1">#REF!</definedName>
    <definedName name="Excel_BuiltIn__FilterDatabase_2_1">#REF!</definedName>
    <definedName name="Excel_BuiltIn__FilterDatabase_2_1_1">#REF!</definedName>
    <definedName name="Excel_BuiltIn__FilterDatabase_28">#REF!</definedName>
    <definedName name="Excel_BuiltIn__FilterDatabase_3">"$'STAIR FLOORING'.$#REF!#REF!"</definedName>
    <definedName name="Excel_BuiltIn__FilterDatabase_4" localSheetId="1">#REF!</definedName>
    <definedName name="Excel_BuiltIn__FilterDatabase_4">#REF!</definedName>
    <definedName name="Excel_BuiltIn__FilterDatabase_4_5">#REF!</definedName>
    <definedName name="Excel_BuiltIn__FilterDatabase_4_6">#REF!</definedName>
    <definedName name="Excel_BuiltIn__FilterDatabase_4_7">#REF!</definedName>
    <definedName name="Excel_BuiltIn__FilterDatabase_4_8">#REF!</definedName>
    <definedName name="Excel_BuiltIn__FilterDatabase_4_9">#REF!</definedName>
    <definedName name="Excel_BuiltIn__FilterDatabase_6">#REF!</definedName>
    <definedName name="Excel_BuiltIn__FilterDatabase_6_5">#REF!</definedName>
    <definedName name="Excel_BuiltIn__FilterDatabase_6_6">#REF!</definedName>
    <definedName name="Excel_BuiltIn__FilterDatabase_6_7">#REF!</definedName>
    <definedName name="Excel_BuiltIn__FilterDatabase_6_8">#REF!</definedName>
    <definedName name="Excel_BuiltIn__FilterDatabase_6_9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Criteria">#REF!</definedName>
    <definedName name="Excel_BuiltIn_Database">#REF!</definedName>
    <definedName name="Excel_BuiltIn_Database_0">#REF!</definedName>
    <definedName name="Excel_BuiltIn_Database_22">#REF!</definedName>
    <definedName name="Excel_BuiltIn_Extract">#REF!</definedName>
    <definedName name="Excel_BuiltIn_Print_Area">"$#REF!.$A$1:$J$37"</definedName>
    <definedName name="Excel_BuiltIn_Print_Area_0">"$#REF!.$#REF!$#REF!:$#REF!$#REF!"</definedName>
    <definedName name="Excel_BuiltIn_Print_Area_0___0">"$#REF!.$#REF!$#REF!:$#REF!$#REF!"</definedName>
    <definedName name="Excel_BuiltIn_Print_Area_1" localSheetId="1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2">#REF!</definedName>
    <definedName name="Excel_BuiltIn_Print_Area_1_4">#REF!</definedName>
    <definedName name="Excel_BuiltIn_Print_Area_1_5">#REF!</definedName>
    <definedName name="Excel_BuiltIn_Print_Area_1_6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2_12">NA()</definedName>
    <definedName name="Excel_BuiltIn_Print_Area_13" localSheetId="1">#REF!</definedName>
    <definedName name="Excel_BuiltIn_Print_Area_13">#REF!</definedName>
    <definedName name="Excel_BuiltIn_Print_Area_14" localSheetId="1">#REF!</definedName>
    <definedName name="Excel_BuiltIn_Print_Area_14">#REF!</definedName>
    <definedName name="Excel_BuiltIn_Print_Area_15" localSheetId="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9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2">NA()</definedName>
    <definedName name="Excel_BuiltIn_Print_Area_4" localSheetId="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31">#REF!</definedName>
    <definedName name="Excel_BuiltIn_Print_Area_4_1_4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Titles" localSheetId="1">#REF!,#REF!</definedName>
    <definedName name="Excel_BuiltIn_Print_Titles">#REF!,#REF!</definedName>
    <definedName name="Excel_BuiltIn_Print_Titles_1" localSheetId="1">#REF!</definedName>
    <definedName name="Excel_BuiltIn_Print_Titles_1">#REF!</definedName>
    <definedName name="Excel_BuiltIn_Print_Titles_10">#REF!</definedName>
    <definedName name="Excel_BuiltIn_Print_Titles_11">#REF!</definedName>
    <definedName name="Excel_BuiltIn_Print_Titles_12">#REF!</definedName>
    <definedName name="Excel_BuiltIn_Print_Titles_12_12">NA()</definedName>
    <definedName name="Excel_BuiltIn_Print_Titles_13" localSheetId="1">#REF!</definedName>
    <definedName name="Excel_BuiltIn_Print_Titles_13">#REF!</definedName>
    <definedName name="Excel_BuiltIn_Print_Titles_14" localSheetId="1">#REF!</definedName>
    <definedName name="Excel_BuiltIn_Print_Titles_14">#REF!</definedName>
    <definedName name="Excel_BuiltIn_Print_Titles_15" localSheetId="1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NA()</definedName>
    <definedName name="Excel_BuiltIn_Print_Titles_2_13">NA()</definedName>
    <definedName name="Excel_BuiltIn_Print_Titles_20" localSheetId="1">#REF!</definedName>
    <definedName name="Excel_BuiltIn_Print_Titles_20">#REF!</definedName>
    <definedName name="Excel_BuiltIn_Print_Titles_22" localSheetId="1">#REF!</definedName>
    <definedName name="Excel_BuiltIn_Print_Titles_22">#REF!</definedName>
    <definedName name="Excel_BuiltIn_Print_Titles_23" localSheetId="1">#REF!</definedName>
    <definedName name="Excel_BuiltIn_Print_Titles_23">#REF!</definedName>
    <definedName name="Excel_BuiltIn_Print_Titles_24">#REF!</definedName>
    <definedName name="Excel_BuiltIn_Print_Titles_25">#REF!</definedName>
    <definedName name="Excel_BuiltIn_Print_Titles_3">#REF!</definedName>
    <definedName name="Excel_BuiltIn_Print_Titles_3_1">#REF!</definedName>
    <definedName name="Excel_BuiltIn_Print_Titles_3_1_1_1" localSheetId="1">#REF!</definedName>
    <definedName name="Excel_BuiltIn_Print_Titles_3_1_1_1">#REF!</definedName>
    <definedName name="Excel_BuiltIn_Print_Titles_3_16" localSheetId="1">#REF!</definedName>
    <definedName name="Excel_BuiltIn_Print_Titles_3_16">#REF!</definedName>
    <definedName name="Excel_BuiltIn_Print_Titles_3_3" localSheetId="1">#REF!</definedName>
    <definedName name="Excel_BuiltIn_Print_Titles_3_3">#REF!</definedName>
    <definedName name="Excel_BuiltIn_Print_Titles_3_4">#REF!</definedName>
    <definedName name="Excel_BuiltIn_Print_Titles_3_4_1">#REF!</definedName>
    <definedName name="Excel_BuiltIn_Print_Titles_3_6">#REF!</definedName>
    <definedName name="Excel_BuiltIn_Print_Titles_3_9">#REF!</definedName>
    <definedName name="Excel_BuiltIn_Print_Titles_4" localSheetId="1">#REF!</definedName>
    <definedName name="Excel_BuiltIn_Print_Titles_4">#REF!</definedName>
    <definedName name="Excel_BuiltIn_Print_Titles_4_1_1">#REF!</definedName>
    <definedName name="Excel_BuiltIn_Print_Titles_4_1_1_1">#REF!</definedName>
    <definedName name="Excel_BuiltIn_Print_Titles_5">#REF!</definedName>
    <definedName name="Excel_BuiltIn_Print_Titles_5_1">#REF!</definedName>
    <definedName name="Excel_BuiltIn_Print_Titles_6">#REF!</definedName>
    <definedName name="Excel_BuiltIn_Print_Titles_6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9">#REF!</definedName>
    <definedName name="excf">#REF!</definedName>
    <definedName name="Exchange_rate">#REF!</definedName>
    <definedName name="excise">#REF!</definedName>
    <definedName name="Excluded">#REF!</definedName>
    <definedName name="eXCLUSIONS" localSheetId="1" hidden="1">{#N/A,#N/A,TRUE,"Cover";#N/A,#N/A,TRUE,"Conts";#N/A,#N/A,TRUE,"VOS";#N/A,#N/A,TRUE,"Warrington";#N/A,#N/A,TRUE,"Widnes"}</definedName>
    <definedName name="eXCLUSIONS" hidden="1">{#N/A,#N/A,TRUE,"Cover";#N/A,#N/A,TRUE,"Conts";#N/A,#N/A,TRUE,"VOS";#N/A,#N/A,TRUE,"Warrington";#N/A,#N/A,TRUE,"Widnes"}</definedName>
    <definedName name="eXCLUSIONS_1" localSheetId="1" hidden="1">{#N/A,#N/A,TRUE,"Cover";#N/A,#N/A,TRUE,"Conts";#N/A,#N/A,TRUE,"VOS";#N/A,#N/A,TRUE,"Warrington";#N/A,#N/A,TRUE,"Widnes"}</definedName>
    <definedName name="eXCLUSIONS_1" hidden="1">{#N/A,#N/A,TRUE,"Cover";#N/A,#N/A,TRUE,"Conts";#N/A,#N/A,TRUE,"VOS";#N/A,#N/A,TRUE,"Warrington";#N/A,#N/A,TRUE,"Widnes"}</definedName>
    <definedName name="eXCLUSIONS_2">NA()</definedName>
    <definedName name="eXCLUSIONS_3">NA()</definedName>
    <definedName name="eXCLUSIONS_4">NA()</definedName>
    <definedName name="excv3.0">#REF!</definedName>
    <definedName name="ExDir" localSheetId="1">#REF!</definedName>
    <definedName name="ExDir">#REF!</definedName>
    <definedName name="ExecSumfinal" localSheetId="1">#REF!</definedName>
    <definedName name="ExecSumfinal">#REF!</definedName>
    <definedName name="EXIT">#REF!</definedName>
    <definedName name="EXIT_1">#REF!</definedName>
    <definedName name="EXIT_2_0.5m_Pendulum">#REF!</definedName>
    <definedName name="exp" localSheetId="1" hidden="1">{#N/A,#N/A,TRUE,"Title";#N/A,#N/A,TRUE,"Index";#N/A,#N/A,TRUE,"Assumptions";#N/A,#N/A,TRUE,"Summary";#N/A,#N/A,TRUE,"CashFlow";#N/A,#N/A,TRUE,"Marina";#N/A,#N/A,TRUE,"Revenue";#N/A,#N/A,TRUE,"Costs";#N/A,#N/A,TRUE,"Areas"}</definedName>
    <definedName name="exp" hidden="1">{#N/A,#N/A,TRUE,"Title";#N/A,#N/A,TRUE,"Index";#N/A,#N/A,TRUE,"Assumptions";#N/A,#N/A,TRUE,"Summary";#N/A,#N/A,TRUE,"CashFlow";#N/A,#N/A,TRUE,"Marina";#N/A,#N/A,TRUE,"Revenue";#N/A,#N/A,TRUE,"Costs";#N/A,#N/A,TRUE,"Areas"}</definedName>
    <definedName name="EXP_COND_G2" localSheetId="1">#REF!</definedName>
    <definedName name="EXP_COND_G2">#REF!</definedName>
    <definedName name="EXP_COND_L2">#REF!</definedName>
    <definedName name="Exp_for">#REF!</definedName>
    <definedName name="Exp_phases">#REF!</definedName>
    <definedName name="Expat_Perm">#REF!</definedName>
    <definedName name="Expat_Temp">#REF!</definedName>
    <definedName name="Expded" localSheetId="1">#REF!</definedName>
    <definedName name="Expded">#REF!</definedName>
    <definedName name="Expected_balance" localSheetId="1">#REF!</definedName>
    <definedName name="Expected_balance">#REF!</definedName>
    <definedName name="ExRate">#REF!</definedName>
    <definedName name="ExRatio">#REF!</definedName>
    <definedName name="ext_plaster" localSheetId="1">#REF!</definedName>
    <definedName name="ext_plaster">#REF!</definedName>
    <definedName name="Ext_Wall_Fin">#REF!</definedName>
    <definedName name="extenalfees">#REF!</definedName>
    <definedName name="EXTERNAL" localSheetId="1">#REF!</definedName>
    <definedName name="EXTERNAL">#REF!</definedName>
    <definedName name="EXTERNAL__SERVICES">#REF!</definedName>
    <definedName name="EXTERNAL__WALLS">#REF!</definedName>
    <definedName name="External__Water_Supply">#REF!</definedName>
    <definedName name="External_Alterations___Renovations">#REF!</definedName>
    <definedName name="External_Communications">#REF!</definedName>
    <definedName name="External_Doors" localSheetId="1">#REF!</definedName>
    <definedName name="External_Doors">#REF!</definedName>
    <definedName name="External_Drainage">#REF!</definedName>
    <definedName name="External_Electrical">#REF!</definedName>
    <definedName name="External_Fire_Protection">#REF!</definedName>
    <definedName name="External_Fixtures" localSheetId="1">#REF!</definedName>
    <definedName name="External_Fixtures">#REF!</definedName>
    <definedName name="External_Gas" localSheetId="1">#REF!</definedName>
    <definedName name="External_Gas">#REF!</definedName>
    <definedName name="External_paint" localSheetId="1">#REF!</definedName>
    <definedName name="External_paint">#REF!</definedName>
    <definedName name="External_Plaster" localSheetId="1">#REF!</definedName>
    <definedName name="External_Plaster">#REF!</definedName>
    <definedName name="External_plumbing">#REF!</definedName>
    <definedName name="External_Services">#REF!</definedName>
    <definedName name="External_Sewer">#REF!</definedName>
    <definedName name="External_Special_Services">#REF!</definedName>
    <definedName name="External_Stormwater">#REF!</definedName>
    <definedName name="External_Walls">#REF!</definedName>
    <definedName name="External_Waterstops">#REF!</definedName>
    <definedName name="ExtGlz1">#REF!</definedName>
    <definedName name="Extra_over_Doors" localSheetId="1">#REF!</definedName>
    <definedName name="Extra_over_Doors">#REF!</definedName>
    <definedName name="Extra_Over_Louvered_Door" localSheetId="1">#REF!</definedName>
    <definedName name="Extra_Over_Louvered_Door">#REF!</definedName>
    <definedName name="Extra_over_Windows" localSheetId="1">#REF!</definedName>
    <definedName name="Extra_over_Windows">#REF!</definedName>
    <definedName name="Extra_Pay">#REF!</definedName>
    <definedName name="extrac_a_trier">#REF!</definedName>
    <definedName name="_xlnm.Extract">#REF!</definedName>
    <definedName name="Extract_T1">#REF!</definedName>
    <definedName name="Extras" localSheetId="1">{"'S Summ'!$B$2:$L$73","'S Summ'!$G$76"}</definedName>
    <definedName name="Extras">{"'S Summ'!$B$2:$L$73","'S Summ'!$G$76"}</definedName>
    <definedName name="Extras_1" localSheetId="1">{"'S Summ'!$B$2:$L$73","'S Summ'!$G$76"}</definedName>
    <definedName name="Extras_1">{"'S Summ'!$B$2:$L$73","'S Summ'!$G$76"}</definedName>
    <definedName name="extwarranty">0.04</definedName>
    <definedName name="EXTWORK" localSheetId="1">#REF!</definedName>
    <definedName name="EXTWORK">#REF!</definedName>
    <definedName name="ExW">0.025</definedName>
    <definedName name="eyrlp">#REF!</definedName>
    <definedName name="eyt" localSheetId="1" hidden="1">{"'Break down'!$A$4"}</definedName>
    <definedName name="eyt" hidden="1">{"'Break down'!$A$4"}</definedName>
    <definedName name="eytryerety" localSheetId="1" hidden="1">{#N/A,#N/A,FALSE,"배수2"}</definedName>
    <definedName name="eytryerety" hidden="1">{#N/A,#N/A,FALSE,"배수2"}</definedName>
    <definedName name="eyy" localSheetId="1" hidden="1">{#N/A,#N/A,TRUE,"Cover";#N/A,#N/A,TRUE,"Conts";#N/A,#N/A,TRUE,"VOS";#N/A,#N/A,TRUE,"Warrington";#N/A,#N/A,TRUE,"Widnes"}</definedName>
    <definedName name="eyy" hidden="1">{#N/A,#N/A,TRUE,"Cover";#N/A,#N/A,TRUE,"Conts";#N/A,#N/A,TRUE,"VOS";#N/A,#N/A,TRUE,"Warrington";#N/A,#N/A,TRUE,"Widnes"}</definedName>
    <definedName name="eyy_1" localSheetId="1" hidden="1">{#N/A,#N/A,TRUE,"Cover";#N/A,#N/A,TRUE,"Conts";#N/A,#N/A,TRUE,"VOS";#N/A,#N/A,TRUE,"Warrington";#N/A,#N/A,TRUE,"Widnes"}</definedName>
    <definedName name="eyy_1" hidden="1">{#N/A,#N/A,TRUE,"Cover";#N/A,#N/A,TRUE,"Conts";#N/A,#N/A,TRUE,"VOS";#N/A,#N/A,TRUE,"Warrington";#N/A,#N/A,TRUE,"Widnes"}</definedName>
    <definedName name="F" localSheetId="1">#REF!</definedName>
    <definedName name="F">#REF!</definedName>
    <definedName name="f___0">#REF!</definedName>
    <definedName name="f___0___0">"$#REF!.$#REF!$#REF!"</definedName>
    <definedName name="f___0___3">"$#REF!.$#REF!$#REF!"</definedName>
    <definedName name="f___0___4">"$#REF!.$#REF!$#REF!"</definedName>
    <definedName name="f___2">#REF!</definedName>
    <definedName name="f___2___0">"$#REF!.$#REF!$#REF!"</definedName>
    <definedName name="f___2___3">"$#REF!.$#REF!$#REF!"</definedName>
    <definedName name="f___3">#REF!</definedName>
    <definedName name="f___3___0">"$#REF!.$#REF!$#REF!"</definedName>
    <definedName name="f___3___3">"$#REF!.$#REF!$#REF!"</definedName>
    <definedName name="f___3___4">"$#REF!.$#REF!$#REF!"</definedName>
    <definedName name="f___4">#REF!</definedName>
    <definedName name="f___4___0">"$#REF!.$#REF!$#REF!"</definedName>
    <definedName name="f___4___3">"$#REF!.$#REF!$#REF!"</definedName>
    <definedName name="f___7">"$#REF!.$#REF!$#REF!"</definedName>
    <definedName name="F_1" localSheetId="1">#REF!</definedName>
    <definedName name="F_1">#REF!</definedName>
    <definedName name="F_10">#REF!</definedName>
    <definedName name="F_11">#REF!</definedName>
    <definedName name="F_2">#REF!</definedName>
    <definedName name="F_22">#REF!</definedName>
    <definedName name="F_3">#REF!</definedName>
    <definedName name="F_4">#REF!</definedName>
    <definedName name="F_5">#REF!</definedName>
    <definedName name="F_6">#REF!</definedName>
    <definedName name="F_8_ACWL">#REF!</definedName>
    <definedName name="F_9">#REF!</definedName>
    <definedName name="F_B">#REF!</definedName>
    <definedName name="F_BModel1">#REF!</definedName>
    <definedName name="F_BModel2">#REF!</definedName>
    <definedName name="F_BModel3">#REF!</definedName>
    <definedName name="F_BModel4">#REF!</definedName>
    <definedName name="F_BModel5">#REF!</definedName>
    <definedName name="f_hardener">#REF!</definedName>
    <definedName name="F1_">#REF!</definedName>
    <definedName name="F2_">#REF!</definedName>
    <definedName name="f3290801">#REF!</definedName>
    <definedName name="F4.10">#REF!</definedName>
    <definedName name="F4.7">#REF!</definedName>
    <definedName name="F4.8">#REF!</definedName>
    <definedName name="F4.9">#REF!</definedName>
    <definedName name="F5_">#REF!</definedName>
    <definedName name="F6_">#REF!</definedName>
    <definedName name="F6T">#REF!</definedName>
    <definedName name="F7_">#REF!</definedName>
    <definedName name="f82E46">#REF!</definedName>
    <definedName name="FA">#REF!</definedName>
    <definedName name="FA_12">#REF!</definedName>
    <definedName name="FA_4">#REF!</definedName>
    <definedName name="FA_5">#REF!</definedName>
    <definedName name="FA_7">#REF!</definedName>
    <definedName name="FA_8">#REF!</definedName>
    <definedName name="fab_details">#REF!</definedName>
    <definedName name="fab_progress">#REF!</definedName>
    <definedName name="fab_staff">#REF!</definedName>
    <definedName name="fab_staffing">#REF!</definedName>
    <definedName name="FABFAB" localSheetId="1">#REF!</definedName>
    <definedName name="FABFAB">#REF!</definedName>
    <definedName name="FABGYP" localSheetId="1">#REF!</definedName>
    <definedName name="FABGYP">#REF!</definedName>
    <definedName name="FABPAN" localSheetId="1">#REF!</definedName>
    <definedName name="FABPAN">#REF!</definedName>
    <definedName name="Fabric">#REF!</definedName>
    <definedName name="FAC" localSheetId="1">#REF!</definedName>
    <definedName name="FAC">#REF!</definedName>
    <definedName name="Fac_new">#REF!</definedName>
    <definedName name="Fac_old">#REF!</definedName>
    <definedName name="facade_area">#REF!</definedName>
    <definedName name="FACEPLAT" localSheetId="1">#REF!</definedName>
    <definedName name="FACEPLAT">#REF!</definedName>
    <definedName name="Facilitating_works" localSheetId="1">#REF!</definedName>
    <definedName name="Facilitating_works">#REF!</definedName>
    <definedName name="Facilities" localSheetId="1">#REF!</definedName>
    <definedName name="Facilities">#REF!</definedName>
    <definedName name="FACILITY">#REF!</definedName>
    <definedName name="facom">#REF!</definedName>
    <definedName name="fact1" localSheetId="1">#REF!</definedName>
    <definedName name="fact1">#REF!</definedName>
    <definedName name="factor">#REF!</definedName>
    <definedName name="factor1" localSheetId="1">#REF!</definedName>
    <definedName name="factor1">#REF!</definedName>
    <definedName name="factorm">#N/A</definedName>
    <definedName name="factorsho">#N/A</definedName>
    <definedName name="factot" localSheetId="1">#REF!</definedName>
    <definedName name="factot">#REF!</definedName>
    <definedName name="fafur">#REF!</definedName>
    <definedName name="FAHAHEEL" localSheetId="1">#REF!</definedName>
    <definedName name="FAHAHEEL">#REF!</definedName>
    <definedName name="FAIRMONT" localSheetId="1">#REF!</definedName>
    <definedName name="FAIRMONT">#REF!</definedName>
    <definedName name="Faisal_Jassim_Trading_Co._LLC" localSheetId="1">#REF!</definedName>
    <definedName name="Faisal_Jassim_Trading_Co._LLC">#REF!</definedName>
    <definedName name="fajfkj" localSheetId="1" hidden="1">{"'Break down'!$A$4"}</definedName>
    <definedName name="fajfkj" hidden="1">{"'Break down'!$A$4"}</definedName>
    <definedName name="FAN">#REF!</definedName>
    <definedName name="fancymeet">#REF!</definedName>
    <definedName name="faofeq">#REF!</definedName>
    <definedName name="faplm">#REF!</definedName>
    <definedName name="fapms">#REF!</definedName>
    <definedName name="faraz" localSheetId="1">#REF!</definedName>
    <definedName name="faraz">#REF!</definedName>
    <definedName name="farazd7723" localSheetId="1">#REF!</definedName>
    <definedName name="farazd7723">#REF!</definedName>
    <definedName name="FARES" localSheetId="1">#REF!</definedName>
    <definedName name="FARES">#REF!</definedName>
    <definedName name="FAS" localSheetId="1" hidden="1">{#N/A,#N/A,FALSE,"PRJCTED MNTHLY QTY's"}</definedName>
    <definedName name="FAS" hidden="1">{#N/A,#N/A,FALSE,"PRJCTED MNTHLY QTY's"}</definedName>
    <definedName name="fas_ba">#REF!</definedName>
    <definedName name="fas_ct" localSheetId="1">#REF!</definedName>
    <definedName name="fas_ct">#REF!</definedName>
    <definedName name="fas_mo" localSheetId="1">#REF!</definedName>
    <definedName name="fas_mo">#REF!</definedName>
    <definedName name="fas_pa">#REF!</definedName>
    <definedName name="fas_pd">#REF!</definedName>
    <definedName name="fas_pr">#REF!</definedName>
    <definedName name="fas_vr">#REF!</definedName>
    <definedName name="Fast" localSheetId="1" hidden="1">{"'PRODUCTIONCOST SHEET'!$B$3:$G$48"}</definedName>
    <definedName name="Fast" hidden="1">{"'PRODUCTIONCOST SHEET'!$B$3:$G$48"}</definedName>
    <definedName name="faveh">#REF!</definedName>
    <definedName name="Fax" localSheetId="1">#REF!</definedName>
    <definedName name="Fax">#REF!</definedName>
    <definedName name="FAXNO" localSheetId="1">#REF!</definedName>
    <definedName name="FAXNO">#REF!</definedName>
    <definedName name="Fb" localSheetId="1">#REF!</definedName>
    <definedName name="Fb">#REF!</definedName>
    <definedName name="FB_1CONT">#REF!</definedName>
    <definedName name="FB2P2">#REF!</definedName>
    <definedName name="FB2P3">#REF!</definedName>
    <definedName name="FB2P4">#REF!</definedName>
    <definedName name="FB2P5">#REF!</definedName>
    <definedName name="FB2P6">#REF!</definedName>
    <definedName name="fbdjh" localSheetId="1">#REF!</definedName>
    <definedName name="fbdjh">#REF!</definedName>
    <definedName name="fbf" localSheetId="1" hidden="1">{#N/A,#N/A,FALSE,"Calculator"}</definedName>
    <definedName name="fbf" hidden="1">{#N/A,#N/A,FALSE,"Calculator"}</definedName>
    <definedName name="fbPC">#REF!</definedName>
    <definedName name="FBS" localSheetId="1">#REF!</definedName>
    <definedName name="FBS">#REF!</definedName>
    <definedName name="FBT">6.73%</definedName>
    <definedName name="FBTOTAL" localSheetId="1">#REF!</definedName>
    <definedName name="FBTOTAL">#REF!</definedName>
    <definedName name="fc" localSheetId="1">#REF!</definedName>
    <definedName name="fc">#REF!</definedName>
    <definedName name="fc_1">0</definedName>
    <definedName name="Fc_RAW">#REF!</definedName>
    <definedName name="FCCM">#REF!</definedName>
    <definedName name="FCDS">#N/A</definedName>
    <definedName name="fcfcfcccc" hidden="1">#REF!</definedName>
    <definedName name="FCL_QTY" localSheetId="1">#REF!</definedName>
    <definedName name="FCL_QTY">#REF!</definedName>
    <definedName name="FCode" hidden="1">#REF!</definedName>
    <definedName name="fcompany">#REF!</definedName>
    <definedName name="fcp">#REF!</definedName>
    <definedName name="fd" localSheetId="1" hidden="1">{#N/A,#N/A,FALSE,"표지목차"}</definedName>
    <definedName name="fd" hidden="1">{#N/A,#N/A,FALSE,"표지목차"}</definedName>
    <definedName name="fd_panicbar">#REF!</definedName>
    <definedName name="fd_vision">#REF!</definedName>
    <definedName name="fdagbhrenjmk" localSheetId="1">#REF!</definedName>
    <definedName name="fdagbhrenjmk">#REF!</definedName>
    <definedName name="fdate" localSheetId="1">#REF!</definedName>
    <definedName name="fdate">#REF!</definedName>
    <definedName name="fdbdfb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fdbdf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FDC">#REF!</definedName>
    <definedName name="fdddh">#N/A</definedName>
    <definedName name="FDD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E">#REF!</definedName>
    <definedName name="fdevise" localSheetId="1">#REF!</definedName>
    <definedName name="fdevise">#REF!</definedName>
    <definedName name="fdf" localSheetId="1">#REF!</definedName>
    <definedName name="fdf">#REF!</definedName>
    <definedName name="fdfd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dfd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DFDF">#N/A</definedName>
    <definedName name="fdfdfd" hidden="1">#REF!</definedName>
    <definedName name="FDFDFDFD">#N/A</definedName>
    <definedName name="FDFDFDFDFA">#N/A</definedName>
    <definedName name="fdfdfdfdfd">#N/A</definedName>
    <definedName name="FDFDFDFDFDF">#N/A</definedName>
    <definedName name="fdfdfdfdfdfwe">#N/A</definedName>
    <definedName name="fdfdfwqer">#N/A</definedName>
    <definedName name="FDFEREEEEE">#N/A</definedName>
    <definedName name="fdfewewww">#N/A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df">#N/A</definedName>
    <definedName name="fdfff" localSheetId="1" hidden="1">{#N/A,#N/A,FALSE,"MARCH"}</definedName>
    <definedName name="fdfff" hidden="1">{#N/A,#N/A,FALSE,"MARCH"}</definedName>
    <definedName name="fdfgr" localSheetId="1">IF(ISNA(MATCH(ROW(),[1]!COUNT_TH2_V2__units_1___Type_D_04__900_x_2200mm_high,1)),1,MATCH(ROW(),[1]!COUNT_TH2_V2__units_1___Type_D_04__900_x_2200mm_high,1)+1)</definedName>
    <definedName name="fdfgr">IF(ISNA(MATCH(ROW(),RowAfterpgbrk,1)),1,MATCH(ROW(),RowAfterpgbrk,1)+1)</definedName>
    <definedName name="FDFS">#N/A</definedName>
    <definedName name="fdfw">#N/A</definedName>
    <definedName name="FDFWWE" localSheetId="1">#N/A</definedName>
    <definedName name="FDFWWE">OFFSET(Full_Print,0,0,CHAMINDA)</definedName>
    <definedName name="fdgdg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FGFGF">#N/A</definedName>
    <definedName name="fdgg" localSheetId="1" hidden="1">{#N/A,#N/A,FALSE,"MARCH"}</definedName>
    <definedName name="fdgg" hidden="1">{#N/A,#N/A,FALSE,"MARCH"}</definedName>
    <definedName name="fdghdfhg" localSheetId="1" hidden="1">{#N/A,#N/A,FALSE,"2~8번"}</definedName>
    <definedName name="fdghdfhg" hidden="1">{#N/A,#N/A,FALSE,"2~8번"}</definedName>
    <definedName name="fdh" localSheetId="1">BlankMacro1</definedName>
    <definedName name="fdh">BlankMacro1</definedName>
    <definedName name="fdhdf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hd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hdh" localSheetId="1" hidden="1">{#N/A,#N/A,FALSE,"갑지";#N/A,#N/A,FALSE,"개요";#N/A,#N/A,FALSE,"비목별";#N/A,#N/A,FALSE,"건물별";#N/A,#N/A,FALSE,"기구표";#N/A,#N/A,FALSE,"직원투입"}</definedName>
    <definedName name="fdhdh" hidden="1">{#N/A,#N/A,FALSE,"갑지";#N/A,#N/A,FALSE,"개요";#N/A,#N/A,FALSE,"비목별";#N/A,#N/A,FALSE,"건물별";#N/A,#N/A,FALSE,"기구표";#N/A,#N/A,FALSE,"직원투입"}</definedName>
    <definedName name="fdhfdh" localSheetId="1" hidden="1">{#N/A,#N/A,FALSE,"운반시간"}</definedName>
    <definedName name="fdhfdh" hidden="1">{#N/A,#N/A,FALSE,"운반시간"}</definedName>
    <definedName name="fdhghdfh" localSheetId="1" hidden="1">{#N/A,#N/A,FALSE,"물량산출"}</definedName>
    <definedName name="fdhghdfh" hidden="1">{#N/A,#N/A,FALSE,"물량산출"}</definedName>
    <definedName name="fdlam">#REF!</definedName>
    <definedName name="fdlam_800">#REF!</definedName>
    <definedName name="fdlam1">#REF!</definedName>
    <definedName name="fdmfdf" localSheetId="1">#REF!</definedName>
    <definedName name="fdmfdf">#REF!</definedName>
    <definedName name="fdnfwk">#REF!</definedName>
    <definedName name="fds" localSheetId="1" hidden="1">{#N/A,#N/A,FALSE,"PRJCTED QTRLY QTY's"}</definedName>
    <definedName name="fds" hidden="1">{#N/A,#N/A,FALSE,"PRJCTED QTRLY QTY's"}</definedName>
    <definedName name="FDSA" localSheetId="1" hidden="1">{#N/A,#N/A,FALSE,"물량산출"}</definedName>
    <definedName name="FDSA" hidden="1">{#N/A,#N/A,FALSE,"물량산출"}</definedName>
    <definedName name="fdsefs">#REF!</definedName>
    <definedName name="fdsfdfdfdfd">#N/A</definedName>
    <definedName name="fdsfs" localSheetId="1">#REF!</definedName>
    <definedName name="fdsfs">#REF!</definedName>
    <definedName name="fdsfsd" localSheetId="1" hidden="1">{#N/A,#N/A,FALSE,"갑지";#N/A,#N/A,FALSE,"개요";#N/A,#N/A,FALSE,"비목별";#N/A,#N/A,FALSE,"건물별";#N/A,#N/A,FALSE,"기구표";#N/A,#N/A,FALSE,"직원투입"}</definedName>
    <definedName name="fdsfsd" hidden="1">{#N/A,#N/A,FALSE,"갑지";#N/A,#N/A,FALSE,"개요";#N/A,#N/A,FALSE,"비목별";#N/A,#N/A,FALSE,"건물별";#N/A,#N/A,FALSE,"기구표";#N/A,#N/A,FALSE,"직원투입"}</definedName>
    <definedName name="FDSGFDGD" localSheetId="1">[1]!CUSTOM1_2_bed_fridge_freezer+Extra_Payment</definedName>
    <definedName name="FDSGFDGD">Scheduled_Payment+Extra_Payment</definedName>
    <definedName name="fdssdsdx">#N/A</definedName>
    <definedName name="fdsyhgfd" localSheetId="1">#REF!</definedName>
    <definedName name="fdsyhgfd">#REF!</definedName>
    <definedName name="fdtgg" localSheetId="1">#REF!</definedName>
    <definedName name="fdtgg">#REF!</definedName>
    <definedName name="fdu" localSheetId="1">#REF!</definedName>
    <definedName name="fdu">#REF!</definedName>
    <definedName name="fdur1">#REF!</definedName>
    <definedName name="fdur10">#REF!</definedName>
    <definedName name="fdur11">#REF!</definedName>
    <definedName name="fdur12">#REF!</definedName>
    <definedName name="fdur13">#REF!</definedName>
    <definedName name="fdur14">#REF!</definedName>
    <definedName name="fdur15">#REF!</definedName>
    <definedName name="fdur16">#REF!</definedName>
    <definedName name="fdur17">#REF!</definedName>
    <definedName name="fdur18">#REF!</definedName>
    <definedName name="fdur19">#REF!</definedName>
    <definedName name="fdur2">#REF!</definedName>
    <definedName name="fdur20">#REF!</definedName>
    <definedName name="fdur21">#REF!</definedName>
    <definedName name="fdur22">#REF!</definedName>
    <definedName name="fdur23">#REF!</definedName>
    <definedName name="fdur24">#REF!</definedName>
    <definedName name="fdur25">#REF!</definedName>
    <definedName name="fdur26">#REF!</definedName>
    <definedName name="fdur27">#REF!</definedName>
    <definedName name="fdur28">#REF!</definedName>
    <definedName name="fdur29">#REF!</definedName>
    <definedName name="fdur3">#REF!</definedName>
    <definedName name="fdur30">#REF!</definedName>
    <definedName name="fdur4">#REF!</definedName>
    <definedName name="fdur5">#REF!</definedName>
    <definedName name="fdur6">#REF!</definedName>
    <definedName name="fdur7">#REF!</definedName>
    <definedName name="fdur8">#REF!</definedName>
    <definedName name="fdur9">#REF!</definedName>
    <definedName name="fdven">#REF!</definedName>
    <definedName name="fdven_condrclsr">#REF!</definedName>
    <definedName name="fdven_flrspring">#REF!</definedName>
    <definedName name="fdven1">#REF!</definedName>
    <definedName name="fe" localSheetId="1" hidden="1">{#N/A,#N/A,FALSE,"MARCH"}</definedName>
    <definedName name="fe" hidden="1">{#N/A,#N/A,FALSE,"MARCH"}</definedName>
    <definedName name="Featherlite">#REF!</definedName>
    <definedName name="Feature_Sofa____DIMANTION________FINIH" localSheetId="1">#REF!</definedName>
    <definedName name="Feature_Sofa____DIMANTION________FINIH">#REF!</definedName>
    <definedName name="FEB_05" localSheetId="1">#REF!</definedName>
    <definedName name="FEB_05">#REF!</definedName>
    <definedName name="feb_qty_rev_3">#REF!</definedName>
    <definedName name="feb_rev4_qty">#REF!</definedName>
    <definedName name="fed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e">#REF!</definedName>
    <definedName name="fee_autho.contract" localSheetId="1">#REF!</definedName>
    <definedName name="fee_autho.contract">#REF!</definedName>
    <definedName name="fee_autho.now" localSheetId="1">#REF!</definedName>
    <definedName name="fee_autho.now">#REF!</definedName>
    <definedName name="fee_autho.payment">#REF!</definedName>
    <definedName name="fee_autho.uncommit">#REF!</definedName>
    <definedName name="fee_autho.vo.app">#REF!</definedName>
    <definedName name="fee_autho.vo.pend">#REF!</definedName>
    <definedName name="fee_contract">#REF!</definedName>
    <definedName name="fee_now">#REF!</definedName>
    <definedName name="fee_payment">#REF!</definedName>
    <definedName name="fee_uncommit">#REF!</definedName>
    <definedName name="fee_vo.app">#REF!</definedName>
    <definedName name="fee_vo.pend">#REF!</definedName>
    <definedName name="fees">#REF!</definedName>
    <definedName name="Fees.1" localSheetId="1" hidden="1">{#N/A,#N/A,TRUE,"Cover";#N/A,#N/A,TRUE,"Conts";#N/A,#N/A,TRUE,"VOS";#N/A,#N/A,TRUE,"Warrington";#N/A,#N/A,TRUE,"Widnes"}</definedName>
    <definedName name="Fees.1" hidden="1">{#N/A,#N/A,TRUE,"Cover";#N/A,#N/A,TRUE,"Conts";#N/A,#N/A,TRUE,"VOS";#N/A,#N/A,TRUE,"Warrington";#N/A,#N/A,TRUE,"Widnes"}</definedName>
    <definedName name="Fees.1_1" localSheetId="1" hidden="1">{#N/A,#N/A,TRUE,"Cover";#N/A,#N/A,TRUE,"Conts";#N/A,#N/A,TRUE,"VOS";#N/A,#N/A,TRUE,"Warrington";#N/A,#N/A,TRUE,"Widnes"}</definedName>
    <definedName name="Fees.1_1" hidden="1">{#N/A,#N/A,TRUE,"Cover";#N/A,#N/A,TRUE,"Conts";#N/A,#N/A,TRUE,"VOS";#N/A,#N/A,TRUE,"Warrington";#N/A,#N/A,TRUE,"Widnes"}</definedName>
    <definedName name="FEESSUM">#REF!</definedName>
    <definedName name="FEF">#N/A</definedName>
    <definedName name="FEFC_Salary">#REF!</definedName>
    <definedName name="fefw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f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n">#REF!</definedName>
    <definedName name="Fence" localSheetId="1">#REF!</definedName>
    <definedName name="Fence">#REF!</definedName>
    <definedName name="Fences___Gates" localSheetId="1">#REF!</definedName>
    <definedName name="Fences___Gates">#REF!</definedName>
    <definedName name="Fencing_Railing_and_Walls" localSheetId="1">#REF!</definedName>
    <definedName name="Fencing_Railing_and_Walls">#REF!</definedName>
    <definedName name="fer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fer">IF(ISNA(MATCH(ROW(),RowAfterpgbrk,1)),1,MATCH(ROW(),RowAfterpgbrk,1)+1)&lt;&gt;IF(ISNA(MATCH(ROW()+1,RowAfterpgbrk,1)),1,MATCH(ROW()+1,RowAfterpgbrk,1)+1)</definedName>
    <definedName name="fertgert" localSheetId="1">[1]!CUSTOM1_2_bed_fridge_freezer+Extra_Payment</definedName>
    <definedName name="fertgert">Scheduled_Payment+Extra_Payment</definedName>
    <definedName name="ferwfe">#N/A</definedName>
    <definedName name="Festive_lighting" localSheetId="1">#REF!</definedName>
    <definedName name="Festive_lighting">#REF!</definedName>
    <definedName name="Festive_lighting_up_to_level_159">#REF!</definedName>
    <definedName name="FEVAvalues">#REF!</definedName>
    <definedName name="fe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w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w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">#REF!</definedName>
    <definedName name="FF">#REF!</definedName>
    <definedName name="FF_1">0</definedName>
    <definedName name="FF_22" localSheetId="1">#REF!</definedName>
    <definedName name="FF_22">#REF!</definedName>
    <definedName name="FFAREA">#REF!</definedName>
    <definedName name="FFAREA1">#REF!</definedName>
    <definedName name="ffdf" localSheetId="1">#REF!</definedName>
    <definedName name="ffdf">#REF!</definedName>
    <definedName name="ffdfddfdfdfdf">#N/A</definedName>
    <definedName name="FFDFDE">#N/A</definedName>
    <definedName name="FFDFDFDFAQ">#N/A</definedName>
    <definedName name="FFE" localSheetId="1">#REF!</definedName>
    <definedName name="FFE">#REF!</definedName>
    <definedName name="fff" localSheetId="1" hidden="1">{#N/A,#N/A,TRUE,"Cover";#N/A,#N/A,TRUE,"Conts";#N/A,#N/A,TRUE,"VOS";#N/A,#N/A,TRUE,"Warrington";#N/A,#N/A,TRUE,"Widnes"}</definedName>
    <definedName name="fff" hidden="1">{#N/A,#N/A,TRUE,"Cover";#N/A,#N/A,TRUE,"Conts";#N/A,#N/A,TRUE,"VOS";#N/A,#N/A,TRUE,"Warrington";#N/A,#N/A,TRUE,"Widnes"}</definedName>
    <definedName name="fffdfd">#N/A</definedName>
    <definedName name="Fffef" localSheetId="1" hidden="1">{#N/A,#N/A,FALSE,"MARCH"}</definedName>
    <definedName name="Fffef" hidden="1">{#N/A,#N/A,FALSE,"MARCH"}</definedName>
    <definedName name="ffff" localSheetId="1">"Page "&amp;IF(ISNA(MATCH(ROW(),[1]!COUNT_TH2_V2__units_1___Type_D_04__900_x_2200mm_high,1)),1,MATCH(ROW(),[1]!COUNT_TH2_V2__units_1___Type_D_04__900_x_2200mm_high,1)+1)&amp;" of " &amp; [1]!CUSTOM1_Shops__GF_ + 0*NOW()</definedName>
    <definedName name="ffff">"Page "&amp;IF(ISNA(MATCH(ROW(),RowAfterpgbrk,1)),1,MATCH(ROW(),RowAfterpgbrk,1)+1)&amp;" of " &amp; TotPageCount + 0*NOW()</definedName>
    <definedName name="fffff" localSheetId="1" hidden="1">{"year1",#N/A,FALSE,"IZT";"year2",#N/A,FALSE,"IZT"}</definedName>
    <definedName name="fffff">#REF!</definedName>
    <definedName name="ffffff" hidden="1">#REF!</definedName>
    <definedName name="fffffff" localSheetId="1" hidden="1">#REF!</definedName>
    <definedName name="fffffff" hidden="1">#REF!</definedName>
    <definedName name="ffffffff" localSheetId="1" hidden="1">#REF!</definedName>
    <definedName name="ffffffff" hidden="1">#REF!</definedName>
    <definedName name="ffffffffffffff">#REF!</definedName>
    <definedName name="fffffffffffffffghk">#REF!</definedName>
    <definedName name="fffg" localSheetId="1">BlankMacro1</definedName>
    <definedName name="fffg">BlankMacro1</definedName>
    <definedName name="fffuu" localSheetId="1">{"'Break down'!$A$4"}</definedName>
    <definedName name="fffuu">{"'Break down'!$A$4"}</definedName>
    <definedName name="fffuu_1" localSheetId="1">{"'Break down'!$A$4"}</definedName>
    <definedName name="fffuu_1">{"'Break down'!$A$4"}</definedName>
    <definedName name="ffg" localSheetId="1" hidden="1">{#N/A,#N/A,FALSE,"MARCH"}</definedName>
    <definedName name="ffg" hidden="1">{#N/A,#N/A,FALSE,"MARCH"}</definedName>
    <definedName name="FFGWD">#N/A</definedName>
    <definedName name="ffne" localSheetId="1">#REF!</definedName>
    <definedName name="ffne">#REF!</definedName>
    <definedName name="ffqw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R">#N/A</definedName>
    <definedName name="ffrer">#N/A</definedName>
    <definedName name="FFRF">#N/A</definedName>
    <definedName name="ffs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s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sf" localSheetId="1">{#N/A,#N/A,FALSE,"Chi tiÆt"}</definedName>
    <definedName name="ffsf">{#N/A,#N/A,FALSE,"Chi tiÆt"}</definedName>
    <definedName name="ffte2" localSheetId="1">BlankMacro1</definedName>
    <definedName name="ffte2">BlankMacro1</definedName>
    <definedName name="ffuyyyyuyuuy">#N/A</definedName>
    <definedName name="ffwfwe">#N/A</definedName>
    <definedName name="f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_1" localSheetId="1" hidden="1">{#N/A,#N/A,TRUE,"Cover";#N/A,#N/A,TRUE,"Conts";#N/A,#N/A,TRUE,"VOS";#N/A,#N/A,TRUE,"Warrington";#N/A,#N/A,TRUE,"Widnes"}</definedName>
    <definedName name="fg_1" hidden="1">{#N/A,#N/A,TRUE,"Cover";#N/A,#N/A,TRUE,"Conts";#N/A,#N/A,TRUE,"VOS";#N/A,#N/A,TRUE,"Warrington";#N/A,#N/A,TRUE,"Widnes"}</definedName>
    <definedName name="fg_2">NA()</definedName>
    <definedName name="fg_3">NA()</definedName>
    <definedName name="fg_4">NA()</definedName>
    <definedName name="fgbxgxf">#N/A</definedName>
    <definedName name="FGC" localSheetId="1">#REF!</definedName>
    <definedName name="FGC">#REF!</definedName>
    <definedName name="FGCV98" localSheetId="1" hidden="1">{"'Break down'!$A$4"}</definedName>
    <definedName name="FGCV98" hidden="1">{"'Break down'!$A$4"}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SG">#N/A</definedName>
    <definedName name="fgececf">#REF!</definedName>
    <definedName name="fgf" localSheetId="1" hidden="1">{#N/A,#N/A,FALSE,"MARCH"}</definedName>
    <definedName name="fgf" hidden="1">{#N/A,#N/A,FALSE,"MARCH"}</definedName>
    <definedName name="fgfdd">#N/A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f" hidden="1">#REF!</definedName>
    <definedName name="FGFG" localSheetId="1" hidden="1">{#N/A,#N/A,FALSE,"CAM-G7";#N/A,#N/A,FALSE,"SPL";#N/A,#N/A,FALSE,"butt-in G7";#N/A,#N/A,FALSE,"dia-in G7";#N/A,#N/A,FALSE,"추가-STA G7"}</definedName>
    <definedName name="FGFG" hidden="1">{#N/A,#N/A,FALSE,"CAM-G7";#N/A,#N/A,FALSE,"SPL";#N/A,#N/A,FALSE,"butt-in G7";#N/A,#N/A,FALSE,"dia-in G7";#N/A,#N/A,FALSE,"추가-STA G7"}</definedName>
    <definedName name="fggdfh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dfh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hg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h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hh" hidden="1">#REF!</definedName>
    <definedName name="FGGHNHNNM">#N/A</definedName>
    <definedName name="fgh" localSheetId="1">#REF!</definedName>
    <definedName name="fgh">#REF!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g" localSheetId="1">DATE(YEAR('City Walk - Comparison'!bhjbh),MONTH('City Walk - Comparison'!bhjbh)+[1]!COUNT_FS05_1B1,DAY('City Walk - Comparison'!bhjbh))</definedName>
    <definedName name="fghg">DATE(YEAR(Loan_Start),MONTH(Loan_Start)+Payment_Number,DAY(Loan_Start))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J">#N/A</definedName>
    <definedName name="fghjhgfj" localSheetId="1" hidden="1">{#N/A,#N/A,FALSE,"CAM-G7";#N/A,#N/A,FALSE,"SPL";#N/A,#N/A,FALSE,"butt-in G7";#N/A,#N/A,FALSE,"dia-in G7";#N/A,#N/A,FALSE,"추가-STA G7"}</definedName>
    <definedName name="fghjhgfj" hidden="1">{#N/A,#N/A,FALSE,"CAM-G7";#N/A,#N/A,FALSE,"SPL";#N/A,#N/A,FALSE,"butt-in G7";#N/A,#N/A,FALSE,"dia-in G7";#N/A,#N/A,FALSE,"추가-STA G7"}</definedName>
    <definedName name="fgjg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jjkyg" localSheetId="1" hidden="1">{#N/A,#N/A,TRUE,"Cover";#N/A,#N/A,TRUE,"Conts";#N/A,#N/A,TRUE,"VOS";#N/A,#N/A,TRUE,"Warrington";#N/A,#N/A,TRUE,"Widnes"}</definedName>
    <definedName name="fgjjjkyg" hidden="1">{#N/A,#N/A,TRUE,"Cover";#N/A,#N/A,TRUE,"Conts";#N/A,#N/A,TRUE,"VOS";#N/A,#N/A,TRUE,"Warrington";#N/A,#N/A,TRUE,"Widnes"}</definedName>
    <definedName name="fgjjjkyg_1" localSheetId="1" hidden="1">{#N/A,#N/A,TRUE,"Cover";#N/A,#N/A,TRUE,"Conts";#N/A,#N/A,TRUE,"VOS";#N/A,#N/A,TRUE,"Warrington";#N/A,#N/A,TRUE,"Widnes"}</definedName>
    <definedName name="fgjjjkyg_1" hidden="1">{#N/A,#N/A,TRUE,"Cover";#N/A,#N/A,TRUE,"Conts";#N/A,#N/A,TRUE,"VOS";#N/A,#N/A,TRUE,"Warrington";#N/A,#N/A,TRUE,"Widnes"}</definedName>
    <definedName name="FGR" localSheetId="1">IF('City Walk - Comparison'!Loan_Amount*[1]!Interest_Rate*[1]!Loan_Years*'City Walk - Comparison'!Loan_Start&gt;0,1,0)</definedName>
    <definedName name="FGR">IF(Loan_Amount*Interest_Rate*Loan_Years*Loan_Start&gt;0,1,0)</definedName>
    <definedName name="fgRKRKRKRKRKRKRKRKRKRKRKTBTBSPD" localSheetId="1">#REF!</definedName>
    <definedName name="fgRKRKRKRKRKRKRKRKRKRKRKTBTBSPD">#REF!</definedName>
    <definedName name="FGRKRKRKRKRKRKRKTBTBSPDKDKRT" localSheetId="1">#REF!</definedName>
    <definedName name="FGRKRKRKRKRKRKRKTBTBSPDKDKRT">#REF!</definedName>
    <definedName name="FGRKRKRKRKRKRKTBTBSPDKDKRT" localSheetId="1">#REF!</definedName>
    <definedName name="FGRKRKRKRKRKRKTBTBSPDKDKRT">#REF!</definedName>
    <definedName name="fgRKTBTBSPDKDKRT" localSheetId="1">#REF!</definedName>
    <definedName name="fgRKTBTBSPDKDKRT">#REF!</definedName>
    <definedName name="FGRKTBTBSPRT" localSheetId="1">#REF!</definedName>
    <definedName name="FGRKTBTBSPRT">#REF!</definedName>
    <definedName name="fgrt458" localSheetId="1" hidden="1">{"'Break down'!$A$4"}</definedName>
    <definedName name="fgrt458" hidden="1">{"'Break down'!$A$4"}</definedName>
    <definedName name="fgrttrt">#N/A</definedName>
    <definedName name="fgsd" localSheetId="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gsd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GTR">#N/A</definedName>
    <definedName name="fgtt" localSheetId="1" hidden="1">{"'Sheet1'!$A$4386:$N$4591"}</definedName>
    <definedName name="fgtt" hidden="1">{"'Sheet1'!$A$4386:$N$4591"}</definedName>
    <definedName name="FH">#REF!</definedName>
    <definedName name="FHA">#REF!</definedName>
    <definedName name="FHB">#REF!</definedName>
    <definedName name="FHBKSHLF">#REF!</definedName>
    <definedName name="FHC" localSheetId="1">#REF!</definedName>
    <definedName name="FHC">#REF!</definedName>
    <definedName name="fhdaskjfhsadk" hidden="1">#REF!</definedName>
    <definedName name="fhdsgbh">#REF!</definedName>
    <definedName name="fhff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hf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HFGHFG" localSheetId="1" hidden="1">{#N/A,#N/A,TRUE,"Cover";#N/A,#N/A,TRUE,"Conts";#N/A,#N/A,TRUE,"VOS";#N/A,#N/A,TRUE,"Warrington";#N/A,#N/A,TRUE,"Widnes"}</definedName>
    <definedName name="FHFGHFG" hidden="1">{#N/A,#N/A,TRUE,"Cover";#N/A,#N/A,TRUE,"Conts";#N/A,#N/A,TRUE,"VOS";#N/A,#N/A,TRUE,"Warrington";#N/A,#N/A,TRUE,"Widnes"}</definedName>
    <definedName name="fhfhjmyhj">#N/A</definedName>
    <definedName name="fhgf">#N/A</definedName>
    <definedName name="FHGJHGKFHGK" hidden="1">#REF!</definedName>
    <definedName name="FHGLASS">#REF!</definedName>
    <definedName name="fhglazd">#REF!</definedName>
    <definedName name="fhgujguthi" localSheetId="1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gujguthi_1" localSheetId="1" hidden="1">{#N/A,#N/A,TRUE,"Cover";#N/A,#N/A,TRUE,"Conts";#N/A,#N/A,TRUE,"VOS";#N/A,#N/A,TRUE,"Warrington";#N/A,#N/A,TRUE,"Widnes"}</definedName>
    <definedName name="fhgujguthi_1" hidden="1">{#N/A,#N/A,TRUE,"Cover";#N/A,#N/A,TRUE,"Conts";#N/A,#N/A,TRUE,"VOS";#N/A,#N/A,TRUE,"Warrington";#N/A,#N/A,TRUE,"Widnes"}</definedName>
    <definedName name="FHGYP">#REF!</definedName>
    <definedName name="fhhfh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hf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hhh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J" localSheetId="1">#REF!</definedName>
    <definedName name="FHJ">#REF!</definedName>
    <definedName name="fhjgfjhg" localSheetId="1" hidden="1">{#N/A,#N/A,FALSE,"CAM-G7";#N/A,#N/A,FALSE,"SPL";#N/A,#N/A,FALSE,"butt-in G7";#N/A,#N/A,FALSE,"dia-in G7";#N/A,#N/A,FALSE,"추가-STA G7"}</definedName>
    <definedName name="fhjgfjhg" hidden="1">{#N/A,#N/A,FALSE,"CAM-G7";#N/A,#N/A,FALSE,"SPL";#N/A,#N/A,FALSE,"butt-in G7";#N/A,#N/A,FALSE,"dia-in G7";#N/A,#N/A,FALSE,"추가-STA G7"}</definedName>
    <definedName name="fhjsjs" localSheetId="1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hjsjs_1" localSheetId="1" hidden="1">{#N/A,#N/A,TRUE,"Cover";#N/A,#N/A,TRUE,"Conts";#N/A,#N/A,TRUE,"VOS";#N/A,#N/A,TRUE,"Warrington";#N/A,#N/A,TRUE,"Widnes"}</definedName>
    <definedName name="fhjsjs_1" hidden="1">{#N/A,#N/A,TRUE,"Cover";#N/A,#N/A,TRUE,"Conts";#N/A,#N/A,TRUE,"VOS";#N/A,#N/A,TRUE,"Warrington";#N/A,#N/A,TRUE,"Widnes"}</definedName>
    <definedName name="FHK" localSheetId="1">#REF!</definedName>
    <definedName name="FHK">#REF!</definedName>
    <definedName name="FHLAM">#REF!</definedName>
    <definedName name="FHS">#REF!</definedName>
    <definedName name="FHSDUCO">#REF!</definedName>
    <definedName name="fhsduco1">#REF!</definedName>
    <definedName name="FHSGLASS">#REF!</definedName>
    <definedName name="fhslam1">#REF!</definedName>
    <definedName name="FHSLAMI">#REF!</definedName>
    <definedName name="FHSSLIDING">#REF!</definedName>
    <definedName name="fhsven1">#REF!</definedName>
    <definedName name="FHSVENRD">#REF!</definedName>
    <definedName name="Fhwl" localSheetId="1">#REF!</definedName>
    <definedName name="Fhwl">#REF!</definedName>
    <definedName name="fi">#REF!</definedName>
    <definedName name="fi_1">0</definedName>
    <definedName name="fi4_">#REF!</definedName>
    <definedName name="fi4__1">0</definedName>
    <definedName name="fi4a">#REF!</definedName>
    <definedName name="fi4a_1">0</definedName>
    <definedName name="Field_Ofc_OT">#REF!</definedName>
    <definedName name="Field_Ofc_ST">#REF!</definedName>
    <definedName name="Field100" localSheetId="1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0">#REF!</definedName>
    <definedName name="Field131">#REF!</definedName>
    <definedName name="Field132">#REF!</definedName>
    <definedName name="Field133">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#REF!</definedName>
    <definedName name="Field199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0">#REF!</definedName>
    <definedName name="Field221">#REF!</definedName>
    <definedName name="Field222">#REF!</definedName>
    <definedName name="Field223">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#REF!</definedName>
    <definedName name="Field249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#REF!</definedName>
    <definedName name="Field258">#REF!</definedName>
    <definedName name="Field259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45">#REF!</definedName>
    <definedName name="Field35">#REF!</definedName>
    <definedName name="Field36">#REF!</definedName>
    <definedName name="Field37">#REF!</definedName>
    <definedName name="Field38">#REF!</definedName>
    <definedName name="Field39">#REF!</definedName>
    <definedName name="Field40">#REF!</definedName>
    <definedName name="Field41">#REF!</definedName>
    <definedName name="Field42">#REF!</definedName>
    <definedName name="Field43">#REF!</definedName>
    <definedName name="Field44">#REF!</definedName>
    <definedName name="Field45">#REF!</definedName>
    <definedName name="Field46">#REF!</definedName>
    <definedName name="Field47">#REF!</definedName>
    <definedName name="Field48">#REF!</definedName>
    <definedName name="Field49">#REF!</definedName>
    <definedName name="Field50">#REF!</definedName>
    <definedName name="Field51">#REF!</definedName>
    <definedName name="Field52">#REF!</definedName>
    <definedName name="Field53">#REF!</definedName>
    <definedName name="Field54">#REF!</definedName>
    <definedName name="Field55">#REF!</definedName>
    <definedName name="Field56">#REF!</definedName>
    <definedName name="Field57">#REF!</definedName>
    <definedName name="Field58">#REF!</definedName>
    <definedName name="Field59">#REF!</definedName>
    <definedName name="Field60">#REF!</definedName>
    <definedName name="Field61">#REF!</definedName>
    <definedName name="Field62">#REF!</definedName>
    <definedName name="Field63">#REF!</definedName>
    <definedName name="Field64">#REF!</definedName>
    <definedName name="Field65">#REF!</definedName>
    <definedName name="Field66">#REF!</definedName>
    <definedName name="Field67">#REF!</definedName>
    <definedName name="Field68">#REF!</definedName>
    <definedName name="Field69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7">#REF!</definedName>
    <definedName name="Field98">#REF!</definedName>
    <definedName name="Field99">#REF!</definedName>
    <definedName name="FIFTEEN">#REF!</definedName>
    <definedName name="fifthraw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fifthraw">IF(ISNA(MATCH(ROW(),RowAfterpgbrk,1)),1,MATCH(ROW(),RowAfterpgbrk,1)+1)&lt;&gt;IF(ISNA(MATCH(ROW()+1,RowAfterpgbrk,1)),1,MATCH(ROW()+1,RowAfterpgbrk,1)+1)</definedName>
    <definedName name="fil" localSheetId="1" hidden="1">#REF!</definedName>
    <definedName name="fil" hidden="1">#REF!</definedName>
    <definedName name="fil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il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ile_Used" localSheetId="1">#REF!</definedName>
    <definedName name="File_Used">#REF!</definedName>
    <definedName name="File.Type" hidden="1">#REF!</definedName>
    <definedName name="FILENAME" localSheetId="1">#REF!</definedName>
    <definedName name="FILENAME">#REF!</definedName>
    <definedName name="fill" hidden="1">#REF!</definedName>
    <definedName name="fill." hidden="1">#REF!</definedName>
    <definedName name="film1">#REF!</definedName>
    <definedName name="Filter_input_fac" localSheetId="1">#REF!</definedName>
    <definedName name="Filter_input_fac">#REF!</definedName>
    <definedName name="Filters_Com_Astral">#REF!</definedName>
    <definedName name="Filters_Com_Certikin">#REF!</definedName>
    <definedName name="Filters_Commercial">#REF!</definedName>
    <definedName name="Filters_Residential" localSheetId="1">#REF!</definedName>
    <definedName name="Filters_Residential">#REF!</definedName>
    <definedName name="FIM">#REF!</definedName>
    <definedName name="Fin" localSheetId="1" hidden="1">{#N/A,#N/A,TRUE,"Financials";#N/A,#N/A,TRUE,"Operating Statistics";#N/A,#N/A,TRUE,"Capex &amp; Depreciation";#N/A,#N/A,TRUE,"Debt"}</definedName>
    <definedName name="Fin" hidden="1">{#N/A,#N/A,TRUE,"Financials";#N/A,#N/A,TRUE,"Operating Statistics";#N/A,#N/A,TRUE,"Capex &amp; Depreciation";#N/A,#N/A,TRUE,"Debt"}</definedName>
    <definedName name="Fin_Hrs" localSheetId="1">#REF!</definedName>
    <definedName name="Fin_Hrs">#REF!</definedName>
    <definedName name="Fin_Rev">#REF!</definedName>
    <definedName name="fin_year_expend">#REF!</definedName>
    <definedName name="fin_year_expend_4">#REF!</definedName>
    <definedName name="Final" localSheetId="1">#REF!</definedName>
    <definedName name="Final">#REF!</definedName>
    <definedName name="Final_amount" localSheetId="1">#REF!</definedName>
    <definedName name="Final_amount">#REF!</definedName>
    <definedName name="final_report" localSheetId="1">#REF!</definedName>
    <definedName name="final_report">#REF!</definedName>
    <definedName name="final_report1">#REF!</definedName>
    <definedName name="finalaccount" localSheetId="1" hidden="1">{#N/A,#N/A,FALSE,"Header P";#N/A,#N/A,FALSE,"Summary";#N/A,#N/A,FALSE,"CONTRACT WORKS";#N/A,#N/A,FALSE,"Variations";#N/A,#N/A,FALSE,"Dwk"}</definedName>
    <definedName name="finalaccount" hidden="1">{#N/A,#N/A,FALSE,"Header P";#N/A,#N/A,FALSE,"Summary";#N/A,#N/A,FALSE,"CONTRACT WORKS";#N/A,#N/A,FALSE,"Variations";#N/A,#N/A,FALSE,"Dwk"}</definedName>
    <definedName name="FinalK">#REF!</definedName>
    <definedName name="FinalKValue" localSheetId="1">#REF!</definedName>
    <definedName name="FinalKValue">#REF!</definedName>
    <definedName name="finalre" localSheetId="1">#REF!</definedName>
    <definedName name="finalre">#REF!</definedName>
    <definedName name="FinaMI">#REF!</definedName>
    <definedName name="FIND_MONTH">#REF!</definedName>
    <definedName name="finduco">#REF!</definedName>
    <definedName name="FinEquity">#REF!</definedName>
    <definedName name="finfabric">#REF!</definedName>
    <definedName name="FINGRANITE">#REF!</definedName>
    <definedName name="fini" localSheetId="1">#REF!</definedName>
    <definedName name="fini">#REF!</definedName>
    <definedName name="fini_1">0</definedName>
    <definedName name="fini4">#REF!</definedName>
    <definedName name="fini4_1">0</definedName>
    <definedName name="finishes" localSheetId="1" hidden="1">{"'Break down'!$A$4"}</definedName>
    <definedName name="finishes" hidden="1">{"'Break down'!$A$4"}</definedName>
    <definedName name="FINISHES_TABLE">#REF!</definedName>
    <definedName name="finishesArea">#REF!</definedName>
    <definedName name="finishesPerimeter">#REF!</definedName>
    <definedName name="FINITALIAN">#REF!</definedName>
    <definedName name="finlaminate">#REF!</definedName>
    <definedName name="finleather">#REF!</definedName>
    <definedName name="finmirror">#REF!</definedName>
    <definedName name="finsarea" localSheetId="1">#REF!</definedName>
    <definedName name="finsarea">#REF!</definedName>
    <definedName name="fintr1">#N/A</definedName>
    <definedName name="FINTRI">#N/A</definedName>
    <definedName name="FINVENEER">#REF!</definedName>
    <definedName name="FinWIPTest">#REF!</definedName>
    <definedName name="FIRE" localSheetId="1">#REF!</definedName>
    <definedName name="FIRE">#REF!</definedName>
    <definedName name="Fire_Alarm">#REF!</definedName>
    <definedName name="Fire_Alarms">#REF!</definedName>
    <definedName name="Fire_Fighting_Installations">#REF!</definedName>
    <definedName name="Fire_Protection">#REF!</definedName>
    <definedName name="firedoor">#REF!</definedName>
    <definedName name="Firerated" localSheetId="1">#REF!</definedName>
    <definedName name="Firerated">#REF!</definedName>
    <definedName name="First">#REF!</definedName>
    <definedName name="FirstCell">#REF!</definedName>
    <definedName name="FirstFreeInterface">#REF!</definedName>
    <definedName name="FirstFreeInterfaceDropDown">"Drop Down 527"</definedName>
    <definedName name="FirstRow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FirstRow">IF(ISNA(MATCH(ROW(),RowAfterpgbrk,1)),1,MATCH(ROW(),RowAfterpgbrk,1)+1)&lt;&gt;IF(ISNA(MATCH(ROW()-1,RowAfterpgbrk,1)),1,MATCH(ROW()-1,RowAfterpgbrk,1)+1)</definedName>
    <definedName name="FirstYear">#REF!</definedName>
    <definedName name="FiscalIDNum" localSheetId="1">#REF!</definedName>
    <definedName name="FiscalIDNum">#REF!</definedName>
    <definedName name="FiscalIDNum_4" localSheetId="1">#REF!</definedName>
    <definedName name="FiscalIDNum_4">#REF!</definedName>
    <definedName name="FiscalIDNum_4_1" localSheetId="1">#REF!</definedName>
    <definedName name="FiscalIDNum_4_1">#REF!</definedName>
    <definedName name="FiscalIDNum_6">#REF!</definedName>
    <definedName name="FIT">#REF!</definedName>
    <definedName name="FIT___0">#REF!</definedName>
    <definedName name="FIT___13">#REF!</definedName>
    <definedName name="Fitments">#REF!</definedName>
    <definedName name="fitq" localSheetId="1">BlankMacro1</definedName>
    <definedName name="fitq">BlankMacro1</definedName>
    <definedName name="FITT2" localSheetId="1">BlankMacro1</definedName>
    <definedName name="FITT2">BlankMacro1</definedName>
    <definedName name="FITT4" localSheetId="1">BlankMacro1</definedName>
    <definedName name="FITT4">BlankMacro1</definedName>
    <definedName name="Fitting2">#REF!</definedName>
    <definedName name="FITTING3" localSheetId="1">BlankMacro1</definedName>
    <definedName name="FITTING3">BlankMacro1</definedName>
    <definedName name="Fittings">#REF!</definedName>
    <definedName name="FITTINGS__AND__FURNISHINGS" localSheetId="1">#REF!</definedName>
    <definedName name="FITTINGS__AND__FURNISHINGS">#REF!</definedName>
    <definedName name="FIVE" localSheetId="1">#REF!</definedName>
    <definedName name="FIVE">#REF!</definedName>
    <definedName name="Five_Plus_Design" localSheetId="1">#REF!</definedName>
    <definedName name="Five_Plus_Design">#REF!</definedName>
    <definedName name="fixed_asset">#REF!</definedName>
    <definedName name="Fixtures">#REF!</definedName>
    <definedName name="fiyu" localSheetId="1" hidden="1">{"'Break down'!$A$4"}</definedName>
    <definedName name="fiyu" hidden="1">{"'Break down'!$A$4"}</definedName>
    <definedName name="fj">#REF!</definedName>
    <definedName name="fjfgh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jfgh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jfgj" localSheetId="1" hidden="1">{#N/A,#N/A,FALSE,"물량산출"}</definedName>
    <definedName name="fjfgj" hidden="1">{#N/A,#N/A,FALSE,"물량산출"}</definedName>
    <definedName name="fjfgjfg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jfgjf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jfgjsfgfjsfj">#REF!</definedName>
    <definedName name="fjfhjf" localSheetId="1" hidden="1">{#N/A,#N/A,FALSE,"CAM-G7";#N/A,#N/A,FALSE,"SPL";#N/A,#N/A,FALSE,"butt-in G7";#N/A,#N/A,FALSE,"dia-in G7";#N/A,#N/A,FALSE,"추가-STA G7"}</definedName>
    <definedName name="fjfhjf" hidden="1">{#N/A,#N/A,FALSE,"CAM-G7";#N/A,#N/A,FALSE,"SPL";#N/A,#N/A,FALSE,"butt-in G7";#N/A,#N/A,FALSE,"dia-in G7";#N/A,#N/A,FALSE,"추가-STA G7"}</definedName>
    <definedName name="fjfjfj" localSheetId="1" hidden="1">{#N/A,#N/A,FALSE,"CAM-G7";#N/A,#N/A,FALSE,"SPL";#N/A,#N/A,FALSE,"butt-in G7";#N/A,#N/A,FALSE,"dia-in G7";#N/A,#N/A,FALSE,"추가-STA G7"}</definedName>
    <definedName name="fjfjfj" hidden="1">{#N/A,#N/A,FALSE,"CAM-G7";#N/A,#N/A,FALSE,"SPL";#N/A,#N/A,FALSE,"butt-in G7";#N/A,#N/A,FALSE,"dia-in G7";#N/A,#N/A,FALSE,"추가-STA G7"}</definedName>
    <definedName name="fjh" localSheetId="1">BlankMacro1</definedName>
    <definedName name="fjh">BlankMacro1</definedName>
    <definedName name="fjhgfd" localSheetId="1" hidden="1">{"'Sheet1'!$A$4386:$N$4591"}</definedName>
    <definedName name="fjhgfd" hidden="1">{"'Sheet1'!$A$4386:$N$4591"}</definedName>
    <definedName name="fjhgjghj" localSheetId="1" hidden="1">{#N/A,#N/A,FALSE,"CAM-G7";#N/A,#N/A,FALSE,"SPL";#N/A,#N/A,FALSE,"butt-in G7";#N/A,#N/A,FALSE,"dia-in G7";#N/A,#N/A,FALSE,"추가-STA G7"}</definedName>
    <definedName name="fjhgjghj" hidden="1">{#N/A,#N/A,FALSE,"CAM-G7";#N/A,#N/A,FALSE,"SPL";#N/A,#N/A,FALSE,"butt-in G7";#N/A,#N/A,FALSE,"dia-in G7";#N/A,#N/A,FALSE,"추가-STA G7"}</definedName>
    <definedName name="fjhjf" localSheetId="1" hidden="1">{#N/A,#N/A,FALSE,"CAM-G7";#N/A,#N/A,FALSE,"SPL";#N/A,#N/A,FALSE,"butt-in G7";#N/A,#N/A,FALSE,"dia-in G7";#N/A,#N/A,FALSE,"추가-STA G7"}</definedName>
    <definedName name="fjhjf" hidden="1">{#N/A,#N/A,FALSE,"CAM-G7";#N/A,#N/A,FALSE,"SPL";#N/A,#N/A,FALSE,"butt-in G7";#N/A,#N/A,FALSE,"dia-in G7";#N/A,#N/A,FALSE,"추가-STA G7"}</definedName>
    <definedName name="fjhjfgh" localSheetId="1" hidden="1">{#N/A,#N/A,FALSE,"CAM-G7";#N/A,#N/A,FALSE,"SPL";#N/A,#N/A,FALSE,"butt-in G7";#N/A,#N/A,FALSE,"dia-in G7";#N/A,#N/A,FALSE,"추가-STA G7"}</definedName>
    <definedName name="fjhjfgh" hidden="1">{#N/A,#N/A,FALSE,"CAM-G7";#N/A,#N/A,FALSE,"SPL";#N/A,#N/A,FALSE,"butt-in G7";#N/A,#N/A,FALSE,"dia-in G7";#N/A,#N/A,FALSE,"추가-STA G7"}</definedName>
    <definedName name="fjhjfgj" localSheetId="1" hidden="1">{#N/A,#N/A,FALSE,"혼합골재"}</definedName>
    <definedName name="fjhjfgj" hidden="1">{#N/A,#N/A,FALSE,"혼합골재"}</definedName>
    <definedName name="fjhjfj" localSheetId="1" hidden="1">{#N/A,#N/A,FALSE,"CAM-G7";#N/A,#N/A,FALSE,"SPL";#N/A,#N/A,FALSE,"butt-in G7";#N/A,#N/A,FALSE,"dia-in G7";#N/A,#N/A,FALSE,"추가-STA G7"}</definedName>
    <definedName name="fjhjfj" hidden="1">{#N/A,#N/A,FALSE,"CAM-G7";#N/A,#N/A,FALSE,"SPL";#N/A,#N/A,FALSE,"butt-in G7";#N/A,#N/A,FALSE,"dia-in G7";#N/A,#N/A,FALSE,"추가-STA G7"}</definedName>
    <definedName name="fjhjghjf" localSheetId="1" hidden="1">{#N/A,#N/A,FALSE,"운반시간"}</definedName>
    <definedName name="fjhjghjf" hidden="1">{#N/A,#N/A,FALSE,"운반시간"}</definedName>
    <definedName name="fjjjjjjjjjjjjjjjjjjjjjjjjjjjjjjjjjjjjjjjjjjjjjjjh" hidden="1">#REF!</definedName>
    <definedName name="fjyf" localSheetId="1">#REF!</definedName>
    <definedName name="fjyf">#REF!</definedName>
    <definedName name="FKFKFKFKF" localSheetId="1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FKKFKFF">#REF!</definedName>
    <definedName name="fkfkvhikkhju" localSheetId="1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kfkvhikkhju_1" localSheetId="1" hidden="1">{#N/A,#N/A,TRUE,"Cover";#N/A,#N/A,TRUE,"Conts";#N/A,#N/A,TRUE,"VOS";#N/A,#N/A,TRUE,"Warrington";#N/A,#N/A,TRUE,"Widnes"}</definedName>
    <definedName name="fkfkvhikkhju_1" hidden="1">{#N/A,#N/A,TRUE,"Cover";#N/A,#N/A,TRUE,"Conts";#N/A,#N/A,TRUE,"VOS";#N/A,#N/A,TRUE,"Warrington";#N/A,#N/A,TRUE,"Widnes"}</definedName>
    <definedName name="FKIS_Salary">#REF!</definedName>
    <definedName name="fky" localSheetId="1">#REF!</definedName>
    <definedName name="fky">#REF!</definedName>
    <definedName name="FL">#REF!</definedName>
    <definedName name="FL.">#REF!</definedName>
    <definedName name="FL..">#REF!</definedName>
    <definedName name="FL...">#REF!</definedName>
    <definedName name="FLA">#REF!</definedName>
    <definedName name="flag_a" localSheetId="1">#REF!</definedName>
    <definedName name="flag_a">#REF!</definedName>
    <definedName name="flag_b" localSheetId="1">#REF!</definedName>
    <definedName name="flag_b">#REF!</definedName>
    <definedName name="flag1" localSheetId="1">#REF!</definedName>
    <definedName name="flag1">#REF!</definedName>
    <definedName name="flag10">#REF!</definedName>
    <definedName name="flag11">#REF!</definedName>
    <definedName name="flag12">#REF!</definedName>
    <definedName name="flag13">#REF!</definedName>
    <definedName name="flag14">#REF!</definedName>
    <definedName name="flag15">#REF!</definedName>
    <definedName name="flag16">#REF!</definedName>
    <definedName name="flag17">#REF!</definedName>
    <definedName name="flag18">#REF!</definedName>
    <definedName name="flag19">#REF!</definedName>
    <definedName name="flag2">#REF!</definedName>
    <definedName name="flag20">#REF!</definedName>
    <definedName name="flag21">#REF!</definedName>
    <definedName name="flag22">#REF!</definedName>
    <definedName name="flag23">#REF!</definedName>
    <definedName name="flag24">#REF!</definedName>
    <definedName name="flag25">#REF!</definedName>
    <definedName name="flag26">#REF!</definedName>
    <definedName name="flag27">#REF!</definedName>
    <definedName name="flag28">#REF!</definedName>
    <definedName name="flag29">#REF!</definedName>
    <definedName name="flag3">#REF!</definedName>
    <definedName name="flag30">#REF!</definedName>
    <definedName name="flag4">#REF!</definedName>
    <definedName name="flag5">#REF!</definedName>
    <definedName name="flag6">#REF!</definedName>
    <definedName name="flag7">#REF!</definedName>
    <definedName name="flag8">#REF!</definedName>
    <definedName name="flag9">#REF!</definedName>
    <definedName name="Flagman">#N/A</definedName>
    <definedName name="flamegran">#REF!</definedName>
    <definedName name="FlArea" localSheetId="1">#REF!</definedName>
    <definedName name="FlArea">#REF!</definedName>
    <definedName name="Flash" localSheetId="1">#REF!</definedName>
    <definedName name="Flash">#REF!</definedName>
    <definedName name="Flat">#REF!</definedName>
    <definedName name="flat..">#REF!</definedName>
    <definedName name="flbd">#REF!</definedName>
    <definedName name="FLCEILQ">#REF!</definedName>
    <definedName name="Fld_45WeldN">#REF!</definedName>
    <definedName name="Fld_45WEldN_Reinf">#REF!</definedName>
    <definedName name="Fld_90CplgWeld">#REF!</definedName>
    <definedName name="Fld_90WeldN">#REF!</definedName>
    <definedName name="Fld_90WeldN_Reinf">#REF!</definedName>
    <definedName name="Fld_AttSOF">#REF!</definedName>
    <definedName name="Fld_AttWNF">#REF!</definedName>
    <definedName name="Fld_Bevel">#REF!</definedName>
    <definedName name="Fld_BoltUp">#REF!</definedName>
    <definedName name="Fld_Cut">#REF!</definedName>
    <definedName name="Fld_Makeon">#REF!</definedName>
    <definedName name="Fld_OletWeld">#REF!</definedName>
    <definedName name="Fld_SocketWeld">#REF!</definedName>
    <definedName name="Fld_SplHandling">#REF!</definedName>
    <definedName name="Fld_SRHandling">#REF!</definedName>
    <definedName name="Fld_ValveHdlg">#REF!</definedName>
    <definedName name="Fld_Weld">#REF!</definedName>
    <definedName name="flds" localSheetId="1">#REF!</definedName>
    <definedName name="flds">#REF!</definedName>
    <definedName name="fler" localSheetId="1">#REF!</definedName>
    <definedName name="fler">#REF!</definedName>
    <definedName name="FLEXCELL">#REF!</definedName>
    <definedName name="FLG" localSheetId="1">#REF!</definedName>
    <definedName name="FLG">#REF!</definedName>
    <definedName name="FLG_Orifice">#REF!</definedName>
    <definedName name="FLGH" localSheetId="1">BlankMacro1</definedName>
    <definedName name="FLGH">BlankMacro1</definedName>
    <definedName name="Flights" localSheetId="1">#REF!</definedName>
    <definedName name="Flights">#REF!</definedName>
    <definedName name="Flights1">#REF!</definedName>
    <definedName name="Flights2">#REF!</definedName>
    <definedName name="FLOATCEIL">#REF!</definedName>
    <definedName name="FLOO" localSheetId="1">#REF!</definedName>
    <definedName name="FLOO">#REF!</definedName>
    <definedName name="floor">#REF!</definedName>
    <definedName name="FLOOR__FINISHES">#REF!</definedName>
    <definedName name="Floor_and_Stair_Finishes">#REF!</definedName>
    <definedName name="Floor_Fin" localSheetId="1">#REF!</definedName>
    <definedName name="Floor_Fin">#REF!</definedName>
    <definedName name="Floor_Finish">#REF!</definedName>
    <definedName name="Floor_Finishes">#REF!</definedName>
    <definedName name="Floorfinishes" localSheetId="1">#REF!</definedName>
    <definedName name="Floorfinishes">#REF!</definedName>
    <definedName name="FLOORING" localSheetId="1">#REF!</definedName>
    <definedName name="FLOORING">#REF!</definedName>
    <definedName name="Floors">#REF!</definedName>
    <definedName name="flp" localSheetId="1">#REF!</definedName>
    <definedName name="flp">#REF!</definedName>
    <definedName name="flrrow" localSheetId="1">#REF!</definedName>
    <definedName name="flrrow">#REF!</definedName>
    <definedName name="flsw" localSheetId="1">#REF!</definedName>
    <definedName name="flsw">#REF!</definedName>
    <definedName name="flushdoor" localSheetId="1">#REF!</definedName>
    <definedName name="flushdoor">#REF!</definedName>
    <definedName name="flws" localSheetId="1">#REF!</definedName>
    <definedName name="flws">#REF!</definedName>
    <definedName name="FLY">#N/A</definedName>
    <definedName name="Flysheets" localSheetId="1">#REF!</definedName>
    <definedName name="Flysheets">#REF!</definedName>
    <definedName name="FMA_10" localSheetId="1">#REF!</definedName>
    <definedName name="FMA_10">#REF!</definedName>
    <definedName name="FMA_11">#REF!</definedName>
    <definedName name="FMA_14">#REF!</definedName>
    <definedName name="FMA_15">#REF!</definedName>
    <definedName name="FMA_16">#REF!</definedName>
    <definedName name="FMA_17">#REF!</definedName>
    <definedName name="FMA_18">#REF!</definedName>
    <definedName name="FMA_19">#REF!</definedName>
    <definedName name="FMA_2_B">#REF!</definedName>
    <definedName name="FMA_20">#REF!</definedName>
    <definedName name="FMA_21">#REF!</definedName>
    <definedName name="FMA_22">#REF!</definedName>
    <definedName name="FMA_23">#REF!</definedName>
    <definedName name="FMA_24">#REF!</definedName>
    <definedName name="FMA_25">#REF!</definedName>
    <definedName name="FMA_27">#REF!</definedName>
    <definedName name="FMA_28">#REF!</definedName>
    <definedName name="FMA_29">#REF!</definedName>
    <definedName name="FMA_3">#REF!</definedName>
    <definedName name="FMA_3_Lamp">#REF!</definedName>
    <definedName name="FMA_30">#REF!</definedName>
    <definedName name="FMA_31">#REF!</definedName>
    <definedName name="FMA_33">#REF!</definedName>
    <definedName name="FMA_34">#REF!</definedName>
    <definedName name="FMA_35_B">#REF!</definedName>
    <definedName name="FMA_36">#REF!</definedName>
    <definedName name="FMA_38">#REF!</definedName>
    <definedName name="FMA_39">#REF!</definedName>
    <definedName name="FMA_4">#REF!</definedName>
    <definedName name="FMA_4_A">#REF!</definedName>
    <definedName name="FMA_4_B">#REF!</definedName>
    <definedName name="FMA_4_C">#REF!</definedName>
    <definedName name="FMA_4_D">#REF!</definedName>
    <definedName name="FMA_4_Lamp">#REF!</definedName>
    <definedName name="FMA_43">#REF!</definedName>
    <definedName name="FMA_44">#REF!</definedName>
    <definedName name="FMA_45">#REF!</definedName>
    <definedName name="FMA_46">#REF!</definedName>
    <definedName name="FMA_47">#REF!</definedName>
    <definedName name="FMA_49">#REF!</definedName>
    <definedName name="FMA_5">#REF!</definedName>
    <definedName name="FMA_5_Lamp">#REF!</definedName>
    <definedName name="FMA_50">#REF!</definedName>
    <definedName name="FMA_51">#REF!</definedName>
    <definedName name="FMA_53">#REF!</definedName>
    <definedName name="FMA_54">#REF!</definedName>
    <definedName name="FMA_55">#REF!</definedName>
    <definedName name="FMA_56">#REF!</definedName>
    <definedName name="FMA_57">#REF!</definedName>
    <definedName name="FMA_58">#REF!</definedName>
    <definedName name="FMA_59">#REF!</definedName>
    <definedName name="FMA_6">#REF!</definedName>
    <definedName name="FMA_6_Lamp">#REF!</definedName>
    <definedName name="FMA_60">#REF!</definedName>
    <definedName name="FMA_61">#REF!</definedName>
    <definedName name="FMA_64">#REF!</definedName>
    <definedName name="FMA_66">#REF!</definedName>
    <definedName name="FMA_67">#REF!</definedName>
    <definedName name="FMA_7">#REF!</definedName>
    <definedName name="FMA_7_Lamp">#REF!</definedName>
    <definedName name="FMA_74">#REF!</definedName>
    <definedName name="FMA_77">#REF!</definedName>
    <definedName name="FMA_79">#REF!</definedName>
    <definedName name="FMA_8">#REF!</definedName>
    <definedName name="FMA_8_Lamp">#REF!</definedName>
    <definedName name="FMA_80">#REF!</definedName>
    <definedName name="FMA_81">#REF!</definedName>
    <definedName name="FMA_82">#REF!</definedName>
    <definedName name="FMA_83">#REF!</definedName>
    <definedName name="FMA_84">#REF!</definedName>
    <definedName name="FMA_9">#REF!</definedName>
    <definedName name="FMA_9_Lamp">#REF!</definedName>
    <definedName name="FMA_C">#REF!</definedName>
    <definedName name="FMA_E">#REF!</definedName>
    <definedName name="FMA_F">#REF!</definedName>
    <definedName name="FMA_G">#REF!</definedName>
    <definedName name="FMA_H">#REF!</definedName>
    <definedName name="FMB_3x3W_TCD">#REF!</definedName>
    <definedName name="FMB_4x3W_TCD">#REF!</definedName>
    <definedName name="FMB_5x3W_TCD">#REF!</definedName>
    <definedName name="FMB_6x3W_TCD">#REF!</definedName>
    <definedName name="FMB_7x3W_TCD">#REF!</definedName>
    <definedName name="FMB_8x3W_TCD">#REF!</definedName>
    <definedName name="FMC">#REF!</definedName>
    <definedName name="FMC_1">#REF!</definedName>
    <definedName name="FMC_10">#REF!</definedName>
    <definedName name="FMC_12">#REF!</definedName>
    <definedName name="FMC_13">#REF!</definedName>
    <definedName name="FMC_14">#REF!</definedName>
    <definedName name="FMC_15">#REF!</definedName>
    <definedName name="FMC_16">#REF!</definedName>
    <definedName name="FMC_17">#REF!</definedName>
    <definedName name="FMC_18">#REF!</definedName>
    <definedName name="FMC_19">#REF!</definedName>
    <definedName name="FMC_2">#REF!</definedName>
    <definedName name="FMC_20">#REF!</definedName>
    <definedName name="FMC_21">#REF!</definedName>
    <definedName name="FMC_3">#REF!</definedName>
    <definedName name="FMC_5">#REF!</definedName>
    <definedName name="FMC_6">#REF!</definedName>
    <definedName name="FMC_7">#REF!</definedName>
    <definedName name="FMC_8">#REF!</definedName>
    <definedName name="FMC_9">#REF!</definedName>
    <definedName name="FMD">#REF!</definedName>
    <definedName name="FME">#REF!</definedName>
    <definedName name="FMF">#REF!</definedName>
    <definedName name="FMF_1">#REF!</definedName>
    <definedName name="FMH_A_11">#REF!</definedName>
    <definedName name="FMH_A_13">#REF!</definedName>
    <definedName name="FMH_A_14">#REF!</definedName>
    <definedName name="FMH_A_17">#REF!</definedName>
    <definedName name="FMH_A_22">#REF!</definedName>
    <definedName name="FMH_A_27">#REF!</definedName>
    <definedName name="FMH_A_28">#REF!</definedName>
    <definedName name="FMH_A_4">#REF!</definedName>
    <definedName name="FMH_A_5">#REF!</definedName>
    <definedName name="FMH_A_7">#REF!</definedName>
    <definedName name="FMH_A_8">#REF!</definedName>
    <definedName name="FMH_A_9">#REF!</definedName>
    <definedName name="FMH_G_11">#REF!</definedName>
    <definedName name="FMH_G_13">#REF!</definedName>
    <definedName name="FMH_G_15">#REF!</definedName>
    <definedName name="FMH_G_2">#REF!</definedName>
    <definedName name="FMH_G_3">#REF!</definedName>
    <definedName name="FMH_G_4">#REF!</definedName>
    <definedName name="FMH_G_6">#REF!</definedName>
    <definedName name="FMH_G_8">#REF!</definedName>
    <definedName name="FMH_G8__10_WATTS">#REF!</definedName>
    <definedName name="FMJ">#REF!</definedName>
    <definedName name="FMJ_1">#REF!</definedName>
    <definedName name="FMJ_2">#REF!</definedName>
    <definedName name="fmk">#REF!</definedName>
    <definedName name="FMK_1">#REF!</definedName>
    <definedName name="FML">#REF!</definedName>
    <definedName name="FML_10">#REF!</definedName>
    <definedName name="FML_11">#REF!</definedName>
    <definedName name="FML_12">#REF!</definedName>
    <definedName name="FML_13">#REF!</definedName>
    <definedName name="FML_14">#REF!</definedName>
    <definedName name="FML_15">#REF!</definedName>
    <definedName name="FML_16">#REF!</definedName>
    <definedName name="FML_19">#REF!</definedName>
    <definedName name="FML_21">#REF!</definedName>
    <definedName name="FML_22">#REF!</definedName>
    <definedName name="FML_24">#REF!</definedName>
    <definedName name="FML_3">#REF!</definedName>
    <definedName name="FML_4">#REF!</definedName>
    <definedName name="FML_5">#REF!</definedName>
    <definedName name="FML_6">#REF!</definedName>
    <definedName name="FML_7">#REF!</definedName>
    <definedName name="FML_8">#REF!</definedName>
    <definedName name="FML_9">#REF!</definedName>
    <definedName name="FMLARNGE">#REF!</definedName>
    <definedName name="FMLARNGE1">#REF!</definedName>
    <definedName name="fmlarnge2">#REF!</definedName>
    <definedName name="FMM_1">#REF!</definedName>
    <definedName name="FMN">#REF!</definedName>
    <definedName name="FMO_11">#REF!</definedName>
    <definedName name="FMO_12">#REF!</definedName>
    <definedName name="FMO_13">#REF!</definedName>
    <definedName name="FMO_14">#REF!</definedName>
    <definedName name="FMO_15">#REF!</definedName>
    <definedName name="FMO_16">#REF!</definedName>
    <definedName name="FMO_18">#REF!</definedName>
    <definedName name="FMO_19">#REF!</definedName>
    <definedName name="FMO_2">#REF!</definedName>
    <definedName name="FMO_20">#REF!</definedName>
    <definedName name="FMO_22">#REF!</definedName>
    <definedName name="FMO_24">#REF!</definedName>
    <definedName name="FMO_26">#REF!</definedName>
    <definedName name="FMO_4">#REF!</definedName>
    <definedName name="FMO_5">#REF!</definedName>
    <definedName name="FMO_6">#REF!</definedName>
    <definedName name="FMO_7">#REF!</definedName>
    <definedName name="FMO_8">#REF!</definedName>
    <definedName name="FMO_9">#REF!</definedName>
    <definedName name="FMP">#REF!</definedName>
    <definedName name="FMR_100">#REF!</definedName>
    <definedName name="FMR_104">#REF!</definedName>
    <definedName name="FMR_105">#REF!</definedName>
    <definedName name="FMR_106">#REF!</definedName>
    <definedName name="FMR_107">#REF!</definedName>
    <definedName name="FMR_108">#REF!</definedName>
    <definedName name="FMR_11">#REF!</definedName>
    <definedName name="FMR_12">#REF!</definedName>
    <definedName name="FMR_26">#REF!</definedName>
    <definedName name="FMR_46">#REF!</definedName>
    <definedName name="FMR_47">#REF!</definedName>
    <definedName name="FMR_47_A">#REF!</definedName>
    <definedName name="FMR_49">#REF!</definedName>
    <definedName name="FMR_50">#REF!</definedName>
    <definedName name="FMR_58">#REF!</definedName>
    <definedName name="FMR_60">#REF!</definedName>
    <definedName name="FMR_61">#REF!</definedName>
    <definedName name="FMR_62">#REF!</definedName>
    <definedName name="FMR_66">#REF!</definedName>
    <definedName name="FMR_68">#REF!</definedName>
    <definedName name="FMR_69">#REF!</definedName>
    <definedName name="FMR_71">#REF!</definedName>
    <definedName name="FMR_71_A">#REF!</definedName>
    <definedName name="FMR_73">#REF!</definedName>
    <definedName name="FMR_74">#REF!</definedName>
    <definedName name="FMR_76">#REF!</definedName>
    <definedName name="FMR_77">#REF!</definedName>
    <definedName name="FMR_80">#REF!</definedName>
    <definedName name="FMR_81">#REF!</definedName>
    <definedName name="FMR_83">#REF!</definedName>
    <definedName name="FMR_85">#REF!</definedName>
    <definedName name="FMR_86">#REF!</definedName>
    <definedName name="FMR_88">#REF!</definedName>
    <definedName name="FMR_91">#REF!</definedName>
    <definedName name="FMR_92">#REF!</definedName>
    <definedName name="FMR_93">#REF!</definedName>
    <definedName name="FMR_94">#REF!</definedName>
    <definedName name="FMR_96">#REF!</definedName>
    <definedName name="FMR_97_A">#REF!</definedName>
    <definedName name="FMS">#REF!</definedName>
    <definedName name="FMS_1">#REF!</definedName>
    <definedName name="FMS_12">#REF!</definedName>
    <definedName name="FMS_13">#REF!</definedName>
    <definedName name="FMS_13A">#REF!</definedName>
    <definedName name="FMS_14">#REF!</definedName>
    <definedName name="FMS_16">#REF!</definedName>
    <definedName name="FMS_19">#REF!</definedName>
    <definedName name="FMS_2">#REF!</definedName>
    <definedName name="FMS_20">#REF!</definedName>
    <definedName name="FMS_21">#REF!</definedName>
    <definedName name="FMS_22">#REF!</definedName>
    <definedName name="FMS_23">#REF!</definedName>
    <definedName name="FMS_24">#REF!</definedName>
    <definedName name="FMS_25">#REF!</definedName>
    <definedName name="FMS_26">#REF!</definedName>
    <definedName name="FMS_4">#REF!</definedName>
    <definedName name="FMS_5">#REF!</definedName>
    <definedName name="FMS_6">#REF!</definedName>
    <definedName name="FMS_7">#REF!</definedName>
    <definedName name="FMS_8">#REF!</definedName>
    <definedName name="FMS_9">#REF!</definedName>
    <definedName name="FMTYP">"*STD"</definedName>
    <definedName name="FMV" localSheetId="1">#REF!</definedName>
    <definedName name="FMV">#REF!</definedName>
    <definedName name="FMWKOIL">#REF!</definedName>
    <definedName name="FMWKOILPR">#REF!</definedName>
    <definedName name="FMWKOILRATE">#REF!</definedName>
    <definedName name="FMX">#REF!</definedName>
    <definedName name="FMX_1">#REF!</definedName>
    <definedName name="FMY">#REF!</definedName>
    <definedName name="FMY_1">#REF!</definedName>
    <definedName name="fndsf">#REF!</definedName>
    <definedName name="fnfjjfnf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nfjjfnf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nh" localSheetId="1" hidden="1">{#N/A,#N/A,FALSE,"Header P";#N/A,#N/A,FALSE,"Summary";#N/A,#N/A,FALSE,"CONTRACT WORKS";#N/A,#N/A,FALSE,"Variations";#N/A,#N/A,FALSE,"Dwk"}</definedName>
    <definedName name="fnh" hidden="1">{#N/A,#N/A,FALSE,"Header P";#N/A,#N/A,FALSE,"Summary";#N/A,#N/A,FALSE,"CONTRACT WORKS";#N/A,#N/A,FALSE,"Variations";#N/A,#N/A,FALSE,"Dwk"}</definedName>
    <definedName name="FNO" localSheetId="1">#REF!</definedName>
    <definedName name="FNO">#REF!</definedName>
    <definedName name="fo" localSheetId="1">#REF!</definedName>
    <definedName name="fo">#REF!</definedName>
    <definedName name="FO.Tiles">#REF!</definedName>
    <definedName name="Foamconcrete" localSheetId="1">#REF!</definedName>
    <definedName name="Foamconcrete">#REF!</definedName>
    <definedName name="FOC">#REF!</definedName>
    <definedName name="FOHBOH" localSheetId="1">#REF!</definedName>
    <definedName name="FOHBOH">#REF!</definedName>
    <definedName name="fonance">#REF!</definedName>
    <definedName name="FonctionsCritiques">#N/A</definedName>
    <definedName name="FONT6" localSheetId="1">#REF!</definedName>
    <definedName name="FONT6">#REF!</definedName>
    <definedName name="FoodandBev" localSheetId="1">#REF!</definedName>
    <definedName name="FoodandBev">#REF!</definedName>
    <definedName name="FoodandBeverage">#REF!</definedName>
    <definedName name="foot">#REF!</definedName>
    <definedName name="Footer" localSheetId="1">IF([1]!_xlnm.Print_Area='City Walk - Comparison'!ge,"GE","ST")</definedName>
    <definedName name="Footer">IF([1]!fdsfsdfsdf=ge,"GE","ST")</definedName>
    <definedName name="FOOTERTEXT" localSheetId="1">#REF!</definedName>
    <definedName name="FOOTERTEXT">#REF!</definedName>
    <definedName name="Footing" localSheetId="1">#REF!</definedName>
    <definedName name="Footing">#REF!</definedName>
    <definedName name="Footings">#REF!</definedName>
    <definedName name="for">#REF!</definedName>
    <definedName name="FOREX">#REF!</definedName>
    <definedName name="form">#REF!</definedName>
    <definedName name="FORM___0" localSheetId="1">#REF!</definedName>
    <definedName name="FORM___0">#REF!</definedName>
    <definedName name="FORM___0___0">"$#REF!.$#REF!$#REF!:$#REF!$#REF!"</definedName>
    <definedName name="FORM___0___3">"$#REF!.$#REF!$#REF!:$#REF!$#REF!"</definedName>
    <definedName name="FORM___0___4">"$#REF!.$#REF!$#REF!:$#REF!$#REF!"</definedName>
    <definedName name="FORM___2">#REF!</definedName>
    <definedName name="FORM___2___0">"$#REF!.$#REF!$#REF!:$#REF!$#REF!"</definedName>
    <definedName name="FORM___2___3">"$#REF!.$#REF!$#REF!:$#REF!$#REF!"</definedName>
    <definedName name="FORM___3">#REF!</definedName>
    <definedName name="FORM___3___0">"$#REF!.$#REF!$#REF!:$#REF!$#REF!"</definedName>
    <definedName name="FORM___3___3">"$#REF!.$#REF!$#REF!:$#REF!$#REF!"</definedName>
    <definedName name="FORM___3___4">"$#REF!.$#REF!$#REF!:$#REF!$#REF!"</definedName>
    <definedName name="FORM___4">#REF!</definedName>
    <definedName name="FORM___4___0">"$#REF!.$#REF!$#REF!:$#REF!$#REF!"</definedName>
    <definedName name="FORM___4___3">"$#REF!.$#REF!$#REF!:$#REF!$#REF!"</definedName>
    <definedName name="FORM___7">"$#REF!.$#REF!$#REF!:$#REF!$#REF!"</definedName>
    <definedName name="Form_Contract">#REF!</definedName>
    <definedName name="form_g300" localSheetId="1">#REF!</definedName>
    <definedName name="form_g300">#REF!</definedName>
    <definedName name="form_ramp" localSheetId="1">#REF!</definedName>
    <definedName name="form_ramp">#REF!</definedName>
    <definedName name="form_sub">#REF!</definedName>
    <definedName name="form_sub_int">#REF!</definedName>
    <definedName name="form_super">#REF!</definedName>
    <definedName name="Form_support">#REF!</definedName>
    <definedName name="Form_unitp">#REF!</definedName>
    <definedName name="Form_unitp_h">#REF!</definedName>
    <definedName name="Form_unitph">#REF!</definedName>
    <definedName name="Form_unitprice">#REF!</definedName>
    <definedName name="Form_unitprice_h">#REF!</definedName>
    <definedName name="Form_up_h">#REF!</definedName>
    <definedName name="FORM300">#REF!</definedName>
    <definedName name="Format_Buildsoft_Excel">#REF!</definedName>
    <definedName name="FORMCOL">#REF!</definedName>
    <definedName name="FormQty">#N/A</definedName>
    <definedName name="FormQty1">#N/A</definedName>
    <definedName name="forms" localSheetId="1">#REF!</definedName>
    <definedName name="forms">#REF!</definedName>
    <definedName name="FORMSLAB">#REF!</definedName>
    <definedName name="FormTitle" localSheetId="1">#REF!</definedName>
    <definedName name="FormTitle">#REF!</definedName>
    <definedName name="FormTitle_4" localSheetId="1">#REF!</definedName>
    <definedName name="FormTitle_4">#REF!</definedName>
    <definedName name="FormTitle_4_1" localSheetId="1">#REF!</definedName>
    <definedName name="FormTitle_4_1">#REF!</definedName>
    <definedName name="FormTitle_6">#REF!</definedName>
    <definedName name="Formula">#REF!</definedName>
    <definedName name="FORMULA_ELECT" localSheetId="1">#REF!</definedName>
    <definedName name="FORMULA_ELECT">#REF!</definedName>
    <definedName name="formula1" localSheetId="1">#REF!</definedName>
    <definedName name="formula1">#REF!</definedName>
    <definedName name="FORMULES" localSheetId="1">#REF!</definedName>
    <definedName name="FORMULES">#REF!</definedName>
    <definedName name="FORMWALL">#REF!</definedName>
    <definedName name="Formwork" localSheetId="1">#REF!</definedName>
    <definedName name="Formwork">#REF!</definedName>
    <definedName name="FOS">#REF!</definedName>
    <definedName name="Foundation">#REF!</definedName>
    <definedName name="Foundations_and_Base_Slabs">#REF!</definedName>
    <definedName name="founds" localSheetId="1">#REF!</definedName>
    <definedName name="founds">#REF!</definedName>
    <definedName name="Fountain_Nozzles">#REF!</definedName>
    <definedName name="Fountain_Villa_Patio">#REF!</definedName>
    <definedName name="Fountain_Villa_Showergardesn">#REF!</definedName>
    <definedName name="FOUR">#REF!</definedName>
    <definedName name="FOURTEEN">#REF!</definedName>
    <definedName name="FourthRaw" localSheetId="1">"Page "&amp;IF(ISNA(MATCH(ROW(),[1]!COUNT_TH2_V2__units_1___Type_D_04__900_x_2200mm_high,1)),1,MATCH(ROW(),[1]!COUNT_TH2_V2__units_1___Type_D_04__900_x_2200mm_high,1)+1)&amp;" of " &amp; [1]!CUSTOM1_Shops__GF_ + 0*NOW()</definedName>
    <definedName name="FourthRaw">"Page "&amp;IF(ISNA(MATCH(ROW(),RowAfterpgbrk,1)),1,MATCH(ROW(),RowAfterpgbrk,1)+1)&amp;" of " &amp; TotPageCount + 0*NOW()</definedName>
    <definedName name="fp">#REF!</definedName>
    <definedName name="fqwettqwtq" localSheetId="1" hidden="1">{#N/A,#N/A,FALSE,"MARCH"}</definedName>
    <definedName name="fqwettqwtq" hidden="1">{#N/A,#N/A,FALSE,"MARCH"}</definedName>
    <definedName name="FR" localSheetId="1">#REF!</definedName>
    <definedName name="FR">#REF!</definedName>
    <definedName name="fr_glz_door">#REF!</definedName>
    <definedName name="FRAIS" localSheetId="1">#REF!</definedName>
    <definedName name="FRAIS">#REF!</definedName>
    <definedName name="frais_vente">0.1687</definedName>
    <definedName name="frame">#REF!</definedName>
    <definedName name="FRAMED" localSheetId="1">#REF!</definedName>
    <definedName name="FRAMED">#REF!</definedName>
    <definedName name="FRAMELESS" localSheetId="1">#REF!</definedName>
    <definedName name="FRAMELESS">#REF!</definedName>
    <definedName name="Frameless_tough" localSheetId="1">#REF!</definedName>
    <definedName name="Frameless_tough">#REF!</definedName>
    <definedName name="Framlss_tough">#REF!</definedName>
    <definedName name="fRANCIS">#REF!</definedName>
    <definedName name="FRAR">#REF!</definedName>
    <definedName name="FRAR_1">"$#REF!.$#REF!$#REF!"</definedName>
    <definedName name="fre" localSheetId="1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re_1" localSheetId="1" hidden="1">{#N/A,#N/A,TRUE,"Cover";#N/A,#N/A,TRUE,"Conts";#N/A,#N/A,TRUE,"VOS";#N/A,#N/A,TRUE,"Warrington";#N/A,#N/A,TRUE,"Widnes"}</definedName>
    <definedName name="fre_1" hidden="1">{#N/A,#N/A,TRUE,"Cover";#N/A,#N/A,TRUE,"Conts";#N/A,#N/A,TRUE,"VOS";#N/A,#N/A,TRUE,"Warrington";#N/A,#N/A,TRUE,"Widnes"}</definedName>
    <definedName name="fred">#REF!</definedName>
    <definedName name="fred_4">#REF!</definedName>
    <definedName name="Fredit">"Edit Box 5"</definedName>
    <definedName name="free">#REF!</definedName>
    <definedName name="FReport5" localSheetId="1" hidden="1">{#N/A,#N/A,FALSE,"MARCH"}</definedName>
    <definedName name="FReport5" hidden="1">{#N/A,#N/A,FALSE,"MARCH"}</definedName>
    <definedName name="FReport5_1" localSheetId="1" hidden="1">{#N/A,#N/A,FALSE,"MARCH"}</definedName>
    <definedName name="FReport5_1" hidden="1">{#N/A,#N/A,FALSE,"MARCH"}</definedName>
    <definedName name="FRERE">#N/A</definedName>
    <definedName name="FRF" localSheetId="1">#REF!</definedName>
    <definedName name="FRF">#REF!</definedName>
    <definedName name="FRF_to_EGP_pilot">#REF!</definedName>
    <definedName name="frf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ERGERGEG">#N/A</definedName>
    <definedName name="frgr" hidden="1">#REF!</definedName>
    <definedName name="frgt" localSheetId="1">"Page "&amp;IF(ISNA(MATCH(ROW(),[1]!COUNT_TH2_V2__units_1___Type_D_04__900_x_2200mm_high,1)),1,MATCH(ROW(),[1]!COUNT_TH2_V2__units_1___Type_D_04__900_x_2200mm_high,1)+1)&amp;" of " &amp; [1]!CUSTOM1_Shops__GF_ + 0*NOW()</definedName>
    <definedName name="frgt">"Page "&amp;IF(ISNA(MATCH(ROW(),RowAfterpgbrk,1)),1,MATCH(ROW(),RowAfterpgbrk,1)+1)&amp;" of " &amp; TotPageCount + 0*NOW()</definedName>
    <definedName name="frjj" localSheetId="1" hidden="1">{#N/A,#N/A,TRUE,"Cover";#N/A,#N/A,TRUE,"Conts";#N/A,#N/A,TRUE,"VOS";#N/A,#N/A,TRUE,"Warrington";#N/A,#N/A,TRUE,"Widnes"}</definedName>
    <definedName name="frjj" hidden="1">{#N/A,#N/A,TRUE,"Cover";#N/A,#N/A,TRUE,"Conts";#N/A,#N/A,TRUE,"VOS";#N/A,#N/A,TRUE,"Warrington";#N/A,#N/A,TRUE,"Widnes"}</definedName>
    <definedName name="frjj_1" localSheetId="1" hidden="1">{#N/A,#N/A,TRUE,"Cover";#N/A,#N/A,TRUE,"Conts";#N/A,#N/A,TRUE,"VOS";#N/A,#N/A,TRUE,"Warrington";#N/A,#N/A,TRUE,"Widnes"}</definedName>
    <definedName name="frjj_1" hidden="1">{#N/A,#N/A,TRUE,"Cover";#N/A,#N/A,TRUE,"Conts";#N/A,#N/A,TRUE,"VOS";#N/A,#N/A,TRUE,"Warrington";#N/A,#N/A,TRUE,"Widnes"}</definedName>
    <definedName name="FRLESS_Toughn">#REF!</definedName>
    <definedName name="frmless" localSheetId="1">#REF!</definedName>
    <definedName name="frmless">#REF!</definedName>
    <definedName name="frmless_door1">#REF!</definedName>
    <definedName name="frmless_door2">#REF!</definedName>
    <definedName name="FRMLESS_NON" localSheetId="1">#REF!</definedName>
    <definedName name="FRMLESS_NON">#REF!</definedName>
    <definedName name="frmless_povoted">#REF!</definedName>
    <definedName name="frmless_sliding_door">#REF!</definedName>
    <definedName name="frncis" localSheetId="1">#REF!</definedName>
    <definedName name="frncis">#REF!</definedName>
    <definedName name="FRNN" localSheetId="1">#REF!</definedName>
    <definedName name="FRNN">#REF!</definedName>
    <definedName name="From_page_Bill_No.05___5.2___Q___Page_5_of_63" localSheetId="1">#REF!</definedName>
    <definedName name="From_page_Bill_No.05___5.2___Q___Page_5_of_63">#REF!</definedName>
    <definedName name="From_support">#REF!</definedName>
    <definedName name="frostfilm">#REF!</definedName>
    <definedName name="FRR" localSheetId="1">IF('City Walk - Comparison'!Loan_Amount*[1]!Interest_Rate*[1]!Loan_Years*'City Walk - Comparison'!Loan_Start&gt;0,1,0)</definedName>
    <definedName name="FRR">IF(Loan_Amount*Interest_Rate*Loan_Years*Loan_Start&gt;0,1,0)</definedName>
    <definedName name="FRT">#N/A</definedName>
    <definedName name="FRTHJJG" localSheetId="1" hidden="1">{#N/A,#N/A,TRUE,"Cover";#N/A,#N/A,TRUE,"Conts";#N/A,#N/A,TRUE,"VOS";#N/A,#N/A,TRUE,"Warrington";#N/A,#N/A,TRUE,"Widnes"}</definedName>
    <definedName name="FRTHJJG" hidden="1">{#N/A,#N/A,TRUE,"Cover";#N/A,#N/A,TRUE,"Conts";#N/A,#N/A,TRUE,"VOS";#N/A,#N/A,TRUE,"Warrington";#N/A,#N/A,TRUE,"Widnes"}</definedName>
    <definedName name="frwetewrty">#N/A</definedName>
    <definedName name="Fs">#REF!</definedName>
    <definedName name="fsdd" hidden="1">#REF!</definedName>
    <definedName name="fsdew" localSheetId="1">#N/A</definedName>
    <definedName name="fsdew">OFFSET(Full_Print,0,0,CHAMINDA)</definedName>
    <definedName name="FSEDD">#N/A</definedName>
    <definedName name="FSEGRG">#N/A</definedName>
    <definedName name="fsf" localSheetId="1">{"'Sheet1 (2)'!$A$1:$C$61"}</definedName>
    <definedName name="fsf">{"'Sheet1 (2)'!$A$1:$C$61"}</definedName>
    <definedName name="FSFGRSFRE">#N/A</definedName>
    <definedName name="FSFWF" localSheetId="1">DATE(YEAR('City Walk - Comparison'!bhjbh),MONTH('City Walk - Comparison'!bhjbh)+[1]!COUNT_FS05_1B1,DAY('City Walk - Comparison'!bhjbh))</definedName>
    <definedName name="FSFWF">DATE(YEAR(Loan_Start),MONTH(Loan_Start)+Payment_Number,DAY(Loan_Start))</definedName>
    <definedName name="fsg" localSheetId="1">#REF!</definedName>
    <definedName name="fsg">#REF!</definedName>
    <definedName name="FSREFG">#N/A</definedName>
    <definedName name="FSRVRFR" localSheetId="1">#REF!</definedName>
    <definedName name="FSRVRFR">#REF!</definedName>
    <definedName name="FSumAnnualOpex" localSheetId="1">SUM(OFFSET(#REF!,ROW(#REF!)-1,#REF!-1):OFFSET(#REF!,ROW(#REF!)-1,#REF!-1))</definedName>
    <definedName name="FSumAnnualOpex">SUM(OFFSET(#REF!,ROW(#REF!)-1,#REF!-1):OFFSET(#REF!,ROW(#REF!)-1,#REF!-1))</definedName>
    <definedName name="FT" localSheetId="1">#REF!</definedName>
    <definedName name="FT">#REF!</definedName>
    <definedName name="ftg_thk" localSheetId="1">#REF!</definedName>
    <definedName name="ftg_thk">#REF!</definedName>
    <definedName name="fuck" localSheetId="1" hidden="1">{"year1",#N/A,FALSE,"IZT";"year2",#N/A,FALSE,"IZT"}</definedName>
    <definedName name="fuck" hidden="1">{"year1",#N/A,FALSE,"IZT";"year2",#N/A,FALSE,"IZT"}</definedName>
    <definedName name="FUEL">#REF!</definedName>
    <definedName name="Full_Model_Name">#REF!</definedName>
    <definedName name="Full_Print" localSheetId="1">#REF!</definedName>
    <definedName name="Full_Print">#REF!</definedName>
    <definedName name="fullTl">#REF!</definedName>
    <definedName name="fun" localSheetId="1" hidden="1">{#N/A,#N/A,TRUE,"Cover";#N/A,#N/A,TRUE,"Conts";#N/A,#N/A,TRUE,"VOS";#N/A,#N/A,TRUE,"Warrington";#N/A,#N/A,TRUE,"Widnes"}</definedName>
    <definedName name="fun" hidden="1">{#N/A,#N/A,TRUE,"Cover";#N/A,#N/A,TRUE,"Conts";#N/A,#N/A,TRUE,"VOS";#N/A,#N/A,TRUE,"Warrington";#N/A,#N/A,TRUE,"Widnes"}</definedName>
    <definedName name="FUNCTION" localSheetId="1">#REF!</definedName>
    <definedName name="FUNCTION">#REF!</definedName>
    <definedName name="fund" localSheetId="1" hidden="1">{"'Sheet1'!$A$4386:$N$4591"}</definedName>
    <definedName name="fund" hidden="1">{"'Sheet1'!$A$4386:$N$4591"}</definedName>
    <definedName name="funds" localSheetId="1" hidden="1">{"'Sheet1'!$A$4386:$N$4591"}</definedName>
    <definedName name="funds" hidden="1">{"'Sheet1'!$A$4386:$N$4591"}</definedName>
    <definedName name="furf876r">#N/A</definedName>
    <definedName name="Furn_con">#REF!</definedName>
    <definedName name="Furnished_Apartments_Cost" localSheetId="1">#REF!</definedName>
    <definedName name="Furnished_Apartments_Cost">#REF!</definedName>
    <definedName name="furniture">#REF!</definedName>
    <definedName name="Furniture_Charge_Rate">#REF!</definedName>
    <definedName name="fuselink">#REF!</definedName>
    <definedName name="fuyg">#N/A</definedName>
    <definedName name="fuyukf" localSheetId="1">BlankMacro1</definedName>
    <definedName name="fuyukf">BlankMacro1</definedName>
    <definedName name="Fv" localSheetId="1">#REF!</definedName>
    <definedName name="Fv">#REF!</definedName>
    <definedName name="fvg">#N/A</definedName>
    <definedName name="fvrfg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fvrfg">IF(ISNA(MATCH(ROW(),RowAfterpgbrk,1)),1,MATCH(ROW(),RowAfterpgbrk,1)+1)&lt;&gt;IF(ISNA(MATCH(ROW()-1,RowAfterpgbrk,1)),1,MATCH(ROW()-1,RowAfterpgbrk,1)+1)</definedName>
    <definedName name="FVSA" localSheetId="1">#REF!</definedName>
    <definedName name="FVSA">#REF!</definedName>
    <definedName name="FVSA1" localSheetId="1">#REF!</definedName>
    <definedName name="FVSA1">#REF!</definedName>
    <definedName name="fw" localSheetId="1">#REF!</definedName>
    <definedName name="fw">#REF!</definedName>
    <definedName name="fwe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e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eqw3r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eqw3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EW" localSheetId="1">[1]!CUSTOM1_2_bed_fridge_freezer+Extra_Payment</definedName>
    <definedName name="FWEW">Scheduled_Payment+Extra_Payment</definedName>
    <definedName name="fwgqwerg" localSheetId="1" hidden="1">{"'Sheet1'!$L$16"}</definedName>
    <definedName name="fwgqwerg" hidden="1">{"'Sheet1'!$L$16"}</definedName>
    <definedName name="fwkbm">#REF!</definedName>
    <definedName name="fwkcol">#REF!</definedName>
    <definedName name="fwkrakingslab">#REF!</definedName>
    <definedName name="fwkslab">#REF!</definedName>
    <definedName name="FX" localSheetId="1" hidden="1">{#N/A,#N/A,TRUE,"Title";#N/A,#N/A,TRUE,"Index";#N/A,#N/A,TRUE,"Assumptions";#N/A,#N/A,TRUE,"Summary";#N/A,#N/A,TRUE,"CashFlow";#N/A,#N/A,TRUE,"Marina";#N/A,#N/A,TRUE,"Revenue";#N/A,#N/A,TRUE,"Costs";#N/A,#N/A,TRUE,"Areas"}</definedName>
    <definedName name="FX" hidden="1">{#N/A,#N/A,TRUE,"Title";#N/A,#N/A,TRUE,"Index";#N/A,#N/A,TRUE,"Assumptions";#N/A,#N/A,TRUE,"Summary";#N/A,#N/A,TRUE,"CashFlow";#N/A,#N/A,TRUE,"Marina";#N/A,#N/A,TRUE,"Revenue";#N/A,#N/A,TRUE,"Costs";#N/A,#N/A,TRUE,"Areas"}</definedName>
    <definedName name="FY">#REF!</definedName>
    <definedName name="FYUF">#N/A</definedName>
    <definedName name="fyukfyuk" localSheetId="1">IF(ISNA(MATCH(ROW(),[1]!COUNT_TH2_V2__units_1___Type_D_04__900_x_2200mm_high,1)),1,MATCH(ROW(),[1]!COUNT_TH2_V2__units_1___Type_D_04__900_x_2200mm_high,1)+1)</definedName>
    <definedName name="fyukfyuk">IF(ISNA(MATCH(ROW(),RowAfterpgbrk,1)),1,MATCH(ROW(),RowAfterpgbrk,1)+1)</definedName>
    <definedName name="G" localSheetId="1">#REF!</definedName>
    <definedName name="G">#REF!</definedName>
    <definedName name="g___0" localSheetId="1">#REF!</definedName>
    <definedName name="g___0">#REF!</definedName>
    <definedName name="g___0___0">"$#REF!.$#REF!$#REF!"</definedName>
    <definedName name="g___0___3">"$#REF!.$#REF!$#REF!"</definedName>
    <definedName name="g___0___4">"$#REF!.$#REF!$#REF!"</definedName>
    <definedName name="g___2">#REF!</definedName>
    <definedName name="g___2___0">"$#REF!.$#REF!$#REF!"</definedName>
    <definedName name="g___2___3">"$#REF!.$#REF!$#REF!"</definedName>
    <definedName name="g___3">#REF!</definedName>
    <definedName name="g___3___0">"$#REF!.$#REF!$#REF!"</definedName>
    <definedName name="g___3___3">"$#REF!.$#REF!$#REF!"</definedName>
    <definedName name="g___3___4">"$#REF!.$#REF!$#REF!"</definedName>
    <definedName name="g___4">#REF!</definedName>
    <definedName name="g___4___0">"$#REF!.$#REF!$#REF!"</definedName>
    <definedName name="g___4___3">"$#REF!.$#REF!$#REF!"</definedName>
    <definedName name="g___7">"$#REF!.$#REF!$#REF!"</definedName>
    <definedName name="G_1">0</definedName>
    <definedName name="G_22">#REF!</definedName>
    <definedName name="G_74" localSheetId="1">#REF!</definedName>
    <definedName name="G_74">#REF!</definedName>
    <definedName name="G_Ceilings">#REF!</definedName>
    <definedName name="G_DOM_DG_PROP" localSheetId="1">#REF!</definedName>
    <definedName name="G_DOM_DG_PROP">#REF!</definedName>
    <definedName name="G_DOM_MA_PROP_GESAMT" localSheetId="1">#REF!</definedName>
    <definedName name="G_DOM_MA_PROP_GESAMT">#REF!</definedName>
    <definedName name="G_DOM_MA_PROP_VERROHRT" localSheetId="1">#REF!</definedName>
    <definedName name="G_DOM_MA_PROP_VERROHRT">#REF!</definedName>
    <definedName name="G_DOM_SP_L" localSheetId="1">#REF!</definedName>
    <definedName name="G_DOM_SP_L">#REF!</definedName>
    <definedName name="G_Exchange_rate" localSheetId="1">#REF!</definedName>
    <definedName name="G_Exchange_rate">#REF!</definedName>
    <definedName name="G_IMP_A" localSheetId="1">#REF!</definedName>
    <definedName name="G_IMP_A">#REF!</definedName>
    <definedName name="G_IMP_B" localSheetId="1">#REF!</definedName>
    <definedName name="G_IMP_B">#REF!</definedName>
    <definedName name="G_IMP_B_BESCHICHT" localSheetId="1">#REF!</definedName>
    <definedName name="G_IMP_B_BESCHICHT">#REF!</definedName>
    <definedName name="G_IMP_B_DÄMM" localSheetId="1">#REF!</definedName>
    <definedName name="G_IMP_B_DÄMM">#REF!</definedName>
    <definedName name="G_IMP_B_FF">#REF!</definedName>
    <definedName name="G_IMP_B_HVAC_BUIL">#REF!</definedName>
    <definedName name="G_IMP_B_HVAC_PLANTS">#REF!</definedName>
    <definedName name="G_IMP_B_LABOR">#REF!</definedName>
    <definedName name="G_IMP_C">#REF!</definedName>
    <definedName name="G_IMP_CAT">#REF!</definedName>
    <definedName name="G_IMP_DG">#REF!</definedName>
    <definedName name="G_IMP_DG_NPROP">#REF!</definedName>
    <definedName name="G_IMP_DG_PROP">#REF!</definedName>
    <definedName name="G_IMP_FREIGHT">#REF!</definedName>
    <definedName name="G_IMP_H">#REF!</definedName>
    <definedName name="G_IMP_INS">#REF!</definedName>
    <definedName name="G_IMP_K">#REF!</definedName>
    <definedName name="G_IMP_L">#REF!</definedName>
    <definedName name="G_IMP_LICENSE">#REF!</definedName>
    <definedName name="G_IMP_M">#REF!</definedName>
    <definedName name="G_IMP_M1">#REF!</definedName>
    <definedName name="G_IMP_M2">#REF!</definedName>
    <definedName name="G_IMP_MA_NPROP_GESAMT">#REF!</definedName>
    <definedName name="G_IMP_MA_NPROP_VERROHRT">#REF!</definedName>
    <definedName name="G_IMP_MA_PROP_GESAMT">#REF!</definedName>
    <definedName name="G_IMP_MA_PROP_VERROHRT">#REF!</definedName>
    <definedName name="G_IMP_MONTAGE">#REF!</definedName>
    <definedName name="G_IMP_N">#REF!</definedName>
    <definedName name="G_IMP_N_AG_EX">#REF!</definedName>
    <definedName name="G_IMP_N_AG_LU">#REF!</definedName>
    <definedName name="G_IMP_N_CON">#REF!</definedName>
    <definedName name="G_IMP_N_IMT">#REF!</definedName>
    <definedName name="G_IMP_O">#REF!</definedName>
    <definedName name="G_IMP_PS">#REF!</definedName>
    <definedName name="G_IMP_SONSTIGES">#REF!</definedName>
    <definedName name="G_IMP_SP_DG">#REF!</definedName>
    <definedName name="G_IMP_SP_H">#REF!</definedName>
    <definedName name="G_IMP_SP_L">#REF!</definedName>
    <definedName name="G_IMP_T">#REF!</definedName>
    <definedName name="G_IMP_TOTAL">#REF!</definedName>
    <definedName name="G_IMP_U">#REF!</definedName>
    <definedName name="G_ÿ_P_" localSheetId="1">#REF!</definedName>
    <definedName name="G_ÿ_P_">#REF!</definedName>
    <definedName name="g1622." localSheetId="1">#REF!</definedName>
    <definedName name="g1622.">#REF!</definedName>
    <definedName name="g1622._1" localSheetId="1">#REF!</definedName>
    <definedName name="g1622._1">#REF!</definedName>
    <definedName name="g1622._2">#REF!</definedName>
    <definedName name="g2707.">#REF!</definedName>
    <definedName name="G31j1620">#REF!</definedName>
    <definedName name="g5410.">#REF!</definedName>
    <definedName name="g5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5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aeg" localSheetId="1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_1" localSheetId="1" hidden="1">{#N/A,#N/A,TRUE,"Cover";#N/A,#N/A,TRUE,"Conts";#N/A,#N/A,TRUE,"VOS";#N/A,#N/A,TRUE,"Warrington";#N/A,#N/A,TRUE,"Widnes"}</definedName>
    <definedName name="gaeg_1" hidden="1">{#N/A,#N/A,TRUE,"Cover";#N/A,#N/A,TRUE,"Conts";#N/A,#N/A,TRUE,"VOS";#N/A,#N/A,TRUE,"Warrington";#N/A,#N/A,TRUE,"Widnes"}</definedName>
    <definedName name="gaegg" localSheetId="1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egg_1" localSheetId="1" hidden="1">{#N/A,#N/A,TRUE,"Cover";#N/A,#N/A,TRUE,"Conts";#N/A,#N/A,TRUE,"VOS";#N/A,#N/A,TRUE,"Warrington";#N/A,#N/A,TRUE,"Widnes"}</definedName>
    <definedName name="gaegg_1" hidden="1">{#N/A,#N/A,TRUE,"Cover";#N/A,#N/A,TRUE,"Conts";#N/A,#N/A,TRUE,"VOS";#N/A,#N/A,TRUE,"Warrington";#N/A,#N/A,TRUE,"Widnes"}</definedName>
    <definedName name="GAEU_LAB">#REF!</definedName>
    <definedName name="gajkbgsf" localSheetId="1">#REF!</definedName>
    <definedName name="gajkbgsf">#REF!</definedName>
    <definedName name="galhg" localSheetId="1">BlankMacro1</definedName>
    <definedName name="galhg">BlankMacro1</definedName>
    <definedName name="Galvanising" localSheetId="1">#REF!</definedName>
    <definedName name="Galvanising">#REF!</definedName>
    <definedName name="gama" localSheetId="1">#REF!</definedName>
    <definedName name="gama">#REF!</definedName>
    <definedName name="gamah" localSheetId="1">#REF!</definedName>
    <definedName name="gamah">#REF!</definedName>
    <definedName name="Gantt_colhide">#REF!,#REF!</definedName>
    <definedName name="Gantt_rowhide">#REF!,#REF!,#REF!,#REF!</definedName>
    <definedName name="Gantt_rowhiderent">#REF!,#REF!</definedName>
    <definedName name="gar">#N/A</definedName>
    <definedName name="Garbage_Chute" localSheetId="1">#REF!</definedName>
    <definedName name="Garbage_Chute">#REF!</definedName>
    <definedName name="garde25" localSheetId="1">#REF!</definedName>
    <definedName name="garde25">#REF!</definedName>
    <definedName name="GAS">#REF!</definedName>
    <definedName name="GAS__INSTALLATIONS">#REF!</definedName>
    <definedName name="Gas_Service">#REF!</definedName>
    <definedName name="Gat" localSheetId="1">#REF!</definedName>
    <definedName name="Gat">#REF!</definedName>
    <definedName name="gate">#REF!</definedName>
    <definedName name="Gate4.5">#REF!</definedName>
    <definedName name="Gates" localSheetId="1">#REF!</definedName>
    <definedName name="Gates">#REF!</definedName>
    <definedName name="gb">#REF!</definedName>
    <definedName name="gb_1">0</definedName>
    <definedName name="gbdsgdfs">#REF!</definedName>
    <definedName name="gbdxfgd">#N/A</definedName>
    <definedName name="GBP" localSheetId="1">#REF!</definedName>
    <definedName name="GBP">#REF!</definedName>
    <definedName name="GBPtoDhs">#REF!</definedName>
    <definedName name="GCFA">#REF!</definedName>
    <definedName name="gdf">#REF!</definedName>
    <definedName name="gdfgbvdfg">#REF!</definedName>
    <definedName name="gdfhgj">#REF!</definedName>
    <definedName name="gdft" localSheetId="1">BlankMacro1</definedName>
    <definedName name="gdft">BlankMacro1</definedName>
    <definedName name="gdg" localSheetId="1" hidden="1">{#N/A,#N/A,TRUE,"Cover";#N/A,#N/A,TRUE,"Conts";#N/A,#N/A,TRUE,"VOS";#N/A,#N/A,TRUE,"Warrington";#N/A,#N/A,TRUE,"Widnes"}</definedName>
    <definedName name="gdg" hidden="1">{#N/A,#N/A,TRUE,"Cover";#N/A,#N/A,TRUE,"Conts";#N/A,#N/A,TRUE,"VOS";#N/A,#N/A,TRUE,"Warrington";#N/A,#N/A,TRUE,"Widnes"}</definedName>
    <definedName name="gdsgds">#N/A</definedName>
    <definedName name="gdtht">#N/A</definedName>
    <definedName name="ge" localSheetId="1">IF(ISNA(MATCH(ROW(),[1]!COUNT_TH2_V2__units_1___Type_D_04__900_x_2200mm_high,1)),1,MATCH(ROW(),[1]!COUNT_TH2_V2__units_1___Type_D_04__900_x_2200mm_high,1)+1)</definedName>
    <definedName name="ge">IF(ISNA(MATCH(ROW(),RowAfterpgbrk,1)),1,MATCH(ROW(),RowAfterpgbrk,1)+1)</definedName>
    <definedName name="geag" localSheetId="1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ag_1" localSheetId="1" hidden="1">{#N/A,#N/A,TRUE,"Cover";#N/A,#N/A,TRUE,"Conts";#N/A,#N/A,TRUE,"VOS";#N/A,#N/A,TRUE,"Warrington";#N/A,#N/A,TRUE,"Widnes"}</definedName>
    <definedName name="geag_1" hidden="1">{#N/A,#N/A,TRUE,"Cover";#N/A,#N/A,TRUE,"Conts";#N/A,#N/A,TRUE,"VOS";#N/A,#N/A,TRUE,"Warrington";#N/A,#N/A,TRUE,"Widnes"}</definedName>
    <definedName name="GEN">#REF!</definedName>
    <definedName name="Gen_Desc">#REF!</definedName>
    <definedName name="GEN_VALVE" localSheetId="1">#REF!</definedName>
    <definedName name="GEN_VALVE">#REF!</definedName>
    <definedName name="GENERAL">#REF!</definedName>
    <definedName name="GENERAL_INFO" localSheetId="1">#REF!,#REF!,#REF!,#REF!,#REF!,#REF!,#REF!,#REF!</definedName>
    <definedName name="GENERAL_INFO">#REF!,#REF!,#REF!,#REF!,#REF!,#REF!,#REF!,#REF!</definedName>
    <definedName name="General_No" localSheetId="1">#REF!</definedName>
    <definedName name="General_No">#REF!</definedName>
    <definedName name="General_Requirements" localSheetId="1">#REF!</definedName>
    <definedName name="General_Requirements">#REF!</definedName>
    <definedName name="general1" localSheetId="1">#REF!</definedName>
    <definedName name="general1">#REF!</definedName>
    <definedName name="GENX" localSheetId="1">#REF!</definedName>
    <definedName name="GENX">#REF!</definedName>
    <definedName name="Geoconsult" localSheetId="1">#REF!</definedName>
    <definedName name="Geoconsult">#REF!</definedName>
    <definedName name="geogsp">"Chart 2"</definedName>
    <definedName name="GEP">#REF!</definedName>
    <definedName name="ger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ger">IF(ISNA(MATCH(ROW(),RowAfterpgbrk,1)),1,MATCH(ROW(),RowAfterpgbrk,1)+1)&lt;&gt;IF(ISNA(MATCH(ROW()+1,RowAfterpgbrk,1)),1,MATCH(ROW()+1,RowAfterpgbrk,1)+1)</definedName>
    <definedName name="gere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gere">IF(ISNA(MATCH(ROW(),RowAfterpgbrk,1)),1,MATCH(ROW(),RowAfterpgbrk,1)+1)&lt;&gt;IF(ISNA(MATCH(ROW()+1,RowAfterpgbrk,1)),1,MATCH(ROW()+1,RowAfterpgbrk,1)+1)</definedName>
    <definedName name="gerger" localSheetId="1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erger_1" localSheetId="1" hidden="1">{#N/A,#N/A,TRUE,"Cover";#N/A,#N/A,TRUE,"Conts";#N/A,#N/A,TRUE,"VOS";#N/A,#N/A,TRUE,"Warrington";#N/A,#N/A,TRUE,"Widnes"}</definedName>
    <definedName name="gerger_1" hidden="1">{#N/A,#N/A,TRUE,"Cover";#N/A,#N/A,TRUE,"Conts";#N/A,#N/A,TRUE,"VOS";#N/A,#N/A,TRUE,"Warrington";#N/A,#N/A,TRUE,"Widnes"}</definedName>
    <definedName name="Gesamt_Ko_1" localSheetId="1">[1]!HEIGHT_5.2.2___FF01__Porcelian_Tiles_Skirting</definedName>
    <definedName name="Gesamt_Ko_1">Z42S29</definedName>
    <definedName name="Gesellschaft">#REF!</definedName>
    <definedName name="gf" localSheetId="1">#REF!</definedName>
    <definedName name="gf">#REF!</definedName>
    <definedName name="GFA">#REF!</definedName>
    <definedName name="GFAArea">#REF!</definedName>
    <definedName name="GFAPerimeter">#REF!</definedName>
    <definedName name="gfarea">#REF!</definedName>
    <definedName name="GFB">4.2-0.75</definedName>
    <definedName name="GFBeam">#REF!</definedName>
    <definedName name="gfdf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d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" localSheetId="1">BlankMacro1</definedName>
    <definedName name="gfds">BlankMacro1</definedName>
    <definedName name="gfdsaa" localSheetId="1">BlankMacro1</definedName>
    <definedName name="gfdsaa">BlankMacro1</definedName>
    <definedName name="gfed" localSheetId="1">#REF!</definedName>
    <definedName name="gfed">#REF!</definedName>
    <definedName name="gfg" localSheetId="1" hidden="1">{#N/A,#N/A,TRUE,"Cover";#N/A,#N/A,TRUE,"Conts";#N/A,#N/A,TRUE,"VOS";#N/A,#N/A,TRUE,"Warrington";#N/A,#N/A,TRUE,"Widnes"}</definedName>
    <definedName name="gfg" hidden="1">{#N/A,#N/A,TRUE,"Cover";#N/A,#N/A,TRUE,"Conts";#N/A,#N/A,TRUE,"VOS";#N/A,#N/A,TRUE,"Warrington";#N/A,#N/A,TRUE,"Widnes"}</definedName>
    <definedName name="gfgdfg" hidden="1">#REF!</definedName>
    <definedName name="gfgdg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g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gfgfg">#N/A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sd">#N/A</definedName>
    <definedName name="gfggg">#REF!</definedName>
    <definedName name="GFGNN">#N/A</definedName>
    <definedName name="gfgrete">#N/A</definedName>
    <definedName name="GFH" localSheetId="1">#REF!</definedName>
    <definedName name="GFH">#REF!</definedName>
    <definedName name="gfhd" localSheetId="1">BlankMacro1</definedName>
    <definedName name="gfhd">BlankMacro1</definedName>
    <definedName name="gfhdsjk" localSheetId="1">#REF!</definedName>
    <definedName name="gfhdsjk">#REF!</definedName>
    <definedName name="gfhfd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g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fhfg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fhfh" localSheetId="1">BlankMacro1</definedName>
    <definedName name="gfhfh">BlankMacro1</definedName>
    <definedName name="gfhftghtrgn">#N/A</definedName>
    <definedName name="gfhhgfg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g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kjghk" localSheetId="1" hidden="1">{#N/A,#N/A,FALSE,"골재소요량";#N/A,#N/A,FALSE,"골재소요량"}</definedName>
    <definedName name="gfkjghk" hidden="1">{#N/A,#N/A,FALSE,"골재소요량";#N/A,#N/A,FALSE,"골재소요량"}</definedName>
    <definedName name="gfr">#REF!</definedName>
    <definedName name="gftrtr">#N/A</definedName>
    <definedName name="gfvfbdsfhn">#N/A</definedName>
    <definedName name="gg" localSheetId="1">#REF!</definedName>
    <definedName name="gg">#REF!</definedName>
    <definedName name="gg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df">#REF!</definedName>
    <definedName name="ggdrgdfhyyj" localSheetId="1" hidden="1">{#N/A,#N/A,TRUE,"Cover";#N/A,#N/A,TRUE,"Conts";#N/A,#N/A,TRUE,"VOS";#N/A,#N/A,TRUE,"Warrington";#N/A,#N/A,TRUE,"Widnes"}</definedName>
    <definedName name="ggdrgdfhyyj" hidden="1">{#N/A,#N/A,TRUE,"Cover";#N/A,#N/A,TRUE,"Conts";#N/A,#N/A,TRUE,"VOS";#N/A,#N/A,TRUE,"Warrington";#N/A,#N/A,TRUE,"Widnes"}</definedName>
    <definedName name="ggdrgdfhyyj_1" localSheetId="1" hidden="1">{#N/A,#N/A,TRUE,"Cover";#N/A,#N/A,TRUE,"Conts";#N/A,#N/A,TRUE,"VOS";#N/A,#N/A,TRUE,"Warrington";#N/A,#N/A,TRUE,"Widnes"}</definedName>
    <definedName name="ggdrgdfhyyj_1" hidden="1">{#N/A,#N/A,TRUE,"Cover";#N/A,#N/A,TRUE,"Conts";#N/A,#N/A,TRUE,"VOS";#N/A,#N/A,TRUE,"Warrington";#N/A,#N/A,TRUE,"Widnes"}</definedName>
    <definedName name="gge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fgdgd" localSheetId="1" hidden="1">{#N/A,#N/A,TRUE,"Cover";#N/A,#N/A,TRUE,"Conts";#N/A,#N/A,TRUE,"VOS";#N/A,#N/A,TRUE,"Warrington";#N/A,#N/A,TRUE,"Widnes"}</definedName>
    <definedName name="ggfgdgd" hidden="1">{#N/A,#N/A,TRUE,"Cover";#N/A,#N/A,TRUE,"Conts";#N/A,#N/A,TRUE,"VOS";#N/A,#N/A,TRUE,"Warrington";#N/A,#N/A,TRUE,"Widnes"}</definedName>
    <definedName name="ggg" localSheetId="1">#REF!</definedName>
    <definedName name="ggg">#REF!</definedName>
    <definedName name="ggg_1">0</definedName>
    <definedName name="gggf" localSheetId="1" hidden="1">{#N/A,#N/A,TRUE,"Cover";#N/A,#N/A,TRUE,"Conts";#N/A,#N/A,TRUE,"VOS";#N/A,#N/A,TRUE,"Warrington";#N/A,#N/A,TRUE,"Widnes"}</definedName>
    <definedName name="gggf" hidden="1">{#N/A,#N/A,TRUE,"Cover";#N/A,#N/A,TRUE,"Conts";#N/A,#N/A,TRUE,"VOS";#N/A,#N/A,TRUE,"Warrington";#N/A,#N/A,TRUE,"Widnes"}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f" localSheetId="1">BlankMacro1</definedName>
    <definedName name="ggggf">BlankMacro1</definedName>
    <definedName name="ggggg" localSheetId="1">#REF!</definedName>
    <definedName name="ggggg">#REF!</definedName>
    <definedName name="ggggggg" localSheetId="1" hidden="1">#REF!</definedName>
    <definedName name="ggggggg" hidden="1">#REF!</definedName>
    <definedName name="ggggggggggg" localSheetId="1">#REF!</definedName>
    <definedName name="ggggggggggg">#REF!</definedName>
    <definedName name="ggggggggggggg" localSheetId="1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gggggggggggg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ggggggggggggggg">#REF!</definedName>
    <definedName name="gggggggggggggggg" localSheetId="1">#REF!</definedName>
    <definedName name="gggggggggggggggg">#REF!</definedName>
    <definedName name="gggggggggggggggggggggggg" localSheetId="1" hidden="1">#REF!</definedName>
    <definedName name="gggggggggggggggggggggggg" hidden="1">#REF!</definedName>
    <definedName name="gggggggggggggggggggggggggggg" localSheetId="1" hidden="1">#REF!</definedName>
    <definedName name="gggggggggggggggggggggggggggg" hidden="1">#REF!</definedName>
    <definedName name="ggg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g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hh" localSheetId="1" hidden="1">{#N/A,#N/A,FALSE,"MARCH"}</definedName>
    <definedName name="gghh" hidden="1">{#N/A,#N/A,FALSE,"MARCH"}</definedName>
    <definedName name="ggjj" localSheetId="1">BlankMacro1</definedName>
    <definedName name="ggjj">BlankMacro1</definedName>
    <definedName name="ggjjhg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jjh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k" localSheetId="1" hidden="1">{#N/A,#N/A,FALSE,"물량산출"}</definedName>
    <definedName name="ggk" hidden="1">{#N/A,#N/A,FALSE,"물량산출"}</definedName>
    <definedName name="ggnf">#N/A</definedName>
    <definedName name="ggre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r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RRT">#N/A</definedName>
    <definedName name="GH" localSheetId="1">#REF!</definedName>
    <definedName name="GH">#REF!</definedName>
    <definedName name="GH546VB" localSheetId="1" hidden="1">{"'Break down'!$A$4"}</definedName>
    <definedName name="GH546VB" hidden="1">{"'Break down'!$A$4"}</definedName>
    <definedName name="GH56TVB" localSheetId="1" hidden="1">{"'Break down'!$A$4"}</definedName>
    <definedName name="GH56TVB" hidden="1">{"'Break down'!$A$4"}</definedName>
    <definedName name="ghdfhfg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dfh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dhdh" localSheetId="1" hidden="1">{#N/A,#N/A,FALSE,"표지목차"}</definedName>
    <definedName name="ghdhdh" hidden="1">{#N/A,#N/A,FALSE,"표지목차"}</definedName>
    <definedName name="GHDW" localSheetId="1" hidden="1">{#N/A,#N/A,FALSE,"CAM-G7";#N/A,#N/A,FALSE,"SPL";#N/A,#N/A,FALSE,"butt-in G7";#N/A,#N/A,FALSE,"dia-in G7";#N/A,#N/A,FALSE,"추가-STA G7"}</definedName>
    <definedName name="GHDW" hidden="1">{#N/A,#N/A,FALSE,"CAM-G7";#N/A,#N/A,FALSE,"SPL";#N/A,#N/A,FALSE,"butt-in G7";#N/A,#N/A,FALSE,"dia-in G7";#N/A,#N/A,FALSE,"추가-STA G7"}</definedName>
    <definedName name="ghf">#N/A</definedName>
    <definedName name="ghff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g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h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f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g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jfgh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fg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hgfg">#REF!</definedName>
    <definedName name="ghg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gf">#REF!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localSheetId="1" hidden="1">{#N/A,#N/A,TRUE,"Cover";#N/A,#N/A,TRUE,"Conts";#N/A,#N/A,TRUE,"VOS";#N/A,#N/A,TRUE,"Warrington";#N/A,#N/A,TRUE,"Widnes"}</definedName>
    <definedName name="ghgh" hidden="1">{#N/A,#N/A,TRUE,"Cover";#N/A,#N/A,TRUE,"Conts";#N/A,#N/A,TRUE,"VOS";#N/A,#N/A,TRUE,"Warrington";#N/A,#N/A,TRUE,"Widnes"}</definedName>
    <definedName name="ghgh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h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hg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h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hghg">#N/A</definedName>
    <definedName name="ghghghgh" hidden="1">#REF!</definedName>
    <definedName name="ghghghghgh" hidden="1">#REF!</definedName>
    <definedName name="ghghghghghgh" hidden="1">#REF!</definedName>
    <definedName name="ghgytyt">#N/A</definedName>
    <definedName name="GHH" localSheetId="1">[1]!CUSTOM1_2_bed_fridge_freezer+Extra_Payment</definedName>
    <definedName name="GHH">Scheduled_Payment+Extra_Payment</definedName>
    <definedName name="gh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h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hgh" localSheetId="1" hidden="1">{#N/A,#N/A,FALSE,"MARCH"}</definedName>
    <definedName name="ghhgh" hidden="1">{#N/A,#N/A,FALSE,"MARCH"}</definedName>
    <definedName name="GHI" hidden="1">#REF!</definedName>
    <definedName name="ghj" hidden="1">#REF!</definedName>
    <definedName name="ghjkkk">#N/A</definedName>
    <definedName name="GHJT" localSheetId="1">#REF!</definedName>
    <definedName name="GHJT">#REF!</definedName>
    <definedName name="ghnmt" localSheetId="1" hidden="1">{"'Break down'!$A$4"}</definedName>
    <definedName name="ghnmt" hidden="1">{"'Break down'!$A$4"}</definedName>
    <definedName name="ghsdhth" localSheetId="1" hidden="1">{#N/A,#N/A,TRUE,"Cover";#N/A,#N/A,TRUE,"Conts";#N/A,#N/A,TRUE,"VOS";#N/A,#N/A,TRUE,"Warrington";#N/A,#N/A,TRUE,"Widnes"}</definedName>
    <definedName name="ghsdhth" hidden="1">{#N/A,#N/A,TRUE,"Cover";#N/A,#N/A,TRUE,"Conts";#N/A,#N/A,TRUE,"VOS";#N/A,#N/A,TRUE,"Warrington";#N/A,#N/A,TRUE,"Widnes"}</definedName>
    <definedName name="ghsdhth_1" localSheetId="1" hidden="1">{#N/A,#N/A,TRUE,"Cover";#N/A,#N/A,TRUE,"Conts";#N/A,#N/A,TRUE,"VOS";#N/A,#N/A,TRUE,"Warrington";#N/A,#N/A,TRUE,"Widnes"}</definedName>
    <definedName name="ghsdhth_1" hidden="1">{#N/A,#N/A,TRUE,"Cover";#N/A,#N/A,TRUE,"Conts";#N/A,#N/A,TRUE,"VOS";#N/A,#N/A,TRUE,"Warrington";#N/A,#N/A,TRUE,"Widnes"}</definedName>
    <definedName name="ghsg" localSheetId="1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hsg_1" localSheetId="1" hidden="1">{#N/A,#N/A,TRUE,"Cover";#N/A,#N/A,TRUE,"Conts";#N/A,#N/A,TRUE,"VOS";#N/A,#N/A,TRUE,"Warrington";#N/A,#N/A,TRUE,"Widnes"}</definedName>
    <definedName name="ghsg_1" hidden="1">{#N/A,#N/A,TRUE,"Cover";#N/A,#N/A,TRUE,"Conts";#N/A,#N/A,TRUE,"VOS";#N/A,#N/A,TRUE,"Warrington";#N/A,#N/A,TRUE,"Widnes"}</definedName>
    <definedName name="GHVB76JK" localSheetId="1" hidden="1">{"'Break down'!$A$4"}</definedName>
    <definedName name="GHVB76JK" hidden="1">{"'Break down'!$A$4"}</definedName>
    <definedName name="gia">#REF!</definedName>
    <definedName name="giaBor">#REF!</definedName>
    <definedName name="gij" localSheetId="1" hidden="1">{"'Break down'!$A$4"}</definedName>
    <definedName name="gij" hidden="1">{"'Break down'!$A$4"}</definedName>
    <definedName name="GIP">#REF!</definedName>
    <definedName name="girth">#REF!</definedName>
    <definedName name="GIUG">#N/A</definedName>
    <definedName name="giwire_new">#N/A</definedName>
    <definedName name="gjahgkj" localSheetId="1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ahgkj_1" localSheetId="1" hidden="1">{#N/A,#N/A,TRUE,"Cover";#N/A,#N/A,TRUE,"Conts";#N/A,#N/A,TRUE,"VOS";#N/A,#N/A,TRUE,"Warrington";#N/A,#N/A,TRUE,"Widnes"}</definedName>
    <definedName name="gjahgkj_1" hidden="1">{#N/A,#N/A,TRUE,"Cover";#N/A,#N/A,TRUE,"Conts";#N/A,#N/A,TRUE,"VOS";#N/A,#N/A,TRUE,"Warrington";#N/A,#N/A,TRUE,"Widnes"}</definedName>
    <definedName name="gjgjjhg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jgjjh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jkjhg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k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kkl" localSheetId="1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jkkl_1" localSheetId="1" hidden="1">{#N/A,#N/A,TRUE,"Cover";#N/A,#N/A,TRUE,"Conts";#N/A,#N/A,TRUE,"VOS";#N/A,#N/A,TRUE,"Warrington";#N/A,#N/A,TRUE,"Widnes"}</definedName>
    <definedName name="gjkkl_1" hidden="1">{#N/A,#N/A,TRUE,"Cover";#N/A,#N/A,TRUE,"Conts";#N/A,#N/A,TRUE,"VOS";#N/A,#N/A,TRUE,"Warrington";#N/A,#N/A,TRUE,"Widnes"}</definedName>
    <definedName name="gk">#REF!</definedName>
    <definedName name="gkfk" localSheetId="1">BlankMacro1</definedName>
    <definedName name="gkfk">BlankMacro1</definedName>
    <definedName name="GKGK">#REF!</definedName>
    <definedName name="gkhgk" localSheetId="1" hidden="1">{#N/A,#N/A,FALSE,"물량산출"}</definedName>
    <definedName name="gkhgk" hidden="1">{#N/A,#N/A,FALSE,"물량산출"}</definedName>
    <definedName name="gkhyg" localSheetId="1">BlankMacro1</definedName>
    <definedName name="gkhyg">BlankMacro1</definedName>
    <definedName name="gkjk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kjk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ku" localSheetId="1">BlankMacro1</definedName>
    <definedName name="gku">BlankMacro1</definedName>
    <definedName name="glas_stud" localSheetId="1">#REF!</definedName>
    <definedName name="glas_stud">#REF!</definedName>
    <definedName name="Glasblk1" localSheetId="1">#REF!</definedName>
    <definedName name="Glasblk1">#REF!</definedName>
    <definedName name="GLASS" localSheetId="1">#REF!</definedName>
    <definedName name="Glass">#REF!</definedName>
    <definedName name="glass_shelf" localSheetId="1">#REF!</definedName>
    <definedName name="glass_shelf">#REF!</definedName>
    <definedName name="Glaz_con" localSheetId="1">#REF!</definedName>
    <definedName name="Glaz_con">#REF!</definedName>
    <definedName name="GlazCanted_Wall" localSheetId="1">#REF!</definedName>
    <definedName name="GlazCanted_Wall">#REF!</definedName>
    <definedName name="Glaze_Clrd">#REF!</definedName>
    <definedName name="glbalu">#REF!</definedName>
    <definedName name="GLevel" localSheetId="1">#REF!</definedName>
    <definedName name="GLevel">#REF!</definedName>
    <definedName name="glgkgk" localSheetId="1" hidden="1">{#N/A,#N/A,FALSE,"전력간선"}</definedName>
    <definedName name="glgkgk" hidden="1">{#N/A,#N/A,FALSE,"전력간선"}</definedName>
    <definedName name="globe" localSheetId="1">#REF!</definedName>
    <definedName name="globe">#REF!</definedName>
    <definedName name="globref">INDIRECT("rc",FALSE)</definedName>
    <definedName name="glzsld">#REF!</definedName>
    <definedName name="GM">#REF!</definedName>
    <definedName name="GMAmount" localSheetId="1">#REF!</definedName>
    <definedName name="GMAmount">#REF!</definedName>
    <definedName name="GMAmount_4" localSheetId="1">#REF!</definedName>
    <definedName name="GMAmount_4">#REF!</definedName>
    <definedName name="GMAmount_4_1" localSheetId="1">#REF!</definedName>
    <definedName name="GMAmount_4_1">#REF!</definedName>
    <definedName name="GMAmount_6">#REF!</definedName>
    <definedName name="gmnhh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mnh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m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Percent">#REF!</definedName>
    <definedName name="GMPercent_4" localSheetId="1">#REF!</definedName>
    <definedName name="GMPercent_4">#REF!</definedName>
    <definedName name="GMPercent_4_1" localSheetId="1">#REF!</definedName>
    <definedName name="GMPercent_4_1">#REF!</definedName>
    <definedName name="GMPercent_6">#REF!</definedName>
    <definedName name="gnnm" localSheetId="1">BlankMacro1</definedName>
    <definedName name="gnnm">BlankMacro1</definedName>
    <definedName name="GNOIDA" localSheetId="1">#REF!</definedName>
    <definedName name="GNOIDA">#REF!</definedName>
    <definedName name="GNR">#REF!</definedName>
    <definedName name="gode">#REF!</definedName>
    <definedName name="Golden" hidden="1">#REF!</definedName>
    <definedName name="GoldenMile" hidden="1">#REF!</definedName>
    <definedName name="Golf_1_Home" localSheetId="1">#REF!</definedName>
    <definedName name="Golf_1_Home">#REF!</definedName>
    <definedName name="Golf_Course" localSheetId="1">#REF!</definedName>
    <definedName name="Golf_Course">#REF!</definedName>
    <definedName name="golfhomes" localSheetId="1">#REF!</definedName>
    <definedName name="golfhomes">#REF!</definedName>
    <definedName name="GONGGA">#REF!</definedName>
    <definedName name="GONGJANG">#REF!</definedName>
    <definedName name="gp" hidden="1">#REF!</definedName>
    <definedName name="GPMO_Expenses_Followup" localSheetId="1">#REF!</definedName>
    <definedName name="GPMO_Expenses_Followup">#REF!</definedName>
    <definedName name="GPMO_Expenses_Forecast" localSheetId="1">#REF!</definedName>
    <definedName name="GPMO_Expenses_Forecast">#REF!</definedName>
    <definedName name="GPMO_Foreign_Exp_followup" localSheetId="1">#REF!</definedName>
    <definedName name="GPMO_Foreign_Exp_followup">#REF!</definedName>
    <definedName name="GPMO_Incomes_Forecast">#REF!</definedName>
    <definedName name="GPMO_Initial_expenses_forecast">#REF!</definedName>
    <definedName name="GPMO_Initial_Incomes_forecast">#REF!</definedName>
    <definedName name="GPP">#REF!</definedName>
    <definedName name="gq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de25">#REF!</definedName>
    <definedName name="grade30" localSheetId="1">#REF!</definedName>
    <definedName name="grade30">#REF!</definedName>
    <definedName name="gradesixty">#N/A</definedName>
    <definedName name="grading" localSheetId="1" hidden="1">{#N/A,#N/A,FALSE,"MARCH"}</definedName>
    <definedName name="grading" hidden="1">{#N/A,#N/A,FALSE,"MARCH"}</definedName>
    <definedName name="GRADINGSI8" localSheetId="1" hidden="1">{#N/A,#N/A,FALSE,"MARCH"}</definedName>
    <definedName name="GRADINGSI8" hidden="1">{#N/A,#N/A,FALSE,"MARCH"}</definedName>
    <definedName name="grancounter">#REF!</definedName>
    <definedName name="grand" localSheetId="1">#REF!</definedName>
    <definedName name="grand">#REF!</definedName>
    <definedName name="GRAND_C" localSheetId="1">#REF!</definedName>
    <definedName name="GRAND_C">#REF!</definedName>
    <definedName name="GRAND_TOTAL">#REF!</definedName>
    <definedName name="GrandBasic">#REF!</definedName>
    <definedName name="GrandSuiteArea">#REF!</definedName>
    <definedName name="GrandSuitePerimeter">#REF!</definedName>
    <definedName name="GRANFL">#REF!</definedName>
    <definedName name="granfloor">#REF!</definedName>
    <definedName name="Granitewall">#REF!</definedName>
    <definedName name="graph" hidden="1">#REF!</definedName>
    <definedName name="graphp" hidden="1">#REF!</definedName>
    <definedName name="GRC" localSheetId="1">#REF!</definedName>
    <definedName name="GRC">#REF!</definedName>
    <definedName name="greater">#REF!</definedName>
    <definedName name="greee">#REF!</definedName>
    <definedName name="Green">#REF!</definedName>
    <definedName name="gre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g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g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w" hidden="1">#REF!</definedName>
    <definedName name="grewers" localSheetId="1">BlankMacro1</definedName>
    <definedName name="grewers">BlankMacro1</definedName>
    <definedName name="grgh" localSheetId="1" hidden="1">{#N/A,#N/A,FALSE,"MARCH"}</definedName>
    <definedName name="grgh" hidden="1">{#N/A,#N/A,FALSE,"MARCH"}</definedName>
    <definedName name="GRIDCEIL">#REF!</definedName>
    <definedName name="Gross_Margin">#REF!</definedName>
    <definedName name="Gross_valuation1_RM" localSheetId="1">#REF!</definedName>
    <definedName name="Gross_valuation1_RM">#REF!</definedName>
    <definedName name="Gross_Yield" localSheetId="1">#REF!</definedName>
    <definedName name="Gross_Yield">#REF!</definedName>
    <definedName name="Gross_Yield_incl_land_cost">#REF!</definedName>
    <definedName name="Grossrevenue">#REF!</definedName>
    <definedName name="Ground" localSheetId="1">#REF!</definedName>
    <definedName name="Ground">#REF!</definedName>
    <definedName name="GROUND_WIRE">#REF!</definedName>
    <definedName name="Groundbeams">#REF!</definedName>
    <definedName name="GROUNDING">#REF!</definedName>
    <definedName name="GROUP" hidden="1">"bissql"</definedName>
    <definedName name="Group1">#REF!</definedName>
    <definedName name="Group1641SM" localSheetId="1">#REF!,#REF!,#REF!,#REF!,#REF!,#REF!,#REF!,#REF!,#REF!</definedName>
    <definedName name="Group1641SM">#REF!,#REF!,#REF!,#REF!,#REF!,#REF!,#REF!,#REF!,#REF!</definedName>
    <definedName name="Group1641SM2" localSheetId="1">#REF!,#REF!,#REF!,#REF!,#REF!,#REF!,#REF!,#REF!,#REF!,#REF!</definedName>
    <definedName name="Group1641SM2">#REF!,#REF!,#REF!,#REF!,#REF!,#REF!,#REF!,#REF!,#REF!,#REF!</definedName>
    <definedName name="Group1661SMC" localSheetId="1">#REF!,#REF!,#REF!,#REF!,#REF!,#REF!,#REF!,#REF!,#REF!,#REF!</definedName>
    <definedName name="Group1661SMC">#REF!,#REF!,#REF!,#REF!,#REF!,#REF!,#REF!,#REF!,#REF!,#REF!</definedName>
    <definedName name="Group2" localSheetId="1">#REF!</definedName>
    <definedName name="Group2">#REF!</definedName>
    <definedName name="Group3" localSheetId="1">#REF!</definedName>
    <definedName name="Group3">#REF!</definedName>
    <definedName name="Group4" localSheetId="1">#REF!</definedName>
    <definedName name="Group4">#REF!</definedName>
    <definedName name="GroupRN140" localSheetId="1">#REF!,#REF!,#REF!,#REF!,#REF!,#REF!,#REF!,#REF!,#REF!,#REF!,#REF!,#REF!,#REF!,#REF!,#REF!,#REF!,#REF!,#REF!,#REF!,#REF!,#REF!</definedName>
    <definedName name="GroupRN140">#REF!,#REF!,#REF!,#REF!,#REF!,#REF!,#REF!,#REF!,#REF!,#REF!,#REF!,#REF!,#REF!,#REF!,#REF!,#REF!,#REF!,#REF!,#REF!,#REF!,#REF!</definedName>
    <definedName name="GroutedRiprap" localSheetId="1">#REF!</definedName>
    <definedName name="GroutedRiprap">#REF!</definedName>
    <definedName name="grqeg" localSheetId="1" hidden="1">{"'Sheet1'!$L$16"}</definedName>
    <definedName name="grqeg" hidden="1">{"'Sheet1'!$L$16"}</definedName>
    <definedName name="grsgj">#REF!</definedName>
    <definedName name="grt">#REF!</definedName>
    <definedName name="grtt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t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uppe_A">#REF!</definedName>
    <definedName name="Gruppe_B">#REF!</definedName>
    <definedName name="Gruppe_C">#REF!</definedName>
    <definedName name="Gruppe_D">#REF!</definedName>
    <definedName name="Gruppe_D_G" localSheetId="1">#REF!</definedName>
    <definedName name="Gruppe_D_G">#REF!</definedName>
    <definedName name="Gruppe_E">#REF!</definedName>
    <definedName name="Gruppe_G">#REF!</definedName>
    <definedName name="Gruppe_H">#REF!</definedName>
    <definedName name="Gruppe_I">#REF!</definedName>
    <definedName name="Gruppe_K">#REF!</definedName>
    <definedName name="Gruppe_L">#REF!</definedName>
    <definedName name="Gruppe_M">#REF!</definedName>
    <definedName name="Gruppe_N">#REF!</definedName>
    <definedName name="Gruppe_O">#REF!</definedName>
    <definedName name="Gruppe_T">#REF!</definedName>
    <definedName name="Gruppe_U">#REF!</definedName>
    <definedName name="gs" localSheetId="1">#REF!</definedName>
    <definedName name="gs">#REF!</definedName>
    <definedName name="GSDFSDF">#REF!</definedName>
    <definedName name="gsdg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g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f">#REF!</definedName>
    <definedName name="gsg" localSheetId="1" hidden="1">{#N/A,#N/A,TRUE,"Cover";#N/A,#N/A,TRUE,"Conts";#N/A,#N/A,TRUE,"VOS";#N/A,#N/A,TRUE,"Warrington";#N/A,#N/A,TRUE,"Widnes"}</definedName>
    <definedName name="gsg" hidden="1">{#N/A,#N/A,TRUE,"Cover";#N/A,#N/A,TRUE,"Conts";#N/A,#N/A,TRUE,"VOS";#N/A,#N/A,TRUE,"Warrington";#N/A,#N/A,TRUE,"Widnes"}</definedName>
    <definedName name="gsm">#REF!</definedName>
    <definedName name="GST_Method">#REF!</definedName>
    <definedName name="GSTSYAEYAEYEYET" localSheetId="1" hidden="1">{"'Break down'!$A$4"}</definedName>
    <definedName name="GSTSYAEYAEYEYET" hidden="1">{"'Break down'!$A$4"}</definedName>
    <definedName name="GSTVAT">#REF!</definedName>
    <definedName name="gt" localSheetId="1">#REF!</definedName>
    <definedName name="gt">#REF!</definedName>
    <definedName name="GT_ELECT">#REF!</definedName>
    <definedName name="gtfr" localSheetId="1" hidden="1">{#N/A,#N/A,FALSE,"Header P";#N/A,#N/A,FALSE,"Summary";#N/A,#N/A,FALSE,"CONTRACT WORKS";#N/A,#N/A,FALSE,"Variations";#N/A,#N/A,FALSE,"Dwk"}</definedName>
    <definedName name="gtfr" hidden="1">{#N/A,#N/A,FALSE,"Header P";#N/A,#N/A,FALSE,"Summary";#N/A,#N/A,FALSE,"CONTRACT WORKS";#N/A,#N/A,FALSE,"Variations";#N/A,#N/A,FALSE,"Dwk"}</definedName>
    <definedName name="gtft">#REF!</definedName>
    <definedName name="GTOT" localSheetId="1">#REF!</definedName>
    <definedName name="GTOT">#REF!</definedName>
    <definedName name="GTOT___0" localSheetId="1">#REF!</definedName>
    <definedName name="GTOT___0">#REF!</definedName>
    <definedName name="GTOT___0___0">"$#REF!.$#REF!$#REF!"</definedName>
    <definedName name="GTOT___0___3">"$#REF!.$#REF!$#REF!"</definedName>
    <definedName name="GTOT___0___4">"$#REF!.$#REF!$#REF!"</definedName>
    <definedName name="GTOT___2">#REF!</definedName>
    <definedName name="GTOT___2___0">"$#REF!.$#REF!$#REF!"</definedName>
    <definedName name="GTOT___2___3">"$#REF!.$#REF!$#REF!"</definedName>
    <definedName name="GTOT___3">#REF!</definedName>
    <definedName name="GTOT___3___0">"$#REF!.$#REF!$#REF!"</definedName>
    <definedName name="GTOT___3___3">"$#REF!.$#REF!$#REF!"</definedName>
    <definedName name="GTOT___3___4">"$#REF!.$#REF!$#REF!"</definedName>
    <definedName name="GTOT___4">#REF!</definedName>
    <definedName name="GTOT___4___0">"$#REF!.$#REF!$#REF!"</definedName>
    <definedName name="GTOT___4___3">"$#REF!.$#REF!$#REF!"</definedName>
    <definedName name="GTOT___7">"$#REF!.$#REF!$#REF!"</definedName>
    <definedName name="gtr" localSheetId="1" hidden="1">{"year1",#N/A,FALSE,"IZT";"year2",#N/A,FALSE,"IZT"}</definedName>
    <definedName name="gtr" hidden="1">{"year1",#N/A,FALSE,"IZT";"year2",#N/A,FALSE,"IZT"}</definedName>
    <definedName name="GTRE">#N/A</definedName>
    <definedName name="gtrghr" localSheetId="1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trghr_1" localSheetId="1" hidden="1">{#N/A,#N/A,TRUE,"Cover";#N/A,#N/A,TRUE,"Conts";#N/A,#N/A,TRUE,"VOS";#N/A,#N/A,TRUE,"Warrington";#N/A,#N/A,TRUE,"Widnes"}</definedName>
    <definedName name="gtrghr_1" hidden="1">{#N/A,#N/A,TRUE,"Cover";#N/A,#N/A,TRUE,"Conts";#N/A,#N/A,TRUE,"VOS";#N/A,#N/A,TRUE,"Warrington";#N/A,#N/A,TRUE,"Widnes"}</definedName>
    <definedName name="gtrt">#N/A</definedName>
    <definedName name="gtryewqbhtg4bnq3b">#REF!</definedName>
    <definedName name="GTTA">#REF!</definedName>
    <definedName name="GTTB">#REF!</definedName>
    <definedName name="gty" localSheetId="1" hidden="1">{#N/A,#N/A,FALSE,"MARCH"}</definedName>
    <definedName name="gty" hidden="1">{#N/A,#N/A,FALSE,"MARCH"}</definedName>
    <definedName name="gtyh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gtyh">IF(ISNA(MATCH(ROW(),RowAfterpgbrk,1)),1,MATCH(ROW(),RowAfterpgbrk,1)+1)&lt;&gt;IF(ISNA(MATCH(ROW()+1,RowAfterpgbrk,1)),1,MATCH(ROW()+1,RowAfterpgbrk,1)+1)</definedName>
    <definedName name="GTYU">#N/A</definedName>
    <definedName name="Gua" localSheetId="1">#REF!</definedName>
    <definedName name="Gua">#REF!</definedName>
    <definedName name="guest">#REF!</definedName>
    <definedName name="guestroom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s" localSheetId="1">#REF!</definedName>
    <definedName name="Guestrooms">#REF!</definedName>
    <definedName name="GULF">#REF!</definedName>
    <definedName name="Gumruk">#REF!</definedName>
    <definedName name="GUNITING" localSheetId="1">#REF!</definedName>
    <definedName name="GUNITING">#REF!</definedName>
    <definedName name="gupta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pt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rgaon112row" hidden="1">#REF!</definedName>
    <definedName name="GURJAR_International_FZCO" localSheetId="1">#REF!</definedName>
    <definedName name="GURJAR_International_FZCO">#REF!</definedName>
    <definedName name="guth" localSheetId="1" hidden="1">#REF!</definedName>
    <definedName name="guth" hidden="1">#REF!</definedName>
    <definedName name="Gutt" localSheetId="1">#REF!</definedName>
    <definedName name="Gutt">#REF!</definedName>
    <definedName name="guyuk" localSheetId="1">BlankMacro1</definedName>
    <definedName name="guyuk">BlankMacro1</definedName>
    <definedName name="GV" localSheetId="1">#REF!</definedName>
    <definedName name="GV">#REF!</definedName>
    <definedName name="GV235KLNM" localSheetId="1" hidden="1">{"'Break down'!$A$4"}</definedName>
    <definedName name="GV235KLNM" hidden="1">{"'Break down'!$A$4"}</definedName>
    <definedName name="gvgfvgf">#REF!</definedName>
    <definedName name="gvrehtbvgfdc">#REF!</definedName>
    <definedName name="gvuifgif">#N/A</definedName>
    <definedName name="gw" localSheetId="1">#REF!</definedName>
    <definedName name="gw">#REF!</definedName>
    <definedName name="gwaps" localSheetId="1">#REF!</definedName>
    <definedName name="gwaps">#REF!</definedName>
    <definedName name="gwef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we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WEG" localSheetId="1" hidden="1">{#N/A,#N/A,TRUE,"Cover";#N/A,#N/A,TRUE,"Conts";#N/A,#N/A,TRUE,"VOS";#N/A,#N/A,TRUE,"Warrington";#N/A,#N/A,TRUE,"Widnes"}</definedName>
    <definedName name="gWEG" hidden="1">{#N/A,#N/A,TRUE,"Cover";#N/A,#N/A,TRUE,"Conts";#N/A,#N/A,TRUE,"VOS";#N/A,#N/A,TRUE,"Warrington";#N/A,#N/A,TRUE,"Widnes"}</definedName>
    <definedName name="gWEG_1" localSheetId="1" hidden="1">{#N/A,#N/A,TRUE,"Cover";#N/A,#N/A,TRUE,"Conts";#N/A,#N/A,TRUE,"VOS";#N/A,#N/A,TRUE,"Warrington";#N/A,#N/A,TRUE,"Widnes"}</definedName>
    <definedName name="gWEG_1" hidden="1">{#N/A,#N/A,TRUE,"Cover";#N/A,#N/A,TRUE,"Conts";#N/A,#N/A,TRUE,"VOS";#N/A,#N/A,TRUE,"Warrington";#N/A,#N/A,TRUE,"Widnes"}</definedName>
    <definedName name="GWEGTew" localSheetId="1" hidden="1">{#N/A,#N/A,TRUE,"Cover";#N/A,#N/A,TRUE,"Conts";#N/A,#N/A,TRUE,"VOS";#N/A,#N/A,TRUE,"Warrington";#N/A,#N/A,TRUE,"Widnes"}</definedName>
    <definedName name="GWEGTew" hidden="1">{#N/A,#N/A,TRUE,"Cover";#N/A,#N/A,TRUE,"Conts";#N/A,#N/A,TRUE,"VOS";#N/A,#N/A,TRUE,"Warrington";#N/A,#N/A,TRUE,"Widnes"}</definedName>
    <definedName name="GWEGTew_1" localSheetId="1" hidden="1">{#N/A,#N/A,TRUE,"Cover";#N/A,#N/A,TRUE,"Conts";#N/A,#N/A,TRUE,"VOS";#N/A,#N/A,TRUE,"Warrington";#N/A,#N/A,TRUE,"Widnes"}</definedName>
    <definedName name="GWEGTew_1" hidden="1">{#N/A,#N/A,TRUE,"Cover";#N/A,#N/A,TRUE,"Conts";#N/A,#N/A,TRUE,"VOS";#N/A,#N/A,TRUE,"Warrington";#N/A,#N/A,TRUE,"Widnes"}</definedName>
    <definedName name="GWERU">#REF!</definedName>
    <definedName name="gwgtergyr" localSheetId="1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gwgtergyr_1" localSheetId="1" hidden="1">{#N/A,#N/A,TRUE,"Cover";#N/A,#N/A,TRUE,"Conts";#N/A,#N/A,TRUE,"VOS";#N/A,#N/A,TRUE,"Warrington";#N/A,#N/A,TRUE,"Widnes"}</definedName>
    <definedName name="gwgtergyr_1" hidden="1">{#N/A,#N/A,TRUE,"Cover";#N/A,#N/A,TRUE,"Conts";#N/A,#N/A,TRUE,"VOS";#N/A,#N/A,TRUE,"Warrington";#N/A,#N/A,TRUE,"Widnes"}</definedName>
    <definedName name="gwqrtrftg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wqrtrft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Y">#N/A</definedName>
    <definedName name="GYKV" localSheetId="1" hidden="1">{#N/A,#N/A,TRUE,"Cover";#N/A,#N/A,TRUE,"Conts";#N/A,#N/A,TRUE,"VOS";#N/A,#N/A,TRUE,"Warrington";#N/A,#N/A,TRUE,"Widnes"}</definedName>
    <definedName name="GYKV" hidden="1">{#N/A,#N/A,TRUE,"Cover";#N/A,#N/A,TRUE,"Conts";#N/A,#N/A,TRUE,"VOS";#N/A,#N/A,TRUE,"Warrington";#N/A,#N/A,TRUE,"Widnes"}</definedName>
    <definedName name="gypan1">#REF!</definedName>
    <definedName name="GYPANQ2">#REF!</definedName>
    <definedName name="gypart1">#REF!</definedName>
    <definedName name="GYPARTQ2">#REF!</definedName>
    <definedName name="GYPCEIL">#REF!</definedName>
    <definedName name="GYPCEILQ2">#REF!</definedName>
    <definedName name="GYPPAN" localSheetId="1">#REF!</definedName>
    <definedName name="GYPPAN">#REF!</definedName>
    <definedName name="GYPPANEL">#REF!</definedName>
    <definedName name="gyppart">#REF!</definedName>
    <definedName name="GYPVENQ">#REF!</definedName>
    <definedName name="GYS" localSheetId="1">#REF!</definedName>
    <definedName name="GYS">#REF!</definedName>
    <definedName name="gytryer" localSheetId="1">BlankMacro1</definedName>
    <definedName name="gytryer">BlankMacro1</definedName>
    <definedName name="H" localSheetId="1">#REF!</definedName>
    <definedName name="H">#REF!</definedName>
    <definedName name="h___0">#REF!</definedName>
    <definedName name="h___0___0">"$#REF!.$#REF!$#REF!"</definedName>
    <definedName name="h___0___3">"$#REF!.$#REF!$#REF!"</definedName>
    <definedName name="h___0___4">"$#REF!.$#REF!$#REF!"</definedName>
    <definedName name="H___13">#REF!</definedName>
    <definedName name="h___2" localSheetId="1">#REF!</definedName>
    <definedName name="h___2">#REF!</definedName>
    <definedName name="h___2___0">"$#REF!.$#REF!$#REF!"</definedName>
    <definedName name="h___2___3">"$#REF!.$#REF!$#REF!"</definedName>
    <definedName name="h___3">#REF!</definedName>
    <definedName name="h___3___0">"$#REF!.$#REF!$#REF!"</definedName>
    <definedName name="h___3___3">"$#REF!.$#REF!$#REF!"</definedName>
    <definedName name="h___3___4">"$#REF!.$#REF!$#REF!"</definedName>
    <definedName name="h___4">#REF!</definedName>
    <definedName name="h___4___0">"$#REF!.$#REF!$#REF!"</definedName>
    <definedName name="h___4___3">"$#REF!.$#REF!$#REF!"</definedName>
    <definedName name="h___7">"$#REF!.$#REF!$#REF!"</definedName>
    <definedName name="H_1">0</definedName>
    <definedName name="H_22">#REF!</definedName>
    <definedName name="H_300">#REF!</definedName>
    <definedName name="H_350">#REF!</definedName>
    <definedName name="H_CAL">#REF!</definedName>
    <definedName name="H_FloorCov" localSheetId="1">#REF!</definedName>
    <definedName name="H_FloorCov">#REF!</definedName>
    <definedName name="H_MON">#REF!</definedName>
    <definedName name="H_RAIL_FE">#REF!</definedName>
    <definedName name="H0" localSheetId="1">#REF!</definedName>
    <definedName name="H0">#REF!</definedName>
    <definedName name="H0___0" localSheetId="1">#REF!</definedName>
    <definedName name="H0___0">#REF!</definedName>
    <definedName name="H0___13" localSheetId="1">#REF!</definedName>
    <definedName name="H0___13">#REF!</definedName>
    <definedName name="H1.0m이하">#REF!</definedName>
    <definedName name="H1.2m">#REF!</definedName>
    <definedName name="H1.5m">#REF!</definedName>
    <definedName name="H1.8m">#REF!</definedName>
    <definedName name="H2.0m">#REF!</definedName>
    <definedName name="H2.5m">#REF!</definedName>
    <definedName name="H3.0m">#REF!</definedName>
    <definedName name="H3.5m">#REF!</definedName>
    <definedName name="H4.0m">#REF!</definedName>
    <definedName name="H4.5m">#REF!</definedName>
    <definedName name="H5.0m">#REF!</definedName>
    <definedName name="ha">#REF!</definedName>
    <definedName name="HABUDIYAR3">#REF!</definedName>
    <definedName name="Hadey" localSheetId="1">#REF!</definedName>
    <definedName name="Hadey">#REF!</definedName>
    <definedName name="hae">#REF!</definedName>
    <definedName name="Hafeez">#REF!</definedName>
    <definedName name="Haji_Ahil_Building_">#REF!</definedName>
    <definedName name="half">#REF!</definedName>
    <definedName name="halfbrick">#REF!</definedName>
    <definedName name="haljf" localSheetId="1" hidden="1">{"'Sheet1'!$L$16"}</definedName>
    <definedName name="haljf" hidden="1">{"'Sheet1'!$L$16"}</definedName>
    <definedName name="hamda" localSheetId="1" hidden="1">{"'Break down'!$A$4"}</definedName>
    <definedName name="hamda" hidden="1">{"'Break down'!$A$4"}</definedName>
    <definedName name="hamza" localSheetId="1" hidden="1">{#N/A,#N/A,FALSE,"估價單  (3)"}</definedName>
    <definedName name="hamza" hidden="1">{#N/A,#N/A,FALSE,"估價單  (3)"}</definedName>
    <definedName name="han" hidden="1">#REF!</definedName>
    <definedName name="HAND_VLV_MANIF" localSheetId="1">#REF!</definedName>
    <definedName name="HAND_VLV_MANIF">#REF!</definedName>
    <definedName name="HANDRAIL" localSheetId="1">#REF!</definedName>
    <definedName name="HANDRAIL">#REF!</definedName>
    <definedName name="Hanse_Golf_Course_Design">#REF!</definedName>
    <definedName name="hap" localSheetId="1" hidden="1">{#N/A,#N/A,FALSE,"COVER1.XLS ";#N/A,#N/A,FALSE,"RACT1.XLS";#N/A,#N/A,FALSE,"RACT2.XLS";#N/A,#N/A,FALSE,"ECCMP";#N/A,#N/A,FALSE,"WELDER.XLS"}</definedName>
    <definedName name="hap" hidden="1">{#N/A,#N/A,FALSE,"COVER1.XLS ";#N/A,#N/A,FALSE,"RACT1.XLS";#N/A,#N/A,FALSE,"RACT2.XLS";#N/A,#N/A,FALSE,"ECCMP";#N/A,#N/A,FALSE,"WELDER.XLS"}</definedName>
    <definedName name="hardcore">#REF!</definedName>
    <definedName name="hardwood">#REF!</definedName>
    <definedName name="HARI" localSheetId="1">#REF!</definedName>
    <definedName name="HARI">#REF!</definedName>
    <definedName name="harry" localSheetId="1" hidden="1">{"'Break down'!$A$4"}</definedName>
    <definedName name="harry" hidden="1">{"'Break down'!$A$4"}</definedName>
    <definedName name="Hat">#REF!</definedName>
    <definedName name="haul">#REF!</definedName>
    <definedName name="HAZEE">#REF!</definedName>
    <definedName name="hb" localSheetId="1" hidden="1">{#N/A,#N/A,TRUE,"Cover";#N/A,#N/A,TRUE,"Conts";#N/A,#N/A,TRUE,"VOS";#N/A,#N/A,TRUE,"Warrington";#N/A,#N/A,TRUE,"Widnes"}</definedName>
    <definedName name="hb" hidden="1">{#N/A,#N/A,TRUE,"Cover";#N/A,#N/A,TRUE,"Conts";#N/A,#N/A,TRUE,"VOS";#N/A,#N/A,TRUE,"Warrington";#N/A,#N/A,TRUE,"Widnes"}</definedName>
    <definedName name="hb_1" localSheetId="1" hidden="1">{#N/A,#N/A,TRUE,"Cover";#N/A,#N/A,TRUE,"Conts";#N/A,#N/A,TRUE,"VOS";#N/A,#N/A,TRUE,"Warrington";#N/A,#N/A,TRUE,"Widnes"}</definedName>
    <definedName name="hb_1" hidden="1">{#N/A,#N/A,TRUE,"Cover";#N/A,#N/A,TRUE,"Conts";#N/A,#N/A,TRUE,"VOS";#N/A,#N/A,TRUE,"Warrington";#N/A,#N/A,TRUE,"Widnes"}</definedName>
    <definedName name="HBA_International">#REF!</definedName>
    <definedName name="hbdhtdh">#N/A</definedName>
    <definedName name="hbhde" localSheetId="1">BlankMacro1</definedName>
    <definedName name="hbhde">BlankMacro1</definedName>
    <definedName name="hbn" localSheetId="1" hidden="1">{#N/A,#N/A,TRUE,"Cover";#N/A,#N/A,TRUE,"Conts";#N/A,#N/A,TRUE,"VOS";#N/A,#N/A,TRUE,"Warrington";#N/A,#N/A,TRUE,"Widnes"}</definedName>
    <definedName name="hbn" hidden="1">{#N/A,#N/A,TRUE,"Cover";#N/A,#N/A,TRUE,"Conts";#N/A,#N/A,TRUE,"VOS";#N/A,#N/A,TRUE,"Warrington";#N/A,#N/A,TRUE,"Widnes"}</definedName>
    <definedName name="hc_surf_treat">#REF!</definedName>
    <definedName name="HCD_ALSLIGHTCOND_QTY" localSheetId="1">#REF!</definedName>
    <definedName name="HCD_ALSLIGHTCOND_QTY">#REF!</definedName>
    <definedName name="HCD_BUS_HRS">#REF!</definedName>
    <definedName name="HCD_BUS_LAB">#REF!</definedName>
    <definedName name="HCD_BUS_MAT">#REF!</definedName>
    <definedName name="HCD_BUS_QTY">#REF!</definedName>
    <definedName name="HCD_BUS_SC">#REF!</definedName>
    <definedName name="HCD_BUS_SCHRS">#REF!</definedName>
    <definedName name="HCD_CBL_HRS">#REF!</definedName>
    <definedName name="HCD_CBL_LAB">#REF!</definedName>
    <definedName name="HCD_CBL_MAT">#REF!</definedName>
    <definedName name="HCD_CBL_QTY">#REF!</definedName>
    <definedName name="HCD_CBL_SC">#REF!</definedName>
    <definedName name="HCD_CBL_SCHRS">#REF!</definedName>
    <definedName name="HCD_CKT_QTY">#REF!</definedName>
    <definedName name="HCD_CONNECT_HRS">#REF!</definedName>
    <definedName name="HCD_CONNECT_LAB">#REF!</definedName>
    <definedName name="HCD_CONNECT_MAT">#REF!</definedName>
    <definedName name="HCD_CONNECT_QTY">#REF!</definedName>
    <definedName name="HCD_CONNECT_SC">#REF!</definedName>
    <definedName name="HCD_CONNECT_SCHRS">#REF!</definedName>
    <definedName name="HCD_CSCBL_QTY">#REF!</definedName>
    <definedName name="HCD_CSCOND_QTY">#REF!</definedName>
    <definedName name="HCD_DBLGTCBL_QTY">#REF!</definedName>
    <definedName name="HCD_DCUPS_HRS">#REF!</definedName>
    <definedName name="HCD_DCUPS_LAB">#REF!</definedName>
    <definedName name="HCD_DCUPS_MAT">#REF!</definedName>
    <definedName name="HCD_DCUPS_QTY">#REF!</definedName>
    <definedName name="HCD_DCUPS_SC">#REF!</definedName>
    <definedName name="HCD_DCUPS_SCHRS">#REF!</definedName>
    <definedName name="HCD_DEMO_HRS">#REF!</definedName>
    <definedName name="HCD_DEMO_LAB">#REF!</definedName>
    <definedName name="HCD_DEMO_MAT">#REF!</definedName>
    <definedName name="HCD_DEMO_QTY">#REF!</definedName>
    <definedName name="HCD_DEMO_SC">#REF!</definedName>
    <definedName name="HCD_DEMO_SCHRS">#REF!</definedName>
    <definedName name="HCD_FIXT_QTY">#REF!</definedName>
    <definedName name="HCD_GNDCBL_QTY">#REF!</definedName>
    <definedName name="HCD_INDRFIXT_QTY">#REF!</definedName>
    <definedName name="HCD_INSTRAUXPNL_HRS">#REF!</definedName>
    <definedName name="HCD_INSTRAUXPNL_LAB">#REF!</definedName>
    <definedName name="HCD_INSTRAUXPNL_MAT">#REF!</definedName>
    <definedName name="HCD_INSTRAUXPNL_QTY">#REF!</definedName>
    <definedName name="HCD_INSTRAUXPNL_SC">#REF!</definedName>
    <definedName name="HCD_INSTRAUXPNL_SCHRS">#REF!</definedName>
    <definedName name="HCD_INSTRCEMS_HRS">#REF!</definedName>
    <definedName name="HCD_INSTRCEMS_LAB">#REF!</definedName>
    <definedName name="HCD_INSTRCEMS_MAT">#REF!</definedName>
    <definedName name="HCD_INSTRCEMS_QTY">#REF!</definedName>
    <definedName name="HCD_INSTRCEMS_SC">#REF!</definedName>
    <definedName name="HCD_INSTRCEMS_SCHRS">#REF!</definedName>
    <definedName name="HCD_INSTRDCS_HRS">#REF!</definedName>
    <definedName name="HCD_INSTRDCS_LAB">#REF!</definedName>
    <definedName name="HCD_INSTRDCS_MAT">#REF!</definedName>
    <definedName name="HCD_INSTRDCS_QTY">#REF!</definedName>
    <definedName name="HCD_INSTRDCS_SC">#REF!</definedName>
    <definedName name="HCD_INSTRDCS_SCHRS">#REF!</definedName>
    <definedName name="HCD_INSTRELEC_HRS">#REF!</definedName>
    <definedName name="HCD_INSTRELEC_LAB">#REF!</definedName>
    <definedName name="HCD_INSTRELEC_MAT">#REF!</definedName>
    <definedName name="HCD_INSTRELEC_QTY">#REF!</definedName>
    <definedName name="HCD_INSTRELEC_SC">#REF!</definedName>
    <definedName name="HCD_INSTRELEC_SCHRS">#REF!</definedName>
    <definedName name="HCD_INSTRMECH_HRS">#REF!</definedName>
    <definedName name="HCD_INSTRMECH_LAB">#REF!</definedName>
    <definedName name="HCD_INSTRMECH_MAT">#REF!</definedName>
    <definedName name="HCD_INSTRMECH_QTY">#REF!</definedName>
    <definedName name="HCD_INSTRMECH_SC">#REF!</definedName>
    <definedName name="HCD_INSTRMECH_SCHRS">#REF!</definedName>
    <definedName name="HCD_INSTRMECHMISC_HRS">#REF!</definedName>
    <definedName name="HCD_INSTRMECHMISC_LAB">#REF!</definedName>
    <definedName name="HCD_INSTRMECHMISC_MAT">#REF!</definedName>
    <definedName name="HCD_INSTRMECHMISC_QTY">#REF!</definedName>
    <definedName name="HCD_INSTRMECHMISC_SC">#REF!</definedName>
    <definedName name="HCD_INSTRMECHMISC_SCHRS">#REF!</definedName>
    <definedName name="HCD_INSTRMISC_HRS">#REF!</definedName>
    <definedName name="HCD_INSTRMISC_LAB">#REF!</definedName>
    <definedName name="HCD_INSTRMISC_MAT">#REF!</definedName>
    <definedName name="HCD_INSTRMISC_QTY">#REF!</definedName>
    <definedName name="HCD_INSTRMISC_SC">#REF!</definedName>
    <definedName name="HCD_INSTRMISC_SCHRS">#REF!</definedName>
    <definedName name="HCD_INSTRMODSTND_HRS">#REF!</definedName>
    <definedName name="HCD_INSTRMODSTND_LAB">#REF!</definedName>
    <definedName name="HCD_INSTRMODSTND_MAT">#REF!</definedName>
    <definedName name="HCD_INSTRMODSTND_QTY">#REF!</definedName>
    <definedName name="HCD_INSTRMODSTND_SC">#REF!</definedName>
    <definedName name="HCD_INSTRMODSTND_SCHRS">#REF!</definedName>
    <definedName name="HCD_INSTRTUBE_HRS">#REF!</definedName>
    <definedName name="HCD_INSTRTUBE_LAB">#REF!</definedName>
    <definedName name="HCD_INSTRTUBE_MAT">#REF!</definedName>
    <definedName name="HCD_INSTRTUBE_QTY">#REF!</definedName>
    <definedName name="HCD_INSTRTUBE_SC">#REF!</definedName>
    <definedName name="HCD_INSTRTUBE_SCHRS">#REF!</definedName>
    <definedName name="HCD_INSTRVLVS_HRS">#REF!</definedName>
    <definedName name="HCD_INSTRVLVS_LAB">#REF!</definedName>
    <definedName name="HCD_INSTRVLVS_MAT">#REF!</definedName>
    <definedName name="HCD_INSTRVLVS_QTY">#REF!</definedName>
    <definedName name="HCD_INSTRVLVS_SC">#REF!</definedName>
    <definedName name="HCD_INSTRVLVS_SCHRS">#REF!</definedName>
    <definedName name="HCD_INSTRWRTAN_HRS">#REF!</definedName>
    <definedName name="HCD_INSTRWRTAN_LAB">#REF!</definedName>
    <definedName name="HCD_INSTRWRTAN_MAT">#REF!</definedName>
    <definedName name="HCD_INSTRWRTAN_QTY">#REF!</definedName>
    <definedName name="HCD_INSTRWRTAN_SC">#REF!</definedName>
    <definedName name="HCD_INSTRWRTAN_SCHRS">#REF!</definedName>
    <definedName name="HCD_LGTCBL_QTY">#REF!</definedName>
    <definedName name="HCD_LGTCOND_QTY">#REF!</definedName>
    <definedName name="HCD_LIGHTCOND_QTY">#REF!</definedName>
    <definedName name="HCD_MCC480_HRS">#REF!</definedName>
    <definedName name="HCD_MCC480_LAB">#REF!</definedName>
    <definedName name="HCD_MCC480_MAT">#REF!</definedName>
    <definedName name="HCD_MCC480_QTY">#REF!</definedName>
    <definedName name="HCD_MCC480_SC">#REF!</definedName>
    <definedName name="HCD_MCC480_SCHRS">#REF!</definedName>
    <definedName name="HCD_METCOND_HRS">#REF!</definedName>
    <definedName name="HCD_METCOND_LAB">#REF!</definedName>
    <definedName name="HCD_METCOND_MAT">#REF!</definedName>
    <definedName name="HCD_METCOND_QTY">#REF!</definedName>
    <definedName name="HCD_METCOND_SC">#REF!</definedName>
    <definedName name="HCD_METCOND_SCHRS">#REF!</definedName>
    <definedName name="HCD_METEMBCOND_HRS">#REF!</definedName>
    <definedName name="HCD_METEMBCOND_LAB">#REF!</definedName>
    <definedName name="HCD_METEMBCOND_MAT">#REF!</definedName>
    <definedName name="HCD_METEMBCOND_QTY">#REF!</definedName>
    <definedName name="HCD_METEMBCOND_SC">#REF!</definedName>
    <definedName name="HCD_METEMBCOND_SCHRS">#REF!</definedName>
    <definedName name="HCD_MISCPNLS_HRS">#REF!</definedName>
    <definedName name="HCD_MISCPNLS_LAB">#REF!</definedName>
    <definedName name="HCD_MISCPNLS_MAT">#REF!</definedName>
    <definedName name="HCD_MISCPNLS_QTY">#REF!</definedName>
    <definedName name="HCD_MISCPNLS_SC">#REF!</definedName>
    <definedName name="HCD_MISCPNLS_SCHRS">#REF!</definedName>
    <definedName name="HCD_NMETCOND_HRS">#REF!</definedName>
    <definedName name="HCD_NMETCOND_LAB">#REF!</definedName>
    <definedName name="HCD_NMETCOND_MAT">#REF!</definedName>
    <definedName name="HCD_NMETCOND_QTY">#REF!</definedName>
    <definedName name="HCD_NMETCOND_SC">#REF!</definedName>
    <definedName name="HCD_NMETCOND_SCHRS">#REF!</definedName>
    <definedName name="HCD_OTDRFIXT_QTY">#REF!</definedName>
    <definedName name="HCD_OTHEREQ_HRS">#REF!</definedName>
    <definedName name="HCD_OTHEREQ_LAB">#REF!</definedName>
    <definedName name="HCD_OTHEREQ_MAT">#REF!</definedName>
    <definedName name="HCD_OTHEREQ_QTY">#REF!</definedName>
    <definedName name="HCD_OTHEREQ_SC">#REF!</definedName>
    <definedName name="HCD_OTHEREQ_SCHRS">#REF!</definedName>
    <definedName name="HCD_PNLS_QTY">#REF!</definedName>
    <definedName name="HCD_POLEFIXT_QTY">#REF!</definedName>
    <definedName name="HCD_RACKTRAY_QTY">#REF!</definedName>
    <definedName name="HCD_RECEPT_QTY">#REF!</definedName>
    <definedName name="HCD_SCHCOND_HRS">#REF!</definedName>
    <definedName name="HCD_SCHCOND_LAB">#REF!</definedName>
    <definedName name="HCD_SCHCOND_MAT">#REF!</definedName>
    <definedName name="HCD_SCHCOND_SC">#REF!</definedName>
    <definedName name="HCD_SCHCOND_SCHRS">#REF!</definedName>
    <definedName name="HCD_SWGR_HRS">#REF!</definedName>
    <definedName name="HCD_SWGR_LAB">#REF!</definedName>
    <definedName name="HCD_SWGR_MAT">#REF!</definedName>
    <definedName name="HCD_SWGR_QTY">#REF!</definedName>
    <definedName name="HCD_SWGR_SC">#REF!</definedName>
    <definedName name="HCD_SWGR_SCHRS">#REF!</definedName>
    <definedName name="HCD_SWYD_HRS">#REF!</definedName>
    <definedName name="HCD_SWYD_LAB">#REF!</definedName>
    <definedName name="HCD_SWYD_MAT">#REF!</definedName>
    <definedName name="HCD_SWYD_QTY">#REF!</definedName>
    <definedName name="HCD_SWYD_SC">#REF!</definedName>
    <definedName name="HCD_SWYD_SCHRS">#REF!</definedName>
    <definedName name="HCD_TL_HRS">#REF!</definedName>
    <definedName name="HCD_TL_LAB">#REF!</definedName>
    <definedName name="HCD_TL_MAT">#REF!</definedName>
    <definedName name="HCD_TL_QTY">#REF!</definedName>
    <definedName name="HCD_TL_SC">#REF!</definedName>
    <definedName name="HCD_TL_SCHRS">#REF!</definedName>
    <definedName name="HCD_TRAY_HRS">#REF!</definedName>
    <definedName name="HCD_TRAY_LAB">#REF!</definedName>
    <definedName name="HCD_TRAY_MAT">#REF!</definedName>
    <definedName name="HCD_TRAY_QTY">#REF!</definedName>
    <definedName name="HCD_TRAY_SC">#REF!</definedName>
    <definedName name="HCD_TRAY_SCHRS">#REF!</definedName>
    <definedName name="HCD_UNSCHCBL_HRS">#REF!</definedName>
    <definedName name="HCD_UNSCHCBL_LAB">#REF!</definedName>
    <definedName name="HCD_UNSCHCBL_MAT">#REF!</definedName>
    <definedName name="HCD_UNSCHCBL_QTY">#REF!</definedName>
    <definedName name="HCD_UNSCHCBL_SC">#REF!</definedName>
    <definedName name="HCD_UNSCHCBL_SCHRS">#REF!</definedName>
    <definedName name="HCD_UNSCHCOND_HRS">#REF!</definedName>
    <definedName name="HCD_UNSCHCOND_LAB">#REF!</definedName>
    <definedName name="HCD_UNSCHCOND_MAT">#REF!</definedName>
    <definedName name="HCD_UNSCHCOND_QTY">#REF!</definedName>
    <definedName name="HCD_UNSCHCOND_SC">#REF!</definedName>
    <definedName name="HCD_UNSCHCOND_SCHRS">#REF!</definedName>
    <definedName name="HCD_XFMR_HRS">#REF!</definedName>
    <definedName name="HCD_XFMR_LAB">#REF!</definedName>
    <definedName name="HCD_XFMR_MAT">#REF!</definedName>
    <definedName name="HCD_XFMR_QTY">#REF!</definedName>
    <definedName name="HCD_XFMR_SC">#REF!</definedName>
    <definedName name="HCD_XFMR_SCHRS">#REF!</definedName>
    <definedName name="HCDNMETCOND_HRS">#REF!</definedName>
    <definedName name="HCDNMETCOND_LAB">#REF!</definedName>
    <definedName name="HCDNMETCOND_MAT">#REF!</definedName>
    <definedName name="HCDNMETCOND_SC">#REF!</definedName>
    <definedName name="hdfhdh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fhd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gh">#N/A</definedName>
    <definedName name="HEAD">#REF!</definedName>
    <definedName name="head_1">0</definedName>
    <definedName name="Head_ACR_1">#REF!</definedName>
    <definedName name="Head_PC_1">#REF!</definedName>
    <definedName name="Head_PQ_1">#REF!</definedName>
    <definedName name="Head_PS_1">#REF!</definedName>
    <definedName name="head1">#REF!</definedName>
    <definedName name="HEADA" localSheetId="1">#REF!</definedName>
    <definedName name="HEADA">#REF!</definedName>
    <definedName name="HEADC" localSheetId="1">#REF!</definedName>
    <definedName name="HEADC">#REF!</definedName>
    <definedName name="HEADD" localSheetId="1">#REF!</definedName>
    <definedName name="HEADD">#REF!</definedName>
    <definedName name="HEADE">#REF!</definedName>
    <definedName name="Header">#REF!</definedName>
    <definedName name="HEADER_INFO" localSheetId="1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eader_Row">ROW(#REF!)</definedName>
    <definedName name="Header1">#REF!</definedName>
    <definedName name="header2">#REF!</definedName>
    <definedName name="HEADERA" localSheetId="1">#REF!</definedName>
    <definedName name="HEADERA">#REF!</definedName>
    <definedName name="HEADERB" localSheetId="1">#REF!</definedName>
    <definedName name="HEADERB">#REF!</definedName>
    <definedName name="HEADERC" localSheetId="1">#REF!</definedName>
    <definedName name="HEADERC">#REF!</definedName>
    <definedName name="HEADERD">#REF!</definedName>
    <definedName name="HEADERE">#REF!</definedName>
    <definedName name="HEADERS">#REF!</definedName>
    <definedName name="HEADF">#REF!</definedName>
    <definedName name="Heading">#REF!</definedName>
    <definedName name="Headings">#REF!</definedName>
    <definedName name="Headings_16">#REF!</definedName>
    <definedName name="Headings_3">#REF!</definedName>
    <definedName name="Headings_4">#REF!</definedName>
    <definedName name="Headings_4_1">#REF!</definedName>
    <definedName name="Headings_6">#REF!</definedName>
    <definedName name="Headings_9">#REF!</definedName>
    <definedName name="HEADL" localSheetId="1">#REF!</definedName>
    <definedName name="HEADL">#REF!</definedName>
    <definedName name="HEADPS" localSheetId="1">#REF!</definedName>
    <definedName name="HEADPS">#REF!</definedName>
    <definedName name="HeadWall">#REF!</definedName>
    <definedName name="Health_type">#REF!</definedName>
    <definedName name="HEAT__SOURCE" localSheetId="1">#REF!</definedName>
    <definedName name="HEAT__SOURCE">#REF!</definedName>
    <definedName name="Heat_pumps">#REF!</definedName>
    <definedName name="HEAT_TRACE">#REF!</definedName>
    <definedName name="HEAT_TRACE_PROT">#REF!</definedName>
    <definedName name="HEATERS">#REF!</definedName>
    <definedName name="HEATING__VENTILATION___AIR_CONDITIONING">#REF!</definedName>
    <definedName name="Height">#REF!</definedName>
    <definedName name="HEIGHT__C1A__Standard_Guestroom">#REF!</definedName>
    <definedName name="HEIGHT__C1C__Junior_Suites">#REF!</definedName>
    <definedName name="HEIGHT__C1D__One_Bedroom_Suites">#REF!</definedName>
    <definedName name="HEIGHT__C1E__Two_bedroom_Suites">#REF!</definedName>
    <definedName name="HEIGHT__C1F1__Public_Circulation_Areas">#REF!</definedName>
    <definedName name="HEIGHT__C1G4__Shafts">#REF!</definedName>
    <definedName name="HEIGHT__C1G6__Fire_Escape_Stairs">#REF!</definedName>
    <definedName name="HEIGHT__C1H1__Standard_Guestrooms">#REF!</definedName>
    <definedName name="HEIGHT__C1H3__Junior_Suites">#REF!</definedName>
    <definedName name="HEIGHT__C1H4__One_Bedroom_Suites">#REF!</definedName>
    <definedName name="HEIGHT__C1H5__Two_Bedroom_Suites">#REF!</definedName>
    <definedName name="HEIGHT__C1H6__One_Bedroom_Suites_Type_2">#REF!</definedName>
    <definedName name="HEIGHT__C1I__General_Works_Guestrooms">#REF!</definedName>
    <definedName name="HEIGHT__C1J__One_Bedroom_Suites_Type_2">#REF!</definedName>
    <definedName name="HEIGHT__C2A2__Arrival_and_Reception_Lobby">#REF!</definedName>
    <definedName name="HEIGHT__C2A3__Front_Offices___Concierge">#REF!</definedName>
    <definedName name="HEIGHT__C2A4__Luggage_Scanner">#REF!</definedName>
    <definedName name="HEIGHT__C2A5__Hotel_Retail">#REF!</definedName>
    <definedName name="HEIGHT__C2A6__Prayer_Rooms">#REF!</definedName>
    <definedName name="HEIGHT__C2A7__Kids_Club">#REF!</definedName>
    <definedName name="HEIGHT__C2A8__Public_Toilets">#REF!</definedName>
    <definedName name="HEIGHT__C2A9__Changing_Rooms">#REF!</definedName>
    <definedName name="HEIGHT__C2C1__Hotel_Restaurant">#REF!</definedName>
    <definedName name="HEIGHT__C2C2__Lobby_Lounge">#REF!</definedName>
    <definedName name="HEIGHT__C2C3__Lobby_Bar">#REF!</definedName>
    <definedName name="HEIGHT__C2C4__Lobby_Bar___Covered_Terrace">#REF!</definedName>
    <definedName name="HEIGHT__C2C5__Speciality_Restaurant__1">#REF!</definedName>
    <definedName name="HEIGHT__C2C6__Speciality_Restaurant__2">#REF!</definedName>
    <definedName name="HEIGHT__C2C7__Speciality_Restaurant__2___Covered_Terrace">#REF!</definedName>
    <definedName name="HEIGHT__C2C8__Pool_Bar___Grill">#REF!</definedName>
    <definedName name="HEIGHT__C2D2__Gymnasium">#REF!</definedName>
    <definedName name="HEIGHT__C2G1__Circulation">#REF!</definedName>
    <definedName name="HEIGHT__C2G2__Outdoor_Lobby">#REF!</definedName>
    <definedName name="HEIGHT__C3A1__Front_Offices">#REF!</definedName>
    <definedName name="HEIGHT__C3A2__Administration_Offices">#REF!</definedName>
    <definedName name="HEIGHT__C3A3__Accounting_Offices">#REF!</definedName>
    <definedName name="HEIGHT__C3A4__Human_Resources_and_Training">#REF!</definedName>
    <definedName name="HEIGHT__C3B__IT_Department">#REF!</definedName>
    <definedName name="HEIGHT__C3C1__Kitchen___Main_Kitchen">#REF!</definedName>
    <definedName name="HEIGHT__C3C2__Kitchen___Speciality_Restaurant__1">#REF!</definedName>
    <definedName name="HEIGHT__C3C3__Kitchen___Speciality_Restaurant__2">#REF!</definedName>
    <definedName name="HEIGHT__C3C5__Pantry___Lobby_Bar">#REF!</definedName>
    <definedName name="HEIGHT__C3D__Housekeeping_and_Linen">#REF!</definedName>
    <definedName name="HEIGHT__C3E__Central_Laundry___Dry_Cleaning___Valet_Only">#REF!</definedName>
    <definedName name="HEIGHT__C3F5__Dining_Room_Seating">#REF!</definedName>
    <definedName name="HEIGHT__C3F8__Staff_Changing_Rooms">#REF!</definedName>
    <definedName name="HEIGHT__C3F9__Staff_Prayer_Rooms">#REF!</definedName>
    <definedName name="HEIGHT__C3G__Maintenance_and_Engineering">#REF!</definedName>
    <definedName name="HEIGHT__C3H1__Plant_and_Equipment_Rooms">#REF!</definedName>
    <definedName name="HEIGHT__C3H2__MEP_Shafts">#REF!</definedName>
    <definedName name="HEIGHT__C3J__Security">#REF!</definedName>
    <definedName name="HEIGHT__C3K__Purchasing__Goods_Receiving_and_Storage">#REF!</definedName>
    <definedName name="HEIGHT__C3L__BOH_Circulation_Areas">#REF!</definedName>
    <definedName name="HEIGHT__C4B__General_Works_Parking">#REF!</definedName>
    <definedName name="HEIGHT__C5__Unallocated_Rooms">#REF!</definedName>
    <definedName name="HEIGHT__G1__Conference_Centre">#REF!</definedName>
    <definedName name="HEIGHT__G1A__Conference_Hall">#REF!</definedName>
    <definedName name="HEIGHT__G1B__Reception">#REF!</definedName>
    <definedName name="HEIGHT__G1C__Meeting_Rooms">#REF!</definedName>
    <definedName name="HEIGHT__G2__Pre_function">#REF!</definedName>
    <definedName name="HEIGHT__G3__Toilets">#REF!</definedName>
    <definedName name="HEIGHT__G4__FOH_Circulation">#REF!</definedName>
    <definedName name="HEIGHT__G5__BOH_Circulation">#REF!</definedName>
    <definedName name="HEIGHT__G6__Fire_Escape_Stairs">#REF!</definedName>
    <definedName name="HEIGHT__G7__Plant_and_Equipment_Rooms">#REF!</definedName>
    <definedName name="HEIGHT__G8__Storage">#REF!</definedName>
    <definedName name="HEIGHT__G9__Kitchen_and_Service_Area">#REF!</definedName>
    <definedName name="Height_1">#REF!</definedName>
    <definedName name="HEIGHT_1_bed_Balcony_area">#REF!</definedName>
    <definedName name="HEIGHT_1_bed_bath_screen">#REF!</definedName>
    <definedName name="HEIGHT_1_bed_bath_shelf">#REF!</definedName>
    <definedName name="HEIGHT_1_bed_Bath_tub">#REF!</definedName>
    <definedName name="HEIGHT_1_bed_Bath_tub_mixer">#REF!</definedName>
    <definedName name="HEIGHT_1_bed_Bathroom_area">#REF!</definedName>
    <definedName name="HEIGHT_1_bed_Bedroom_area">#REF!</definedName>
    <definedName name="HEIGHT_1_bed_Cistern_cover">#REF!</definedName>
    <definedName name="HEIGHT_1_bed_Cooker_hob">#REF!</definedName>
    <definedName name="HEIGHT_1_bed_Fridge_freezer">#REF!</definedName>
    <definedName name="HEIGHT_1_bed_Kitchen_sink">#REF!</definedName>
    <definedName name="HEIGHT_1_bed_Kitchen_sink_mixer">#REF!</definedName>
    <definedName name="HEIGHT_1_bed_kitchen_units">#REF!</definedName>
    <definedName name="HEIGHT_1_bed_living_area">#REF!</definedName>
    <definedName name="HEIGHT_1_bed_mirror">#REF!</definedName>
    <definedName name="HEIGHT_1_bed_NIA">#REF!</definedName>
    <definedName name="HEIGHT_1_bed_Oven">#REF!</definedName>
    <definedName name="HEIGHT_1_bed_shower_mixer">#REF!</definedName>
    <definedName name="HEIGHT_1_bed_vanitys">#REF!</definedName>
    <definedName name="HEIGHT_1_bed_Wardrobes">#REF!</definedName>
    <definedName name="HEIGHT_1_bed_Wash_basin">#REF!</definedName>
    <definedName name="HEIGHT_1_bed_Wash_basin_mixer">#REF!</definedName>
    <definedName name="HEIGHT_1_bed_Washing_machine">#REF!</definedName>
    <definedName name="HEIGHT_1_bed_WC">#REF!</definedName>
    <definedName name="HEIGHT_110_mm_dia._RWP">#REF!</definedName>
    <definedName name="HEIGHT_110mm_dia_RWP">#REF!</definedName>
    <definedName name="HEIGHT_110mm_dia._opening_for_rain_water">#REF!</definedName>
    <definedName name="HEIGHT_110mm_dia._Rainwater_pipe">#REF!</definedName>
    <definedName name="HEIGHT_15mm_dia_Copper_pipe">#REF!</definedName>
    <definedName name="HEIGHT_15mm_dia._CWS_Buried_Underground">#REF!</definedName>
    <definedName name="HEIGHT_1F__25mm_dia._BCWS_Pipe">#REF!</definedName>
    <definedName name="HEIGHT_1F__25mm_dia._HWS_Pipe">#REF!</definedName>
    <definedName name="HEIGHT_1F__Isolation_valve">#REF!</definedName>
    <definedName name="HEIGHT_1F__Water_Hammer_Arrestor">#REF!</definedName>
    <definedName name="HEIGHT_1F_BOH_Service_and_Utility_area">#REF!</definedName>
    <definedName name="HEIGHT_1F_BOH_Staircase">#REF!</definedName>
    <definedName name="HEIGHT_1F_Guest_Core">#REF!</definedName>
    <definedName name="HEIGHT_1F_Guestrooms">#REF!</definedName>
    <definedName name="HEIGHT_1F_HGR_BOH">#REF!</definedName>
    <definedName name="HEIGHT_1F_HGR_Circulation">#REF!</definedName>
    <definedName name="HEIGHT_1F_HGR_Covered_Balcony">#REF!</definedName>
    <definedName name="HEIGHT_1F_HGR_Fire_Staircase">#REF!</definedName>
    <definedName name="HEIGHT_1F_HGR_Open_Terrace">#REF!</definedName>
    <definedName name="HEIGHT_1F_Lift_Shaft">#REF!</definedName>
    <definedName name="HEIGHT_1F_Roof_Terrace">#REF!</definedName>
    <definedName name="HEIGHT_1F_Services_Core">#REF!</definedName>
    <definedName name="HEIGHT_1F_Void___Dead_space">#REF!</definedName>
    <definedName name="HEIGHT_1st_Floor">#REF!</definedName>
    <definedName name="HEIGHT_1st_Floor___BOH___FIre_Escape_Stairs">#REF!</definedName>
    <definedName name="HEIGHT_1st_Floor___BOH___Guest_Core">#REF!</definedName>
    <definedName name="HEIGHT_1st_Floor___BOH___Guest_Core_lifts">#REF!</definedName>
    <definedName name="HEIGHT_1st_Floor___BOH___Service_Core">#REF!</definedName>
    <definedName name="HEIGHT_1st_Floor___BOH___Service_Core_ducts">#REF!</definedName>
    <definedName name="HEIGHT_1st_Floor___BOH___Service_Core_lift_shafts">#REF!</definedName>
    <definedName name="HEIGHT_1st_Floor___FOH___Guest_Circulation">#REF!</definedName>
    <definedName name="HEIGHT_1st_Floor___FOH___Guestroom_Terrace">#REF!</definedName>
    <definedName name="HEIGHT_1st_Floor___FOH___Guestrooms">#REF!</definedName>
    <definedName name="HEIGHT_1st_Floor___Guest_Core_ducts">#REF!</definedName>
    <definedName name="HEIGHT_2_bed_2nd_bathroom_area" localSheetId="1">#REF!</definedName>
    <definedName name="HEIGHT_2_bed_2nd_bathroom_area">#REF!</definedName>
    <definedName name="HEIGHT_2_bed_2nd_bedroom_area">#REF!</definedName>
    <definedName name="HEIGHT_2_bed_4_burner_hob">#REF!</definedName>
    <definedName name="HEIGHT_2_bed_Balcony_area">#REF!</definedName>
    <definedName name="HEIGHT_2_bed_bath_screen">#REF!</definedName>
    <definedName name="HEIGHT_2_bed_bath_tub">#REF!</definedName>
    <definedName name="HEIGHT_2_bed_bath_tub_mixer">#REF!</definedName>
    <definedName name="HEIGHT_2_bed_bidet">#REF!</definedName>
    <definedName name="HEIGHT_2_bed_cistern_cover">#REF!</definedName>
    <definedName name="HEIGHT_2_bed_fridge_freezer">#REF!</definedName>
    <definedName name="HEIGHT_2_bed_kitchen_sink">#REF!</definedName>
    <definedName name="HEIGHT_2_bed_kitchen_sink_mixer">#REF!</definedName>
    <definedName name="HEIGHT_2_bed_Kitchen_units">#REF!</definedName>
    <definedName name="HEIGHT_2_bed_living_area">#REF!</definedName>
    <definedName name="HEIGHT_2_bed_Master_bathroom_area">#REF!</definedName>
    <definedName name="HEIGHT_2_bed_Master_bedroom_area">#REF!</definedName>
    <definedName name="HEIGHT_2_bed_mirror">#REF!</definedName>
    <definedName name="HEIGHT_2_bed_NIA">#REF!</definedName>
    <definedName name="HEIGHT_2_bed_shower_mixer_set">#REF!</definedName>
    <definedName name="HEIGHT_2_bed_shower_partition_inc_door">#REF!</definedName>
    <definedName name="HEIGHT_2_bed_vanity_unit">#REF!</definedName>
    <definedName name="HEIGHT_2_bed_wardrobes">#REF!</definedName>
    <definedName name="HEIGHT_2_bed_wash_basin">#REF!</definedName>
    <definedName name="HEIGHT_2_bed_wash_basin_mixer">#REF!</definedName>
    <definedName name="HEIGHT_2_bed_washing_machine">#REF!</definedName>
    <definedName name="HEIGHT_2_bed_WC">#REF!</definedName>
    <definedName name="HEIGHT_2.2.1___Upper_Floors_240mm_thk_slab">#REF!</definedName>
    <definedName name="HEIGHT_2.2.1___Upper_Floors_300mm_thk_slab">#REF!</definedName>
    <definedName name="HEIGHT_2.3.1___Stairs__FF05_Steps_280mm">#REF!</definedName>
    <definedName name="HEIGHT_2.3.2___Stairs__FF05_Risers_170mm">#REF!</definedName>
    <definedName name="HEIGHT_2.3.3___Stairs__FF05_Skirting_100mm_high">#REF!</definedName>
    <definedName name="HEIGHT_2.3.4___Stairs__Balustrade___Fixed_to_floor">#REF!</definedName>
    <definedName name="HEIGHT_2.3.4___Stairs__Balustrade___Handrails_50mm_to_wall">#REF!</definedName>
    <definedName name="HEIGHT_2.3.4___Stairs__Balustrade___Sloping_Fixed_to_floor">#REF!</definedName>
    <definedName name="HEIGHT_2.4.1___Roof___Shuttering__Paint_incl_waterproofing_to_roof_canopies">#REF!</definedName>
    <definedName name="HEIGHT_2.4.1___Roof___Shuttering__Precast_cement_incl_waterproofing">#REF!</definedName>
    <definedName name="HEIGHT_2.4.1___Roof___Shuttering__Suspended_Reinforced_Concrete_Slab">#REF!</definedName>
    <definedName name="HEIGHT_2.4.2___Roof___Shuttering__Roof_Access_panel_750mmx900mm">#REF!</definedName>
    <definedName name="HEIGHT_20mm_dia_Bib_tap">#REF!</definedName>
    <definedName name="HEIGHT_20mm_dia_HSW_pipe">#REF!</definedName>
    <definedName name="HEIGHT_25mm_dia_BCWS_pipe">#REF!</definedName>
    <definedName name="HEIGHT_25mm_dia_HSW_pipe">#REF!</definedName>
    <definedName name="HEIGHT_2F_BOH_Roof_Terrace">#REF!</definedName>
    <definedName name="HEIGHT_2F_BOH_Service_and_Utility_area">#REF!</definedName>
    <definedName name="HEIGHT_2F_BOH_Staircase">#REF!</definedName>
    <definedName name="HEIGHT_2F_Guest_Core">#REF!</definedName>
    <definedName name="HEIGHT_2F_Guestrooms">#REF!</definedName>
    <definedName name="HEIGHT_2F_HGR_BOH">#REF!</definedName>
    <definedName name="HEIGHT_2F_HGR_Circulation">#REF!</definedName>
    <definedName name="HEIGHT_2F_HGR_Covered_Balcony">#REF!</definedName>
    <definedName name="HEIGHT_2F_HGR_Fire_Staircase">#REF!</definedName>
    <definedName name="HEIGHT_2F_Lift_Shaft">#REF!</definedName>
    <definedName name="HEIGHT_2F_Services_Core">#REF!</definedName>
    <definedName name="HEIGHT_2F_Voids___Dead_space">#REF!</definedName>
    <definedName name="HEIGHT_2nd_Floor">#REF!</definedName>
    <definedName name="HEIGHT_2nd_Floor___BOH___Event_Center_Core">#REF!</definedName>
    <definedName name="HEIGHT_2nd_Floor___BOH___Event_Center_Core_lift_shafts">#REF!</definedName>
    <definedName name="HEIGHT_2nd_Floor___BOH___Event_Center_Service">#REF!</definedName>
    <definedName name="HEIGHT_2nd_Floor___BOH___Event_Center_Service_lift_shafts">#REF!</definedName>
    <definedName name="HEIGHT_2nd_Floor___BOH___Fire_Escape_Stairs">#REF!</definedName>
    <definedName name="HEIGHT_2nd_Floor___BOH___Guest_Core">#REF!</definedName>
    <definedName name="HEIGHT_2nd_Floor___BOH___Guest_Core_ducts">#REF!</definedName>
    <definedName name="HEIGHT_2nd_Floor___BOH___Guest_Core_lift_shafts">#REF!</definedName>
    <definedName name="HEIGHT_2nd_Floor___BOH___Service_Core">#REF!</definedName>
    <definedName name="HEIGHT_2nd_Floor___BOH___Service_Core_ducts">#REF!</definedName>
    <definedName name="HEIGHT_2nd_Floor___BOH___Service_Core_lift_shafts">#REF!</definedName>
    <definedName name="HEIGHT_2nd_Floor___FOH___Guestroom_Circulation">#REF!</definedName>
    <definedName name="HEIGHT_2nd_Floor___FOH___Guestroom_Terrace">#REF!</definedName>
    <definedName name="HEIGHT_2nd_Floor___FOH___Guestrooms">#REF!</definedName>
    <definedName name="HEIGHT_3.1__External_Walls" localSheetId="1">#REF!</definedName>
    <definedName name="HEIGHT_3.1__External_Walls">#REF!</definedName>
    <definedName name="HEIGHT_3.1.1___BW2__150mm_thk">#REF!</definedName>
    <definedName name="HEIGHT_3.1.1___BW3__200mm_thk">#REF!</definedName>
    <definedName name="HEIGHT_3.1.1___BW4__250mm_thk">#REF!</definedName>
    <definedName name="HEIGHT_3.2.2___Timber__D_01___1600mmx2250mm" localSheetId="1">#REF!</definedName>
    <definedName name="HEIGHT_3.2.2___Timber__D_01___1600mmx2250mm">#REF!</definedName>
    <definedName name="HEIGHT_3.2.2___Timber__D_02___1000mmx2200mm" localSheetId="1">#REF!</definedName>
    <definedName name="HEIGHT_3.2.2___Timber__D_02___1000mmx2200mm">#REF!</definedName>
    <definedName name="HEIGHT_3.2.2___Timber__D_04___1100mmx2200mm">#REF!</definedName>
    <definedName name="HEIGHT_3.3.1___GL01___800mmx1350mm">#REF!</definedName>
    <definedName name="HEIGHT_3.3.1___GL02___2350mmx2600mm">#REF!</definedName>
    <definedName name="HEIGHT_3.3.1___GL03___2500mmx2600mm">#REF!</definedName>
    <definedName name="HEIGHT_3.3.1___GL04___2000mmx2600mm">#REF!</definedName>
    <definedName name="HEIGHT_3.3.1___GL05___2600mmx2700mm">#REF!</definedName>
    <definedName name="HEIGHT_3.3.1___GL06___3600mmx2700mm">#REF!</definedName>
    <definedName name="HEIGHT_3.3.1___GL07___1600mmx1350mm">#REF!</definedName>
    <definedName name="HEIGHT_3.3.1___GL08___800mmx1350mm">#REF!</definedName>
    <definedName name="HEIGHT_3.3.1___GL09___500mmx1200mm">#REF!</definedName>
    <definedName name="HEIGHT_3.3.1___GL10___3600mmx2700mm">#REF!</definedName>
    <definedName name="HEIGHT_3.3.1___GL11___2100mmx2700mm">#REF!</definedName>
    <definedName name="HEIGHT_3.3.1___GL12___1600mmx2700mm">#REF!</definedName>
    <definedName name="HEIGHT_3.3.1___GL13___1200mmx1800mm">#REF!</definedName>
    <definedName name="HEIGHT_3.3.1___GL14___1000mmx1500mm">#REF!</definedName>
    <definedName name="HEIGHT_3.3.1___GL15___5000mmx2700mm">#REF!</definedName>
    <definedName name="HEIGHT_3.3.1___GL16___1700mmx1350mm">#REF!</definedName>
    <definedName name="HEIGHT_3.3.1___GL17___600mmx1200mm">#REF!</definedName>
    <definedName name="HEIGHT_3.4.1___Cement_render_and_paint">#REF!</definedName>
    <definedName name="HEIGHT_3.4.2___50mmthk_Insulation">#REF!</definedName>
    <definedName name="HEIGHT_3.4.3___External_Soffits">#REF!</definedName>
    <definedName name="HEIGHT_3.4.5___Metal_railing_to_balcony">#REF!</definedName>
    <definedName name="HEIGHT_32_dia._CWS_Main_Buried_underground" localSheetId="1">#REF!</definedName>
    <definedName name="HEIGHT_32_dia._CWS_Main_Buried_underground">#REF!</definedName>
    <definedName name="HEIGHT_32mm_dia_BCWS">#REF!</definedName>
    <definedName name="HEIGHT_32mm_dia_BCWS_pipe">#REF!</definedName>
    <definedName name="HEIGHT_32mm_dia_BCWS_Riser">#REF!</definedName>
    <definedName name="HEIGHT_32mm_dia_HSW_pipe">#REF!</definedName>
    <definedName name="HEIGHT_32mm_dia_HSW_Riser">#REF!</definedName>
    <definedName name="HEIGHT_3F_BOH_Service___Utility_area">#REF!</definedName>
    <definedName name="HEIGHT_3F_BOH_Staircase">#REF!</definedName>
    <definedName name="HEIGHT_3F_Guest_Core">#REF!</definedName>
    <definedName name="HEIGHT_3F_Guestrooms">#REF!</definedName>
    <definedName name="HEIGHT_3F_HGR_BOH">#REF!</definedName>
    <definedName name="HEIGHT_3F_HGR_Circulation">#REF!</definedName>
    <definedName name="HEIGHT_3F_HGR_Covered_Balcony">#REF!</definedName>
    <definedName name="HEIGHT_3F_HGR_Fire_Staircase">#REF!</definedName>
    <definedName name="HEIGHT_3F_Lift_Shaft">#REF!</definedName>
    <definedName name="HEIGHT_3F_Services_Core">#REF!</definedName>
    <definedName name="HEIGHT_3F_Voids___Dead_space">#REF!</definedName>
    <definedName name="HEIGHT_3rd_Floor">#REF!</definedName>
    <definedName name="HEIGHT_3rd_Floor___BOH___Fire_Escape_Stairs">#REF!</definedName>
    <definedName name="HEIGHT_3rd_Floor___BOH___Guest_Core">#REF!</definedName>
    <definedName name="HEIGHT_3rd_Floor___BOH___Guest_Core_ducts">#REF!</definedName>
    <definedName name="HEIGHT_3rd_Floor___BOH___Guest_Core_lift_shafts">#REF!</definedName>
    <definedName name="HEIGHT_3rd_Floor___BOH___Service_Core">#REF!</definedName>
    <definedName name="HEIGHT_3rd_Floor___BOH___Service_Core_ducts">#REF!</definedName>
    <definedName name="HEIGHT_3rd_Floor___BOH___Service_Core_lift_shafts">#REF!</definedName>
    <definedName name="HEIGHT_3rd_Floor___FOH___Guest_Circulation">#REF!</definedName>
    <definedName name="HEIGHT_3rd_Floor___FOH___Guestroom_Terrace">#REF!</definedName>
    <definedName name="HEIGHT_3rd_Floor___FOH___Guestrooms">#REF!</definedName>
    <definedName name="HEIGHT_4.1.1___BW1__100mm_thk">#REF!</definedName>
    <definedName name="HEIGHT_4.1.1___BW2__150mm_thk">#REF!</definedName>
    <definedName name="HEIGHT_4.1.1___BW3__200mm_thk">#REF!</definedName>
    <definedName name="HEIGHT_4.1.2___Allow_for_joint_sealant">#REF!</definedName>
    <definedName name="HEIGHT_4.2.1___D_02__1000mm_x_2200mm">#REF!</definedName>
    <definedName name="HEIGHT_4.2.1___D_03__900mm_x_2200mm">#REF!</definedName>
    <definedName name="HEIGHT_4.2.1___D_04">#REF!</definedName>
    <definedName name="HEIGHT_4.2.2___Utility_Cupboard">#REF!</definedName>
    <definedName name="HEIGHT_4F_BOH_Service___Utility_area" localSheetId="1">#REF!</definedName>
    <definedName name="HEIGHT_4F_BOH_Service___Utility_area">#REF!</definedName>
    <definedName name="HEIGHT_4F_BOH_Staircase" localSheetId="1">#REF!</definedName>
    <definedName name="HEIGHT_4F_BOH_Staircase">#REF!</definedName>
    <definedName name="HEIGHT_4F_Guest_Core" localSheetId="1">#REF!</definedName>
    <definedName name="HEIGHT_4F_Guest_Core">#REF!</definedName>
    <definedName name="HEIGHT_4F_Guestrooms">#REF!</definedName>
    <definedName name="HEIGHT_4F_HGR_BOH">#REF!</definedName>
    <definedName name="HEIGHT_4F_HGR_Circulation">#REF!</definedName>
    <definedName name="HEIGHT_4F_HGR_Covered_Balcony">#REF!</definedName>
    <definedName name="HEIGHT_4F_HGR_Fire_Staircase">#REF!</definedName>
    <definedName name="HEIGHT_4F_Lift_Shaft">#REF!</definedName>
    <definedName name="HEIGHT_4F_Services_Core">#REF!</definedName>
    <definedName name="HEIGHT_4F_Voids___Dead_space">#REF!</definedName>
    <definedName name="HEIGHT_4th_Floor___BOH___Fire_Escape_Stairs">#REF!</definedName>
    <definedName name="HEIGHT_4th_Floor___BOH___Guest_Core">#REF!</definedName>
    <definedName name="HEIGHT_4th_Floor___BOH___Guest_Core_ducts">#REF!</definedName>
    <definedName name="HEIGHT_4th_Floor___BOH___Guest_Core_lift_shafts">#REF!</definedName>
    <definedName name="HEIGHT_4th_Floor___BOH___Service_Core">#REF!</definedName>
    <definedName name="HEIGHT_4th_Floor___BOH___Service_Core_ducts">#REF!</definedName>
    <definedName name="HEIGHT_4th_Floor___BOH___Service_Core_lift_shafts">#REF!</definedName>
    <definedName name="HEIGHT_4th_Floor___FOH___Guestroom_Circulation">#REF!</definedName>
    <definedName name="HEIGHT_4th_Floor___FOH___Guestroom_Terrace">#REF!</definedName>
    <definedName name="HEIGHT_4th_Floor___FOH___Guestrooms">#REF!</definedName>
    <definedName name="HEIGHT_4th_Floor___FOH___Roof_Top_Pantry">#REF!</definedName>
    <definedName name="HEIGHT_4th_Floor___FOH___Roof_Top_Restaurant">#REF!</definedName>
    <definedName name="HEIGHT_4th_Floor___FOH___Roof_Top_Toilets">#REF!</definedName>
    <definedName name="HEIGHT_4th_Floor___Roof_Top_Restaurant_open_terrace">#REF!</definedName>
    <definedName name="HEIGHT_5.1.2___Paint_to_walls__PF03">#REF!</definedName>
    <definedName name="HEIGHT_5.1.2___Paint_to_walls__PF04">#REF!</definedName>
    <definedName name="HEIGHT_5.1.3___Ceramic_Tiles_to_walls__WF01">#REF!</definedName>
    <definedName name="HEIGHT_5.1.3___Ceramic_Tiles_to_walls__WF03">#REF!</definedName>
    <definedName name="HEIGHT_5.1.3___Ceramic_Tiles_to_walls__WF05">#REF!</definedName>
    <definedName name="HEIGHT_5.1.3___Ceramic_Tiles_to_walls__WF07">#REF!</definedName>
    <definedName name="HEIGHT_5.1.4___Waterproofing_to_wet_areas">#REF!</definedName>
    <definedName name="HEIGHT_5.2.2___FF01__Porcelian_Tiles">#REF!</definedName>
    <definedName name="HEIGHT_5.2.2___FF01__Porcelian_Tiles_Skirting">#REF!</definedName>
    <definedName name="HEIGHT_5.2.3___FF03__Ceramic_Tiles">#REF!</definedName>
    <definedName name="HEIGHT_5.2.3___FF03__Ceramic_Tiles____Balconies">#REF!</definedName>
    <definedName name="HEIGHT_5.2.3___FF03__Ceramic_Tiles____Waterproofing_to_wet_areas">#REF!</definedName>
    <definedName name="HEIGHT_5.2.3___FF03__Ceramic_Tiles_Skirting">#REF!</definedName>
    <definedName name="HEIGHT_5.2.4___Threshold_Allowance_100mm_200mm_thk">#REF!</definedName>
    <definedName name="HEIGHT_5.3.1___PF01__Gypsum_Board">#REF!</definedName>
    <definedName name="HEIGHT_5.3.1___PF01__Slab_Soffits">#REF!</definedName>
    <definedName name="HEIGHT_5.3.1___PF03__Gypsum_Board">#REF!</definedName>
    <definedName name="HEIGHT_5.3.2___Bulkheads">#REF!</definedName>
    <definedName name="HEIGHT_50mm_dia_WP">#REF!</definedName>
    <definedName name="HEIGHT_50mm_dia._Balcony_Drain" localSheetId="1">#REF!</definedName>
    <definedName name="HEIGHT_50mm_dia._Balcony_Drain">#REF!</definedName>
    <definedName name="HEIGHT_5A_CEILING">#REF!</definedName>
    <definedName name="HEIGHT_5A_FS01">#REF!</definedName>
    <definedName name="HEIGHT_5A_FS02">#REF!</definedName>
    <definedName name="HEIGHT_5A_FS02_2F">#REF!</definedName>
    <definedName name="HEIGHT_5A_FS03">#REF!</definedName>
    <definedName name="HEIGHT_5A_FS03_AREA">#REF!</definedName>
    <definedName name="HEIGHT_5A_FS03_GRILL">#REF!</definedName>
    <definedName name="HEIGHT_5A_FS04">#REF!</definedName>
    <definedName name="HEIGHT_5A_FS04_1F">#REF!</definedName>
    <definedName name="HEIGHT_5A_FS04_2F">#REF!</definedName>
    <definedName name="HEIGHT_5A_FS05">#REF!</definedName>
    <definedName name="HEIGHT_5A_FS05_RF">#REF!</definedName>
    <definedName name="HEIGHT_5A_FS07">#REF!</definedName>
    <definedName name="HEIGHT_5A_FS08">#REF!</definedName>
    <definedName name="HEIGHT_5A_FS08_RF">#REF!</definedName>
    <definedName name="HEIGHT_5A_FS12_1F">#REF!</definedName>
    <definedName name="HEIGHT_5A_FS15_2F">#REF!</definedName>
    <definedName name="HEIGHT_5A_FS16">#REF!</definedName>
    <definedName name="HEIGHT_5B_FS01">#REF!</definedName>
    <definedName name="HEIGHT_5B_FS02_1F">#REF!</definedName>
    <definedName name="HEIGHT_5B_FS02_RF">#REF!</definedName>
    <definedName name="HEIGHT_5B_FS03">#REF!</definedName>
    <definedName name="HEIGHT_5B_FS03_AREA">#REF!</definedName>
    <definedName name="HEIGHT_5B_FS03_GRILL">#REF!</definedName>
    <definedName name="HEIGHT_5B_FS03_RF">#REF!</definedName>
    <definedName name="HEIGHT_5B_FS04_1F">#REF!</definedName>
    <definedName name="HEIGHT_5B_FS04_2F">#REF!</definedName>
    <definedName name="HEIGHT_5B_FS04_RF">#REF!</definedName>
    <definedName name="HEIGHT_5B_FS05">#REF!</definedName>
    <definedName name="HEIGHT_5B_FS05_GARDEN">#REF!</definedName>
    <definedName name="HEIGHT_5B_FS05_PARAPET">#REF!</definedName>
    <definedName name="HEIGHT_5B_FS06">#REF!</definedName>
    <definedName name="HEIGHT_5B_FS07_1F">#REF!</definedName>
    <definedName name="HEIGHT_5B_FS08_RF">#REF!</definedName>
    <definedName name="HEIGHT_5B_FS11_1F">#REF!</definedName>
    <definedName name="HEIGHT_5B_FS11_2F">#REF!</definedName>
    <definedName name="HEIGHT_5B_FS12_2F">#REF!</definedName>
    <definedName name="HEIGHT_5B_FS15_1F">#REF!</definedName>
    <definedName name="HEIGHT_5B_FS15_2F">#REF!</definedName>
    <definedName name="HEIGHT_5B_FS15_RF">#REF!</definedName>
    <definedName name="HEIGHT_5B_FS16">#REF!</definedName>
    <definedName name="HEIGHT_5B_LOUVRE">#REF!</definedName>
    <definedName name="HEIGHT_5B_PARAPET_COPING">#REF!</definedName>
    <definedName name="HEIGHT_5C_FS01">#REF!</definedName>
    <definedName name="HEIGHT_5C_FS02">#REF!</definedName>
    <definedName name="HEIGHT_5C_FS02_1F">#REF!</definedName>
    <definedName name="HEIGHT_5C_FS02_COPING">#REF!</definedName>
    <definedName name="HEIGHT_5C_FS03">#REF!</definedName>
    <definedName name="HEIGHT_5C_FS03_GRILL">#REF!</definedName>
    <definedName name="HEIGHT_5C_FS05_RF">#REF!</definedName>
    <definedName name="HEIGHT_5C_FS07_RF">#REF!</definedName>
    <definedName name="HEIGHT_5C_FS08_1F">#REF!</definedName>
    <definedName name="HEIGHT_5C_FS08_RF">#REF!</definedName>
    <definedName name="HEIGHT_5C_FS16">#REF!</definedName>
    <definedName name="HEIGHT_5C_LINK_BRIDGE">#REF!</definedName>
    <definedName name="HEIGHT_5F_BOH_Circulation">#REF!</definedName>
    <definedName name="HEIGHT_5F_BOH_Service___Utility_area">#REF!</definedName>
    <definedName name="HEIGHT_5F_BOH_Staircase">#REF!</definedName>
    <definedName name="HEIGHT_5F_Lift_Shaft">#REF!</definedName>
    <definedName name="HEIGHT_5F_MEP">#REF!</definedName>
    <definedName name="HEIGHT_5F_Services_Core">#REF!</definedName>
    <definedName name="HEIGHT_5F_Voids___Dead_area">#REF!</definedName>
    <definedName name="HEIGHT_6.1.1___U_Shaped_Base_Cabinet___3400___2250___2300_x_700_x_900">#REF!</definedName>
    <definedName name="HEIGHT_6.1.2___Kitchen_Wall_Cabinet_____600_x340_x_830">#REF!</definedName>
    <definedName name="HEIGHT_6.1.2___Kitchen_Wall_Cabinet_____650_x340_x_830">#REF!</definedName>
    <definedName name="HEIGHT_6.1.2___Kitchen_Wall_Cabinet_____850_x340_x_830">#REF!</definedName>
    <definedName name="HEIGHT_6.1.2___Kitchen_Wall_Cabinet_____900_x340_x_400">#REF!</definedName>
    <definedName name="HEIGHT_6.1.3___Cooker_Hood__4_series">#REF!</definedName>
    <definedName name="HEIGHT_6.2.1___Wardrobe__1000mm_x_600mm__walkin_">#REF!</definedName>
    <definedName name="HEIGHT_6.2.1___Wardrobe__2000mm_x_600mm__Bed3_">#REF!</definedName>
    <definedName name="HEIGHT_6.2.1___Wardrobe__2200mm_x_600mm__Bed2_">#REF!</definedName>
    <definedName name="HEIGHT_6.2.1___Wardrobe_L_shape__2500mm___2300mm_x_600mm__walkin_">#REF!</definedName>
    <definedName name="HEIGHT_6.3.1___Base_Cabinet__1000mm_x_600mm_x_900mm">#REF!</definedName>
    <definedName name="HEIGHT_6.3.1___Base_Cabinet__1800mm_x_600mm_x_900m">#REF!</definedName>
    <definedName name="HEIGHT_6.3.1___Base_Cabinet__1900mm_x_600mm_x_900m">#REF!</definedName>
    <definedName name="HEIGHT_82mm_dia_Vent_pipe_1F" localSheetId="1">#REF!</definedName>
    <definedName name="HEIGHT_82mm_dia_Vent_pipe_1F">#REF!</definedName>
    <definedName name="HEIGHT_82mm_dia_Vent_pipe_GF">#REF!</definedName>
    <definedName name="HEIGHT_AM_Beams">#REF!</definedName>
    <definedName name="HEIGHT_AM_Slab_1200">#REF!</definedName>
    <definedName name="HEIGHT_AM_Slab_300">#REF!</definedName>
    <definedName name="HEIGHT_Assume_Roof">#REF!</definedName>
    <definedName name="HEIGHT_Assumed_Stair_Roof">#REF!</definedName>
    <definedName name="HEIGHT_B1">#REF!</definedName>
    <definedName name="HEIGHT_B1___BOH____Loading_Unloading">#REF!</definedName>
    <definedName name="HEIGHT_B1___BOH____Service_Corridor">#REF!</definedName>
    <definedName name="HEIGHT_B1___BOH___Bulk_Storage">#REF!</definedName>
    <definedName name="HEIGHT_B1___BOH___Event_Center_Core">#REF!</definedName>
    <definedName name="HEIGHT_B1___BOH___Event_Center_Core_lift_shafts">#REF!</definedName>
    <definedName name="HEIGHT_B1___BOH___Event_Center_Kitchen">#REF!</definedName>
    <definedName name="HEIGHT_B1___BOH___Event_Center_Service">#REF!</definedName>
    <definedName name="HEIGHT_B1___BOH___Fire_Escape_Stairs">#REF!</definedName>
    <definedName name="HEIGHT_B1___BOH___Food___Beverage_Dept">#REF!</definedName>
    <definedName name="HEIGHT_B1___BOH___General_Areas">#REF!</definedName>
    <definedName name="HEIGHT_B1___BOH___Guest_Core">#REF!</definedName>
    <definedName name="HEIGHT_B1___BOH___Guest_Core_ducts">#REF!</definedName>
    <definedName name="HEIGHT_B1___BOH___Guest_Core_lift_shafts">#REF!</definedName>
    <definedName name="HEIGHT_B1___BOH___Human_Resources">#REF!</definedName>
    <definedName name="HEIGHT_B1___BOH___Main_Kitchen">#REF!</definedName>
    <definedName name="HEIGHT_B1___BOH___Pool_Bar___Grill_Pantry">#REF!</definedName>
    <definedName name="HEIGHT_B1___BOH___Ramp__B1___GF_">#REF!</definedName>
    <definedName name="HEIGHT_B1___BOH___Ramp_B1_to_B2__loading_unloading_">#REF!</definedName>
    <definedName name="HEIGHT_B1___BOH___Receiving___Purchasing">#REF!</definedName>
    <definedName name="HEIGHT_B1___BOH___Service_Core">#REF!</definedName>
    <definedName name="HEIGHT_B1___BOH___Service_Core_ducts">#REF!</definedName>
    <definedName name="HEIGHT_B1___BOH___Service_Core_lift_shaft">#REF!</definedName>
    <definedName name="HEIGHT_B1___BOH___Service_Corridor">#REF!</definedName>
    <definedName name="HEIGHT_B1___BOH___Speciality_Restaurant_01_Pantry">#REF!</definedName>
    <definedName name="HEIGHT_B1___BOH___Staff_Core">#REF!</definedName>
    <definedName name="HEIGHT_B1___BOH___Staff_Core_lift_shafts">#REF!</definedName>
    <definedName name="HEIGHT_B1___BOH___Staff_Facilities">#REF!</definedName>
    <definedName name="HEIGHT_B1___BOH___Waste_Management">#REF!</definedName>
    <definedName name="HEIGHT_B1___Double_Volume_internal_Plant_RM">#REF!</definedName>
    <definedName name="HEIGHT_B1___FOH____Day_Care_Center">#REF!</definedName>
    <definedName name="HEIGHT_B1___FOH___All_Day_Dining">#REF!</definedName>
    <definedName name="HEIGHT_B1___FOH___Circulation">#REF!</definedName>
    <definedName name="HEIGHT_B1___FOH___Day_Care_Center_Terrace">#REF!</definedName>
    <definedName name="HEIGHT_B1___FOH___Guest_Circulation">#REF!</definedName>
    <definedName name="HEIGHT_B1___FOH___Guestroom_Terrace">#REF!</definedName>
    <definedName name="HEIGHT_B1___FOH___Guestrooms">#REF!</definedName>
    <definedName name="HEIGHT_B1___FOH___Gym">#REF!</definedName>
    <definedName name="HEIGHT_B1___FOH___Pool_Bar___Grill">#REF!</definedName>
    <definedName name="HEIGHT_B1___FOH___Pool_Bar___Grill_Terrace">#REF!</definedName>
    <definedName name="HEIGHT_B1___FOH___Spa">#REF!</definedName>
    <definedName name="HEIGHT_B1___FOH___Speciality_Restauarant_02_Toilets">#REF!</definedName>
    <definedName name="HEIGHT_B1___FOH___Speciality_Restaurant_01">#REF!</definedName>
    <definedName name="HEIGHT_B1___FOH___Speciality_Restaurant_02">#REF!</definedName>
    <definedName name="HEIGHT_B1___FOH___Speciality_Restaurant_02_Terrace__covered_terrace_area_">#REF!</definedName>
    <definedName name="HEIGHT_B1___FOH___Speciality_Restaurant_02_Terrace__open_terrace_area_">#REF!</definedName>
    <definedName name="HEIGHT_B1___Parking">#REF!</definedName>
    <definedName name="HEIGHT_B1__BOH_">#REF!</definedName>
    <definedName name="HEIGHT_B1__Car_Park_">#REF!</definedName>
    <definedName name="HEIGHT_B1__Column_C1">#REF!</definedName>
    <definedName name="HEIGHT_B1__Column_C10">#REF!</definedName>
    <definedName name="HEIGHT_B1__Column_C11">#REF!</definedName>
    <definedName name="HEIGHT_B1__Column_C12">#REF!</definedName>
    <definedName name="HEIGHT_B1__Column_C2">#REF!</definedName>
    <definedName name="HEIGHT_B1__Column_C3">#REF!</definedName>
    <definedName name="HEIGHT_B1__Column_C4">#REF!</definedName>
    <definedName name="HEIGHT_B1__Column_C5">#REF!</definedName>
    <definedName name="HEIGHT_B1__Column_C6">#REF!</definedName>
    <definedName name="HEIGHT_B1__Column_C7">#REF!</definedName>
    <definedName name="HEIGHT_B1__Column_C8">#REF!</definedName>
    <definedName name="HEIGHT_B1__Column_C9">#REF!</definedName>
    <definedName name="HEIGHT_B1__Column_TC1">#REF!</definedName>
    <definedName name="HEIGHT_B1__Column_TC2">#REF!</definedName>
    <definedName name="HEIGHT_B1__Column_TC3">#REF!</definedName>
    <definedName name="HEIGHT_B1__Column_TC4">#REF!</definedName>
    <definedName name="HEIGHT_B1__Column_TC5">#REF!</definedName>
    <definedName name="HEIGHT_B1__FOH_circulation_">#REF!</definedName>
    <definedName name="HEIGHT_B1__GIFA_">#REF!</definedName>
    <definedName name="HEIGHT_B1__RW1_400">#REF!</definedName>
    <definedName name="HEIGHT_B1__RW2_600">#REF!</definedName>
    <definedName name="HEIGHT_B1__Stairs_">#REF!</definedName>
    <definedName name="HEIGHT_B1__TW1_250">#REF!</definedName>
    <definedName name="HEIGHT_B1__TW2_200">#REF!</definedName>
    <definedName name="HEIGHT_B1__TW3_300">#REF!</definedName>
    <definedName name="HEIGHT_B1__TW3_400">#REF!</definedName>
    <definedName name="HEIGHT_B1__TW4_500">#REF!</definedName>
    <definedName name="HEIGHT_B1__TW4_500_Door_Overhead">#REF!</definedName>
    <definedName name="HEIGHT_B1__TW4_600">#REF!</definedName>
    <definedName name="HEIGHT_B1__voids_">#REF!</definedName>
    <definedName name="HEIGHT_B1__W1__300">#REF!</definedName>
    <definedName name="HEIGHT_B1__W1_300_Door_Overhead">#REF!</definedName>
    <definedName name="HEIGHT_B1_Beams">#REF!</definedName>
    <definedName name="HEIGHT_B1_BOH">#REF!</definedName>
    <definedName name="HEIGHT_B1_BOH_Area" localSheetId="1">#REF!</definedName>
    <definedName name="HEIGHT_B1_BOH_Area">#REF!</definedName>
    <definedName name="HEIGHT_B1_BOH_Service___Utility_area" localSheetId="1">#REF!</definedName>
    <definedName name="HEIGHT_B1_BOH_Service___Utility_area">#REF!</definedName>
    <definedName name="HEIGHT_B1_Car_Park" localSheetId="1">#REF!</definedName>
    <definedName name="HEIGHT_B1_Car_Park">#REF!</definedName>
    <definedName name="HEIGHT_B1_Double_Internal_Doors__BOH_" localSheetId="1">#REF!</definedName>
    <definedName name="HEIGHT_B1_Double_Internal_Doors__BOH_">#REF!</definedName>
    <definedName name="HEIGHT_B1_Double_Internal_Doors__FOH_">#REF!</definedName>
    <definedName name="HEIGHT_B1_Double_Volume_area" localSheetId="1">#REF!</definedName>
    <definedName name="HEIGHT_B1_Double_Volume_area">#REF!</definedName>
    <definedName name="HEIGHT_B1_Executive_Club" localSheetId="1">#REF!</definedName>
    <definedName name="HEIGHT_B1_Executive_Club">#REF!</definedName>
    <definedName name="HEIGHT_B1_FOH_Circulation" localSheetId="1">#REF!</definedName>
    <definedName name="HEIGHT_B1_FOH_Circulation">#REF!</definedName>
    <definedName name="HEIGHT_B1_FOH_Circulation_area" localSheetId="1">#REF!</definedName>
    <definedName name="HEIGHT_B1_FOH_Circulation_area">#REF!</definedName>
    <definedName name="HEIGHT_B1_FOH_Lobby" localSheetId="1">#REF!</definedName>
    <definedName name="HEIGHT_B1_FOH_Lobby">#REF!</definedName>
    <definedName name="HEIGHT_B1_GIFA" localSheetId="1">#REF!</definedName>
    <definedName name="HEIGHT_B1_GIFA">#REF!</definedName>
    <definedName name="HEIGHT_B1_Guest_Core" localSheetId="1">#REF!</definedName>
    <definedName name="HEIGHT_B1_Guest_Core">#REF!</definedName>
    <definedName name="HEIGHT_B1_Gym" localSheetId="1">#REF!</definedName>
    <definedName name="HEIGHT_B1_Gym">#REF!</definedName>
    <definedName name="HEIGHT_B1_Gym_Toilets" localSheetId="1">#REF!</definedName>
    <definedName name="HEIGHT_B1_Gym_Toilets">#REF!</definedName>
    <definedName name="HEIGHT_B1_Internal_Double_doors__BOH_">#REF!</definedName>
    <definedName name="HEIGHT_B1_Internal_Double_doors__FOH_">#REF!</definedName>
    <definedName name="HEIGHT_B1_Internal_Single_doors__BOH_">#REF!</definedName>
    <definedName name="HEIGHT_B1_Kids_Area">#REF!</definedName>
    <definedName name="HEIGHT_B1_Kitchen">#REF!</definedName>
    <definedName name="HEIGHT_B1_Lift_Shaft">#REF!</definedName>
    <definedName name="HEIGHT_B1_Main_Restaurant">#REF!</definedName>
    <definedName name="HEIGHT_B1_MEP_Area">#REF!</definedName>
    <definedName name="HEIGHT_B1_Mezz">#REF!</definedName>
    <definedName name="HEIGHT_B1_Mezzanine___BOH___Event_Center_Admin">#REF!</definedName>
    <definedName name="HEIGHT_B1_Mezzanine___BOH___Event_Center_Core">#REF!</definedName>
    <definedName name="HEIGHT_B1_Mezzanine___BOH___Event_Center_Valet">#REF!</definedName>
    <definedName name="HEIGHT_B1_Mezzanine___BOH___Event_Service_Core_lift_shafts">#REF!</definedName>
    <definedName name="HEIGHT_B1_Mezzanine___BOH___Fire_Escape_Stairs">#REF!</definedName>
    <definedName name="HEIGHT_B1_Mezzanine___BOH___General_Areas">#REF!</definedName>
    <definedName name="HEIGHT_B1_Mezzanine___BOH___Guest_Core">#REF!</definedName>
    <definedName name="HEIGHT_B1_Mezzanine___BOH___Guest_Core_ducts">#REF!</definedName>
    <definedName name="HEIGHT_B1_Mezzanine___BOH___Guest_Core_lift_shafts">#REF!</definedName>
    <definedName name="HEIGHT_B1_Mezzanine___BOH___RMU">#REF!</definedName>
    <definedName name="HEIGHT_B1_Mezzanine___BOH___Service_Core">#REF!</definedName>
    <definedName name="HEIGHT_B1_Mezzanine___BOH___Service_Core_ducts">#REF!</definedName>
    <definedName name="HEIGHT_B1_Mezzanine___BOH___Service_Core_lift_shafts">#REF!</definedName>
    <definedName name="HEIGHT_B1_Mezzanine___Double_Volume__left_wing_">#REF!</definedName>
    <definedName name="HEIGHT_B1_Mezzanine___Double_Volume__left_wing_stairs___">#REF!</definedName>
    <definedName name="HEIGHT_B1_Mezzanine___Double_Volume__main_hotel___">#REF!</definedName>
    <definedName name="HEIGHT_B1_Mezzanine___Double_Volume__right_wing_">#REF!</definedName>
    <definedName name="HEIGHT_B1_Mezzanine___Double_Volume__right_wing_stairs___">#REF!</definedName>
    <definedName name="HEIGHT_B1_Mezzanine___Double_Volume__Speciality_Restaurant___">#REF!</definedName>
    <definedName name="HEIGHT_B1_Mezzanine___FOH___Business_Center">#REF!</definedName>
    <definedName name="HEIGHT_B1_Mezzanine___FOH___Circulation">#REF!</definedName>
    <definedName name="HEIGHT_B1_Mezzanine___FOH___Event_Center_Core_lift_shafts">#REF!</definedName>
    <definedName name="HEIGHT_B1_Mezzanine___FOH___Event_Center_Port_Corchere">#REF!</definedName>
    <definedName name="HEIGHT_B1_Mezzanine___FOH___Event_Center_Reception">#REF!</definedName>
    <definedName name="HEIGHT_B1_Mezzanine___FOH___Event_Center_Wind_Lobby">#REF!</definedName>
    <definedName name="HEIGHT_B1_Mezzanine___FOH___Guestroom_Terrace">#REF!</definedName>
    <definedName name="HEIGHT_B1_Mezzanine___FOH___Guestrooms">#REF!</definedName>
    <definedName name="HEIGHT_B1_Mezzanine___FOH___Meeting_Prefunction">#REF!</definedName>
    <definedName name="HEIGHT_B1_Mezzanine___FOH___Meeting_Rooms">#REF!</definedName>
    <definedName name="HEIGHT_B1_Mezzanine___FOH___Meeting_Rooms_Pantry">#REF!</definedName>
    <definedName name="HEIGHT_B1_Mezzanine___FOH___Meeting_Rooms_Terrace">#REF!</definedName>
    <definedName name="HEIGHT_B1_Mezzanine___FOH___Meeting_Rooms_Toilet">#REF!</definedName>
    <definedName name="HEIGHT_B1_Mezzanine___FOH___Retail">#REF!</definedName>
    <definedName name="HEIGHT_B1_Parking_area">#REF!</definedName>
    <definedName name="HEIGHT_B1_Public_Toilets">#REF!</definedName>
    <definedName name="HEIGHT_B1_Ramp">#REF!</definedName>
    <definedName name="HEIGHT_B1_Service_Lift_Lobby">#REF!</definedName>
    <definedName name="HEIGHT_B1_Services_Core">#REF!</definedName>
    <definedName name="HEIGHT_B1_Single_Internal_Doors__BOH_">#REF!</definedName>
    <definedName name="HEIGHT_B1_Slab_200" localSheetId="1">#REF!</definedName>
    <definedName name="HEIGHT_B1_Slab_200">#REF!</definedName>
    <definedName name="HEIGHT_B1_Slab_220">#REF!</definedName>
    <definedName name="HEIGHT_B1_Slab_240">#REF!</definedName>
    <definedName name="HEIGHT_B1_Slab_260">#REF!</definedName>
    <definedName name="HEIGHT_B1_Spa">#REF!</definedName>
    <definedName name="HEIGHT_B1_Speciality_Kitchen">#REF!</definedName>
    <definedName name="HEIGHT_B1_Speciality_Restaurant">#REF!</definedName>
    <definedName name="HEIGHT_B1_Staicase_Lobby">#REF!</definedName>
    <definedName name="HEIGHT_B1_Staircase">#REF!</definedName>
    <definedName name="HEIGHT_B1_Stairs">#REF!</definedName>
    <definedName name="HEIGHT_B1_Voids" localSheetId="1">#REF!</definedName>
    <definedName name="HEIGHT_B1_Voids">#REF!</definedName>
    <definedName name="HEIGHT_B2" localSheetId="1">#REF!</definedName>
    <definedName name="HEIGHT_B2">#REF!</definedName>
    <definedName name="HEIGHT_B2___BOH____Tank" localSheetId="1">#REF!</definedName>
    <definedName name="HEIGHT_B2___BOH____Tank">#REF!</definedName>
    <definedName name="HEIGHT_B2___BOH___AHU">#REF!</definedName>
    <definedName name="HEIGHT_B2___BOH___Engineering___Maintenance">#REF!</definedName>
    <definedName name="HEIGHT_B2___BOH___Event_Center_Core">#REF!</definedName>
    <definedName name="HEIGHT_B2___BOH___Event_Center_Core_lift_shafts">#REF!</definedName>
    <definedName name="HEIGHT_B2___BOH___Fire_Escape_Stairs">#REF!</definedName>
    <definedName name="HEIGHT_B2___BOH___Guest_Core">#REF!</definedName>
    <definedName name="HEIGHT_B2___BOH___Guest_Core_lift_shafts">#REF!</definedName>
    <definedName name="HEIGHT_B2___BOH___Heat_Exchange">#REF!</definedName>
    <definedName name="HEIGHT_B2___BOH___IT_Department">#REF!</definedName>
    <definedName name="HEIGHT_B2___BOH___Laundry___Housekeeping">#REF!</definedName>
    <definedName name="HEIGHT_B2___BOH___LV_Room">#REF!</definedName>
    <definedName name="HEIGHT_B2___BOH___Plant">#REF!</definedName>
    <definedName name="HEIGHT_B2___BOH___Pump_Room">#REF!</definedName>
    <definedName name="HEIGHT_B2___BOH___Ramp_B2_to_B1">#REF!</definedName>
    <definedName name="HEIGHT_B2___BOH___Ramp_B2_to_B1__loading___unloading_">#REF!</definedName>
    <definedName name="HEIGHT_B2___BOH___Service_Core">#REF!</definedName>
    <definedName name="HEIGHT_B2___BOH___Service_Core_duct">#REF!</definedName>
    <definedName name="HEIGHT_B2___BOH___Service_Core_lift_shafts">#REF!</definedName>
    <definedName name="HEIGHT_B2___BOH___Service_Corridor">#REF!</definedName>
    <definedName name="HEIGHT_B2___BOH___Substation">#REF!</definedName>
    <definedName name="HEIGHT_B2___BOH___Unknown_areas">#REF!</definedName>
    <definedName name="HEIGHT_B2___FOH___Pool_Toilets">#REF!</definedName>
    <definedName name="HEIGHT_B2___FOH___Speciality_Restaurant_01_Toilets">#REF!</definedName>
    <definedName name="HEIGHT_B2___Parking">#REF!</definedName>
    <definedName name="HEIGHT_B2__BOH_">#REF!</definedName>
    <definedName name="HEIGHT_B2__Car_Parking_">#REF!</definedName>
    <definedName name="HEIGHT_B2__Column_C1">#REF!</definedName>
    <definedName name="HEIGHT_B2__Column_C10">#REF!</definedName>
    <definedName name="HEIGHT_B2__Column_C11">#REF!</definedName>
    <definedName name="HEIGHT_B2__Column_C12">#REF!</definedName>
    <definedName name="HEIGHT_B2__Column_C2">#REF!</definedName>
    <definedName name="HEIGHT_B2__Column_C3">#REF!</definedName>
    <definedName name="HEIGHT_B2__Column_C4">#REF!</definedName>
    <definedName name="HEIGHT_B2__Column_C5">#REF!</definedName>
    <definedName name="HEIGHT_B2__Column_C6">#REF!</definedName>
    <definedName name="HEIGHT_B2__Column_C7">#REF!</definedName>
    <definedName name="HEIGHT_B2__Column_C8">#REF!</definedName>
    <definedName name="HEIGHT_B2__Column_C9">#REF!</definedName>
    <definedName name="HEIGHT_B2__Column_TC1">#REF!</definedName>
    <definedName name="HEIGHT_B2__Column_TC2">#REF!</definedName>
    <definedName name="HEIGHT_B2__Column_TC3">#REF!</definedName>
    <definedName name="HEIGHT_B2__Column_TC4">#REF!</definedName>
    <definedName name="HEIGHT_B2__Column_TC5">#REF!</definedName>
    <definedName name="HEIGHT_B2__FOH_Circulation_">#REF!</definedName>
    <definedName name="HEIGHT_B2__GIFA_">#REF!</definedName>
    <definedName name="HEIGHT_B2__Loading__Unloading_Area">#REF!</definedName>
    <definedName name="HEIGHT_B2__RW1_400">#REF!</definedName>
    <definedName name="HEIGHT_B2__RW2_600">#REF!</definedName>
    <definedName name="HEIGHT_B2__Stairs_">#REF!</definedName>
    <definedName name="HEIGHT_B2__TW1_250">#REF!</definedName>
    <definedName name="HEIGHT_B2__TW2_200">#REF!</definedName>
    <definedName name="HEIGHT_B2__TW3_300">#REF!</definedName>
    <definedName name="HEIGHT_B2__TW3_400">#REF!</definedName>
    <definedName name="HEIGHT_B2__TW4_500">#REF!</definedName>
    <definedName name="HEIGHT_B2__TW4_600">#REF!</definedName>
    <definedName name="HEIGHT_B2__Voids_">#REF!</definedName>
    <definedName name="HEIGHT_B2__W1__300">#REF!</definedName>
    <definedName name="HEIGHT_B2__W1__300_Door_Overhead">#REF!</definedName>
    <definedName name="HEIGHT_B2_BOH">#REF!</definedName>
    <definedName name="HEIGHT_B2_BOH___Services_Area" localSheetId="1">#REF!</definedName>
    <definedName name="HEIGHT_B2_BOH___Services_Area">#REF!</definedName>
    <definedName name="HEIGHT_B2_BOH_Area" localSheetId="1">#REF!</definedName>
    <definedName name="HEIGHT_B2_BOH_Area">#REF!</definedName>
    <definedName name="HEIGHT_B2_Car_Park" localSheetId="1">#REF!</definedName>
    <definedName name="HEIGHT_B2_Car_Park">#REF!</definedName>
    <definedName name="HEIGHT_B2_Dirty_Room" localSheetId="1">#REF!</definedName>
    <definedName name="HEIGHT_B2_Dirty_Room">#REF!</definedName>
    <definedName name="HEIGHT_B2_Double_Internal_Doors__BOH_" localSheetId="1">#REF!</definedName>
    <definedName name="HEIGHT_B2_Double_Internal_Doors__BOH_">#REF!</definedName>
    <definedName name="HEIGHT_B2_Double_Internal_Doors__FOH_" localSheetId="1">#REF!</definedName>
    <definedName name="HEIGHT_B2_Double_Internal_Doors__FOH_">#REF!</definedName>
    <definedName name="HEIGHT_B2_FOH" localSheetId="1">#REF!</definedName>
    <definedName name="HEIGHT_B2_FOH">#REF!</definedName>
    <definedName name="HEIGHT_B2_GIFA">#REF!</definedName>
    <definedName name="HEIGHT_B2_Kitchen" localSheetId="1">#REF!</definedName>
    <definedName name="HEIGHT_B2_Kitchen">#REF!</definedName>
    <definedName name="HEIGHT_B2_Lift_Shaft" localSheetId="1">#REF!</definedName>
    <definedName name="HEIGHT_B2_Lift_Shaft">#REF!</definedName>
    <definedName name="HEIGHT_B2_MEP_Area" localSheetId="1">#REF!</definedName>
    <definedName name="HEIGHT_B2_MEP_Area">#REF!</definedName>
    <definedName name="HEIGHT_B2_Raft_2500">#REF!</definedName>
    <definedName name="HEIGHT_B2_Raft_600">#REF!</definedName>
    <definedName name="HEIGHT_B2_Services_Core">#REF!</definedName>
    <definedName name="HEIGHT_B2_Single_Internal_Doors__BOH_">#REF!</definedName>
    <definedName name="HEIGHT_B2_Staircase" localSheetId="1">#REF!</definedName>
    <definedName name="HEIGHT_B2_Staircase">#REF!</definedName>
    <definedName name="HEIGHT_B2_Stairs" localSheetId="1">#REF!</definedName>
    <definedName name="HEIGHT_B2_Stairs">#REF!</definedName>
    <definedName name="HEIGHT_B2_Voids" localSheetId="1">#REF!</definedName>
    <definedName name="HEIGHT_B2_Voids">#REF!</definedName>
    <definedName name="HEIGHT_B3_Beams" localSheetId="1">#REF!</definedName>
    <definedName name="HEIGHT_B3_Beams">#REF!</definedName>
    <definedName name="HEIGHT_B3_Wall">#REF!</definedName>
    <definedName name="HEIGHT_B3_Wall_Link">#REF!</definedName>
    <definedName name="HEIGHT_B4_Beams">#REF!</definedName>
    <definedName name="HEIGHT_B4_Tower_Wall___same_as_B5">#REF!</definedName>
    <definedName name="HEIGHT_B4_Wall_Length">#REF!</definedName>
    <definedName name="HEIGHT_B4_Wall_Link">#REF!</definedName>
    <definedName name="HEIGHT_B5_Beams">#REF!</definedName>
    <definedName name="HEIGHT_B5_Tower_Wall">#REF!</definedName>
    <definedName name="HEIGHT_B5_Wall_Length">#REF!</definedName>
    <definedName name="HEIGHT_B5_Wall_Link">#REF!</definedName>
    <definedName name="HEIGHT_B6_Beams">#REF!</definedName>
    <definedName name="HEIGHT_B7_Tower_Wall">#REF!</definedName>
    <definedName name="HEIGHT_B7_Wall_Length">#REF!</definedName>
    <definedName name="HEIGHT_B7_Wall_Link">#REF!</definedName>
    <definedName name="HEIGHT_Balconies_Entry">#REF!</definedName>
    <definedName name="HEIGHT_Balcony_Drain">#REF!</definedName>
    <definedName name="HEIGHT_Bib_Tap">#REF!</definedName>
    <definedName name="HEIGHT_BOH__GF_">#REF!</definedName>
    <definedName name="HEIGHT_BOH__Podium_1_">#REF!</definedName>
    <definedName name="HEIGHT_BOH__Podium_2_">#REF!</definedName>
    <definedName name="HEIGHT_BOH__Roof_">#REF!</definedName>
    <definedName name="HEIGHT_BOH_areas__lvl_1_">#REF!</definedName>
    <definedName name="HEIGHT_BOH_areas__lvl_2_">#REF!</definedName>
    <definedName name="HEIGHT_BOH_areas__lvl_3_">#REF!</definedName>
    <definedName name="HEIGHT_BUA">#REF!</definedName>
    <definedName name="HEIGHT_Bypass_Valve__Normally_Closed_">#REF!</definedName>
    <definedName name="HEIGHT_Cable_Foundation_Length">#REF!</definedName>
    <definedName name="HEIGHT_Cable_raft">#REF!</definedName>
    <definedName name="HEIGHT_Cable_Retaining_wall">#REF!</definedName>
    <definedName name="HEIGHT_Cable_Waterproofing">#REF!</definedName>
    <definedName name="HEIGHT_capping">#REF!</definedName>
    <definedName name="HEIGHT_Car_Park__Podium_1_">#REF!</definedName>
    <definedName name="HEIGHT_Car_Park__Podium_2_">#REF!</definedName>
    <definedName name="HEIGHT_Car_Parking__lvl_1_">#REF!</definedName>
    <definedName name="HEIGHT_Conference_Centre">#REF!</definedName>
    <definedName name="HEIGHT_Counterweight">#REF!</definedName>
    <definedName name="HEIGHT_DP1_3000x3000x350">#REF!</definedName>
    <definedName name="HEIGHT_DP11_3250x1750x350">#REF!</definedName>
    <definedName name="HEIGHT_DP2_3000x1750x350">#REF!</definedName>
    <definedName name="HEIGHT_DP3_3500x1900x350">#REF!</definedName>
    <definedName name="HEIGHT_DP5_3000x3000x400">#REF!</definedName>
    <definedName name="HEIGHT_DP6_6500x4000x550">#REF!</definedName>
    <definedName name="HEIGHT_DP7_3500x1900x400">#REF!</definedName>
    <definedName name="HEIGHT_Entrance_lobby__GF_">#REF!</definedName>
    <definedName name="HEIGHT_External_areas__lvl_2_">#REF!</definedName>
    <definedName name="HEIGHT_External_areas__Roof_">#REF!</definedName>
    <definedName name="HEIGHT_External_Doors__AL_01">#REF!</definedName>
    <definedName name="HEIGHT_External_Doors__AL_02">#REF!</definedName>
    <definedName name="HEIGHT_External_Doors__AL_03">#REF!</definedName>
    <definedName name="HEIGHT_External_Doors__AL_04">#REF!</definedName>
    <definedName name="HEIGHT_External_Doors__AL_05">#REF!</definedName>
    <definedName name="HEIGHT_External_Doors__D_01">#REF!</definedName>
    <definedName name="HEIGHT_External_Doors__D_02">#REF!</definedName>
    <definedName name="HEIGHT_External_Doors__D_05">#REF!</definedName>
    <definedName name="HEIGHT_External_Doors__Threshold">#REF!</definedName>
    <definedName name="HEIGHT_External_Floor_Finishes__Interlocking_Paving">#REF!</definedName>
    <definedName name="HEIGHT_External_Wall__Blockwork___BW_2">#REF!</definedName>
    <definedName name="HEIGHT_External_Wall__Blockwork___BW_3">#REF!</definedName>
    <definedName name="HEIGHT_External_Wall__Blockwork___BW_4">#REF!</definedName>
    <definedName name="HEIGHT_External_Wall_Finishes__50mm_thk_insulation">#REF!</definedName>
    <definedName name="HEIGHT_External_Wall_finishes__Cast_Aluminium_handrail___Balustrade">#REF!</definedName>
    <definedName name="HEIGHT_External_Wall_Finishes__Cement_render___Paint">#REF!</definedName>
    <definedName name="HEIGHT_External_Wall_finishes__Elevation_projection_with_painted_finish">#REF!</definedName>
    <definedName name="HEIGHT_External_Wall_Finishes__Skirting">#REF!</definedName>
    <definedName name="HEIGHT_External_Wall_finishes__Soffits">#REF!</definedName>
    <definedName name="HEIGHT_External_Window__GL_01">#REF!</definedName>
    <definedName name="HEIGHT_External_Window__GL_02">#REF!</definedName>
    <definedName name="HEIGHT_External_Window__GL_02_a">#REF!</definedName>
    <definedName name="HEIGHT_External_Window__GL_03">#REF!</definedName>
    <definedName name="HEIGHT_External_Window__GL_04">#REF!</definedName>
    <definedName name="HEIGHT_External_Window__GL_05">#REF!</definedName>
    <definedName name="HEIGHT_External_Window__GL_06">#REF!</definedName>
    <definedName name="HEIGHT_External_Window__GL_07">#REF!</definedName>
    <definedName name="HEIGHT_External_Window__GL_08">#REF!</definedName>
    <definedName name="HEIGHT_External_Window__GL_16">#REF!</definedName>
    <definedName name="HEIGHT_External_Window__GL_18">#REF!</definedName>
    <definedName name="HEIGHT_External_Window__GL_19">#REF!</definedName>
    <definedName name="HEIGHT_External_Window__GL_19_a">#REF!</definedName>
    <definedName name="HEIGHT_External_Window__GL_20">#REF!</definedName>
    <definedName name="HEIGHT_External_Window__GL_21">#REF!</definedName>
    <definedName name="HEIGHT_External_Window__GL_22">#REF!</definedName>
    <definedName name="HEIGHT_External_Window__GL_23">#REF!</definedName>
    <definedName name="HEIGHT_External_Window__GL_24">#REF!</definedName>
    <definedName name="HEIGHT_External_Window__GL_25">#REF!</definedName>
    <definedName name="HEIGHT_Fence">#REF!</definedName>
    <definedName name="HEIGHT_Floor_Plate___B1_Mezzanine">#REF!</definedName>
    <definedName name="HEIGHT_Floor_Plate___Basement_1">#REF!</definedName>
    <definedName name="HEIGHT_Floor_Plate___Basement_2">#REF!</definedName>
    <definedName name="HEIGHT_Floor_Plate___First_Floor">#REF!</definedName>
    <definedName name="HEIGHT_Floor_Plate___Fourth_Floor">#REF!</definedName>
    <definedName name="HEIGHT_Floor_Plate___Ground_Floor">#REF!</definedName>
    <definedName name="HEIGHT_Floor_Plate___Mezanine_Floor">#REF!</definedName>
    <definedName name="HEIGHT_Floor_Plate___Second_Floor">#REF!</definedName>
    <definedName name="HEIGHT_Floor_Plate___Third_Floor">#REF!</definedName>
    <definedName name="HEIGHT_FOH_areas__GF_">#REF!</definedName>
    <definedName name="HEIGHT_FOH_Areas__Roof_">#REF!</definedName>
    <definedName name="HEIGHT_FOH_Circulation__GF_">#REF!</definedName>
    <definedName name="HEIGHT_FOH_circulation__lvl_1_">#REF!</definedName>
    <definedName name="HEIGHT_FOH_circulation__lvl_2_">#REF!</definedName>
    <definedName name="HEIGHT_FOH_Circulation__lvl_3_">#REF!</definedName>
    <definedName name="HEIGHT_FOH_Circulation__Podium_1_">#REF!</definedName>
    <definedName name="HEIGHT_FOH_Circulation__Podium_2_">#REF!</definedName>
    <definedName name="HEIGHT_FOH_Circulation__Roof_">#REF!</definedName>
    <definedName name="HEIGHT_FP_A_00AF">#REF!</definedName>
    <definedName name="HEIGHT_FP_A_01F">#REF!</definedName>
    <definedName name="HEIGHT_FP_A_02F___4F">#REF!</definedName>
    <definedName name="HEIGHT_FP_A_03F">#REF!</definedName>
    <definedName name="HEIGHT_FP_A_05F">#REF!</definedName>
    <definedName name="HEIGHT_FP_A_06F">#REF!</definedName>
    <definedName name="HEIGHT_FP_A_07F">#REF!</definedName>
    <definedName name="HEIGHT_FP_A_08F___10F">#REF!</definedName>
    <definedName name="HEIGHT_FP_A_09F">#REF!</definedName>
    <definedName name="HEIGHT_FP_A_11F_to_29F_alt_">#REF!</definedName>
    <definedName name="HEIGHT_FP_A_12F_to_30F_alt_">#REF!</definedName>
    <definedName name="HEIGHT_FP_A_31F">#REF!</definedName>
    <definedName name="HEIGHT_FP_A_32F">#REF!</definedName>
    <definedName name="HEIGHT_FP_A_33RF__">#REF!</definedName>
    <definedName name="HEIGHT_FP_A_34uRF__">#REF!</definedName>
    <definedName name="HEIGHT_FP_A_35uRF__">#REF!</definedName>
    <definedName name="HEIGHT_FP_B_00BF_1">#REF!</definedName>
    <definedName name="HEIGHT_FP_B_00BF_1_intermediate">#REF!</definedName>
    <definedName name="HEIGHT_FP_B_00BF_2">#REF!</definedName>
    <definedName name="HEIGHT_FP_B_00GF">#REF!</definedName>
    <definedName name="HEIGHT_FP_B_00MF">#REF!</definedName>
    <definedName name="HEIGHT_FP_B_00PF___1">#REF!</definedName>
    <definedName name="HEIGHT_FP_B_00PF___2">#REF!</definedName>
    <definedName name="HEIGHT_FP_B_00PF___3">#REF!</definedName>
    <definedName name="Height_from_invert_level_lf_tee_to_manhole">#REF!</definedName>
    <definedName name="HEIGHT_FS01">#REF!</definedName>
    <definedName name="HEIGHT_FS01_1B">#REF!</definedName>
    <definedName name="HEIGHT_FS01_1C">#REF!</definedName>
    <definedName name="HEIGHT_FS012_1B2">#REF!</definedName>
    <definedName name="HEIGHT_FS02_1A">#REF!</definedName>
    <definedName name="HEIGHT_FS02_1B">#REF!</definedName>
    <definedName name="HEIGHT_FS02_1B_RF">#REF!</definedName>
    <definedName name="HEIGHT_FS02_1B1">#REF!</definedName>
    <definedName name="HEIGHT_FS02_1C">#REF!</definedName>
    <definedName name="HEIGHT_FS02_1C1">#REF!</definedName>
    <definedName name="HEIGHT_FS03_1A">#REF!</definedName>
    <definedName name="HEIGHT_FS03_1B">#REF!</definedName>
    <definedName name="HEIGHT_FS03_1C">#REF!</definedName>
    <definedName name="HEIGHT_FS04">#REF!</definedName>
    <definedName name="HEIGHT_FS04_1A">#REF!</definedName>
    <definedName name="HEIGHT_FS04_1B">#REF!</definedName>
    <definedName name="HEIGHT_FS04_1B1">#REF!</definedName>
    <definedName name="HEIGHT_FS04_1B2">#REF!</definedName>
    <definedName name="HEIGHT_FS04_1C">#REF!</definedName>
    <definedName name="HEIGHT_FS04_1C1">#REF!</definedName>
    <definedName name="HEIGHT_FS04_1C2">#REF!</definedName>
    <definedName name="HEIGHT_FS04_Rail">#REF!</definedName>
    <definedName name="HEIGHT_FS05_1A">#REF!</definedName>
    <definedName name="HEIGHT_FS05_1A_RF">#REF!</definedName>
    <definedName name="HEIGHT_FS05_1B">#REF!</definedName>
    <definedName name="HEIGHT_FS05_1B1">#REF!</definedName>
    <definedName name="HEIGHT_FS05_1B2">#REF!</definedName>
    <definedName name="HEIGHT_FS05_1C">#REF!</definedName>
    <definedName name="HEIGHT_FS05_1C_RF">#REF!</definedName>
    <definedName name="HEIGHT_FS05_1C1">#REF!</definedName>
    <definedName name="HEIGHT_FS05_1C2">#REF!</definedName>
    <definedName name="HEIGHT_FS05_GARDEN">#REF!</definedName>
    <definedName name="HEIGHT_FS05_GARDEN_1C">#REF!</definedName>
    <definedName name="HEIGHT_FS05_IB_RF">#REF!</definedName>
    <definedName name="HEIGHT_FS06_1A">#REF!</definedName>
    <definedName name="HEIGHT_FS06_1C_RF">#REF!</definedName>
    <definedName name="HEIGHT_FS06_RF">#REF!</definedName>
    <definedName name="HEIGHT_FS06_Skybridge">#REF!</definedName>
    <definedName name="HEIGHT_FS07_1B1">#REF!</definedName>
    <definedName name="HEIGHT_FS07_1C">#REF!</definedName>
    <definedName name="HEIGHT_FS11_1B1">#REF!</definedName>
    <definedName name="HEIGHT_FS11_1B2">#REF!</definedName>
    <definedName name="HEIGHT_FS11_1C1">#REF!</definedName>
    <definedName name="HEIGHT_FS11_1C2">#REF!</definedName>
    <definedName name="HEIGHT_FS12_1C2">#REF!</definedName>
    <definedName name="HEIGHT_FS12_IC_RF">#REF!</definedName>
    <definedName name="HEIGHT_FS12_RAIL_1C">#REF!</definedName>
    <definedName name="HEIGHT_FS12_RAIL_RF">#REF!</definedName>
    <definedName name="HEIGHT_FS12_RF">#REF!</definedName>
    <definedName name="HEIGHT_Garage">#REF!</definedName>
    <definedName name="HEIGHT_Garden">#REF!</definedName>
    <definedName name="HEIGHT_GF">#REF!</definedName>
    <definedName name="HEIGHT_GF___BOH____General_areas">#REF!</definedName>
    <definedName name="HEIGHT_GF___BOH___Admin_Support">#REF!</definedName>
    <definedName name="HEIGHT_GF___BOH___Boiler_Room">#REF!</definedName>
    <definedName name="HEIGHT_GF___BOH___Ducts">#REF!</definedName>
    <definedName name="HEIGHT_GF___BOH___Executive_Offices">#REF!</definedName>
    <definedName name="HEIGHT_GF___BOH___Fire_Escape_Stairs">#REF!</definedName>
    <definedName name="HEIGHT_GF___BOH___Front_Desk">#REF!</definedName>
    <definedName name="HEIGHT_GF___BOH___Front_Office_Devision">#REF!</definedName>
    <definedName name="HEIGHT_GF___BOH___Guest_Core">#REF!</definedName>
    <definedName name="HEIGHT_GF___BOH___Guest_Core_ducts">#REF!</definedName>
    <definedName name="HEIGHT_GF___BOH___Guest_Core_lift_shafts">#REF!</definedName>
    <definedName name="HEIGHT_GF___BOH___Lobby_Bar_Pantry">#REF!</definedName>
    <definedName name="HEIGHT_GF___BOH___Luggage">#REF!</definedName>
    <definedName name="HEIGHT_GF___BOH___Prayer_Rooms">#REF!</definedName>
    <definedName name="HEIGHT_GF___BOH___Sales_Offices">#REF!</definedName>
    <definedName name="HEIGHT_GF___BOH___Security_and_Valet">#REF!</definedName>
    <definedName name="HEIGHT_GF___BOH___Service_Core">#REF!</definedName>
    <definedName name="HEIGHT_GF___BOH___Service_Core_ducts">#REF!</definedName>
    <definedName name="HEIGHT_GF___BOH___Staff_Core">#REF!</definedName>
    <definedName name="HEIGHT_GF___BOH___Staff_Core_lift_shafts">#REF!</definedName>
    <definedName name="HEIGHT_GF___Double_Volume_internal_Reception">#REF!</definedName>
    <definedName name="HEIGHT_GF___FOH___Circulation">#REF!</definedName>
    <definedName name="HEIGHT_GF___FOH___Guest_Circulation">#REF!</definedName>
    <definedName name="HEIGHT_GF___FOH___Guestroom_Terrace">#REF!</definedName>
    <definedName name="HEIGHT_GF___FOH___Guestrooms">#REF!</definedName>
    <definedName name="HEIGHT_GF___FOH___Hotel_Port_Corchere">#REF!</definedName>
    <definedName name="HEIGHT_GF___FOH___Lobby_Bar___Lounge">#REF!</definedName>
    <definedName name="HEIGHT_GF___FOH___Lobby_Bar___Lounge_Toilets">#REF!</definedName>
    <definedName name="HEIGHT_GF___FOH___Reception_and_Lobby_BR_Terrace">#REF!</definedName>
    <definedName name="HEIGHT_GF___FOH___Reception_Lobby">#REF!</definedName>
    <definedName name="HEIGHT_GF___FOH___Speciality_Restaurant_01_Roof_Terrace">#REF!</definedName>
    <definedName name="HEIGHT_GF___FOH___Wind_Lobby">#REF!</definedName>
    <definedName name="HEIGHT_GF__15mm_dia._CWS_Buried_Underground">#REF!</definedName>
    <definedName name="HEIGHT_GF__25mm_dia._CWS_20mm_dia_HSW">#REF!</definedName>
    <definedName name="HEIGHT_GF__32_dia._CWS_Main_Buried_underground">#REF!</definedName>
    <definedName name="HEIGHT_GF__32mm_dia_BCWS_25mm_dia_HWS">#REF!</definedName>
    <definedName name="HEIGHT_GF_Bell_Captain">#REF!</definedName>
    <definedName name="HEIGHT_GF_BOH_Service___Utility_area">#REF!</definedName>
    <definedName name="HEIGHT_GF_BOH_Staircase">#REF!</definedName>
    <definedName name="HEIGHT_GF_Business_Center">#REF!</definedName>
    <definedName name="HEIGHT_GF_Double_Vol._at_Parking_ramp__2.5m_high_">#REF!</definedName>
    <definedName name="HEIGHT_GF_Double_Volume">#REF!</definedName>
    <definedName name="HEIGHT_GF_ENT._LOBBY_TO_LUGGAGE_BELL_CAPT">#REF!</definedName>
    <definedName name="HEIGHT_GF_External_Double_doors__FOH_">#REF!</definedName>
    <definedName name="HEIGHT_GF_External_Revolving_doors__FOH_">#REF!</definedName>
    <definedName name="HEIGHT_GF_External_Single_doors__BOH_">#REF!</definedName>
    <definedName name="HEIGHT_GF_External_Single_doors__FOH_">#REF!</definedName>
    <definedName name="HEIGHT_GF_FOH_Circulation_Area">#REF!</definedName>
    <definedName name="HEIGHT_GF_FOH_Staircase">#REF!</definedName>
    <definedName name="HEIGHT_GF_Front_Office">#REF!</definedName>
    <definedName name="HEIGHT_GF_Guest_Core">#REF!</definedName>
    <definedName name="HEIGHT_GF_Guest_Rooms">#REF!</definedName>
    <definedName name="HEIGHT_GF_HGR_BOH">#REF!</definedName>
    <definedName name="HEIGHT_GF_HGR_Circulation">#REF!</definedName>
    <definedName name="HEIGHT_GF_HGR_Covered_Balcony">#REF!</definedName>
    <definedName name="HEIGHT_GF_HGR_Fire_Staircase">#REF!</definedName>
    <definedName name="HEIGHT_GF_Internal_Single_doors__BOH_">#REF!</definedName>
    <definedName name="HEIGHT_GF_Internal_Single_doors__FOH_">#REF!</definedName>
    <definedName name="HEIGHT_GF_Lift_Shaft">#REF!</definedName>
    <definedName name="HEIGHT_GF_Lobby_Bar">#REF!</definedName>
    <definedName name="HEIGHT_GF_Lobby_Lounge">#REF!</definedName>
    <definedName name="HEIGHT_GF_Lobby_Lounge_pantry">#REF!</definedName>
    <definedName name="HEIGHT_GF_Luggage_Room">#REF!</definedName>
    <definedName name="HEIGHT_GF_MEP_Area">#REF!</definedName>
    <definedName name="HEIGHT_GF_Prayer_Room">#REF!</definedName>
    <definedName name="HEIGHT_GF_Public_Toilets">#REF!</definedName>
    <definedName name="HEIGHT_GF_Ramp_B1_to_GF">#REF!</definedName>
    <definedName name="HEIGHT_GF_Ramp_GF_to_B1">#REF!</definedName>
    <definedName name="HEIGHT_GF_Reception">#REF!</definedName>
    <definedName name="HEIGHT_GF_Roller_shutter_doors__BOH_">#REF!</definedName>
    <definedName name="HEIGHT_GF_Service_Core">#REF!</definedName>
    <definedName name="HEIGHT_GF_Toilet_cubicle_doors">#REF!</definedName>
    <definedName name="HEIGHT_GF_Toilet_to_Prayer_rooms">#REF!</definedName>
    <definedName name="HEIGHT_GF_Voids_Dead_areas">#REF!</definedName>
    <definedName name="HEIGHT_GFA">#REF!</definedName>
    <definedName name="HEIGHT_GFA__GF_">#REF!</definedName>
    <definedName name="HEIGHT_GFA__lvl_1_">#REF!</definedName>
    <definedName name="HEIGHT_GFA__lvl_2_">#REF!</definedName>
    <definedName name="HEIGHT_GFA__lvl_3_">#REF!</definedName>
    <definedName name="HEIGHT_GFA__Podium_1_">#REF!</definedName>
    <definedName name="HEIGHT_GFA__Podium_2_">#REF!</definedName>
    <definedName name="HEIGHT_GFA__Roof_">#REF!</definedName>
    <definedName name="HEIGHT_GIFA">#REF!</definedName>
    <definedName name="HEIGHT_GIFA__GF_">#REF!</definedName>
    <definedName name="HEIGHT_GIFA__lvl_1_">#REF!</definedName>
    <definedName name="HEIGHT_GIFA__lvl_2_">#REF!</definedName>
    <definedName name="HEIGHT_GIFA__Podium_1_">#REF!</definedName>
    <definedName name="HEIGHT_GIFA__Podium_2_">#REF!</definedName>
    <definedName name="HEIGHT_GIFA__Roof_">#REF!</definedName>
    <definedName name="HEIGHT_Hotel_F_B__GF_">#REF!</definedName>
    <definedName name="HEIGHT_IA_001mPF_BA_A_U00___lift_lobby">#REF!</definedName>
    <definedName name="HEIGHT_IA_001mPF_BA_A_U00___lift_shaft">#REF!</definedName>
    <definedName name="HEIGHT_IA_001mPF_BB_B_U00___double_vol._e.t.s._rm.">#REF!</definedName>
    <definedName name="HEIGHT_IA_001mPF_BB_B_U00___double_volume">#REF!</definedName>
    <definedName name="HEIGHT_IA_001mPF_BB_B_U00___electrical_rm.">#REF!</definedName>
    <definedName name="HEIGHT_IA_001mPF_BB_B_U00___f.e._stairs">#REF!</definedName>
    <definedName name="HEIGHT_IA_001mPF_BB_B_U00___f.h.c.">#REF!</definedName>
    <definedName name="HEIGHT_IA_001mPF_BB_B_U00___garbage_rm.">#REF!</definedName>
    <definedName name="HEIGHT_IA_001mPF_BB_B_U00___services_trans._area">#REF!</definedName>
    <definedName name="HEIGHT_IA_001mPF_BB_B_U00___shaft">#REF!</definedName>
    <definedName name="HEIGHT_IA_001mPF_BB_B_U00___stair_3">#REF!</definedName>
    <definedName name="HEIGHT_IA_001mPF_BB_B_U00___telephone_rm.">#REF!</definedName>
    <definedName name="HEIGHT_IA_001mPF_BB_B_U00___void">#REF!</definedName>
    <definedName name="HEIGHT_IA_001mPF_BB_C_U00___driveway">#REF!</definedName>
    <definedName name="HEIGHT_IA_001mPF_BB_C_U00___driveway_ramp">#REF!</definedName>
    <definedName name="HEIGHT_IA_001mPF_BB_C_U00___driveway_zebra_lines">#REF!</definedName>
    <definedName name="HEIGHT_IA_001mPF_BB_C_U00___parking_bay">#REF!</definedName>
    <definedName name="HEIGHT_IA_001mPF_BB_C_U00___sidewalk">#REF!</definedName>
    <definedName name="HEIGHT_IA_001mPF_BB_C_U00___sidewalk_ramp">#REF!</definedName>
    <definedName name="HEIGHT_IA_001PF_BA_A_U00___lift_lobby">#REF!</definedName>
    <definedName name="HEIGHT_IA_001PF_BA_A_U00___lift_shaft">#REF!</definedName>
    <definedName name="HEIGHT_IA_001PF_BA_B_U00___electrical_rm.">#REF!</definedName>
    <definedName name="HEIGHT_IA_001PF_BA_B_U00___f.e._stairs">#REF!</definedName>
    <definedName name="HEIGHT_IA_001PF_BA_B_U00___f.h.c.">#REF!</definedName>
    <definedName name="HEIGHT_IA_001PF_BA_B_U00___garbage_rm.">#REF!</definedName>
    <definedName name="HEIGHT_IA_001PF_BA_B_U00___shaft">#REF!</definedName>
    <definedName name="HEIGHT_IA_001PF_BA_B_U00___stair_3">#REF!</definedName>
    <definedName name="HEIGHT_IA_001PF_BA_B_U00___telephone_rm.">#REF!</definedName>
    <definedName name="HEIGHT_IA_001PF_BA_C_U00___driveway">#REF!</definedName>
    <definedName name="HEIGHT_IA_001PF_BA_C_U00___driveway_zebra_line">#REF!</definedName>
    <definedName name="HEIGHT_IA_001PF_BA_C_U00___parking_bay">#REF!</definedName>
    <definedName name="HEIGHT_IA_001PF_BA_C_U00___sidewalk">#REF!</definedName>
    <definedName name="HEIGHT_IA_002PF_BA_A_U00___lift_lobby">#REF!</definedName>
    <definedName name="HEIGHT_IA_002PF_BA_A_U00___lift_shaft">#REF!</definedName>
    <definedName name="HEIGHT_IA_002PF_BA_B_U00___electrical_rm.">#REF!</definedName>
    <definedName name="HEIGHT_IA_002PF_BA_B_U00___f.e._stairs">#REF!</definedName>
    <definedName name="HEIGHT_IA_002PF_BA_B_U00___f.h.c.">#REF!</definedName>
    <definedName name="HEIGHT_IA_002PF_BA_B_U00___garbage_rm.">#REF!</definedName>
    <definedName name="HEIGHT_IA_002PF_BA_B_U00___shaft">#REF!</definedName>
    <definedName name="HEIGHT_IA_002PF_BA_B_U00___stair_3">#REF!</definedName>
    <definedName name="HEIGHT_IA_002PF_BA_B_U00___telephone_rm.">#REF!</definedName>
    <definedName name="HEIGHT_IA_002PF_BA_C_U00___driveway">#REF!</definedName>
    <definedName name="HEIGHT_IA_002PF_BA_C_U00___driveway_zebra_line">#REF!</definedName>
    <definedName name="HEIGHT_IA_002PF_BA_C_U00___parking_bay">#REF!</definedName>
    <definedName name="HEIGHT_IA_002PF_BA_C_U00___sidewalk">#REF!</definedName>
    <definedName name="HEIGHT_IA_003PF_BA_A_U00___lift_lobby">#REF!</definedName>
    <definedName name="HEIGHT_IA_003PF_BA_A_U00___lift_shaft">#REF!</definedName>
    <definedName name="HEIGHT_IA_003PF_BA_B_U00___electrical_rm.">#REF!</definedName>
    <definedName name="HEIGHT_IA_003PF_BA_B_U00___f.e._stairs">#REF!</definedName>
    <definedName name="HEIGHT_IA_003PF_BA_B_U00___f.h.c.">#REF!</definedName>
    <definedName name="HEIGHT_IA_003PF_BA_B_U00___garbage_rm.">#REF!</definedName>
    <definedName name="HEIGHT_IA_003PF_BA_B_U00___plant_rm.">#REF!</definedName>
    <definedName name="HEIGHT_IA_003PF_BA_B_U00___shaft">#REF!</definedName>
    <definedName name="HEIGHT_IA_003PF_BA_B_U00___stair_3">#REF!</definedName>
    <definedName name="HEIGHT_IA_003PF_BA_B_U00___telephone_rm.">#REF!</definedName>
    <definedName name="HEIGHT_IA_003PF_BA_C_U00___driveway">#REF!</definedName>
    <definedName name="HEIGHT_IA_003PF_BA_C_U00___driveway_zebra_line">#REF!</definedName>
    <definedName name="HEIGHT_IA_003PF_BA_C_U00___parking_bay">#REF!</definedName>
    <definedName name="HEIGHT_IA_003PF_BA_C_U00___sidewalk">#REF!</definedName>
    <definedName name="HEIGHT_IA_00AF_AB_U00___cafe">#REF!</definedName>
    <definedName name="HEIGHT_IA_00AF_AB_U00___cafe_pantry">#REF!</definedName>
    <definedName name="HEIGHT_IA_00AF_AB_U00___corridor">#REF!</definedName>
    <definedName name="HEIGHT_IA_00AF_AB_U00___game_rm.">#REF!</definedName>
    <definedName name="HEIGHT_IA_00AF_AB_U00___game_rm._store">#REF!</definedName>
    <definedName name="HEIGHT_IA_00AF_AB_U00___gym_female">#REF!</definedName>
    <definedName name="HEIGHT_IA_00AF_AB_U00___gym_female_lobby">#REF!</definedName>
    <definedName name="HEIGHT_IA_00AF_AB_U00___gym_female_shaft">#REF!</definedName>
    <definedName name="HEIGHT_IA_00AF_AB_U00___gym_female_store">#REF!</definedName>
    <definedName name="HEIGHT_IA_00AF_AB_U00___gym_female_void">#REF!</definedName>
    <definedName name="HEIGHT_IA_00AF_AB_U00___gym_male">#REF!</definedName>
    <definedName name="HEIGHT_IA_00AF_AB_U00___gym_male_lobby">#REF!</definedName>
    <definedName name="HEIGHT_IA_00AF_AB_U00___gym_male_shaft">#REF!</definedName>
    <definedName name="HEIGHT_IA_00AF_AB_U00___gym_male_store">#REF!</definedName>
    <definedName name="HEIGHT_IA_00AF_AB_U00___gym_male_void">#REF!</definedName>
    <definedName name="HEIGHT_IA_00AF_AB_U00___handicap_toi._female">#REF!</definedName>
    <definedName name="HEIGHT_IA_00AF_AB_U00___handicap_toi._male">#REF!</definedName>
    <definedName name="HEIGHT_IA_00AF_AB_U00___lift_lobby">#REF!</definedName>
    <definedName name="HEIGHT_IA_00AF_AB_U00___lift_shaft">#REF!</definedName>
    <definedName name="HEIGHT_IA_00AF_AB_U00___multi_purpose_rm.">#REF!</definedName>
    <definedName name="HEIGHT_IA_00AF_AB_U00___multi_purpose_shaft">#REF!</definedName>
    <definedName name="HEIGHT_IA_00AF_AB_U00___multi_purpose_store">#REF!</definedName>
    <definedName name="HEIGHT_IA_00AF_AB_U00___spa_f._hallway">#REF!</definedName>
    <definedName name="HEIGHT_IA_00AF_AB_U00___spa_f._heater_rm.">#REF!</definedName>
    <definedName name="HEIGHT_IA_00AF_AB_U00___spa_f._lobby">#REF!</definedName>
    <definedName name="HEIGHT_IA_00AF_AB_U00___spa_f._lockers">#REF!</definedName>
    <definedName name="HEIGHT_IA_00AF_AB_U00___spa_f._massage_rm.">#REF!</definedName>
    <definedName name="HEIGHT_IA_00AF_AB_U00___spa_f._rec.">#REF!</definedName>
    <definedName name="HEIGHT_IA_00AF_AB_U00___spa_f._sauna">#REF!</definedName>
    <definedName name="HEIGHT_IA_00AF_AB_U00___spa_f._shaft">#REF!</definedName>
    <definedName name="HEIGHT_IA_00AF_AB_U00___spa_f._shower_toilet">#REF!</definedName>
    <definedName name="HEIGHT_IA_00AF_AB_U00___spa_f._steam_rm.">#REF!</definedName>
    <definedName name="HEIGHT_IA_00AF_AB_U00___spa_m._hallway">#REF!</definedName>
    <definedName name="HEIGHT_IA_00AF_AB_U00___spa_m._heater_rm.">#REF!</definedName>
    <definedName name="HEIGHT_IA_00AF_AB_U00___spa_m._lobby">#REF!</definedName>
    <definedName name="HEIGHT_IA_00AF_AB_U00___spa_m._lockers">#REF!</definedName>
    <definedName name="HEIGHT_IA_00AF_AB_U00___spa_m._massage_rm.">#REF!</definedName>
    <definedName name="HEIGHT_IA_00AF_AB_U00___spa_m._rec.">#REF!</definedName>
    <definedName name="HEIGHT_IA_00AF_AB_U00___spa_m._sauna">#REF!</definedName>
    <definedName name="HEIGHT_IA_00AF_AB_U00___spa_m._shaft">#REF!</definedName>
    <definedName name="HEIGHT_IA_00AF_AB_U00___spa_m._shower_toilet">#REF!</definedName>
    <definedName name="HEIGHT_IA_00AF_AB_U00___spa_m._steam_rm.">#REF!</definedName>
    <definedName name="HEIGHT_IA_00AF_AC_U00___electrical_rm.">#REF!</definedName>
    <definedName name="HEIGHT_IA_00AF_AC_U00___f.e._stair">#REF!</definedName>
    <definedName name="HEIGHT_IA_00AF_AC_U00___fhc">#REF!</definedName>
    <definedName name="HEIGHT_IA_00AF_AC_U00___garbage_rm.">#REF!</definedName>
    <definedName name="HEIGHT_IA_00AF_AC_U00___shaft">#REF!</definedName>
    <definedName name="HEIGHT_IA_00AF_AC_U00___stair_3">#REF!</definedName>
    <definedName name="HEIGHT_IA_00AF_AC_U00___store_rm.">#REF!</definedName>
    <definedName name="HEIGHT_IA_00AF_AC_U00___telephone_rm.">#REF!</definedName>
    <definedName name="HEIGHT_IA_00B1F_BD_B_U00___double_volume">#REF!</definedName>
    <definedName name="HEIGHT_IA_00B1F_BD_B_U00___f.e._stairs">#REF!</definedName>
    <definedName name="HEIGHT_IA_00B1F_BD_B_U00___f.h.c.">#REF!</definedName>
    <definedName name="HEIGHT_IA_00B1F_BD_B_U00___fire_pump_rm.">#REF!</definedName>
    <definedName name="HEIGHT_IA_00B1F_BD_B_U00___lobby_rm.">#REF!</definedName>
    <definedName name="HEIGHT_IA_00B1F_BD_B_U00___lobby_rm._ent.">#REF!</definedName>
    <definedName name="HEIGHT_IA_00B1F_BD_B_U00___shaft">#REF!</definedName>
    <definedName name="HEIGHT_IA_00B1F_BD_B_U00___stair_3">#REF!</definedName>
    <definedName name="HEIGHT_IA_00B1F_BD_B_U00___tech._rm.">#REF!</definedName>
    <definedName name="HEIGHT_IA_00B1F_BD_C_U00___double_volume">#REF!</definedName>
    <definedName name="HEIGHT_IA_00B1F_BD_C_U00___driveway">#REF!</definedName>
    <definedName name="HEIGHT_IA_00B1F_BD_C_U00___driveway_ramp_1">#REF!</definedName>
    <definedName name="HEIGHT_IA_00B1F_BD_C_U00___driveway_zebra_lines">#REF!</definedName>
    <definedName name="HEIGHT_IA_00B1F_BD_C_U00___parking_bay">#REF!</definedName>
    <definedName name="HEIGHT_IA_00B1F_BD_C_U00___sidewalk">#REF!</definedName>
    <definedName name="HEIGHT_IA_00B1F_BD_C_U00___sidewalk_ramp">#REF!</definedName>
    <definedName name="HEIGHT_IA_00B1iF_BD_A_U00___lift_lobby">#REF!</definedName>
    <definedName name="HEIGHT_IA_00B1iF_BD_A_U00___lift_shaft">#REF!</definedName>
    <definedName name="HEIGHT_IA_00B1iF_BD_B_U00___electrical_rm.">#REF!</definedName>
    <definedName name="HEIGHT_IA_00B1iF_BD_B_U00___f.e._stairs">#REF!</definedName>
    <definedName name="HEIGHT_IA_00B1iF_BD_B_U00___f.h.c.">#REF!</definedName>
    <definedName name="HEIGHT_IA_00B1iF_BD_B_U00___l.v._rm.">#REF!</definedName>
    <definedName name="HEIGHT_IA_00B1iF_BD_B_U00___main_tel._rm.">#REF!</definedName>
    <definedName name="HEIGHT_IA_00B1iF_BD_B_U00___shaft">#REF!</definedName>
    <definedName name="HEIGHT_IA_00B1iF_BD_B_U00___stair_4">#REF!</definedName>
    <definedName name="HEIGHT_IA_00B1iF_BD_B_U00___storage_1">#REF!</definedName>
    <definedName name="HEIGHT_IA_00B1iF_BD_B_U00___tech._rm.1">#REF!</definedName>
    <definedName name="HEIGHT_IA_00B1iF_BD_B_U00___tech._rm.2">#REF!</definedName>
    <definedName name="HEIGHT_IA_00B1iF_BD_B_U00___tech._rm.3">#REF!</definedName>
    <definedName name="HEIGHT_IA_00B1iF_BD_B_U00___water_tank_1_double_volume">#REF!</definedName>
    <definedName name="HEIGHT_IA_00B1iF_BD_B_U00___water_tank_2_double_volume">#REF!</definedName>
    <definedName name="HEIGHT_IA_00B1iF_BD_B_U00___water_tank_3_double_volume">#REF!</definedName>
    <definedName name="HEIGHT_IA_00B1iF_BD_B_U00___water_tank_4_double_volume">#REF!</definedName>
    <definedName name="HEIGHT_IA_00B1iF_BD_C_U00___driveway">#REF!</definedName>
    <definedName name="HEIGHT_IA_00B1iF_BD_C_U00___driveway_zebra_lines">#REF!</definedName>
    <definedName name="HEIGHT_IA_00B1iF_BD_C_U00___parking_bay">#REF!</definedName>
    <definedName name="HEIGHT_IA_00B1iF_BD_C_U00___sidewalk">#REF!</definedName>
    <definedName name="HEIGHT_IA_00B2F_BD_A_U00___lift_lobby">#REF!</definedName>
    <definedName name="HEIGHT_IA_00B2F_BD_A_U00___lift_shaft">#REF!</definedName>
    <definedName name="HEIGHT_IA_00B2F_BD_B_U00___electrical_rm.">#REF!</definedName>
    <definedName name="HEIGHT_IA_00B2F_BD_B_U00___f.e._stair">#REF!</definedName>
    <definedName name="HEIGHT_IA_00B2F_BD_B_U00___f.h.c.">#REF!</definedName>
    <definedName name="HEIGHT_IA_00B2F_BD_B_U00___mechanical_rm.1">#REF!</definedName>
    <definedName name="HEIGHT_IA_00B2F_BD_B_U00___pump_rm.">#REF!</definedName>
    <definedName name="HEIGHT_IA_00B2F_BD_B_U00___pump_rm._2">#REF!</definedName>
    <definedName name="HEIGHT_IA_00B2F_BD_B_U00___shaft">#REF!</definedName>
    <definedName name="HEIGHT_IA_00B2F_BD_B_U00___stair_4">#REF!</definedName>
    <definedName name="HEIGHT_IA_00B2F_BD_B_U00___store_rm.1">#REF!</definedName>
    <definedName name="HEIGHT_IA_00B2F_BD_B_U00___store_rm.2">#REF!</definedName>
    <definedName name="HEIGHT_IA_00B2F_BD_B_U00___store_rm.3">#REF!</definedName>
    <definedName name="HEIGHT_IA_00B2F_BD_B_U00___store_rm.4">#REF!</definedName>
    <definedName name="HEIGHT_IA_00B2F_BD_B_U00___store_rm.5">#REF!</definedName>
    <definedName name="HEIGHT_IA_00B2F_BD_B_U00___tech_rm.1">#REF!</definedName>
    <definedName name="HEIGHT_IA_00B2F_BD_B_U00___tech_rm.2">#REF!</definedName>
    <definedName name="HEIGHT_IA_00B2F_BD_B_U00___tech_rm.3">#REF!</definedName>
    <definedName name="HEIGHT_IA_00B2F_BD_B_U00___water_tank__1">#REF!</definedName>
    <definedName name="HEIGHT_IA_00B2F_BD_B_U00___water_tank__2">#REF!</definedName>
    <definedName name="HEIGHT_IA_00B2F_BD_B_U00___water_tank__3">#REF!</definedName>
    <definedName name="HEIGHT_IA_00B2F_BD_B_U00___water_tank__4">#REF!</definedName>
    <definedName name="HEIGHT_IA_00B2F_BD_C_U00___driveway_1">#REF!</definedName>
    <definedName name="HEIGHT_IA_00B2F_BD_C_U00___driveway_1___zebra_line">#REF!</definedName>
    <definedName name="HEIGHT_IA_00B2F_BD_C_U00___parking_bay_1">#REF!</definedName>
    <definedName name="HEIGHT_IA_00B2F_BD_C_U00___sidewalk_1">#REF!</definedName>
    <definedName name="HEIGHT_IA_00BF_BC_A_U00___entrance_lobby">#REF!</definedName>
    <definedName name="HEIGHT_IA_00BF_BC_A_U00___lift_lobby">#REF!</definedName>
    <definedName name="HEIGHT_IA_00BF_BC_A_U00___lift_shaft">#REF!</definedName>
    <definedName name="HEIGHT_IA_00BF_BC_A_U00___main_entrance">#REF!</definedName>
    <definedName name="HEIGHT_IA_00BF_BC_B_U00___b.m.s._rm.">#REF!</definedName>
    <definedName name="HEIGHT_IA_00BF_BC_B_U00___e.t.s_rm.">#REF!</definedName>
    <definedName name="HEIGHT_IA_00BF_BC_B_U00___e.t.s_rm._hallway">#REF!</definedName>
    <definedName name="HEIGHT_IA_00BF_BC_B_U00___e.t.s_rm.1">#REF!</definedName>
    <definedName name="HEIGHT_IA_00BF_BC_B_U00___elect._rm">#REF!</definedName>
    <definedName name="HEIGHT_IA_00BF_BC_B_U00___elect._rm_1">#REF!</definedName>
    <definedName name="HEIGHT_IA_00BF_BC_B_U00___f.e._stair">#REF!</definedName>
    <definedName name="HEIGHT_IA_00BF_BC_B_U00___f.e._stair_corridor">#REF!</definedName>
    <definedName name="HEIGHT_IA_00BF_BC_B_U00___f.e._stair_corridor_lobby">#REF!</definedName>
    <definedName name="HEIGHT_IA_00BF_BC_B_U00___f.h.c.">#REF!</definedName>
    <definedName name="HEIGHT_IA_00BF_BC_B_U00___g.s.m._rm.">#REF!</definedName>
    <definedName name="HEIGHT_IA_00BF_BC_B_U00___garbage_rm.">#REF!</definedName>
    <definedName name="HEIGHT_IA_00BF_BC_B_U00___garbage_rm._ramp">#REF!</definedName>
    <definedName name="HEIGHT_IA_00BF_BC_B_U00___generator_rm.">#REF!</definedName>
    <definedName name="HEIGHT_IA_00BF_BC_B_U00___guard_rm.">#REF!</definedName>
    <definedName name="HEIGHT_IA_00BF_BC_B_U00___guard_rm._toilet">#REF!</definedName>
    <definedName name="HEIGHT_IA_00BF_BC_B_U00___h.v._rm.">#REF!</definedName>
    <definedName name="HEIGHT_IA_00BF_BC_B_U00___platform">#REF!</definedName>
    <definedName name="HEIGHT_IA_00BF_BC_B_U00___shaft">#REF!</definedName>
    <definedName name="HEIGHT_IA_00BF_BC_B_U00___stairs_3">#REF!</definedName>
    <definedName name="HEIGHT_IA_00BF_BC_B_U00___tech._area_1">#REF!</definedName>
    <definedName name="HEIGHT_IA_00BF_BC_B_U00___tech._area_2">#REF!</definedName>
    <definedName name="HEIGHT_IA_00BF_BC_B_U00___tech._area_3">#REF!</definedName>
    <definedName name="HEIGHT_IA_00BF_BC_B_U00___tech._area_3_lobby">#REF!</definedName>
    <definedName name="HEIGHT_IA_00BF_BC_B_U00___tel_rm.">#REF!</definedName>
    <definedName name="HEIGHT_IA_00BF_BC_B_U00___toilet">#REF!</definedName>
    <definedName name="HEIGHT_IA_00BF_BC_B_U00___toilet_female">#REF!</definedName>
    <definedName name="HEIGHT_IA_00BF_BC_B_U00___toilet_lobby">#REF!</definedName>
    <definedName name="HEIGHT_IA_00BF_BC_B_U00___toilet_male">#REF!</definedName>
    <definedName name="HEIGHT_IA_00BF_BC_B_U00___transformer_rm.">#REF!</definedName>
    <definedName name="HEIGHT_IA_00BF_BC_C_U00___double_volume">#REF!</definedName>
    <definedName name="HEIGHT_IA_00BF_BC_C_U00___driveway_1">#REF!</definedName>
    <definedName name="HEIGHT_IA_00BF_BC_C_U00___driveway_ramp">#REF!</definedName>
    <definedName name="HEIGHT_IA_00BF_BC_C_U00___driveway_zebra_line">#REF!</definedName>
    <definedName name="HEIGHT_IA_00BF_BC_C_U00___sidewalk_1">#REF!</definedName>
    <definedName name="HEIGHT_IA_00BF_BC_C_U00___sidewalk_1_ramp">#REF!</definedName>
    <definedName name="HEIGHT_IA_00BF_BC_C_U00___void">#REF!</definedName>
    <definedName name="HEIGHT_IA_01F_AA_U01___BR1_lobby">#REF!</definedName>
    <definedName name="HEIGHT_IA_01F_AA_U01___BR1_rm.">#REF!</definedName>
    <definedName name="HEIGHT_IA_01F_AA_U01___BR1_t_b">#REF!</definedName>
    <definedName name="HEIGHT_IA_01F_AA_U01___BR2_dresser">#REF!</definedName>
    <definedName name="HEIGHT_IA_01F_AA_U01___BR2_lobby">#REF!</definedName>
    <definedName name="HEIGHT_IA_01F_AA_U01___BR2_rm.">#REF!</definedName>
    <definedName name="HEIGHT_IA_01F_AA_U01___BR2_t_b">#REF!</definedName>
    <definedName name="HEIGHT_IA_01F_AA_U01___corridor">#REF!</definedName>
    <definedName name="HEIGHT_IA_01F_AA_U01___foyer">#REF!</definedName>
    <definedName name="HEIGHT_IA_01F_AA_U01___kitchen">#REF!</definedName>
    <definedName name="HEIGHT_IA_01F_AA_U01___living_dining">#REF!</definedName>
    <definedName name="HEIGHT_IA_01F_AA_U01___maids_rm.">#REF!</definedName>
    <definedName name="HEIGHT_IA_01F_AA_U01___maids_toi.">#REF!</definedName>
    <definedName name="HEIGHT_IA_01F_AA_U01___shaft">#REF!</definedName>
    <definedName name="HEIGHT_IA_01F_AA_U01___toilet">#REF!</definedName>
    <definedName name="HEIGHT_IA_01F_AA_U01___utility_rm.">#REF!</definedName>
    <definedName name="HEIGHT_IA_01F_AA_U01___void">#REF!</definedName>
    <definedName name="HEIGHT_IA_01F_AA_U02___BR1_dresser">#REF!</definedName>
    <definedName name="HEIGHT_IA_01F_AA_U02___BR1_rm.">#REF!</definedName>
    <definedName name="HEIGHT_IA_01F_AA_U02___BR1_t_b">#REF!</definedName>
    <definedName name="HEIGHT_IA_01F_AA_U02___BR2_lobby">#REF!</definedName>
    <definedName name="HEIGHT_IA_01F_AA_U02___BR2_rm.">#REF!</definedName>
    <definedName name="HEIGHT_IA_01F_AA_U02___BR2_t_b">#REF!</definedName>
    <definedName name="HEIGHT_IA_01F_AA_U02___corridor">#REF!</definedName>
    <definedName name="HEIGHT_IA_01F_AA_U02___foyer">#REF!</definedName>
    <definedName name="HEIGHT_IA_01F_AA_U02___kitchen">#REF!</definedName>
    <definedName name="HEIGHT_IA_01F_AA_U02___living_dining">#REF!</definedName>
    <definedName name="HEIGHT_IA_01F_AA_U02___maids_rm.">#REF!</definedName>
    <definedName name="HEIGHT_IA_01F_AA_U02___maids_toi.">#REF!</definedName>
    <definedName name="HEIGHT_IA_01F_AA_U02___shaft">#REF!</definedName>
    <definedName name="HEIGHT_IA_01F_AA_U02___toilet">#REF!</definedName>
    <definedName name="HEIGHT_IA_01F_AA_U02___utility_rm.">#REF!</definedName>
    <definedName name="HEIGHT_IA_01F_AA_U02___void">#REF!</definedName>
    <definedName name="HEIGHT_IA_01F_AA_U03___BR1_dresser">#REF!</definedName>
    <definedName name="HEIGHT_IA_01F_AA_U03___BR1_lobby">#REF!</definedName>
    <definedName name="HEIGHT_IA_01F_AA_U03___BR1_rm.">#REF!</definedName>
    <definedName name="HEIGHT_IA_01F_AA_U03___BR1_store">#REF!</definedName>
    <definedName name="HEIGHT_IA_01F_AA_U03___BR1_t_b">#REF!</definedName>
    <definedName name="HEIGHT_IA_01F_AA_U03___foyer">#REF!</definedName>
    <definedName name="HEIGHT_IA_01F_AA_U03___kitchen">#REF!</definedName>
    <definedName name="HEIGHT_IA_01F_AA_U03___living_dining">#REF!</definedName>
    <definedName name="HEIGHT_IA_01F_AA_U03___shaft">#REF!</definedName>
    <definedName name="HEIGHT_IA_01F_AA_U03___storage">#REF!</definedName>
    <definedName name="HEIGHT_IA_01F_AA_U03___toilet">#REF!</definedName>
    <definedName name="HEIGHT_IA_01F_AA_U03___utility_rm.">#REF!</definedName>
    <definedName name="HEIGHT_IA_01F_AA_U03___void">#REF!</definedName>
    <definedName name="HEIGHT_IA_01F_AA_U04___BR1_dresser">#REF!</definedName>
    <definedName name="HEIGHT_IA_01F_AA_U04___BR1_lobby">#REF!</definedName>
    <definedName name="HEIGHT_IA_01F_AA_U04___BR1_rm.">#REF!</definedName>
    <definedName name="HEIGHT_IA_01F_AA_U04___BR1_store">#REF!</definedName>
    <definedName name="HEIGHT_IA_01F_AA_U04___BR1_t_b">#REF!</definedName>
    <definedName name="HEIGHT_IA_01F_AA_U04___foyer">#REF!</definedName>
    <definedName name="HEIGHT_IA_01F_AA_U04___kitchen">#REF!</definedName>
    <definedName name="HEIGHT_IA_01F_AA_U04___living_dining">#REF!</definedName>
    <definedName name="HEIGHT_IA_01F_AA_U04___shaft">#REF!</definedName>
    <definedName name="HEIGHT_IA_01F_AA_U04___storage">#REF!</definedName>
    <definedName name="HEIGHT_IA_01F_AA_U04___toilet">#REF!</definedName>
    <definedName name="HEIGHT_IA_01F_AA_U04___utility_rm.">#REF!</definedName>
    <definedName name="HEIGHT_IA_01F_AA_U04___void">#REF!</definedName>
    <definedName name="HEIGHT_IA_01F_AA_U05___corridor">#REF!</definedName>
    <definedName name="HEIGHT_IA_01F_AA_U05___foyer">#REF!</definedName>
    <definedName name="HEIGHT_IA_01F_AA_U05___kitchen">#REF!</definedName>
    <definedName name="HEIGHT_IA_01F_AA_U05___living_dining">#REF!</definedName>
    <definedName name="HEIGHT_IA_01F_AA_U05___maids_lobby">#REF!</definedName>
    <definedName name="HEIGHT_IA_01F_AA_U05___maids_rm.">#REF!</definedName>
    <definedName name="HEIGHT_IA_01F_AA_U05___maids_toi.">#REF!</definedName>
    <definedName name="HEIGHT_IA_01F_AA_U05___shaft">#REF!</definedName>
    <definedName name="HEIGHT_IA_01F_AA_U05___stairs">#REF!</definedName>
    <definedName name="HEIGHT_IA_01F_AA_U05___toilet">#REF!</definedName>
    <definedName name="HEIGHT_IA_01F_AA_U05___utility_rm.">#REF!</definedName>
    <definedName name="HEIGHT_IA_01F_AA_U06___BR1_lobby">#REF!</definedName>
    <definedName name="HEIGHT_IA_01F_AA_U06___BR1_rm.">#REF!</definedName>
    <definedName name="HEIGHT_IA_01F_AA_U06___BR1_t_b">#REF!</definedName>
    <definedName name="HEIGHT_IA_01F_AA_U06___BR2_dresser">#REF!</definedName>
    <definedName name="HEIGHT_IA_01F_AA_U06___BR2_lobby">#REF!</definedName>
    <definedName name="HEIGHT_IA_01F_AA_U06___BR2_rm.">#REF!</definedName>
    <definedName name="HEIGHT_IA_01F_AA_U06___BR2_t_b">#REF!</definedName>
    <definedName name="HEIGHT_IA_01F_AA_U06___BR3_dresser">#REF!</definedName>
    <definedName name="HEIGHT_IA_01F_AA_U06___BR3_lobby">#REF!</definedName>
    <definedName name="HEIGHT_IA_01F_AA_U06___BR3_rm.">#REF!</definedName>
    <definedName name="HEIGHT_IA_01F_AA_U06___BR3_t_b">#REF!</definedName>
    <definedName name="HEIGHT_IA_01F_AA_U06___corridor">#REF!</definedName>
    <definedName name="HEIGHT_IA_01F_AA_U06___foyer">#REF!</definedName>
    <definedName name="HEIGHT_IA_01F_AA_U06___kitchen">#REF!</definedName>
    <definedName name="HEIGHT_IA_01F_AA_U06___living_dining">#REF!</definedName>
    <definedName name="HEIGHT_IA_01F_AA_U06___maids_rm.">#REF!</definedName>
    <definedName name="HEIGHT_IA_01F_AA_U06___maids_toi.">#REF!</definedName>
    <definedName name="HEIGHT_IA_01F_AA_U06___shaft">#REF!</definedName>
    <definedName name="HEIGHT_IA_01F_AA_U06___toilet">#REF!</definedName>
    <definedName name="HEIGHT_IA_01F_AA_U06___utility_rm.">#REF!</definedName>
    <definedName name="HEIGHT_IA_01F_AB_U00___corridor">#REF!</definedName>
    <definedName name="HEIGHT_IA_01F_AB_U00___lift_lobby">#REF!</definedName>
    <definedName name="HEIGHT_IA_01F_AB_U00___lift_shaft">#REF!</definedName>
    <definedName name="HEIGHT_IA_01F_AC_U00___electrical_rm.">#REF!</definedName>
    <definedName name="HEIGHT_IA_01F_AC_U00___f.e._stair">#REF!</definedName>
    <definedName name="HEIGHT_IA_01F_AC_U00___f.h.c.">#REF!</definedName>
    <definedName name="HEIGHT_IA_01F_AC_U00___garbage_rm.">#REF!</definedName>
    <definedName name="HEIGHT_IA_01F_AC_U00___shaft">#REF!</definedName>
    <definedName name="HEIGHT_IA_01F_AC_U00___telephone_rm.">#REF!</definedName>
    <definedName name="HEIGHT_IA_02F_AA_U01___BR1_lobby">#REF!</definedName>
    <definedName name="HEIGHT_IA_02F_AA_U01___BR1_rm.">#REF!</definedName>
    <definedName name="HEIGHT_IA_02F_AA_U01___BR1_t_b">#REF!</definedName>
    <definedName name="HEIGHT_IA_02F_AA_U01___BR2_dresser">#REF!</definedName>
    <definedName name="HEIGHT_IA_02F_AA_U01___BR2_lobby">#REF!</definedName>
    <definedName name="HEIGHT_IA_02F_AA_U01___BR2_rm.">#REF!</definedName>
    <definedName name="HEIGHT_IA_02F_AA_U01___BR2_t_b">#REF!</definedName>
    <definedName name="HEIGHT_IA_02F_AA_U01___corridor">#REF!</definedName>
    <definedName name="HEIGHT_IA_02F_AA_U01___foyer">#REF!</definedName>
    <definedName name="HEIGHT_IA_02F_AA_U01___kitchen">#REF!</definedName>
    <definedName name="HEIGHT_IA_02F_AA_U01___living_dining">#REF!</definedName>
    <definedName name="HEIGHT_IA_02F_AA_U01___maids_rm.">#REF!</definedName>
    <definedName name="HEIGHT_IA_02F_AA_U01___maids_toi.">#REF!</definedName>
    <definedName name="HEIGHT_IA_02F_AA_U01___shaft">#REF!</definedName>
    <definedName name="HEIGHT_IA_02F_AA_U01___toilet">#REF!</definedName>
    <definedName name="HEIGHT_IA_02F_AA_U01___utility_rm.">#REF!</definedName>
    <definedName name="HEIGHT_IA_02F_AA_U01___void">#REF!</definedName>
    <definedName name="HEIGHT_IA_02F_AA_U02___BR1_dresser">#REF!</definedName>
    <definedName name="HEIGHT_IA_02F_AA_U02___BR1_rm.">#REF!</definedName>
    <definedName name="HEIGHT_IA_02F_AA_U02___BR1_t_b">#REF!</definedName>
    <definedName name="HEIGHT_IA_02F_AA_U02___BR2_lobby">#REF!</definedName>
    <definedName name="HEIGHT_IA_02F_AA_U02___BR2_rm.">#REF!</definedName>
    <definedName name="HEIGHT_IA_02F_AA_U02___BR2_t_b">#REF!</definedName>
    <definedName name="HEIGHT_IA_02F_AA_U02___corridor">#REF!</definedName>
    <definedName name="HEIGHT_IA_02F_AA_U02___foyer">#REF!</definedName>
    <definedName name="HEIGHT_IA_02F_AA_U02___kitchen">#REF!</definedName>
    <definedName name="HEIGHT_IA_02F_AA_U02___living_dining">#REF!</definedName>
    <definedName name="HEIGHT_IA_02F_AA_U02___maids_rm.">#REF!</definedName>
    <definedName name="HEIGHT_IA_02F_AA_U02___maids_toi.">#REF!</definedName>
    <definedName name="HEIGHT_IA_02F_AA_U02___shaft">#REF!</definedName>
    <definedName name="HEIGHT_IA_02F_AA_U02___toilet">#REF!</definedName>
    <definedName name="HEIGHT_IA_02F_AA_U02___utility_rm.">#REF!</definedName>
    <definedName name="HEIGHT_IA_02F_AA_U02___void">#REF!</definedName>
    <definedName name="HEIGHT_IA_02F_AA_U05___BR1_rm.">#REF!</definedName>
    <definedName name="HEIGHT_IA_02F_AA_U05___BR1_t_b">#REF!</definedName>
    <definedName name="HEIGHT_IA_02F_AA_U05___BR2_lobby">#REF!</definedName>
    <definedName name="HEIGHT_IA_02F_AA_U05___BR2_rm.">#REF!</definedName>
    <definedName name="HEIGHT_IA_02F_AA_U05___BR2_t_b">#REF!</definedName>
    <definedName name="HEIGHT_IA_02F_AA_U05___double_vol.">#REF!</definedName>
    <definedName name="HEIGHT_IA_02F_AA_U05___foyer">#REF!</definedName>
    <definedName name="HEIGHT_IA_02F_AA_U05___living_rm.">#REF!</definedName>
    <definedName name="HEIGHT_IA_02F_AA_U05___shaft">#REF!</definedName>
    <definedName name="HEIGHT_IA_02F_AA_U05___stairs">#REF!</definedName>
    <definedName name="HEIGHT_IA_02F_AA_U05___void">#REF!</definedName>
    <definedName name="HEIGHT_IA_02F_AA_U06___BR1_lobby">#REF!</definedName>
    <definedName name="HEIGHT_IA_02F_AA_U06___BR1_rm.">#REF!</definedName>
    <definedName name="HEIGHT_IA_02F_AA_U06___BR1_t_b">#REF!</definedName>
    <definedName name="HEIGHT_IA_02F_AA_U06___BR2_dresser">#REF!</definedName>
    <definedName name="HEIGHT_IA_02F_AA_U06___BR2_lobby">#REF!</definedName>
    <definedName name="HEIGHT_IA_02F_AA_U06___BR2_rm.">#REF!</definedName>
    <definedName name="HEIGHT_IA_02F_AA_U06___BR2_t_b">#REF!</definedName>
    <definedName name="HEIGHT_IA_02F_AA_U06___BR3_dresser">#REF!</definedName>
    <definedName name="HEIGHT_IA_02F_AA_U06___BR3_lobby">#REF!</definedName>
    <definedName name="HEIGHT_IA_02F_AA_U06___BR3_rm.">#REF!</definedName>
    <definedName name="HEIGHT_IA_02F_AA_U06___BR3_t_b">#REF!</definedName>
    <definedName name="HEIGHT_IA_02F_AA_U06___corridor">#REF!</definedName>
    <definedName name="HEIGHT_IA_02F_AA_U06___foyer">#REF!</definedName>
    <definedName name="HEIGHT_IA_02F_AA_U06___kitchen">#REF!</definedName>
    <definedName name="HEIGHT_IA_02F_AA_U06___living_dining">#REF!</definedName>
    <definedName name="HEIGHT_IA_02F_AA_U06___maids_rm.">#REF!</definedName>
    <definedName name="HEIGHT_IA_02F_AA_U06___maids_toi.">#REF!</definedName>
    <definedName name="HEIGHT_IA_02F_AA_U06___shaft">#REF!</definedName>
    <definedName name="HEIGHT_IA_02F_AA_U06___toilet">#REF!</definedName>
    <definedName name="HEIGHT_IA_02F_AA_U06___utility_rm.">#REF!</definedName>
    <definedName name="HEIGHT_IA_03F_AA_U05___corridor">#REF!</definedName>
    <definedName name="HEIGHT_IA_03F_AA_U05___foyer">#REF!</definedName>
    <definedName name="HEIGHT_IA_03F_AA_U05___kitchen">#REF!</definedName>
    <definedName name="HEIGHT_IA_03F_AA_U05___living_dining">#REF!</definedName>
    <definedName name="HEIGHT_IA_03F_AA_U05___maids_lobby">#REF!</definedName>
    <definedName name="HEIGHT_IA_03F_AA_U05___maids_rm.">#REF!</definedName>
    <definedName name="HEIGHT_IA_03F_AA_U05___maids_toi.">#REF!</definedName>
    <definedName name="HEIGHT_IA_03F_AA_U05___shaft">#REF!</definedName>
    <definedName name="HEIGHT_IA_03F_AA_U05___stairs">#REF!</definedName>
    <definedName name="HEIGHT_IA_03F_AA_U05___toilet">#REF!</definedName>
    <definedName name="HEIGHT_IA_03F_AA_U05___utility_rm.">#REF!</definedName>
    <definedName name="HEIGHT_IA_05F_AA_U01___BR1_lobby">#REF!</definedName>
    <definedName name="HEIGHT_IA_05F_AA_U01___BR1_rm.">#REF!</definedName>
    <definedName name="HEIGHT_IA_05F_AA_U01___BR1_t_b">#REF!</definedName>
    <definedName name="HEIGHT_IA_05F_AA_U01___BR2_dresser">#REF!</definedName>
    <definedName name="HEIGHT_IA_05F_AA_U01___BR2_lobby">#REF!</definedName>
    <definedName name="HEIGHT_IA_05F_AA_U01___BR2_rm.">#REF!</definedName>
    <definedName name="HEIGHT_IA_05F_AA_U01___BR2_t_b">#REF!</definedName>
    <definedName name="HEIGHT_IA_05F_AA_U01___corridor">#REF!</definedName>
    <definedName name="HEIGHT_IA_05F_AA_U01___foyer">#REF!</definedName>
    <definedName name="HEIGHT_IA_05F_AA_U01___kitchen">#REF!</definedName>
    <definedName name="HEIGHT_IA_05F_AA_U01___living_dining">#REF!</definedName>
    <definedName name="HEIGHT_IA_05F_AA_U01___maids_rm.">#REF!</definedName>
    <definedName name="HEIGHT_IA_05F_AA_U01___maids_toi.">#REF!</definedName>
    <definedName name="HEIGHT_IA_05F_AA_U01___shaft">#REF!</definedName>
    <definedName name="HEIGHT_IA_05F_AA_U01___toilet">#REF!</definedName>
    <definedName name="HEIGHT_IA_05F_AA_U01___utility_rm.">#REF!</definedName>
    <definedName name="HEIGHT_IA_05F_AA_U01___void">#REF!</definedName>
    <definedName name="HEIGHT_IA_05F_AA_U02___BR1_dresser">#REF!</definedName>
    <definedName name="HEIGHT_IA_05F_AA_U02___BR1_rm.">#REF!</definedName>
    <definedName name="HEIGHT_IA_05F_AA_U02___BR1_t_b">#REF!</definedName>
    <definedName name="HEIGHT_IA_05F_AA_U02___BR2_lobby">#REF!</definedName>
    <definedName name="HEIGHT_IA_05F_AA_U02___BR2_rm.">#REF!</definedName>
    <definedName name="HEIGHT_IA_05F_AA_U02___BR2_t_b">#REF!</definedName>
    <definedName name="HEIGHT_IA_05F_AA_U02___corridor">#REF!</definedName>
    <definedName name="HEIGHT_IA_05F_AA_U02___foyer">#REF!</definedName>
    <definedName name="HEIGHT_IA_05F_AA_U02___kitchen">#REF!</definedName>
    <definedName name="HEIGHT_IA_05F_AA_U02___living_dining">#REF!</definedName>
    <definedName name="HEIGHT_IA_05F_AA_U02___maids_rm.">#REF!</definedName>
    <definedName name="HEIGHT_IA_05F_AA_U02___maids_toi.">#REF!</definedName>
    <definedName name="HEIGHT_IA_05F_AA_U02___shaft">#REF!</definedName>
    <definedName name="HEIGHT_IA_05F_AA_U02___toilet">#REF!</definedName>
    <definedName name="HEIGHT_IA_05F_AA_U02___utility_rm.">#REF!</definedName>
    <definedName name="HEIGHT_IA_05F_AA_U02___void">#REF!</definedName>
    <definedName name="HEIGHT_IA_05F_AA_U05___corridor">#REF!</definedName>
    <definedName name="HEIGHT_IA_05F_AA_U05___foyer">#REF!</definedName>
    <definedName name="HEIGHT_IA_05F_AA_U05___kitchen">#REF!</definedName>
    <definedName name="HEIGHT_IA_05F_AA_U05___living_dining">#REF!</definedName>
    <definedName name="HEIGHT_IA_05F_AA_U05___maids_lobby">#REF!</definedName>
    <definedName name="HEIGHT_IA_05F_AA_U05___maids_rm.">#REF!</definedName>
    <definedName name="HEIGHT_IA_05F_AA_U05___maids_toi.">#REF!</definedName>
    <definedName name="HEIGHT_IA_05F_AA_U05___shaft">#REF!</definedName>
    <definedName name="HEIGHT_IA_05F_AA_U05___stairs">#REF!</definedName>
    <definedName name="HEIGHT_IA_05F_AA_U05___toilet">#REF!</definedName>
    <definedName name="HEIGHT_IA_05F_AA_U05___utility_rm.">#REF!</definedName>
    <definedName name="HEIGHT_IA_05F_AA_U06___BR1_lobby">#REF!</definedName>
    <definedName name="HEIGHT_IA_05F_AA_U06___BR1_rm.">#REF!</definedName>
    <definedName name="HEIGHT_IA_05F_AA_U06___BR1_t_b">#REF!</definedName>
    <definedName name="HEIGHT_IA_05F_AA_U06___BR2_dresser">#REF!</definedName>
    <definedName name="HEIGHT_IA_05F_AA_U06___BR2_lobby">#REF!</definedName>
    <definedName name="HEIGHT_IA_05F_AA_U06___BR2_rm.">#REF!</definedName>
    <definedName name="HEIGHT_IA_05F_AA_U06___BR2_t_b">#REF!</definedName>
    <definedName name="HEIGHT_IA_05F_AA_U06___BR3_dresser">#REF!</definedName>
    <definedName name="HEIGHT_IA_05F_AA_U06___BR3_lobby">#REF!</definedName>
    <definedName name="HEIGHT_IA_05F_AA_U06___BR3_rm.">#REF!</definedName>
    <definedName name="HEIGHT_IA_05F_AA_U06___BR3_t_b">#REF!</definedName>
    <definedName name="HEIGHT_IA_05F_AA_U06___corridor">#REF!</definedName>
    <definedName name="HEIGHT_IA_05F_AA_U06___foyer">#REF!</definedName>
    <definedName name="HEIGHT_IA_05F_AA_U06___kitchen">#REF!</definedName>
    <definedName name="HEIGHT_IA_05F_AA_U06___living_dining">#REF!</definedName>
    <definedName name="HEIGHT_IA_05F_AA_U06___maids_rm.">#REF!</definedName>
    <definedName name="HEIGHT_IA_05F_AA_U06___maids_toi.">#REF!</definedName>
    <definedName name="HEIGHT_IA_05F_AA_U06___shaft">#REF!</definedName>
    <definedName name="HEIGHT_IA_05F_AA_U06___toilet">#REF!</definedName>
    <definedName name="HEIGHT_IA_05F_AA_U06___utility_rm.">#REF!</definedName>
    <definedName name="HEIGHT_IA_06F_AA_U05___BR1_rm.">#REF!</definedName>
    <definedName name="HEIGHT_IA_06F_AA_U05___BR1_t_b">#REF!</definedName>
    <definedName name="HEIGHT_IA_06F_AA_U05___BR2_lobby">#REF!</definedName>
    <definedName name="HEIGHT_IA_06F_AA_U05___BR2_rm.">#REF!</definedName>
    <definedName name="HEIGHT_IA_06F_AA_U05___BR2_t_b">#REF!</definedName>
    <definedName name="HEIGHT_IA_06F_AA_U05___double_vol.">#REF!</definedName>
    <definedName name="HEIGHT_IA_06F_AA_U05___foyer">#REF!</definedName>
    <definedName name="HEIGHT_IA_06F_AA_U05___living_rm.">#REF!</definedName>
    <definedName name="HEIGHT_IA_06F_AA_U05___shaft">#REF!</definedName>
    <definedName name="HEIGHT_IA_06F_AA_U05___stairs">#REF!</definedName>
    <definedName name="HEIGHT_IA_06F_AA_U05___void">#REF!</definedName>
    <definedName name="HEIGHT_IA_06F_AA_U06___BR1_lobby">#REF!</definedName>
    <definedName name="HEIGHT_IA_06F_AA_U06___BR1_rm.">#REF!</definedName>
    <definedName name="HEIGHT_IA_06F_AA_U06___BR1_t_b">#REF!</definedName>
    <definedName name="HEIGHT_IA_06F_AA_U06___BR2_dresser">#REF!</definedName>
    <definedName name="HEIGHT_IA_06F_AA_U06___BR2_lobby">#REF!</definedName>
    <definedName name="HEIGHT_IA_06F_AA_U06___BR2_rm.">#REF!</definedName>
    <definedName name="HEIGHT_IA_06F_AA_U06___BR2_t_b">#REF!</definedName>
    <definedName name="HEIGHT_IA_06F_AA_U06___BR3_dresser">#REF!</definedName>
    <definedName name="HEIGHT_IA_06F_AA_U06___BR3_lobby">#REF!</definedName>
    <definedName name="HEIGHT_IA_06F_AA_U06___BR3_rm.">#REF!</definedName>
    <definedName name="HEIGHT_IA_06F_AA_U06___BR3_t_b">#REF!</definedName>
    <definedName name="HEIGHT_IA_06F_AA_U06___corridor">#REF!</definedName>
    <definedName name="HEIGHT_IA_06F_AA_U06___foyer">#REF!</definedName>
    <definedName name="HEIGHT_IA_06F_AA_U06___kitchen">#REF!</definedName>
    <definedName name="HEIGHT_IA_06F_AA_U06___living_dining">#REF!</definedName>
    <definedName name="HEIGHT_IA_06F_AA_U06___maids_rm.">#REF!</definedName>
    <definedName name="HEIGHT_IA_06F_AA_U06___maids_toi.">#REF!</definedName>
    <definedName name="HEIGHT_IA_06F_AA_U06___shaft">#REF!</definedName>
    <definedName name="HEIGHT_IA_06F_AA_U06___toilet">#REF!</definedName>
    <definedName name="HEIGHT_IA_06F_AA_U06___utility_rm.">#REF!</definedName>
    <definedName name="HEIGHT_IA_07F_AA_U03___BR1_dresser">#REF!</definedName>
    <definedName name="HEIGHT_IA_07F_AA_U03___BR1_lobby">#REF!</definedName>
    <definedName name="HEIGHT_IA_07F_AA_U03___BR1_rm.">#REF!</definedName>
    <definedName name="HEIGHT_IA_07F_AA_U03___BR1_store">#REF!</definedName>
    <definedName name="HEIGHT_IA_07F_AA_U03___BR1_t_b">#REF!</definedName>
    <definedName name="HEIGHT_IA_07F_AA_U03___foyer">#REF!</definedName>
    <definedName name="HEIGHT_IA_07F_AA_U03___kitchen">#REF!</definedName>
    <definedName name="HEIGHT_IA_07F_AA_U03___living_dining">#REF!</definedName>
    <definedName name="HEIGHT_IA_07F_AA_U03___shaft">#REF!</definedName>
    <definedName name="HEIGHT_IA_07F_AA_U03___storage">#REF!</definedName>
    <definedName name="HEIGHT_IA_07F_AA_U03___toilet">#REF!</definedName>
    <definedName name="HEIGHT_IA_07F_AA_U03___utility_rm.">#REF!</definedName>
    <definedName name="HEIGHT_IA_07F_AA_U03___void">#REF!</definedName>
    <definedName name="HEIGHT_IA_07F_AA_U04___BR1_dresser">#REF!</definedName>
    <definedName name="HEIGHT_IA_07F_AA_U04___BR1_lobby">#REF!</definedName>
    <definedName name="HEIGHT_IA_07F_AA_U04___BR1_rm.">#REF!</definedName>
    <definedName name="HEIGHT_IA_07F_AA_U04___BR1_store">#REF!</definedName>
    <definedName name="HEIGHT_IA_07F_AA_U04___BR1_t_b">#REF!</definedName>
    <definedName name="HEIGHT_IA_07F_AA_U04___foyer">#REF!</definedName>
    <definedName name="HEIGHT_IA_07F_AA_U04___kitchen">#REF!</definedName>
    <definedName name="HEIGHT_IA_07F_AA_U04___living_dining">#REF!</definedName>
    <definedName name="HEIGHT_IA_07F_AA_U04___shaft">#REF!</definedName>
    <definedName name="HEIGHT_IA_07F_AA_U04___storage">#REF!</definedName>
    <definedName name="HEIGHT_IA_07F_AA_U04___toilet">#REF!</definedName>
    <definedName name="HEIGHT_IA_07F_AA_U04___utility_rm.">#REF!</definedName>
    <definedName name="HEIGHT_IA_07F_AA_U04___void">#REF!</definedName>
    <definedName name="HEIGHT_IA_07F_AA_U06___BR1_lobby">#REF!</definedName>
    <definedName name="HEIGHT_IA_07F_AA_U06___BR1_rm.">#REF!</definedName>
    <definedName name="HEIGHT_IA_07F_AA_U06___BR1_t_b">#REF!</definedName>
    <definedName name="HEIGHT_IA_07F_AA_U06___BR2_dresser">#REF!</definedName>
    <definedName name="HEIGHT_IA_07F_AA_U06___BR2_lobby">#REF!</definedName>
    <definedName name="HEIGHT_IA_07F_AA_U06___BR2_rm.">#REF!</definedName>
    <definedName name="HEIGHT_IA_07F_AA_U06___BR2_t_b">#REF!</definedName>
    <definedName name="HEIGHT_IA_07F_AA_U06___BR3_dresser">#REF!</definedName>
    <definedName name="HEIGHT_IA_07F_AA_U06___BR3_lobby">#REF!</definedName>
    <definedName name="HEIGHT_IA_07F_AA_U06___BR3_rm.">#REF!</definedName>
    <definedName name="HEIGHT_IA_07F_AA_U06___BR3_t_b">#REF!</definedName>
    <definedName name="HEIGHT_IA_07F_AA_U06___corridor">#REF!</definedName>
    <definedName name="HEIGHT_IA_07F_AA_U06___foyer">#REF!</definedName>
    <definedName name="HEIGHT_IA_07F_AA_U06___kitchen">#REF!</definedName>
    <definedName name="HEIGHT_IA_07F_AA_U06___living_dining">#REF!</definedName>
    <definedName name="HEIGHT_IA_07F_AA_U06___maids_rm.">#REF!</definedName>
    <definedName name="HEIGHT_IA_07F_AA_U06___maids_toi.">#REF!</definedName>
    <definedName name="HEIGHT_IA_07F_AA_U06___shaft">#REF!</definedName>
    <definedName name="HEIGHT_IA_07F_AA_U06___toilet">#REF!</definedName>
    <definedName name="HEIGHT_IA_07F_AA_U06___utility_rm.">#REF!</definedName>
    <definedName name="HEIGHT_IA_08F_AA_U03___BR1_dresser">#REF!</definedName>
    <definedName name="HEIGHT_IA_08F_AA_U03___BR1_lobby">#REF!</definedName>
    <definedName name="HEIGHT_IA_08F_AA_U03___BR1_rm.">#REF!</definedName>
    <definedName name="HEIGHT_IA_08F_AA_U03___BR1_t_b">#REF!</definedName>
    <definedName name="HEIGHT_IA_08F_AA_U03___foyer">#REF!</definedName>
    <definedName name="HEIGHT_IA_08F_AA_U03___kitchen">#REF!</definedName>
    <definedName name="HEIGHT_IA_08F_AA_U03___living_dining">#REF!</definedName>
    <definedName name="HEIGHT_IA_08F_AA_U03___shaft">#REF!</definedName>
    <definedName name="HEIGHT_IA_08F_AA_U03___storage">#REF!</definedName>
    <definedName name="HEIGHT_IA_08F_AA_U03___toilet">#REF!</definedName>
    <definedName name="HEIGHT_IA_08F_AA_U03___utility_rm.">#REF!</definedName>
    <definedName name="HEIGHT_IA_08F_AA_U04___BR1_dresser">#REF!</definedName>
    <definedName name="HEIGHT_IA_08F_AA_U04___BR1_lobby">#REF!</definedName>
    <definedName name="HEIGHT_IA_08F_AA_U04___BR1_rm.">#REF!</definedName>
    <definedName name="HEIGHT_IA_08F_AA_U04___BR1_t_b">#REF!</definedName>
    <definedName name="HEIGHT_IA_08F_AA_U04___foyer">#REF!</definedName>
    <definedName name="HEIGHT_IA_08F_AA_U04___kitchen">#REF!</definedName>
    <definedName name="HEIGHT_IA_08F_AA_U04___living_dining">#REF!</definedName>
    <definedName name="HEIGHT_IA_08F_AA_U04___shaft">#REF!</definedName>
    <definedName name="HEIGHT_IA_08F_AA_U04___storage">#REF!</definedName>
    <definedName name="HEIGHT_IA_08F_AA_U04___toilet">#REF!</definedName>
    <definedName name="HEIGHT_IA_08F_AA_U04___utility_rm.">#REF!</definedName>
    <definedName name="HEIGHT_IA_08F_AA_U06___BR1_lobby">#REF!</definedName>
    <definedName name="HEIGHT_IA_08F_AA_U06___BR1_rm.">#REF!</definedName>
    <definedName name="HEIGHT_IA_08F_AA_U06___BR1_t_b">#REF!</definedName>
    <definedName name="HEIGHT_IA_08F_AA_U06___BR2_dresser">#REF!</definedName>
    <definedName name="HEIGHT_IA_08F_AA_U06___BR2_lobby">#REF!</definedName>
    <definedName name="HEIGHT_IA_08F_AA_U06___BR2_rm.">#REF!</definedName>
    <definedName name="HEIGHT_IA_08F_AA_U06___BR2_t_b">#REF!</definedName>
    <definedName name="HEIGHT_IA_08F_AA_U06___BR3_dresser">#REF!</definedName>
    <definedName name="HEIGHT_IA_08F_AA_U06___BR3_lobby">#REF!</definedName>
    <definedName name="HEIGHT_IA_08F_AA_U06___BR3_rm.">#REF!</definedName>
    <definedName name="HEIGHT_IA_08F_AA_U06___BR3_t_b">#REF!</definedName>
    <definedName name="HEIGHT_IA_08F_AA_U06___corridor">#REF!</definedName>
    <definedName name="HEIGHT_IA_08F_AA_U06___foyer">#REF!</definedName>
    <definedName name="HEIGHT_IA_08F_AA_U06___kitchen">#REF!</definedName>
    <definedName name="HEIGHT_IA_08F_AA_U06___living_dining">#REF!</definedName>
    <definedName name="HEIGHT_IA_08F_AA_U06___maids_rm.">#REF!</definedName>
    <definedName name="HEIGHT_IA_08F_AA_U06___maids_toi.">#REF!</definedName>
    <definedName name="HEIGHT_IA_08F_AA_U06___shaft">#REF!</definedName>
    <definedName name="HEIGHT_IA_08F_AA_U06___toilet">#REF!</definedName>
    <definedName name="HEIGHT_IA_08F_AA_U06___utility_rm.">#REF!</definedName>
    <definedName name="HEIGHT_IA_09F_AA_U06___BR1_lobby">#REF!</definedName>
    <definedName name="HEIGHT_IA_09F_AA_U06___BR1_rm.">#REF!</definedName>
    <definedName name="HEIGHT_IA_09F_AA_U06___BR1_t_b">#REF!</definedName>
    <definedName name="HEIGHT_IA_09F_AA_U06___BR2_dresser">#REF!</definedName>
    <definedName name="HEIGHT_IA_09F_AA_U06___BR2_lobby">#REF!</definedName>
    <definedName name="HEIGHT_IA_09F_AA_U06___BR2_rm.">#REF!</definedName>
    <definedName name="HEIGHT_IA_09F_AA_U06___BR2_t_b">#REF!</definedName>
    <definedName name="HEIGHT_IA_09F_AA_U06___BR3_dresser">#REF!</definedName>
    <definedName name="HEIGHT_IA_09F_AA_U06___BR3_lobby">#REF!</definedName>
    <definedName name="HEIGHT_IA_09F_AA_U06___BR3_rm.">#REF!</definedName>
    <definedName name="HEIGHT_IA_09F_AA_U06___BR3_t_b">#REF!</definedName>
    <definedName name="HEIGHT_IA_09F_AA_U06___corridor">#REF!</definedName>
    <definedName name="HEIGHT_IA_09F_AA_U06___foyer">#REF!</definedName>
    <definedName name="HEIGHT_IA_09F_AA_U06___kitchen">#REF!</definedName>
    <definedName name="HEIGHT_IA_09F_AA_U06___living_dining">#REF!</definedName>
    <definedName name="HEIGHT_IA_09F_AA_U06___maids_rm.">#REF!</definedName>
    <definedName name="HEIGHT_IA_09F_AA_U06___maids_toi.">#REF!</definedName>
    <definedName name="HEIGHT_IA_09F_AA_U06___shaft">#REF!</definedName>
    <definedName name="HEIGHT_IA_09F_AA_U06___toilet">#REF!</definedName>
    <definedName name="HEIGHT_IA_09F_AA_U06___utility_rm.">#REF!</definedName>
    <definedName name="HEIGHT_IA_11F_AA_U01___BR1_lobby">#REF!</definedName>
    <definedName name="HEIGHT_IA_11F_AA_U01___BR1_rm.">#REF!</definedName>
    <definedName name="HEIGHT_IA_11F_AA_U01___BR1_t_b">#REF!</definedName>
    <definedName name="HEIGHT_IA_11F_AA_U01___BR2_dresser">#REF!</definedName>
    <definedName name="HEIGHT_IA_11F_AA_U01___BR2_lobby">#REF!</definedName>
    <definedName name="HEIGHT_IA_11F_AA_U01___BR2_rm.">#REF!</definedName>
    <definedName name="HEIGHT_IA_11F_AA_U01___BR2_t_b">#REF!</definedName>
    <definedName name="HEIGHT_IA_11F_AA_U01___corridor">#REF!</definedName>
    <definedName name="HEIGHT_IA_11F_AA_U01___foyer">#REF!</definedName>
    <definedName name="HEIGHT_IA_11F_AA_U01___kitchen">#REF!</definedName>
    <definedName name="HEIGHT_IA_11F_AA_U01___living_dining">#REF!</definedName>
    <definedName name="HEIGHT_IA_11F_AA_U01___maids_rm.">#REF!</definedName>
    <definedName name="HEIGHT_IA_11F_AA_U01___maids_toi.">#REF!</definedName>
    <definedName name="HEIGHT_IA_11F_AA_U01___shaft">#REF!</definedName>
    <definedName name="HEIGHT_IA_11F_AA_U01___toilet">#REF!</definedName>
    <definedName name="HEIGHT_IA_11F_AA_U01___utility_rm.">#REF!</definedName>
    <definedName name="HEIGHT_IA_11F_AA_U01___void">#REF!</definedName>
    <definedName name="HEIGHT_IA_11F_AA_U02___BR1_dresser">#REF!</definedName>
    <definedName name="HEIGHT_IA_11F_AA_U02___BR1_rm.">#REF!</definedName>
    <definedName name="HEIGHT_IA_11F_AA_U02___BR1_t_b">#REF!</definedName>
    <definedName name="HEIGHT_IA_11F_AA_U02___BR2_lobby">#REF!</definedName>
    <definedName name="HEIGHT_IA_11F_AA_U02___BR2_rm.">#REF!</definedName>
    <definedName name="HEIGHT_IA_11F_AA_U02___BR2_t_b">#REF!</definedName>
    <definedName name="HEIGHT_IA_11F_AA_U02___corridor">#REF!</definedName>
    <definedName name="HEIGHT_IA_11F_AA_U02___foyer">#REF!</definedName>
    <definedName name="HEIGHT_IA_11F_AA_U02___kitchen">#REF!</definedName>
    <definedName name="HEIGHT_IA_11F_AA_U02___living_dining">#REF!</definedName>
    <definedName name="HEIGHT_IA_11F_AA_U02___maids_rm.">#REF!</definedName>
    <definedName name="HEIGHT_IA_11F_AA_U02___maids_toi.">#REF!</definedName>
    <definedName name="HEIGHT_IA_11F_AA_U02___shaft">#REF!</definedName>
    <definedName name="HEIGHT_IA_11F_AA_U02___toilet">#REF!</definedName>
    <definedName name="HEIGHT_IA_11F_AA_U02___utility_rm.">#REF!</definedName>
    <definedName name="HEIGHT_IA_11F_AA_U02___void">#REF!</definedName>
    <definedName name="HEIGHT_IA_11F_AA_U03___BR1_dresser">#REF!</definedName>
    <definedName name="HEIGHT_IA_11F_AA_U03___BR1_lobby">#REF!</definedName>
    <definedName name="HEIGHT_IA_11F_AA_U03___BR1_rm.">#REF!</definedName>
    <definedName name="HEIGHT_IA_11F_AA_U03___BR1_t_b">#REF!</definedName>
    <definedName name="HEIGHT_IA_11F_AA_U03___foyer">#REF!</definedName>
    <definedName name="HEIGHT_IA_11F_AA_U03___kitchen">#REF!</definedName>
    <definedName name="HEIGHT_IA_11F_AA_U03___living_dining">#REF!</definedName>
    <definedName name="HEIGHT_IA_11F_AA_U03___shaft">#REF!</definedName>
    <definedName name="HEIGHT_IA_11F_AA_U03___storage">#REF!</definedName>
    <definedName name="HEIGHT_IA_11F_AA_U03___toilet">#REF!</definedName>
    <definedName name="HEIGHT_IA_11F_AA_U03___utility_rm.">#REF!</definedName>
    <definedName name="HEIGHT_IA_11F_AA_U04___BR1_dresser">#REF!</definedName>
    <definedName name="HEIGHT_IA_11F_AA_U04___BR1_lobby">#REF!</definedName>
    <definedName name="HEIGHT_IA_11F_AA_U04___BR1_rm.">#REF!</definedName>
    <definedName name="HEIGHT_IA_11F_AA_U04___BR1_t_b">#REF!</definedName>
    <definedName name="HEIGHT_IA_11F_AA_U04___foyer">#REF!</definedName>
    <definedName name="HEIGHT_IA_11F_AA_U04___kitchen">#REF!</definedName>
    <definedName name="HEIGHT_IA_11F_AA_U04___living_dining">#REF!</definedName>
    <definedName name="HEIGHT_IA_11F_AA_U04___shaft">#REF!</definedName>
    <definedName name="HEIGHT_IA_11F_AA_U04___storage">#REF!</definedName>
    <definedName name="HEIGHT_IA_11F_AA_U04___toilet">#REF!</definedName>
    <definedName name="HEIGHT_IA_11F_AA_U04___utility_rm.">#REF!</definedName>
    <definedName name="HEIGHT_IA_11F_AA_U06___BR1_lobby">#REF!</definedName>
    <definedName name="HEIGHT_IA_11F_AA_U06___BR1_rm.">#REF!</definedName>
    <definedName name="HEIGHT_IA_11F_AA_U06___BR1_t_b">#REF!</definedName>
    <definedName name="HEIGHT_IA_11F_AA_U06___BR2_dresser">#REF!</definedName>
    <definedName name="HEIGHT_IA_11F_AA_U06___BR2_lobby">#REF!</definedName>
    <definedName name="HEIGHT_IA_11F_AA_U06___BR2_rm.">#REF!</definedName>
    <definedName name="HEIGHT_IA_11F_AA_U06___BR2_t_b">#REF!</definedName>
    <definedName name="HEIGHT_IA_11F_AA_U06___BR3_dresser">#REF!</definedName>
    <definedName name="HEIGHT_IA_11F_AA_U06___BR3_lobby">#REF!</definedName>
    <definedName name="HEIGHT_IA_11F_AA_U06___BR3_rm.">#REF!</definedName>
    <definedName name="HEIGHT_IA_11F_AA_U06___BR3_t_b">#REF!</definedName>
    <definedName name="HEIGHT_IA_11F_AA_U06___corridor">#REF!</definedName>
    <definedName name="HEIGHT_IA_11F_AA_U06___foyer">#REF!</definedName>
    <definedName name="HEIGHT_IA_11F_AA_U06___kitchen">#REF!</definedName>
    <definedName name="HEIGHT_IA_11F_AA_U06___living_dining">#REF!</definedName>
    <definedName name="HEIGHT_IA_11F_AA_U06___maids_rm.">#REF!</definedName>
    <definedName name="HEIGHT_IA_11F_AA_U06___maids_toi.">#REF!</definedName>
    <definedName name="HEIGHT_IA_11F_AA_U06___shaft">#REF!</definedName>
    <definedName name="HEIGHT_IA_11F_AA_U06___toilet">#REF!</definedName>
    <definedName name="HEIGHT_IA_11F_AA_U06___utility_rm.">#REF!</definedName>
    <definedName name="HEIGHT_IA_11F_AB_U00___corridor">#REF!</definedName>
    <definedName name="HEIGHT_IA_11F_AB_U00___lift_lobby">#REF!</definedName>
    <definedName name="HEIGHT_IA_11F_AB_U00___lift_shaft">#REF!</definedName>
    <definedName name="HEIGHT_IA_11F_AC_U00___electrical_rm.">#REF!</definedName>
    <definedName name="HEIGHT_IA_11F_AC_U00___f.e._stair">#REF!</definedName>
    <definedName name="HEIGHT_IA_11F_AC_U00___f.h.c.">#REF!</definedName>
    <definedName name="HEIGHT_IA_11F_AC_U00___garbage_rm.">#REF!</definedName>
    <definedName name="HEIGHT_IA_11F_AC_U00___shaft">#REF!</definedName>
    <definedName name="HEIGHT_IA_11F_AC_U00___telephone_rm.">#REF!</definedName>
    <definedName name="HEIGHT_IA_31F_AA_U01___BR1_lobby">#REF!</definedName>
    <definedName name="HEIGHT_IA_31F_AA_U01___BR1_rm.">#REF!</definedName>
    <definedName name="HEIGHT_IA_31F_AA_U01___BR1_t_b">#REF!</definedName>
    <definedName name="HEIGHT_IA_31F_AA_U01___BR2_dresser">#REF!</definedName>
    <definedName name="HEIGHT_IA_31F_AA_U01___BR2_lobby">#REF!</definedName>
    <definedName name="HEIGHT_IA_31F_AA_U01___BR2_rm.">#REF!</definedName>
    <definedName name="HEIGHT_IA_31F_AA_U01___BR2_t_b">#REF!</definedName>
    <definedName name="HEIGHT_IA_31F_AA_U01___corridor">#REF!</definedName>
    <definedName name="HEIGHT_IA_31F_AA_U01___foyer">#REF!</definedName>
    <definedName name="HEIGHT_IA_31F_AA_U01___kitchen">#REF!</definedName>
    <definedName name="HEIGHT_IA_31F_AA_U01___living_dining">#REF!</definedName>
    <definedName name="HEIGHT_IA_31F_AA_U01___maids_rm.">#REF!</definedName>
    <definedName name="HEIGHT_IA_31F_AA_U01___maids_toi.">#REF!</definedName>
    <definedName name="HEIGHT_IA_31F_AA_U01___shaft">#REF!</definedName>
    <definedName name="HEIGHT_IA_31F_AA_U01___toilet">#REF!</definedName>
    <definedName name="HEIGHT_IA_31F_AA_U01___utility_rm.">#REF!</definedName>
    <definedName name="HEIGHT_IA_31F_AA_U01___void">#REF!</definedName>
    <definedName name="HEIGHT_IA_31F_AA_U02___BR1_dresser">#REF!</definedName>
    <definedName name="HEIGHT_IA_31F_AA_U02___BR1_rm.">#REF!</definedName>
    <definedName name="HEIGHT_IA_31F_AA_U02___BR1_t_b">#REF!</definedName>
    <definedName name="HEIGHT_IA_31F_AA_U02___BR2_lobby">#REF!</definedName>
    <definedName name="HEIGHT_IA_31F_AA_U02___BR2_rm.">#REF!</definedName>
    <definedName name="HEIGHT_IA_31F_AA_U02___BR2_t_b">#REF!</definedName>
    <definedName name="HEIGHT_IA_31F_AA_U02___corridor">#REF!</definedName>
    <definedName name="HEIGHT_IA_31F_AA_U02___foyer">#REF!</definedName>
    <definedName name="HEIGHT_IA_31F_AA_U02___kitchen">#REF!</definedName>
    <definedName name="HEIGHT_IA_31F_AA_U02___living_dining">#REF!</definedName>
    <definedName name="HEIGHT_IA_31F_AA_U02___maids_rm.">#REF!</definedName>
    <definedName name="HEIGHT_IA_31F_AA_U02___maids_toi.">#REF!</definedName>
    <definedName name="HEIGHT_IA_31F_AA_U02___shaft">#REF!</definedName>
    <definedName name="HEIGHT_IA_31F_AA_U02___toilet">#REF!</definedName>
    <definedName name="HEIGHT_IA_31F_AA_U02___utility_rm.">#REF!</definedName>
    <definedName name="HEIGHT_IA_31F_AA_U02___void">#REF!</definedName>
    <definedName name="HEIGHT_IA_31F_AA_U03___BR1_dresser">#REF!</definedName>
    <definedName name="HEIGHT_IA_31F_AA_U03___BR1_lobby">#REF!</definedName>
    <definedName name="HEIGHT_IA_31F_AA_U03___BR1_rm.">#REF!</definedName>
    <definedName name="HEIGHT_IA_31F_AA_U03___BR1_t_b">#REF!</definedName>
    <definedName name="HEIGHT_IA_31F_AA_U03___foyer">#REF!</definedName>
    <definedName name="HEIGHT_IA_31F_AA_U03___kitchen">#REF!</definedName>
    <definedName name="HEIGHT_IA_31F_AA_U03___living_dining">#REF!</definedName>
    <definedName name="HEIGHT_IA_31F_AA_U03___shaft">#REF!</definedName>
    <definedName name="HEIGHT_IA_31F_AA_U03___storage">#REF!</definedName>
    <definedName name="HEIGHT_IA_31F_AA_U03___toilet">#REF!</definedName>
    <definedName name="HEIGHT_IA_31F_AA_U03___utility_rm.">#REF!</definedName>
    <definedName name="HEIGHT_IA_31F_AA_U04___BR1_dresser">#REF!</definedName>
    <definedName name="HEIGHT_IA_31F_AA_U04___BR1_lobby">#REF!</definedName>
    <definedName name="HEIGHT_IA_31F_AA_U04___BR1_rm.">#REF!</definedName>
    <definedName name="HEIGHT_IA_31F_AA_U04___BR1_t_b">#REF!</definedName>
    <definedName name="HEIGHT_IA_31F_AA_U04___foyer">#REF!</definedName>
    <definedName name="HEIGHT_IA_31F_AA_U04___kitchen">#REF!</definedName>
    <definedName name="HEIGHT_IA_31F_AA_U04___living_dining">#REF!</definedName>
    <definedName name="HEIGHT_IA_31F_AA_U04___shaft">#REF!</definedName>
    <definedName name="HEIGHT_IA_31F_AA_U04___storage">#REF!</definedName>
    <definedName name="HEIGHT_IA_31F_AA_U04___toilet">#REF!</definedName>
    <definedName name="HEIGHT_IA_31F_AA_U04___utility_rm.">#REF!</definedName>
    <definedName name="HEIGHT_IA_31F_AA_U05___corridor">#REF!</definedName>
    <definedName name="HEIGHT_IA_31F_AA_U05___foyer">#REF!</definedName>
    <definedName name="HEIGHT_IA_31F_AA_U05___kitchen">#REF!</definedName>
    <definedName name="HEIGHT_IA_31F_AA_U05___living_dining">#REF!</definedName>
    <definedName name="HEIGHT_IA_31F_AA_U05___maids_lobby">#REF!</definedName>
    <definedName name="HEIGHT_IA_31F_AA_U05___maids_rm.">#REF!</definedName>
    <definedName name="HEIGHT_IA_31F_AA_U05___maids_toi.">#REF!</definedName>
    <definedName name="HEIGHT_IA_31F_AA_U05___shaft">#REF!</definedName>
    <definedName name="HEIGHT_IA_31F_AA_U05___stairs">#REF!</definedName>
    <definedName name="HEIGHT_IA_31F_AA_U05___toilet">#REF!</definedName>
    <definedName name="HEIGHT_IA_31F_AA_U05___utility_rm.">#REF!</definedName>
    <definedName name="HEIGHT_IA_31F_AA_U06___BR1_lobby">#REF!</definedName>
    <definedName name="HEIGHT_IA_31F_AA_U06___BR1_rm.">#REF!</definedName>
    <definedName name="HEIGHT_IA_31F_AA_U06___BR1_t_b">#REF!</definedName>
    <definedName name="HEIGHT_IA_31F_AA_U06___BR2_dresser">#REF!</definedName>
    <definedName name="HEIGHT_IA_31F_AA_U06___BR2_lobby">#REF!</definedName>
    <definedName name="HEIGHT_IA_31F_AA_U06___BR2_rm.">#REF!</definedName>
    <definedName name="HEIGHT_IA_31F_AA_U06___BR2_t_b">#REF!</definedName>
    <definedName name="HEIGHT_IA_31F_AA_U06___corridor">#REF!</definedName>
    <definedName name="HEIGHT_IA_31F_AA_U06___foyer">#REF!</definedName>
    <definedName name="HEIGHT_IA_31F_AA_U06___kitchen">#REF!</definedName>
    <definedName name="HEIGHT_IA_31F_AA_U06___living_dining">#REF!</definedName>
    <definedName name="HEIGHT_IA_31F_AA_U06___maids_rm.">#REF!</definedName>
    <definedName name="HEIGHT_IA_31F_AA_U06___maids_toi.">#REF!</definedName>
    <definedName name="HEIGHT_IA_31F_AA_U06___shaft">#REF!</definedName>
    <definedName name="HEIGHT_IA_31F_AA_U06___solaria">#REF!</definedName>
    <definedName name="HEIGHT_IA_31F_AA_U06___stair">#REF!</definedName>
    <definedName name="HEIGHT_IA_31F_AA_U06___toilet">#REF!</definedName>
    <definedName name="HEIGHT_IA_31F_AA_U06___utility_rm.">#REF!</definedName>
    <definedName name="HEIGHT_IA_31F_AA_U06___void">#REF!</definedName>
    <definedName name="HEIGHT_IA_31F_AB_U00___corridor">#REF!</definedName>
    <definedName name="HEIGHT_IA_31F_AB_U00___lift_lobby">#REF!</definedName>
    <definedName name="HEIGHT_IA_31F_AB_U00___lift_shaft">#REF!</definedName>
    <definedName name="HEIGHT_IA_31F_AC_U00___electrical_rm.">#REF!</definedName>
    <definedName name="HEIGHT_IA_31F_AC_U00___f.e._stair">#REF!</definedName>
    <definedName name="HEIGHT_IA_31F_AC_U00___f.h.c.">#REF!</definedName>
    <definedName name="HEIGHT_IA_31F_AC_U00___garbage_rm.">#REF!</definedName>
    <definedName name="HEIGHT_IA_31F_AC_U00___shaft">#REF!</definedName>
    <definedName name="HEIGHT_IA_31F_AC_U00___telephone_rm.">#REF!</definedName>
    <definedName name="HEIGHT_IA_32F_AA_U05___BR1_rm.">#REF!</definedName>
    <definedName name="HEIGHT_IA_32F_AA_U05___BR1_t_b">#REF!</definedName>
    <definedName name="HEIGHT_IA_32F_AA_U05___BR2_lobby">#REF!</definedName>
    <definedName name="HEIGHT_IA_32F_AA_U05___BR2_rm.">#REF!</definedName>
    <definedName name="HEIGHT_IA_32F_AA_U05___BR2_t_b">#REF!</definedName>
    <definedName name="HEIGHT_IA_32F_AA_U05___double_vol.">#REF!</definedName>
    <definedName name="HEIGHT_IA_32F_AA_U05___foyer">#REF!</definedName>
    <definedName name="HEIGHT_IA_32F_AA_U05___living_rm.">#REF!</definedName>
    <definedName name="HEIGHT_IA_32F_AA_U05___shaft">#REF!</definedName>
    <definedName name="HEIGHT_IA_32F_AA_U05___stairs">#REF!</definedName>
    <definedName name="HEIGHT_IA_32F_AA_U05___void">#REF!</definedName>
    <definedName name="HEIGHT_IA_32F_AA_U06___BR1_lobby">#REF!</definedName>
    <definedName name="HEIGHT_IA_32F_AA_U06___BR1_rm.">#REF!</definedName>
    <definedName name="HEIGHT_IA_32F_AA_U06___BR1_t_b">#REF!</definedName>
    <definedName name="HEIGHT_IA_32F_AA_U06___BR2_dresser">#REF!</definedName>
    <definedName name="HEIGHT_IA_32F_AA_U06___BR2_lobby">#REF!</definedName>
    <definedName name="HEIGHT_IA_32F_AA_U06___BR2_rm.">#REF!</definedName>
    <definedName name="HEIGHT_IA_32F_AA_U06___BR2_t_b">#REF!</definedName>
    <definedName name="HEIGHT_IA_32F_AA_U06___corridor">#REF!</definedName>
    <definedName name="HEIGHT_IA_32F_AA_U06___double_vol.">#REF!</definedName>
    <definedName name="HEIGHT_IA_32F_AA_U06___jacuzzi_area">#REF!</definedName>
    <definedName name="HEIGHT_IA_32F_AA_U06___living_foyer">#REF!</definedName>
    <definedName name="HEIGHT_IA_32F_AA_U06___pantry">#REF!</definedName>
    <definedName name="HEIGHT_IA_32F_AA_U06___shaft">#REF!</definedName>
    <definedName name="HEIGHT_IA_32F_AA_U06___stair">#REF!</definedName>
    <definedName name="HEIGHT_IA_32F_AA_U06___study">#REF!</definedName>
    <definedName name="HEIGHT_IA_33RF_AC_U00___electrical_rm.">#REF!</definedName>
    <definedName name="HEIGHT_IA_33RF_AC_U00___f.e._stair">#REF!</definedName>
    <definedName name="HEIGHT_IA_33RF_AC_U00___g.s.m._rm.">#REF!</definedName>
    <definedName name="HEIGHT_IA_33RF_AC_U00___lift_shaft">#REF!</definedName>
    <definedName name="HEIGHT_IA_33RF_AC_U00___shaft">#REF!</definedName>
    <definedName name="HEIGHT_IA_33RF_AC_U00___tech._rm.">#REF!</definedName>
    <definedName name="HEIGHT_IA_33RF_AC_U00___telephone_rm.">#REF!</definedName>
    <definedName name="HEIGHT_IA_33RF_AC_U00___water_tank">#REF!</definedName>
    <definedName name="HEIGHT_IA_34uRF_AC_U00___machine_rm.">#REF!</definedName>
    <definedName name="HEIGHT_IA_34uRF_AC_U00___machine_rm._lobby">#REF!</definedName>
    <definedName name="HEIGHT_IA_34uRF_AC_U00___pump_rm.">#REF!</definedName>
    <definedName name="HEIGHT_IA_34uRF_AC_U00___r.c._water_tank">#REF!</definedName>
    <definedName name="HEIGHT_IA_34uRF_AC_U00___shaft">#REF!</definedName>
    <definedName name="HEIGHT_Intelligent_Water_Meter_by_DEWA">#REF!</definedName>
    <definedName name="HEIGHT_Internal_Ceiling_Finishes__Bulkhead">#REF!</definedName>
    <definedName name="HEIGHT_Internal_Ceiling_Finishes__PF01">#REF!</definedName>
    <definedName name="HEIGHT_Internal_Ceiling_Finishes__PF02">#REF!</definedName>
    <definedName name="HEIGHT_Internal_Ceiling_Finishes__PH01">#REF!</definedName>
    <definedName name="HEIGHT_Internal_Doors__D_02">#REF!</definedName>
    <definedName name="HEIGHT_Internal_Doors__D_03">#REF!</definedName>
    <definedName name="HEIGHT_Internal_Doors__D_04">#REF!</definedName>
    <definedName name="HEIGHT_Internal_Doors__D_06">#REF!</definedName>
    <definedName name="HEIGHT_Internal_Floor_Finishes__FF01">#REF!</definedName>
    <definedName name="HEIGHT_Internal_Floor_Finishes__FF03">#REF!</definedName>
    <definedName name="HEIGHT_Internal_Floor_Finishes__FF05">#REF!</definedName>
    <definedName name="HEIGHT_Internal_Floor_Finishes__Wet_Areas">#REF!</definedName>
    <definedName name="HEIGHT_Internal_Wall__Blockwork___BW_1">#REF!</definedName>
    <definedName name="HEIGHT_Internal_Wall__Blockwork___BW_2">#REF!</definedName>
    <definedName name="HEIGHT_Internal_Wall__Blockwork___BW_3">#REF!</definedName>
    <definedName name="HEIGHT_Internal_Wall__Threshold">#REF!</definedName>
    <definedName name="HEIGHT_Internal_Wall_Finishes__PF03">#REF!</definedName>
    <definedName name="HEIGHT_Internal_Wall_Finishes__PF04">#REF!</definedName>
    <definedName name="HEIGHT_Internal_Wall_Finishes__Render">#REF!</definedName>
    <definedName name="HEIGHT_Internal_Wall_Finishes__W01">#REF!</definedName>
    <definedName name="HEIGHT_Internal_Wall_Finishes__W03">#REF!</definedName>
    <definedName name="HEIGHT_Internal_Wall_Finishes__WF05">#REF!</definedName>
    <definedName name="HEIGHT_Internal_Wall_Finishes__WF07">#REF!</definedName>
    <definedName name="HEIGHT_Isolation_Valve">#REF!</definedName>
    <definedName name="HEIGHT_L0__TW1_250">#REF!</definedName>
    <definedName name="HEIGHT_L0__TW2_200">#REF!</definedName>
    <definedName name="HEIGHT_L0__TW3_300">#REF!</definedName>
    <definedName name="HEIGHT_L0__TW3_400">#REF!</definedName>
    <definedName name="HEIGHT_L0__TW4_500">#REF!</definedName>
    <definedName name="HEIGHT_L0__TW4_600">#REF!</definedName>
    <definedName name="HEIGHT_L0__W1__300">#REF!</definedName>
    <definedName name="HEIGHT_L0__W1_300_Door_Overhead">#REF!</definedName>
    <definedName name="HEIGHT_L0_Beams">#REF!</definedName>
    <definedName name="HEIGHT_L0_DP1_3000x3000x350">#REF!</definedName>
    <definedName name="HEIGHT_L0_DP2_3000x1750x350">#REF!</definedName>
    <definedName name="HEIGHT_L0_DP5_3000x3000x400">#REF!</definedName>
    <definedName name="HEIGHT_L0_DP6_6500x4000x550">#REF!</definedName>
    <definedName name="HEIGHT_L0_DP7_3500x1900x400">#REF!</definedName>
    <definedName name="HEIGHT_L0_Ramp">#REF!</definedName>
    <definedName name="HEIGHT_L0_Slab_200">#REF!</definedName>
    <definedName name="HEIGHT_L0_Slab_220">#REF!</definedName>
    <definedName name="HEIGHT_L0_Slab_240">#REF!</definedName>
    <definedName name="HEIGHT_L0_Slab_250">#REF!</definedName>
    <definedName name="HEIGHT_L0_Slab_260">#REF!</definedName>
    <definedName name="HEIGHT_L0_Slab_400">#REF!</definedName>
    <definedName name="HEIGHT_L0_Slab_450">#REF!</definedName>
    <definedName name="HEIGHT_L00__Column_C1">#REF!</definedName>
    <definedName name="HEIGHT_L00__Column_C10">#REF!</definedName>
    <definedName name="HEIGHT_L00__Column_C11">#REF!</definedName>
    <definedName name="HEIGHT_L00__Column_C12">#REF!</definedName>
    <definedName name="HEIGHT_L00__Column_C2">#REF!</definedName>
    <definedName name="HEIGHT_L00__Column_C3">#REF!</definedName>
    <definedName name="HEIGHT_L00__Column_C4">#REF!</definedName>
    <definedName name="HEIGHT_L00__Column_C5">#REF!</definedName>
    <definedName name="HEIGHT_L00__Column_C6">#REF!</definedName>
    <definedName name="HEIGHT_L00__Column_C7">#REF!</definedName>
    <definedName name="HEIGHT_L00__Column_C8">#REF!</definedName>
    <definedName name="HEIGHT_L00__Column_C9">#REF!</definedName>
    <definedName name="HEIGHT_L00__Column_FC1">#REF!</definedName>
    <definedName name="HEIGHT_L00__Column_TC1">#REF!</definedName>
    <definedName name="HEIGHT_L00__Column_TC2">#REF!</definedName>
    <definedName name="HEIGHT_L00__Column_TC3">#REF!</definedName>
    <definedName name="HEIGHT_L00__Column_TC4">#REF!</definedName>
    <definedName name="HEIGHT_L00__Column_TC5">#REF!</definedName>
    <definedName name="HEIGHT_L01__Column_C10">#REF!</definedName>
    <definedName name="HEIGHT_L01__Column_C6">#REF!</definedName>
    <definedName name="HEIGHT_L01__Column_C7">#REF!</definedName>
    <definedName name="HEIGHT_L01__Column_TC1">#REF!</definedName>
    <definedName name="HEIGHT_L01__Column_TC2">#REF!</definedName>
    <definedName name="HEIGHT_L01__Column_TC3">#REF!</definedName>
    <definedName name="HEIGHT_L01__Column_TC4">#REF!</definedName>
    <definedName name="HEIGHT_L01__Column_TC5">#REF!</definedName>
    <definedName name="HEIGHT_L02__Column_TC1">#REF!</definedName>
    <definedName name="HEIGHT_L02__Column_TC2">#REF!</definedName>
    <definedName name="HEIGHT_L02__Column_TC3">#REF!</definedName>
    <definedName name="HEIGHT_L02__Column_TC4">#REF!</definedName>
    <definedName name="HEIGHT_L02__Column_TC5">#REF!</definedName>
    <definedName name="HEIGHT_L02_to_L03__CORE_Typical">#REF!</definedName>
    <definedName name="HEIGHT_L03_to_L05__CORE_TYPICAL">#REF!</definedName>
    <definedName name="HEIGHT_L03_to_L05__Opening">#REF!</definedName>
    <definedName name="HEIGHT_L05_to_L14__CORE_Typical">#REF!</definedName>
    <definedName name="HEIGHT_L1__TW1_250">#REF!</definedName>
    <definedName name="HEIGHT_L1__TW2_200">#REF!</definedName>
    <definedName name="HEIGHT_L1__TW3_300">#REF!</definedName>
    <definedName name="HEIGHT_L1__TW4_600">#REF!</definedName>
    <definedName name="HEIGHT_L1__TW5_300">#REF!</definedName>
    <definedName name="HEIGHT_L1_Beams">#REF!</definedName>
    <definedName name="HEIGHT_L1_DP">#REF!</definedName>
    <definedName name="HEIGHT_L1_DP1_3000x3000x350">#REF!</definedName>
    <definedName name="HEIGHT_L1_DP11_3250x1750x350">#REF!</definedName>
    <definedName name="HEIGHT_L1_DP13_3250x1750x600">#REF!</definedName>
    <definedName name="HEIGHT_L1_DP14_3000x3000x600">#REF!</definedName>
    <definedName name="HEIGHT_L1_DP15_3500x3500x600">#REF!</definedName>
    <definedName name="HEIGHT_L1_DP3_3500x1900x350">#REF!</definedName>
    <definedName name="HEIGHT_L1_DP4_3500x3500x400">#REF!</definedName>
    <definedName name="HEIGHT_L1_DP8_8000x5500x600">#REF!</definedName>
    <definedName name="HEIGHT_L1_Slab_200">#REF!</definedName>
    <definedName name="HEIGHT_L1_Slab_240">#REF!</definedName>
    <definedName name="HEIGHT_L1_Slab_280">#REF!</definedName>
    <definedName name="HEIGHT_L1_Slab_360">#REF!</definedName>
    <definedName name="HEIGHT_L14__COMFLOR_100">#REF!</definedName>
    <definedName name="HEIGHT_L14__CONC_SLAB">#REF!</definedName>
    <definedName name="HEIGHT_L14__RC_CORE_VOIDS">#REF!</definedName>
    <definedName name="HEIGHT_L15__COMFLOR_100">#REF!</definedName>
    <definedName name="HEIGHT_L15__HEA_320">#REF!</definedName>
    <definedName name="HEIGHT_L15__HEB_160">#REF!</definedName>
    <definedName name="HEIGHT_L15__HEM_180">#REF!</definedName>
    <definedName name="HEIGHT_L15__RHS_400x200x16">#REF!</definedName>
    <definedName name="HEIGHT_L15__TW1_250">#REF!</definedName>
    <definedName name="HEIGHT_L15__TW2_200">#REF!</definedName>
    <definedName name="HEIGHT_L15__TW3_300">#REF!</definedName>
    <definedName name="HEIGHT_L15__TW4_600">#REF!</definedName>
    <definedName name="HEIGHT_L15__TW5_300">#REF!</definedName>
    <definedName name="HEIGHT_L15_Beams">#REF!</definedName>
    <definedName name="HEIGHT_L15_Slab_250">#REF!</definedName>
    <definedName name="HEIGHT_L15_Slab_400">#REF!</definedName>
    <definedName name="HEIGHT_L15_to_L16__CONC_SLAB">#REF!</definedName>
    <definedName name="HEIGHT_L16__COMFLOR_100">#REF!</definedName>
    <definedName name="HEIGHT_L16__HEA_320">#REF!</definedName>
    <definedName name="HEIGHT_L16__HEB_160">#REF!</definedName>
    <definedName name="HEIGHT_L16__HEM_180">#REF!</definedName>
    <definedName name="HEIGHT_L16__RHS_400x200x16">#REF!</definedName>
    <definedName name="HEIGHT_L16__TW1_250">#REF!</definedName>
    <definedName name="HEIGHT_L16__TW2_200">#REF!</definedName>
    <definedName name="HEIGHT_L16__TW3_300">#REF!</definedName>
    <definedName name="HEIGHT_L16__TW4_600">#REF!</definedName>
    <definedName name="HEIGHT_L16_Beams">#REF!</definedName>
    <definedName name="HEIGHT_L16_Slab_200">#REF!</definedName>
    <definedName name="HEIGHT_L16_Slab_240">#REF!</definedName>
    <definedName name="HEIGHT_L16_Slab_280">#REF!</definedName>
    <definedName name="HEIGHT_L17__COMFLOR_100">#REF!</definedName>
    <definedName name="HEIGHT_L17__HEA_320">#REF!</definedName>
    <definedName name="HEIGHT_L17__HEB_160">#REF!</definedName>
    <definedName name="HEIGHT_L17__HEM_180">#REF!</definedName>
    <definedName name="HEIGHT_L17__RHS_400x200x16">#REF!</definedName>
    <definedName name="HEIGHT_L17__TW1_250">#REF!</definedName>
    <definedName name="HEIGHT_L17__TW2_200">#REF!</definedName>
    <definedName name="HEIGHT_L17__TW3_300">#REF!</definedName>
    <definedName name="HEIGHT_L17__TW4_600">#REF!</definedName>
    <definedName name="HEIGHT_L17_Beams">#REF!</definedName>
    <definedName name="HEIGHT_L17_Slab_200">#REF!</definedName>
    <definedName name="HEIGHT_L17_Slab_240">#REF!</definedName>
    <definedName name="HEIGHT_L17_Slab_280">#REF!</definedName>
    <definedName name="HEIGHT_L17_to_L35__CONC_SLAB">#REF!</definedName>
    <definedName name="HEIGHT_L18__COMFLOR_100">#REF!</definedName>
    <definedName name="HEIGHT_L18__HEA_320">#REF!</definedName>
    <definedName name="HEIGHT_L18__HEB_160">#REF!</definedName>
    <definedName name="HEIGHT_L18__HEM_180">#REF!</definedName>
    <definedName name="HEIGHT_L18__RC_CORE_VOIDS">#REF!</definedName>
    <definedName name="HEIGHT_L18__RHS_400x200x16">#REF!</definedName>
    <definedName name="HEIGHT_L19__COMFLOR_100">#REF!</definedName>
    <definedName name="HEIGHT_L19__HEA_320">#REF!</definedName>
    <definedName name="HEIGHT_L19__HEB_160">#REF!</definedName>
    <definedName name="HEIGHT_L19__HEM_180">#REF!</definedName>
    <definedName name="HEIGHT_L19__RHS_400x200x16">#REF!</definedName>
    <definedName name="HEIGHT_L2___1000x1500mm">#REF!</definedName>
    <definedName name="HEIGHT_L2___1000x1500mm_curved">#REF!</definedName>
    <definedName name="HEIGHT_L2___1200x1200x1500mm">#REF!</definedName>
    <definedName name="HEIGHT_L2___1200x1500mm">#REF!</definedName>
    <definedName name="HEIGHT_L2___1200x3000x1500mm">#REF!</definedName>
    <definedName name="HEIGHT_L2___1500x1500x1500mm">#REF!</definedName>
    <definedName name="HEIGHT_L2___1800x1800x1500mm">#REF!</definedName>
    <definedName name="HEIGHT_L2___1800x4500x1500mm">#REF!</definedName>
    <definedName name="HEIGHT_L2___400mm_raft_slab">#REF!</definedName>
    <definedName name="HEIGHT_L2___400mm_Retaining_wall">#REF!</definedName>
    <definedName name="HEIGHT_L2___400mm_Retaining_wall_curved">#REF!</definedName>
    <definedName name="HEIGHT_L2___400x1500mm">#REF!</definedName>
    <definedName name="HEIGHT_L2___500mm_Retaining_wall">#REF!</definedName>
    <definedName name="HEIGHT_L2___500mm_Retaining_wall_curved">#REF!</definedName>
    <definedName name="HEIGHT_L2___600mm_diameter">#REF!</definedName>
    <definedName name="HEIGHT_L2___750mm_diameter">#REF!</definedName>
    <definedName name="HEIGHT_L2___800x1500mm">#REF!</definedName>
    <definedName name="HEIGHT_L2___900mm_diameter">#REF!</definedName>
    <definedName name="HEIGHT_L2___Pilecaps">#REF!</definedName>
    <definedName name="HEIGHT_L2__Column__550dia__assumed_size_as_per_plan_">#REF!</definedName>
    <definedName name="HEIGHT_L2__TW1_250">#REF!</definedName>
    <definedName name="HEIGHT_L2__TW2_200">#REF!</definedName>
    <definedName name="HEIGHT_L2__TW3_300">#REF!</definedName>
    <definedName name="HEIGHT_L2__TW4_600">#REF!</definedName>
    <definedName name="HEIGHT_L2__TW5_300">#REF!</definedName>
    <definedName name="HEIGHT_L2__Wall__250__assumed_">#REF!</definedName>
    <definedName name="HEIGHT_L2__Wall__250_curved__assumed_">#REF!</definedName>
    <definedName name="HEIGHT_L2_Beams">#REF!</definedName>
    <definedName name="HEIGHT_L2_Slab_200">#REF!</definedName>
    <definedName name="HEIGHT_L2_Slab_240">#REF!</definedName>
    <definedName name="HEIGHT_L2_Slab_280">#REF!</definedName>
    <definedName name="HEIGHT_L20__COMFLOR_100">#REF!</definedName>
    <definedName name="HEIGHT_L20__HEA_320">#REF!</definedName>
    <definedName name="HEIGHT_L20__HEB_160">#REF!</definedName>
    <definedName name="HEIGHT_L20__HEM_180">#REF!</definedName>
    <definedName name="HEIGHT_L20__RHS_400x400x16">#REF!</definedName>
    <definedName name="HEIGHT_L21__COMFLOR_100">#REF!</definedName>
    <definedName name="HEIGHT_L21__HEA_320">#REF!</definedName>
    <definedName name="HEIGHT_L21__HEB_160">#REF!</definedName>
    <definedName name="HEIGHT_L21__HEM_180">#REF!</definedName>
    <definedName name="HEIGHT_L21__RHS_400x400x16">#REF!</definedName>
    <definedName name="HEIGHT_L22__COMFLOR_100">#REF!</definedName>
    <definedName name="HEIGHT_L22__HEA_320">#REF!</definedName>
    <definedName name="HEIGHT_L22__HEB_160">#REF!</definedName>
    <definedName name="HEIGHT_L22__HEM_180">#REF!</definedName>
    <definedName name="HEIGHT_L22__RHS_400x400x16">#REF!</definedName>
    <definedName name="HEIGHT_L23__COMFLOR_100">#REF!</definedName>
    <definedName name="HEIGHT_L23__HEA_320">#REF!</definedName>
    <definedName name="HEIGHT_L23__HEB_160">#REF!</definedName>
    <definedName name="HEIGHT_L23__HEM_180">#REF!</definedName>
    <definedName name="HEIGHT_L23__RHS_400x400x16">#REF!</definedName>
    <definedName name="HEIGHT_L24__COMFLOR_100">#REF!</definedName>
    <definedName name="HEIGHT_L24__HEA_320">#REF!</definedName>
    <definedName name="HEIGHT_L24__HEB_160">#REF!</definedName>
    <definedName name="HEIGHT_L24__HEM_180">#REF!</definedName>
    <definedName name="HEIGHT_L24__RHS_400x400x16">#REF!</definedName>
    <definedName name="HEIGHT_L25__COMFLOR_100">#REF!</definedName>
    <definedName name="HEIGHT_L25__HEA_320">#REF!</definedName>
    <definedName name="HEIGHT_L25__HEB_160">#REF!</definedName>
    <definedName name="HEIGHT_L25__HEM_180">#REF!</definedName>
    <definedName name="HEIGHT_L25__RHS_400x200x16">#REF!</definedName>
    <definedName name="HEIGHT_L26__COMFLOR_100">#REF!</definedName>
    <definedName name="HEIGHT_L26__HEA_320">#REF!</definedName>
    <definedName name="HEIGHT_L26__HEB_160">#REF!</definedName>
    <definedName name="HEIGHT_L26__HEM_180">#REF!</definedName>
    <definedName name="HEIGHT_L26__RC_CORE_VOIDS">#REF!</definedName>
    <definedName name="HEIGHT_L26__RHS_400x200x16">#REF!</definedName>
    <definedName name="HEIGHT_L27__COMFLOR_100">#REF!</definedName>
    <definedName name="HEIGHT_L27__HEA_320">#REF!</definedName>
    <definedName name="HEIGHT_L27__HEB_160">#REF!</definedName>
    <definedName name="HEIGHT_L27__HEM_180">#REF!</definedName>
    <definedName name="HEIGHT_L27__RHS_400x200x16">#REF!</definedName>
    <definedName name="HEIGHT_L28__COMFLOR_100">#REF!</definedName>
    <definedName name="HEIGHT_L28__HEA_320">#REF!</definedName>
    <definedName name="HEIGHT_L28__HEB_160">#REF!</definedName>
    <definedName name="HEIGHT_L28__HEM_180">#REF!</definedName>
    <definedName name="HEIGHT_L28__rHS_400x200x16">#REF!</definedName>
    <definedName name="HEIGHT_L29__COMFLOR_100">#REF!</definedName>
    <definedName name="HEIGHT_L29__HEA_320">#REF!</definedName>
    <definedName name="HEIGHT_L29__HEB_160">#REF!</definedName>
    <definedName name="HEIGHT_L29__HEM_180">#REF!</definedName>
    <definedName name="HEIGHT_L29__RHS_400x200x16">#REF!</definedName>
    <definedName name="HEIGHT_L3___1000x1500mm">#REF!</definedName>
    <definedName name="HEIGHT_L3___1200x1200x1500mm">#REF!</definedName>
    <definedName name="HEIGHT_L3___1200x3000x1500mm">#REF!</definedName>
    <definedName name="HEIGHT_L3___1500x1500mm">#REF!</definedName>
    <definedName name="HEIGHT_L3___1500x3000x1500mm">#REF!</definedName>
    <definedName name="HEIGHT_L3___1800x1800x1500mm">#REF!</definedName>
    <definedName name="HEIGHT_L3___1800x4500x1500mm">#REF!</definedName>
    <definedName name="HEIGHT_L3___400mm_Retaining_wall">#REF!</definedName>
    <definedName name="HEIGHT_L3___400mm_Retaining_wall_curved">#REF!</definedName>
    <definedName name="HEIGHT_L3___500mm_thick_W3_curved">#REF!</definedName>
    <definedName name="HEIGHT_L3___600mm_diameter">#REF!</definedName>
    <definedName name="HEIGHT_L3___650mm_thick_W4_curved">#REF!</definedName>
    <definedName name="HEIGHT_L3___700x1500mm">#REF!</definedName>
    <definedName name="HEIGHT_L3___700x1500mm_curved">#REF!</definedName>
    <definedName name="HEIGHT_L3___800x1500mm">#REF!</definedName>
    <definedName name="HEIGHT_L3___800x1500mm_curved">#REF!</definedName>
    <definedName name="HEIGHT_L3___900mm_diameter">#REF!</definedName>
    <definedName name="HEIGHT_L3___Pilecaps">#REF!</definedName>
    <definedName name="HEIGHT_L3__Beam__1000x800__assumed_">#REF!</definedName>
    <definedName name="HEIGHT_L3__Beam__1100x800__assumed_">#REF!</definedName>
    <definedName name="HEIGHT_L3__Beam__1300x800__assumed_">#REF!</definedName>
    <definedName name="HEIGHT_L3__Beam__700x800__assumed_">#REF!</definedName>
    <definedName name="HEIGHT_L3__Beam__800x800__assumed_">#REF!</definedName>
    <definedName name="HEIGHT_L3__C1__800x800">#REF!</definedName>
    <definedName name="HEIGHT_L3__C10__400x1000">#REF!</definedName>
    <definedName name="HEIGHT_L3__C2__600x1200__assumed_size_as_per_plan_">#REF!</definedName>
    <definedName name="HEIGHT_L3__C2__800x800">#REF!</definedName>
    <definedName name="HEIGHT_L3__C3__800dia">#REF!</definedName>
    <definedName name="HEIGHT_L3__C4__600x600">#REF!</definedName>
    <definedName name="HEIGHT_L3__C5__400x400">#REF!</definedName>
    <definedName name="HEIGHT_L3__C6__600x1200">#REF!</definedName>
    <definedName name="HEIGHT_L3__C7__600x800">#REF!</definedName>
    <definedName name="HEIGHT_L3__C8__550dia">#REF!</definedName>
    <definedName name="HEIGHT_L3__C9__600dia">#REF!</definedName>
    <definedName name="HEIGHT_L3__Column_Head__3000x3000x400">#REF!</definedName>
    <definedName name="HEIGHT_L3__TW1_250">#REF!</definedName>
    <definedName name="HEIGHT_L3__TW2_200">#REF!</definedName>
    <definedName name="HEIGHT_L3__TW3_300">#REF!</definedName>
    <definedName name="HEIGHT_L3__TW4_600">#REF!</definedName>
    <definedName name="HEIGHT_L3__TW5_300">#REF!</definedName>
    <definedName name="HEIGHT_L3__W1__250">#REF!</definedName>
    <definedName name="HEIGHT_L3__W1__250_curved">#REF!</definedName>
    <definedName name="HEIGHT_L3_Beams">#REF!</definedName>
    <definedName name="HEIGHT_L3_Slab_200">#REF!</definedName>
    <definedName name="HEIGHT_L3_Slab_240">#REF!</definedName>
    <definedName name="HEIGHT_L3_Slab_280">#REF!</definedName>
    <definedName name="HEIGHT_L30__COMFLOR_100">#REF!</definedName>
    <definedName name="HEIGHT_L30__HEA_320">#REF!</definedName>
    <definedName name="HEIGHT_L30__HEB_160">#REF!</definedName>
    <definedName name="HEIGHT_L30__HEM_180">#REF!</definedName>
    <definedName name="HEIGHT_L30__RHS_400x200x16">#REF!</definedName>
    <definedName name="HEIGHT_L30__TW1_250">#REF!</definedName>
    <definedName name="HEIGHT_L30__TW2_200">#REF!</definedName>
    <definedName name="HEIGHT_L30__TW3_300">#REF!</definedName>
    <definedName name="HEIGHT_L30__TW4_600">#REF!</definedName>
    <definedName name="HEIGHT_L30_Beams">#REF!</definedName>
    <definedName name="HEIGHT_L30_Slab_200">#REF!</definedName>
    <definedName name="HEIGHT_L30_Slab_240">#REF!</definedName>
    <definedName name="HEIGHT_L30_Slab_280">#REF!</definedName>
    <definedName name="HEIGHT_L31__COMFLOR_100">#REF!</definedName>
    <definedName name="HEIGHT_L31__HEA_320">#REF!</definedName>
    <definedName name="HEIGHT_L31__HEB_160">#REF!</definedName>
    <definedName name="HEIGHT_L31__HEM_180">#REF!</definedName>
    <definedName name="HEIGHT_L31__RHS_400x200x16">#REF!</definedName>
    <definedName name="HEIGHT_L31__TW1_250">#REF!</definedName>
    <definedName name="HEIGHT_L31__TW2_200">#REF!</definedName>
    <definedName name="HEIGHT_L31__TW3_300">#REF!</definedName>
    <definedName name="HEIGHT_L31__TW4_600">#REF!</definedName>
    <definedName name="HEIGHT_L31__TW5_300">#REF!</definedName>
    <definedName name="HEIGHT_L31_Beams">#REF!</definedName>
    <definedName name="HEIGHT_L31_Slab_200">#REF!</definedName>
    <definedName name="HEIGHT_L31_Slab_240">#REF!</definedName>
    <definedName name="HEIGHT_L31_Slab_280">#REF!</definedName>
    <definedName name="HEIGHT_L32__RC_SLAB_500mm_THICK">#REF!</definedName>
    <definedName name="HEIGHT_L33__COMFLOR_100">#REF!</definedName>
    <definedName name="HEIGHT_L33__HEA_320">#REF!</definedName>
    <definedName name="HEIGHT_L33__HEB_160">#REF!</definedName>
    <definedName name="HEIGHT_L33__HEM_180">#REF!</definedName>
    <definedName name="HEIGHT_L33__RHS_400x200x16">#REF!</definedName>
    <definedName name="HEIGHT_L34__COMFLOR_100">#REF!</definedName>
    <definedName name="HEIGHT_L34__HEA_320">#REF!</definedName>
    <definedName name="HEIGHT_L34__HEB_160">#REF!</definedName>
    <definedName name="HEIGHT_L34__HEM_180">#REF!</definedName>
    <definedName name="HEIGHT_L34__RHS_400x200x16">#REF!</definedName>
    <definedName name="HEIGHT_L35__COMFLOR_100">#REF!</definedName>
    <definedName name="HEIGHT_L35__HEA_320">#REF!</definedName>
    <definedName name="HEIGHT_L35__HEB_160">#REF!</definedName>
    <definedName name="HEIGHT_L35__HEM_180">#REF!</definedName>
    <definedName name="HEIGHT_L35__RHS_400x200x16">#REF!</definedName>
    <definedName name="HEIGHT_L36__COMFLOR_100">#REF!</definedName>
    <definedName name="HEIGHT_L36__CONC_SLAB">#REF!</definedName>
    <definedName name="HEIGHT_L36__HEA_320">#REF!</definedName>
    <definedName name="HEIGHT_L36__HEB_160">#REF!</definedName>
    <definedName name="HEIGHT_L36__HEM_180">#REF!</definedName>
    <definedName name="HEIGHT_L36__RHS_400x200x16">#REF!</definedName>
    <definedName name="HEIGHT_L36__TW1_250">#REF!</definedName>
    <definedName name="HEIGHT_L36__TW2_200">#REF!</definedName>
    <definedName name="HEIGHT_L36__TW3_300">#REF!</definedName>
    <definedName name="HEIGHT_L36__TW5_300">#REF!</definedName>
    <definedName name="HEIGHT_L36_Beams">#REF!</definedName>
    <definedName name="HEIGHT_L36_Slab_200">#REF!</definedName>
    <definedName name="HEIGHT_L36_Slab_240">#REF!</definedName>
    <definedName name="HEIGHT_L36_Slab_280">#REF!</definedName>
    <definedName name="HEIGHT_L36_Slab_500">#REF!</definedName>
    <definedName name="HEIGHT_L37__COMFLOR_100">#REF!</definedName>
    <definedName name="HEIGHT_L37__HEA_320">#REF!</definedName>
    <definedName name="HEIGHT_L37__HEB_160">#REF!</definedName>
    <definedName name="HEIGHT_L37__HEM_180">#REF!</definedName>
    <definedName name="HEIGHT_L37__RHS_400x200x16">#REF!</definedName>
    <definedName name="HEIGHT_L37__TW1_250">#REF!</definedName>
    <definedName name="HEIGHT_L37__TW2_200">#REF!</definedName>
    <definedName name="HEIGHT_L37__TW3_300">#REF!</definedName>
    <definedName name="HEIGHT_L37__TW5_300">#REF!</definedName>
    <definedName name="HEIGHT_L37_Beams">#REF!</definedName>
    <definedName name="HEIGHT_L37_Slab_200">#REF!</definedName>
    <definedName name="HEIGHT_L37_Slab_350">#REF!</definedName>
    <definedName name="HEIGHT_L38__Bracing_Elemnt_Passing_Lift_Over_Run">#REF!</definedName>
    <definedName name="HEIGHT_L38__COMFLOR_100">#REF!</definedName>
    <definedName name="HEIGHT_L38__HEA_320">#REF!</definedName>
    <definedName name="HEIGHT_L38__HEB_160">#REF!</definedName>
    <definedName name="HEIGHT_L38__HEM_180">#REF!</definedName>
    <definedName name="HEIGHT_L38__RHS_400x200x16">#REF!</definedName>
    <definedName name="HEIGHT_L38__TW1_250">#REF!</definedName>
    <definedName name="HEIGHT_L38__TW2_200">#REF!</definedName>
    <definedName name="HEIGHT_L38__TW3_300">#REF!</definedName>
    <definedName name="HEIGHT_L38__TW5_300">#REF!</definedName>
    <definedName name="HEIGHT_L38_Beams">#REF!</definedName>
    <definedName name="HEIGHT_L38_Slab_200">#REF!</definedName>
    <definedName name="HEIGHT_L38_Slab_350">#REF!</definedName>
    <definedName name="HEIGHT_L39__2nd_Layer__HEA_320">#REF!</definedName>
    <definedName name="HEIGHT_L39__2nd_Layer__HEB_160">#REF!</definedName>
    <definedName name="HEIGHT_L39__2nd_Layer__HEM_180">#REF!</definedName>
    <definedName name="HEIGHT_L39__2nd_Layer__RHS_400x200x16">#REF!</definedName>
    <definedName name="HEIGHT_L39__Bracing_Elemnt_Passing_Lift_Over_Run">#REF!</definedName>
    <definedName name="HEIGHT_L39__COMFLOR_100">#REF!</definedName>
    <definedName name="HEIGHT_L39__HEA_320">#REF!</definedName>
    <definedName name="HEIGHT_L39__HEB_160">#REF!</definedName>
    <definedName name="HEIGHT_L39__HEM_180">#REF!</definedName>
    <definedName name="HEIGHT_L39__RHS_400x200x16">#REF!</definedName>
    <definedName name="HEIGHT_L4___1000x1500mm_curved">#REF!</definedName>
    <definedName name="HEIGHT_L4___1500x1500x1500mm">#REF!</definedName>
    <definedName name="HEIGHT_L4___600mm_diameter">#REF!</definedName>
    <definedName name="HEIGHT_L4___750mm_diameter">#REF!</definedName>
    <definedName name="HEIGHT_L4___800x1500mm">#REF!</definedName>
    <definedName name="HEIGHT_L4___800x1500mm_curved">#REF!</definedName>
    <definedName name="HEIGHT_L4__B1__800x600">#REF!</definedName>
    <definedName name="HEIGHT_L4__B1__800x600_curved">#REF!</definedName>
    <definedName name="HEIGHT_L4__B2__800x1000">#REF!</definedName>
    <definedName name="HEIGHT_L4__B2__800x1000_curved">#REF!</definedName>
    <definedName name="HEIGHT_L4__B3__800x1300">#REF!</definedName>
    <definedName name="HEIGHT_L4__B3__800x1300_curved">#REF!</definedName>
    <definedName name="HEIGHT_L4__B4__1500x1600_curved">#REF!</definedName>
    <definedName name="HEIGHT_L4__Beam__300x600__assumed_">#REF!</definedName>
    <definedName name="HEIGHT_L4__C3__800dia">#REF!</definedName>
    <definedName name="HEIGHT_L4__C6__550dia__assumed_size_as_per_plan_">#REF!</definedName>
    <definedName name="HEIGHT_L4__C9__600dia">#REF!</definedName>
    <definedName name="HEIGHT_L4__Column_Head__4000x4000x400">#REF!</definedName>
    <definedName name="HEIGHT_L4__W1__250">#REF!</definedName>
    <definedName name="HEIGHT_L4__W1__250_curved">#REF!</definedName>
    <definedName name="HEIGHT_L4__W2__350">#REF!</definedName>
    <definedName name="HEIGHT_L4__W2__350_curved">#REF!</definedName>
    <definedName name="HEIGHT_L40__2nd_Layer__RHS_400x200x16">#REF!</definedName>
    <definedName name="HEIGHT_L40__Bracing_Elemnt_Passing_Lift_Over_Run">#REF!</definedName>
    <definedName name="HEIGHT_L40__COMFLOR_100">#REF!</definedName>
    <definedName name="HEIGHT_L40__HEB_320">#REF!</definedName>
    <definedName name="HEIGHT_L40__RHS_400x200x16">#REF!</definedName>
    <definedName name="HEIGHT_L40__RHS_450x450x25">#REF!</definedName>
    <definedName name="HEIGHT_L40__RHS_500x300x20">#REF!</definedName>
    <definedName name="HEIGHT_L40__Trussing_spanning_column_restrai">#REF!</definedName>
    <definedName name="HEIGHT_L41__2nd_Layer__RHS_400x200x16">#REF!</definedName>
    <definedName name="HEIGHT_L41__Bracing_Elemnt_Passing_Lift_Over_Run">#REF!</definedName>
    <definedName name="HEIGHT_L41__COMFLOR_100">#REF!</definedName>
    <definedName name="HEIGHT_L41__Flying_Strut">#REF!</definedName>
    <definedName name="HEIGHT_L41__HEB_320">#REF!</definedName>
    <definedName name="HEIGHT_L41__RHS_400x200x16">#REF!</definedName>
    <definedName name="HEIGHT_L41__RHS_450x450x25">#REF!</definedName>
    <definedName name="HEIGHT_L41__RHS_500x300x20">#REF!</definedName>
    <definedName name="HEIGHT_L42__2nd_Layer__RHS_400x200x16">#REF!</definedName>
    <definedName name="HEIGHT_L42__COMFLOR_100">#REF!</definedName>
    <definedName name="HEIGHT_L42__HEB_320">#REF!</definedName>
    <definedName name="HEIGHT_L42__RHS_400x420x16">#REF!</definedName>
    <definedName name="HEIGHT_L42__RHS_450x450x25">#REF!</definedName>
    <definedName name="HEIGHT_L42__RHS_500x300x20">#REF!</definedName>
    <definedName name="HEIGHT_L43__COMFLOR_100">#REF!</definedName>
    <definedName name="HEIGHT_L43__HE_320">#REF!</definedName>
    <definedName name="HEIGHT_L44__COMFLOR_100">#REF!</definedName>
    <definedName name="HEIGHT_L44__HEA_320">#REF!</definedName>
    <definedName name="HEIGHT_L45__COMFLOR_100">#REF!</definedName>
    <definedName name="HEIGHT_L46__COMFLOR_100">#REF!</definedName>
    <definedName name="HEIGHT_L47__COMFLOR_100">#REF!</definedName>
    <definedName name="HEIGHT_L48__RC_SLAB_350mm_THICK">#REF!</definedName>
    <definedName name="HEIGHT_L49__COMFLOR_100">#REF!</definedName>
    <definedName name="HEIGHT_L49__HEB_260">#REF!</definedName>
    <definedName name="HEIGHT_L5___Slab_on_grade">#REF!</definedName>
    <definedName name="HEIGHT_L5__B1__500x1300_curved">#REF!</definedName>
    <definedName name="HEIGHT_L5__B2__800x1300">#REF!</definedName>
    <definedName name="HEIGHT_L5__B2__800x1300_curved">#REF!</definedName>
    <definedName name="HEIGHT_L5__B3__800x1100">#REF!</definedName>
    <definedName name="HEIGHT_L5__B3__800x1100_curved">#REF!</definedName>
    <definedName name="HEIGHT_L5__B4__800x1600">#REF!</definedName>
    <definedName name="HEIGHT_L5__B5__400x800">#REF!</definedName>
    <definedName name="HEIGHT_L5__B6__600x1250">#REF!</definedName>
    <definedName name="HEIGHT_L5__B6__600x1250_curved">#REF!</definedName>
    <definedName name="HEIGHT_L5__B7__800x1250">#REF!</definedName>
    <definedName name="HEIGHT_L5__B7__800x1250_curved">#REF!</definedName>
    <definedName name="HEIGHT_L5__B8__1400x1250_curved">#REF!</definedName>
    <definedName name="HEIGHT_L5__B9__1800x1250">#REF!</definedName>
    <definedName name="HEIGHT_L5__B9__1800x1250_curved">#REF!</definedName>
    <definedName name="HEIGHT_L5__Beam__800x1600_curved__assumed_">#REF!</definedName>
    <definedName name="HEIGHT_L50__COMFLOR_100">#REF!</definedName>
    <definedName name="HEIGHT_L50__HEB_260">#REF!</definedName>
    <definedName name="HEIGHT_L51__COMFLOR_100">#REF!</definedName>
    <definedName name="HEIGHT_Land_Area">#REF!</definedName>
    <definedName name="HEIGHT_Lettable_Area__lvl_3_">#REF!</definedName>
    <definedName name="HEIGHT_Lettable_areas__lvl_2_">#REF!</definedName>
    <definedName name="HEIGHT_Level_3_balcony_handrails">#REF!</definedName>
    <definedName name="HEIGHT_Lift_voids__GF_">#REF!</definedName>
    <definedName name="HEIGHT_Lift_voids__lvl_1_">#REF!</definedName>
    <definedName name="HEIGHT_Lift_voids__lvl_2_">#REF!</definedName>
    <definedName name="HEIGHT_Lift_voids__lvl_3_">#REF!</definedName>
    <definedName name="HEIGHT_Lift_voids__Podium_1_">#REF!</definedName>
    <definedName name="HEIGHT_Lift_Voids__Podium_2_">#REF!</definedName>
    <definedName name="HEIGHT_Lift_voids__Roof_">#REF!</definedName>
    <definedName name="HEIGHT_Louver_1A">#REF!</definedName>
    <definedName name="HEIGHT_lvl_1__BOH_">#REF!</definedName>
    <definedName name="HEIGHT_lvl_1__Car_Park_">#REF!</definedName>
    <definedName name="HEIGHT_lvl_1__Externals_">#REF!</definedName>
    <definedName name="HEIGHT_lvl_1__FOH_Areas_">#REF!</definedName>
    <definedName name="HEIGHT_lvl_1__FOH_Circulation_">#REF!</definedName>
    <definedName name="HEIGHT_lvl_1__GFA_">#REF!</definedName>
    <definedName name="HEIGHT_lvl_1__GIFA_">#REF!</definedName>
    <definedName name="HEIGHT_lvl_1__offices_">#REF!</definedName>
    <definedName name="HEIGHT_lvl_1__Stairs_">#REF!</definedName>
    <definedName name="HEIGHT_lvl_1__vertical_storage_">#REF!</definedName>
    <definedName name="HEIGHT_lvl_1__Voids_">#REF!</definedName>
    <definedName name="HEIGHT_lvl_1__WCs_">#REF!</definedName>
    <definedName name="HEIGHT_lvl_1_BOH">#REF!</definedName>
    <definedName name="HEIGHT_lvl_1_Doors_Internal_Double__FOH_">#REF!</definedName>
    <definedName name="HEIGHT_lvl_1_Doors_Internal_Single__BOH_">#REF!</definedName>
    <definedName name="HEIGHT_lvl_1_Doors_Internal_Single__FOH_">#REF!</definedName>
    <definedName name="HEIGHT_lvl_1_External_Double_door__FOH_">#REF!</definedName>
    <definedName name="HEIGHT_lvl_1_External_double_doors__FOH_">#REF!</definedName>
    <definedName name="HEIGHT_lvl_1_FOH">#REF!</definedName>
    <definedName name="HEIGHT_lvl_1_GFA">#REF!</definedName>
    <definedName name="HEIGHT_lvl_1_GIFA">#REF!</definedName>
    <definedName name="HEIGHT_lvl_1_Internal_Double_doors__BOH_">#REF!</definedName>
    <definedName name="HEIGHT_lvl_1_Internal_double_doors__FOH_">#REF!</definedName>
    <definedName name="HEIGHT_lvl_1_Internal_single_doors__BOH_">#REF!</definedName>
    <definedName name="HEIGHT_lvl_1_Internal_single_doors__FOH_">#REF!</definedName>
    <definedName name="HEIGHT_lvl_1_Internal_single_doors__Stairs_">#REF!</definedName>
    <definedName name="HEIGHT_lvl_1_Offices">#REF!</definedName>
    <definedName name="HEIGHT_lvl_1_Stairs">#REF!</definedName>
    <definedName name="HEIGHT_lvl_1_Store">#REF!</definedName>
    <definedName name="HEIGHT_lvl_1_Voids">#REF!</definedName>
    <definedName name="HEIGHT_lvl_2__Apartments_">#REF!</definedName>
    <definedName name="HEIGHT_lvl_2__BOH_">#REF!</definedName>
    <definedName name="HEIGHT_lvl_2__FOH_Circulation_">#REF!</definedName>
    <definedName name="HEIGHT_lvl_2__GFA_">#REF!</definedName>
    <definedName name="HEIGHT_lvl_2__GIFA_">#REF!</definedName>
    <definedName name="HEIGHT_lvl_2__Stairs_">#REF!</definedName>
    <definedName name="HEIGHT_lvl_2__Voids_">#REF!</definedName>
    <definedName name="HEIGHT_lvl_2_External_dble_doors__FOH_">#REF!</definedName>
    <definedName name="HEIGHT_lvl_2_Internal_dble_doors__Aprt_">#REF!</definedName>
    <definedName name="HEIGHT_lvl_2_Internal_double_doors__BOH_">#REF!</definedName>
    <definedName name="HEIGHT_lvl_2_Internal_Single_doors__Apartments_">#REF!</definedName>
    <definedName name="HEIGHT_lvl_2_Internal_Single_doors__Apartments_Entrances_">#REF!</definedName>
    <definedName name="HEIGHT_lvl_2_Internal_single_doors__Aprt_">#REF!</definedName>
    <definedName name="HEIGHT_lvl_2_Internal_single_doors__Aprt_Entrance_">#REF!</definedName>
    <definedName name="HEIGHT_lvl_2_Internal_Single_doors__BOH_">#REF!</definedName>
    <definedName name="HEIGHT_lvl_2_Internal_Sliding_doors__Apartments_">#REF!</definedName>
    <definedName name="HEIGHT_lvl_2_Internal_sliding_doors__Aprt_">#REF!</definedName>
    <definedName name="HEIGHT_lvl_3__Apartments_">#REF!</definedName>
    <definedName name="HEIGHT_lvl_3__BOH_">#REF!</definedName>
    <definedName name="HEIGHT_lvl_3__Car_Park_">#REF!</definedName>
    <definedName name="HEIGHT_lvl_3__FOH_Circulation_">#REF!</definedName>
    <definedName name="HEIGHT_lvl_3__GFA_">#REF!</definedName>
    <definedName name="HEIGHT_lvl_3__GIFA_">#REF!</definedName>
    <definedName name="HEIGHT_lvl_3__Stairs_">#REF!</definedName>
    <definedName name="HEIGHT_lvl_3__voids_">#REF!</definedName>
    <definedName name="HEIGHT_lvl_3_External_balcony_doors__Aprt_">#REF!</definedName>
    <definedName name="HEIGHT_lvl_3_Internal_dble_doors__Aprt_">#REF!</definedName>
    <definedName name="HEIGHT_lvl_3_Internal_Double_doors__BOH_">#REF!</definedName>
    <definedName name="HEIGHT_lvl_3_Internal_Single_doors__Apartment_">#REF!</definedName>
    <definedName name="HEIGHT_lvl_3_Internal_Single_doors__Apartment_entrances_">#REF!</definedName>
    <definedName name="HEIGHT_lvl_3_Internal_single_doors__Aprt_">#REF!</definedName>
    <definedName name="HEIGHT_lvl_3_Internal_single_doors__Aprt_entrance_">#REF!</definedName>
    <definedName name="HEIGHT_lvl_3_Internal_Single_doors__BOH_">#REF!</definedName>
    <definedName name="HEIGHT_lvl_3_Internal_Single_doors__FOH_">#REF!</definedName>
    <definedName name="HEIGHT_lvl_3_Internal_Sliding_doors__Apartment_">#REF!</definedName>
    <definedName name="HEIGHT_lvl_3_Internal_sliding_doors__Aprt_">#REF!</definedName>
    <definedName name="HEIGHT_lvl_5__BOH_">#REF!</definedName>
    <definedName name="HEIGHT_lvl_5__Externals_">#REF!</definedName>
    <definedName name="HEIGHT_lvl_5__GFA_">#REF!</definedName>
    <definedName name="HEIGHT_lvl_5__GIFA_">#REF!</definedName>
    <definedName name="HEIGHT_lvl_5__Stairs_">#REF!</definedName>
    <definedName name="HEIGHT_lvl_5__voids_">#REF!</definedName>
    <definedName name="HEIGHT_lvl_5_External_Single_Door__BOH_">#REF!</definedName>
    <definedName name="HEIGHT_lvl_6__BOH_">#REF!</definedName>
    <definedName name="HEIGHT_lvl_6__Externals_">#REF!</definedName>
    <definedName name="HEIGHT_lvl_6__FOH_amenities_">#REF!</definedName>
    <definedName name="HEIGHT_lvl_6__FOH_Circulation_">#REF!</definedName>
    <definedName name="HEIGHT_lvl_6__GFA_">#REF!</definedName>
    <definedName name="HEIGHT_lvl_6__GIFA_">#REF!</definedName>
    <definedName name="HEIGHT_lvl_6__Pool_">#REF!</definedName>
    <definedName name="HEIGHT_lvl_6__Roof___Pool_deck_">#REF!</definedName>
    <definedName name="HEIGHT_lvl_6__Stairs_">#REF!</definedName>
    <definedName name="HEIGHT_lvl_6__Voids_">#REF!</definedName>
    <definedName name="HEIGHT_lvl_6_External_double_doors__BOH_">#REF!</definedName>
    <definedName name="HEIGHT_lvl_6_External_double_doors__FOH_">#REF!</definedName>
    <definedName name="HEIGHT_lvl_6_External_single_doors__BOH_">#REF!</definedName>
    <definedName name="HEIGHT_lvl_6_Internal_Single_doors__BOH_">#REF!</definedName>
    <definedName name="HEIGHT_lvl_6_Internal_Single_doors__FOH_">#REF!</definedName>
    <definedName name="HEIGHT_M01__Column_C1">#REF!</definedName>
    <definedName name="HEIGHT_M01__Column_C10">#REF!</definedName>
    <definedName name="HEIGHT_M01__Column_C11">#REF!</definedName>
    <definedName name="HEIGHT_M01__Column_C12">#REF!</definedName>
    <definedName name="HEIGHT_M01__Column_C2">#REF!</definedName>
    <definedName name="HEIGHT_M01__Column_C3">#REF!</definedName>
    <definedName name="HEIGHT_M01__Column_C4">#REF!</definedName>
    <definedName name="HEIGHT_M01__Column_C5">#REF!</definedName>
    <definedName name="HEIGHT_M01__Column_C6">#REF!</definedName>
    <definedName name="HEIGHT_M01__Column_C7">#REF!</definedName>
    <definedName name="HEIGHT_M01__Column_C8">#REF!</definedName>
    <definedName name="HEIGHT_M01__Column_C9">#REF!</definedName>
    <definedName name="HEIGHT_M01__Column_FC1">#REF!</definedName>
    <definedName name="HEIGHT_M01__Column_TC1">#REF!</definedName>
    <definedName name="HEIGHT_M01__Column_TC2">#REF!</definedName>
    <definedName name="HEIGHT_M01__Column_TC3">#REF!</definedName>
    <definedName name="HEIGHT_M01__Column_TC4">#REF!</definedName>
    <definedName name="HEIGHT_M01__Column_TC5">#REF!</definedName>
    <definedName name="HEIGHT_M1__TW1_250">#REF!</definedName>
    <definedName name="HEIGHT_M1__TW2_200">#REF!</definedName>
    <definedName name="HEIGHT_M1__TW3_300">#REF!</definedName>
    <definedName name="HEIGHT_M1__TW3_400">#REF!</definedName>
    <definedName name="HEIGHT_M1__TW4_500">#REF!</definedName>
    <definedName name="HEIGHT_M1__TW4_600">#REF!</definedName>
    <definedName name="HEIGHT_M1__TW5_300">#REF!</definedName>
    <definedName name="HEIGHT_M1_Beams">#REF!</definedName>
    <definedName name="HEIGHT_M1_DP">#REF!</definedName>
    <definedName name="HEIGHT_M1_DP1">#REF!</definedName>
    <definedName name="HEIGHT_M1_DP10">#REF!</definedName>
    <definedName name="HEIGHT_M1_DP2">#REF!</definedName>
    <definedName name="HEIGHT_M1_DP3">#REF!</definedName>
    <definedName name="HEIGHT_M1_DP4">#REF!</definedName>
    <definedName name="HEIGHT_M1_DP7">#REF!</definedName>
    <definedName name="HEIGHT_M1_DP8">#REF!</definedName>
    <definedName name="HEIGHT_M1_DP9">#REF!</definedName>
    <definedName name="HEIGHT_M1_Ramp">#REF!</definedName>
    <definedName name="HEIGHT_M1_Slab_200">#REF!</definedName>
    <definedName name="HEIGHT_M1_Slab_220">#REF!</definedName>
    <definedName name="HEIGHT_M1_Slab_250">#REF!</definedName>
    <definedName name="HEIGHT_M1_Slab_280">#REF!</definedName>
    <definedName name="HEIGHT_Mezz">#REF!</definedName>
    <definedName name="HEIGHT_Mezzanine___BOH___Admin_Support">#REF!</definedName>
    <definedName name="HEIGHT_Mezzanine___BOH___Administration_Offices">#REF!</definedName>
    <definedName name="HEIGHT_Mezzanine___BOH___Administration_Offices_Toilet">#REF!</definedName>
    <definedName name="HEIGHT_Mezzanine___BOH___Conference___Meeting">#REF!</definedName>
    <definedName name="HEIGHT_Mezzanine___BOH___Event_Center_Core">#REF!</definedName>
    <definedName name="HEIGHT_Mezzanine___BOH___Event_Center_Core_lift_shafts">#REF!</definedName>
    <definedName name="HEIGHT_Mezzanine___BOH___Event_Center_Pantry___Service">#REF!</definedName>
    <definedName name="HEIGHT_Mezzanine___BOH___Event_Center_Service">#REF!</definedName>
    <definedName name="HEIGHT_Mezzanine___BOH___Finance___Accounting">#REF!</definedName>
    <definedName name="HEIGHT_Mezzanine___BOH___Fire_Escape_Stairs">#REF!</definedName>
    <definedName name="HEIGHT_Mezzanine___BOH___Guest_Core">#REF!</definedName>
    <definedName name="HEIGHT_Mezzanine___BOH___Guest_Core_lift_shafts">#REF!</definedName>
    <definedName name="HEIGHT_Mezzanine___BOH___Reservation___PABX">#REF!</definedName>
    <definedName name="HEIGHT_Mezzanine___BOH___Service_Core">#REF!</definedName>
    <definedName name="HEIGHT_Mezzanine___BOH___Service_Core_ducts">#REF!</definedName>
    <definedName name="HEIGHT_Mezzanine___BOH___Service_Core_lift_shafts">#REF!</definedName>
    <definedName name="HEIGHT_Mezzanine___BOH___Staff_Core">#REF!</definedName>
    <definedName name="HEIGHT_Mezzanine___BOH___Staff_Core_lift_shafts">#REF!</definedName>
    <definedName name="HEIGHT_Mezzanine___Double_Volume__Conference___Meeting_">#REF!</definedName>
    <definedName name="HEIGHT_Mezzanine___Double_Volume__Lobby_Bar_">#REF!</definedName>
    <definedName name="HEIGHT_Mezzanine___Double_Volume__Reception_Lobby_">#REF!</definedName>
    <definedName name="HEIGHT_Mezzanine___FOH___Ball_Room">#REF!</definedName>
    <definedName name="HEIGHT_Mezzanine___FOH___Ball_Room_Pre_Function">#REF!</definedName>
    <definedName name="HEIGHT_Mezzanine___FOH___Circulation">#REF!</definedName>
    <definedName name="HEIGHT_Mezzanine___FOH___Guestroom_Terrace">#REF!</definedName>
    <definedName name="HEIGHT_Mezzanine___FOH___Guestrooms">#REF!</definedName>
    <definedName name="HEIGHT_MF_Admin._Offices_area">#REF!</definedName>
    <definedName name="HEIGHT_MF_BOH_Service_and_Utility_area">#REF!</definedName>
    <definedName name="HEIGHT_MF_BOH_Staircase">#REF!</definedName>
    <definedName name="HEIGHT_MF_Circulation_Corr._to_Admin._Offices">#REF!</definedName>
    <definedName name="HEIGHT_MF_Guest_Core">#REF!</definedName>
    <definedName name="HEIGHT_MF_Guestrooms">#REF!</definedName>
    <definedName name="HEIGHT_MF_HGR_BOH">#REF!</definedName>
    <definedName name="HEIGHT_MF_HGR_Circulation">#REF!</definedName>
    <definedName name="HEIGHT_MF_HGR_Covered_Balcony">#REF!</definedName>
    <definedName name="HEIGHT_MF_HGR_Fire_Staircase">#REF!</definedName>
    <definedName name="HEIGHT_MF_Lift_Shaft">#REF!</definedName>
    <definedName name="HEIGHT_MF_Roof_of_MEP_area">#REF!</definedName>
    <definedName name="HEIGHT_MF_Services_Core">#REF!</definedName>
    <definedName name="HEIGHT_MF_Voids___Dead_space">#REF!</definedName>
    <definedName name="HEIGHT_Non_return_valve">#REF!</definedName>
    <definedName name="HEIGHT_Open_Terrace___2F">#REF!</definedName>
    <definedName name="HEIGHT_Open_Terrace___3F">#REF!</definedName>
    <definedName name="HEIGHT_Open_Terrace___4F">#REF!</definedName>
    <definedName name="HEIGHT_Parapet_capping">#REF!</definedName>
    <definedName name="HEIGHT_Parapet_capping_1CRF">#REF!</definedName>
    <definedName name="HEIGHT_Parapet_capping1BRF">#REF!</definedName>
    <definedName name="HEIGHT_Pedestrian_Access">#REF!</definedName>
    <definedName name="HEIGHT_PLATE___1F">#REF!</definedName>
    <definedName name="HEIGHT_PLATE___2F">#REF!</definedName>
    <definedName name="HEIGHT_PLATE___3F">#REF!</definedName>
    <definedName name="HEIGHT_PLATE___4F">#REF!</definedName>
    <definedName name="HEIGHT_PLATE___5F">#REF!</definedName>
    <definedName name="HEIGHT_PLATE___B1">#REF!</definedName>
    <definedName name="HEIGHT_PLATE___B2">#REF!</definedName>
    <definedName name="HEIGHT_PLATE___GF">#REF!</definedName>
    <definedName name="HEIGHT_PLATE___MF">#REF!</definedName>
    <definedName name="HEIGHT_Plot_Area">#REF!</definedName>
    <definedName name="HEIGHT_Pod_1_Internal_single_doors__BOH_">#REF!</definedName>
    <definedName name="HEIGHT_Pod_1_Internal_single_doors__FOH_">#REF!</definedName>
    <definedName name="HEIGHT_Pod_2___Internal_single_doors__BOH_">#REF!</definedName>
    <definedName name="HEIGHT_Pod_2___Internal_single_doors__FOH_">#REF!</definedName>
    <definedName name="HEIGHT_Pond">#REF!</definedName>
    <definedName name="HEIGHT_Public_Toilets__GF_">#REF!</definedName>
    <definedName name="HEIGHT_Raft___13800mm_thick_raft">#REF!</definedName>
    <definedName name="HEIGHT_Rainwater_Drain">#REF!</definedName>
    <definedName name="HEIGHT_Rainwater_Drain_GF">#REF!</definedName>
    <definedName name="HEIGHT_Rainwater_Drain_Pipe">#REF!</definedName>
    <definedName name="HEIGHT_RF__Isolation_Valve">#REF!</definedName>
    <definedName name="HEIGHT_Roof__Canopies">#REF!</definedName>
    <definedName name="HEIGHT_Roof__Suspened_Roof">#REF!</definedName>
    <definedName name="HEIGHT_Roof_External_single_doors__FOH_">#REF!</definedName>
    <definedName name="HEIGHT_Roof_Internal_Single_doors__BOH_">#REF!</definedName>
    <definedName name="HEIGHT_Roof_Internal_single_doors__FOH_">#REF!</definedName>
    <definedName name="HEIGHT_Roof_Terrace___3F">#REF!</definedName>
    <definedName name="HEIGHT_Roof_Terrace___4F">#REF!</definedName>
    <definedName name="HEIGHT_Roof_Terrace___5F">#REF!</definedName>
    <definedName name="HEIGHT_RWO">#REF!</definedName>
    <definedName name="HEIGHT_Sellable">#REF!</definedName>
    <definedName name="HEIGHT_Shops__GF_">#REF!</definedName>
    <definedName name="HEIGHT_Stairs__GF_">#REF!</definedName>
    <definedName name="HEIGHT_Stairs__lvl_1_">#REF!</definedName>
    <definedName name="HEIGHT_Stairs__lvl_2_">#REF!</definedName>
    <definedName name="HEIGHT_Stairs__lvl_3_">#REF!</definedName>
    <definedName name="HEIGHT_Stairs__Podium_1_">#REF!</definedName>
    <definedName name="HEIGHT_Stairs__Podium_2_">#REF!</definedName>
    <definedName name="HEIGHT_Stairs__riser___Ceramic_floor_tile_ff05">#REF!</definedName>
    <definedName name="HEIGHT_Stairs__Risers_150mm___Ceramic_Floor_tile_FF05___Copy">#REF!</definedName>
    <definedName name="HEIGHT_stairs__Roof_">#REF!</definedName>
    <definedName name="HEIGHT_Stairs__Skirting">#REF!</definedName>
    <definedName name="HEIGHT_Stairs__step_200mm___Ceramic_Floor_tile_FF05">#REF!</definedName>
    <definedName name="HEIGHT_STRUT_RAFT">#REF!</definedName>
    <definedName name="HEIGHT_Studio_2_burner_hob">#REF!</definedName>
    <definedName name="HEIGHT_Studio_balcony">#REF!</definedName>
    <definedName name="HEIGHT_Studio_bath_tub">#REF!</definedName>
    <definedName name="HEIGHT_Studio_bath_tub_mixer">#REF!</definedName>
    <definedName name="HEIGHT_Studio_Bathroom">#REF!</definedName>
    <definedName name="HEIGHT_Studio_Bedroom">#REF!</definedName>
    <definedName name="HEIGHT_Studio_kitchen_sink">#REF!</definedName>
    <definedName name="HEIGHT_Studio_kitchen_sink_mixer">#REF!</definedName>
    <definedName name="HEIGHT_studio_kitchen_units">#REF!</definedName>
    <definedName name="HEIGHT_Studio_mirror">#REF!</definedName>
    <definedName name="HEIGHT_Studio_NIA">#REF!</definedName>
    <definedName name="HEIGHT_Studio_vanitys">#REF!</definedName>
    <definedName name="HEIGHT_Studio_wardrobe">#REF!</definedName>
    <definedName name="HEIGHT_Studio_Wash_basin">#REF!</definedName>
    <definedName name="HEIGHT_Studio_Wash_basin_mixer">#REF!</definedName>
    <definedName name="HEIGHT_Studio_Washing_machine">#REF!</definedName>
    <definedName name="HEIGHT_Studio_WC">#REF!</definedName>
    <definedName name="HEIGHT_T.C._A_01AF">#REF!</definedName>
    <definedName name="HEIGHT_T.C._A_01F___U01">#REF!</definedName>
    <definedName name="HEIGHT_T.C._A_01F___U02">#REF!</definedName>
    <definedName name="HEIGHT_T.C._A_01F___U03">#REF!</definedName>
    <definedName name="HEIGHT_T.C._A_01F___U04">#REF!</definedName>
    <definedName name="HEIGHT_T.C._A_01F___U05">#REF!</definedName>
    <definedName name="HEIGHT_T.C._A_01F___U06">#REF!</definedName>
    <definedName name="HEIGHT_T.C._A_02F___04F___U01">#REF!</definedName>
    <definedName name="HEIGHT_T.C._A_02F___04F___U02">#REF!</definedName>
    <definedName name="HEIGHT_T.C._A_02F___04F___U03">#REF!</definedName>
    <definedName name="HEIGHT_T.C._A_02F___04F___U04">#REF!</definedName>
    <definedName name="HEIGHT_T.C._A_02F___04F___U06">#REF!</definedName>
    <definedName name="HEIGHT_T.C._A_03F___U01">#REF!</definedName>
    <definedName name="HEIGHT_T.C._A_03F___U02">#REF!</definedName>
    <definedName name="HEIGHT_T.C._A_03F___U03">#REF!</definedName>
    <definedName name="HEIGHT_T.C._A_03F___U04">#REF!</definedName>
    <definedName name="HEIGHT_T.C._A_03F___U05">#REF!</definedName>
    <definedName name="HEIGHT_T.C._A_03F___U06">#REF!</definedName>
    <definedName name="HEIGHT_T.C._A_05F___U01">#REF!</definedName>
    <definedName name="HEIGHT_T.C._A_05F___U02">#REF!</definedName>
    <definedName name="HEIGHT_T.C._A_05F___U03">#REF!</definedName>
    <definedName name="HEIGHT_T.C._A_05F___U04">#REF!</definedName>
    <definedName name="HEIGHT_T.C._A_05F___U05">#REF!</definedName>
    <definedName name="HEIGHT_T.C._A_05F___U06">#REF!</definedName>
    <definedName name="HEIGHT_T.C._A_06F___U01">#REF!</definedName>
    <definedName name="HEIGHT_T.C._A_06F___U02">#REF!</definedName>
    <definedName name="HEIGHT_T.C._A_06F___U03">#REF!</definedName>
    <definedName name="HEIGHT_T.C._A_06F___U04">#REF!</definedName>
    <definedName name="HEIGHT_T.C._A_06F___U06">#REF!</definedName>
    <definedName name="HEIGHT_T.C._A_07F___U01">#REF!</definedName>
    <definedName name="HEIGHT_T.C._A_07F___U02">#REF!</definedName>
    <definedName name="HEIGHT_T.C._A_07F___U03">#REF!</definedName>
    <definedName name="HEIGHT_T.C._A_07F___U04">#REF!</definedName>
    <definedName name="HEIGHT_T.C._A_07F___U05">#REF!</definedName>
    <definedName name="HEIGHT_T.C._A_07F___U06">#REF!</definedName>
    <definedName name="HEIGHT_T.C._A_08f___10F___U01">#REF!</definedName>
    <definedName name="HEIGHT_T.C._A_08f___10F___U02">#REF!</definedName>
    <definedName name="HEIGHT_T.C._A_08f___10F___U03">#REF!</definedName>
    <definedName name="HEIGHT_T.C._A_08f___10F___U04">#REF!</definedName>
    <definedName name="HEIGHT_T.C._A_08f___10F___U06">#REF!</definedName>
    <definedName name="HEIGHT_T.C._A_09F___U01">#REF!</definedName>
    <definedName name="HEIGHT_T.C._A_09F___U02">#REF!</definedName>
    <definedName name="HEIGHT_T.C._A_09F___U03">#REF!</definedName>
    <definedName name="HEIGHT_T.C._A_09F___U04">#REF!</definedName>
    <definedName name="HEIGHT_T.C._A_09F___U05">#REF!</definedName>
    <definedName name="HEIGHT_T.C._A_09F___U06">#REF!</definedName>
    <definedName name="HEIGHT_T.C._A_11F___U01">#REF!</definedName>
    <definedName name="HEIGHT_T.C._A_11F___U02">#REF!</definedName>
    <definedName name="HEIGHT_T.C._A_11F___U03">#REF!</definedName>
    <definedName name="HEIGHT_T.C._A_11F___U04">#REF!</definedName>
    <definedName name="HEIGHT_T.C._A_11F___U05">#REF!</definedName>
    <definedName name="HEIGHT_T.C._A_11F___U06">#REF!</definedName>
    <definedName name="HEIGHT_T.C._A_12F___U01">#REF!</definedName>
    <definedName name="HEIGHT_T.C._A_12F___U02">#REF!</definedName>
    <definedName name="HEIGHT_T.C._A_12F___U03">#REF!</definedName>
    <definedName name="HEIGHT_T.C._A_12F___U04">#REF!</definedName>
    <definedName name="HEIGHT_T.C._A_12F___U06">#REF!</definedName>
    <definedName name="HEIGHT_T.C._A_31F___U01">#REF!</definedName>
    <definedName name="HEIGHT_T.C._A_31F___U02">#REF!</definedName>
    <definedName name="HEIGHT_T.C._A_31F___U03">#REF!</definedName>
    <definedName name="HEIGHT_T.C._A_31F___U04">#REF!</definedName>
    <definedName name="HEIGHT_T.C._B_GF___main_entrance">#REF!</definedName>
    <definedName name="HEIGHT_T.C._B_GF___near_escape_corridor">#REF!</definedName>
    <definedName name="HEIGHT_T.C._B_GF___near_ramp">#REF!</definedName>
    <definedName name="HEIGHT_T.C._B_GF___near_tech._area">#REF!</definedName>
    <definedName name="HEIGHT_T.C._B_GF___stair_3">#REF!</definedName>
    <definedName name="HEIGHT_T.U._A_01AF">#REF!</definedName>
    <definedName name="HEIGHT_T.U._A_01AF___swimming_pool">#REF!</definedName>
    <definedName name="HEIGHT_T.U._A_07F___U03">#REF!</definedName>
    <definedName name="HEIGHT_T.U._A_07F___U04">#REF!</definedName>
    <definedName name="HEIGHT_T.U._A_31F___U02">#REF!</definedName>
    <definedName name="HEIGHT_T.U._A_31F___U05">#REF!</definedName>
    <definedName name="HEIGHT_T.U._A_32F___U01">#REF!</definedName>
    <definedName name="HEIGHT_T.U._A_32F___U02">#REF!</definedName>
    <definedName name="HEIGHT_T.U._A_32F___U03">#REF!</definedName>
    <definedName name="HEIGHT_T.U._A_32F___U04">#REF!</definedName>
    <definedName name="HEIGHT_T.U._A_33F__">#REF!</definedName>
    <definedName name="HEIGHT_T.U._A_35uRF__">#REF!</definedName>
    <definedName name="HEIGHT_T.U._B_GF___external_double_volume">#REF!</definedName>
    <definedName name="HEIGHT_T.U._B_GF___external_driveway">#REF!</definedName>
    <definedName name="HEIGHT_T.U._B_GF___external_ramp">#REF!</definedName>
    <definedName name="HEIGHT_T.U._B_GF___external_sidewalk">#REF!</definedName>
    <definedName name="HEIGHT_T.U._B_GF___external_stair">#REF!</definedName>
    <definedName name="HEIGHT_T.U._B_GF___external_stair___ramp">#REF!</definedName>
    <definedName name="HEIGHT_T.U._B_P2F__waterfall">#REF!</definedName>
    <definedName name="HEIGHT_Test_Length">#REF!</definedName>
    <definedName name="HEIGHT_TH__L02__Column_500_x_1000">#REF!</definedName>
    <definedName name="HEIGHT_TH__L02__Column_500_x_1100">#REF!</definedName>
    <definedName name="HEIGHT_TH__L02__Column_500_x_1200">#REF!</definedName>
    <definedName name="HEIGHT_TH__L02__TW1_250">#REF!</definedName>
    <definedName name="HEIGHT_TH__L03__Column_500_x_1000">#REF!</definedName>
    <definedName name="HEIGHT_TH__L03__Column_500_x_1100">#REF!</definedName>
    <definedName name="HEIGHT_TH__L03__Column_500_x_1200">#REF!</definedName>
    <definedName name="HEIGHT_TH__L03__TW1_250">#REF!</definedName>
    <definedName name="HEIGHT_TH_L02_Beams">#REF!</definedName>
    <definedName name="HEIGHT_TH_L02_Slab_200">#REF!</definedName>
    <definedName name="HEIGHT_TH_L02_Slab_250">#REF!</definedName>
    <definedName name="HEIGHT_TH_L02_Slab_300">#REF!</definedName>
    <definedName name="HEIGHT_TH_L03_Beams">#REF!</definedName>
    <definedName name="HEIGHT_TH_L03_Slab_250">#REF!</definedName>
    <definedName name="HEIGHT_TH2_V2__Shared_Unit_1_2____1000g_Polystyrene_Sheet_to_Footing">#REF!</definedName>
    <definedName name="HEIGHT_TH2_V2__Shared_Unit_1_2____200mm_thk_Suitable_Well_Graded_Compacted_Materiall_90__to_footing">#REF!</definedName>
    <definedName name="HEIGHT_TH2_V2__Shared_Unit_1_2____50mm_thk_PCC_to_Footing">#REF!</definedName>
    <definedName name="HEIGHT_TH2_V2__Shared_Unit_1_2____Excavation_to_Footing">#REF!</definedName>
    <definedName name="HEIGHT_TH2_V2__Shared_Unit_1_2____Soil_Compaction_to_Footing">#REF!</definedName>
    <definedName name="HEIGHT_TH2_V2__Shared_Unit_1_2___Concrete_to_Beams__FF">#REF!</definedName>
    <definedName name="HEIGHT_TH2_V2__Shared_Unit_1_2___Concrete_to_Beams_GF">#REF!</definedName>
    <definedName name="HEIGHT_TH2_V2__Shared_Unit_1_2___Concrete_to_Colum_FF">#REF!</definedName>
    <definedName name="HEIGHT_TH2_V2__Shared_Unit_1_2___Concrete_to_Column_below_grade">#REF!</definedName>
    <definedName name="HEIGHT_TH2_V2__Shared_Unit_1_2___Concrete_to_Column_GF">#REF!</definedName>
    <definedName name="HEIGHT_TH2_V2__Shared_Unit_1_2___Concrete_to_Column_RF">#REF!</definedName>
    <definedName name="HEIGHT_TH2_V2__Shared_Unit_1_2___Concrete_to_Footing">#REF!</definedName>
    <definedName name="HEIGHT_TH2_V2__Shared_Unit_1_2___Concrete_to_Grade_Beam">#REF!</definedName>
    <definedName name="HEIGHT_TH2_V2__Shared_Unit_1_2___Concrete_to_ST_Beams">#REF!</definedName>
    <definedName name="HEIGHT_TH2_V2__Shared_Unit_1_2___Excavation_to_ST_Beam">#REF!</definedName>
    <definedName name="HEIGHT_TH2_V2__Shared_Unit_1_2___Formworks_to_Sides_of_Beams_FF">#REF!</definedName>
    <definedName name="HEIGHT_TH2_V2__Shared_Unit_1_2___Formworks_to_Sides_of_Beams_GF">#REF!</definedName>
    <definedName name="HEIGHT_TH2_V2__Shared_Unit_1_2___Formworks_to_Sides_of_Colum___Copy">#REF!</definedName>
    <definedName name="HEIGHT_TH2_V2__Shared_Unit_1_2___Formworks_to_Sides_of_Column_GF">#REF!</definedName>
    <definedName name="HEIGHT_TH2_V2__Shared_Unit_1_2___Formworks_to_Sides_of_Column_RF">#REF!</definedName>
    <definedName name="HEIGHT_TH2_V2__Shared_Unit_1_2___Formworks_to_Sides_of_Columns">#REF!</definedName>
    <definedName name="HEIGHT_TH2_V2__Shared_Unit_1_2___Formworks_to_Sides_of_Grade_Beams">#REF!</definedName>
    <definedName name="HEIGHT_TH2_V2__Shared_Unit_1_2___Formworks_to_Soffit_of_Beams_FF">#REF!</definedName>
    <definedName name="HEIGHT_TH2_V2__Shared_Unit_1_2___Formworks_to_Soffit_of_Beams_GF">#REF!</definedName>
    <definedName name="HEIGHT_TH2_V2__Shared_Unit_1_2___Formworks_to_Soffit_of_Grade_Beams">#REF!</definedName>
    <definedName name="HEIGHT_TH2_V2__Shared_Unit_1_2___Reinforcement_to_Column">#REF!</definedName>
    <definedName name="HEIGHT_TH2_V2__Shared_Unit_1_2___Reinforcement_to_Footing">#REF!</definedName>
    <definedName name="HEIGHT_TH2_V2__Unit_1____1000g_polystyrene_Sheet_to_footing">#REF!</definedName>
    <definedName name="HEIGHT_TH2_V2__Unit_1____200_thk._Suitable_Well_Graded_Compacted_Materials_to_Footing">#REF!</definedName>
    <definedName name="HEIGHT_TH2_V2__Unit_1____50_mm_thk_PCC_to_footing">#REF!</definedName>
    <definedName name="HEIGHT_TH2_V2__Unit_1____Excavation_to_Footing">#REF!</definedName>
    <definedName name="HEIGHT_TH2_V2__Unit_1____Soil_Compaction_to_Footing">#REF!</definedName>
    <definedName name="HEIGHT_TH2_V2__Unit_1___Compacted_Soil_95__ready_to_receive_pavers">#REF!</definedName>
    <definedName name="HEIGHT_TH2_V2__Unit_1___Concrete_to_Beams_FF">#REF!</definedName>
    <definedName name="HEIGHT_TH2_V2__Unit_1___Concrete_to_Beams_GF">#REF!</definedName>
    <definedName name="HEIGHT_TH2_V2__Unit_1___Concrete_to_Column_below_grade">#REF!</definedName>
    <definedName name="HEIGHT_TH2_V2__Unit_1___Concrete_to_Column_FF">#REF!</definedName>
    <definedName name="HEIGHT_TH2_V2__Unit_1___Concrete_to_Column_GF">#REF!</definedName>
    <definedName name="HEIGHT_TH2_V2__Unit_1___Concrete_to_Column_RF">#REF!</definedName>
    <definedName name="HEIGHT_TH2_V2__Unit_1___Concrete_to_entry_slabs">#REF!</definedName>
    <definedName name="HEIGHT_TH2_V2__Unit_1___Concrete_to_Footing">#REF!</definedName>
    <definedName name="HEIGHT_TH2_V2__Unit_1___Concrete_to_Grade_Beams">#REF!</definedName>
    <definedName name="HEIGHT_TH2_V2__Unit_1___Concrete_to_Grade_Slab">#REF!</definedName>
    <definedName name="HEIGHT_TH2_V2__Unit_1___Concrete_to_Roof">#REF!</definedName>
    <definedName name="HEIGHT_TH2_V2__Unit_1___Concrete_to_Roof_Slab_GF">#REF!</definedName>
    <definedName name="HEIGHT_TH2_V2__Unit_1___Concrete_to_ST_Beams">#REF!</definedName>
    <definedName name="HEIGHT_TH2_V2__Unit_1___Concrete_to_steps">#REF!</definedName>
    <definedName name="HEIGHT_TH2_V2__Unit_1___Concrete_to_Suspended_Slab_GF">#REF!</definedName>
    <definedName name="HEIGHT_TH2_V2__Unit_1___Concrete_to_Suspended_Slabs_FF">#REF!</definedName>
    <definedName name="HEIGHT_TH2_V2__Unit_1___Concrete_to_terrace_slabs">#REF!</definedName>
    <definedName name="HEIGHT_TH2_V2__Unit_1___Excavation_to_Footing">#REF!</definedName>
    <definedName name="HEIGHT_TH2_V2__Unit_1___Excavation_to_ST_Beams">#REF!</definedName>
    <definedName name="HEIGHT_TH2_V2__Unit_1___Formworks_to_Roof">#REF!</definedName>
    <definedName name="HEIGHT_TH2_V2__Unit_1___Formworks_to_Roof_Slab_GF">#REF!</definedName>
    <definedName name="HEIGHT_TH2_V2__Unit_1___Formworks_to_Sides_Beams_FF">#REF!</definedName>
    <definedName name="HEIGHT_TH2_V2__Unit_1___Formworks_to_Sides_of_Beams_GF">#REF!</definedName>
    <definedName name="HEIGHT_TH2_V2__Unit_1___Formworks_to_Sides_of_Column">#REF!</definedName>
    <definedName name="HEIGHT_TH2_V2__Unit_1___Formworks_to_Sides_of_Column_FF___Copy">#REF!</definedName>
    <definedName name="HEIGHT_TH2_V2__Unit_1___Formworks_to_Sides_of_Column_RF">#REF!</definedName>
    <definedName name="HEIGHT_TH2_V2__Unit_1___Formworks_to_Sides_of_Columns_GF">#REF!</definedName>
    <definedName name="HEIGHT_TH2_V2__Unit_1___Formworks_to_Sides_of_Grade_Beams">#REF!</definedName>
    <definedName name="HEIGHT_TH2_V2__Unit_1___Formworks_to_Soffit_of_Beams_FF">#REF!</definedName>
    <definedName name="HEIGHT_TH2_V2__Unit_1___Formworks_to_Soffit_of_Beams_GF">#REF!</definedName>
    <definedName name="HEIGHT_TH2_V2__Unit_1___Formworks_to_Soffit_of_Grade_Beams">#REF!</definedName>
    <definedName name="HEIGHT_TH2_V2__Unit_1___Formworks_to_Suspended_Slab__FF">#REF!</definedName>
    <definedName name="HEIGHT_TH2_V2__Unit_1___Formworks_to_Suspended_Slab_GF">#REF!</definedName>
    <definedName name="HEIGHT_TH2_V2__Unit_1___Reinforcement_to_Column_below_grade">#REF!</definedName>
    <definedName name="HEIGHT_TH2_V2__Unit_1___Reinforcement_to_Footing">#REF!</definedName>
    <definedName name="HEIGHT_TH2_V2__Unit_1___Reinforcement_to_ST_Beams">#REF!</definedName>
    <definedName name="HEIGHT_TH2_V2__Unit_2____1000g_Polystyrene_to_Footing">#REF!</definedName>
    <definedName name="HEIGHT_TH2_V2__Unit_2____200_mm_thk_Suitable_Well_Graded_Compacted_Materials_to_Footing">#REF!</definedName>
    <definedName name="HEIGHT_TH2_V2__Unit_2____50_mm_thk_PCC_to_Footing">#REF!</definedName>
    <definedName name="HEIGHT_TH2_V2__Unit_2____Excavation_to_Footing">#REF!</definedName>
    <definedName name="HEIGHT_TH2_V2__Unit_2____Soil_Compaction_to_Footing">#REF!</definedName>
    <definedName name="HEIGHT_TH2_V2__Unit_2___Compacted_Soil_95__ready_t_o_receive_pavers">#REF!</definedName>
    <definedName name="HEIGHT_TH2_V2__Unit_2___Concrete_to_Beams_FF">#REF!</definedName>
    <definedName name="HEIGHT_TH2_V2__Unit_2___Concrete_to_Beams_GF">#REF!</definedName>
    <definedName name="HEIGHT_TH2_V2__Unit_2___Concrete_to_Column_below_grade">#REF!</definedName>
    <definedName name="HEIGHT_TH2_V2__Unit_2___Concrete_to_Column_FF">#REF!</definedName>
    <definedName name="HEIGHT_TH2_V2__Unit_2___Concrete_to_Column_RF">#REF!</definedName>
    <definedName name="HEIGHT_TH2_V2__Unit_2___Concrete_to_Columns_GF">#REF!</definedName>
    <definedName name="HEIGHT_TH2_V2__Unit_2___Concrete_to_entry_slabs">#REF!</definedName>
    <definedName name="HEIGHT_TH2_V2__Unit_2___Concrete_to_Footing">#REF!</definedName>
    <definedName name="HEIGHT_TH2_V2__UNit_2___Concrete_to_Grade_Beam">#REF!</definedName>
    <definedName name="HEIGHT_TH2_V2__Unit_2___Concrete_to_Grade_Slab">#REF!</definedName>
    <definedName name="HEIGHT_TH2_V2__Unit_2___Concrete_to_Roof">#REF!</definedName>
    <definedName name="HEIGHT_TH2_V2__Unit_2___Concrete_to_Roof_Slab_GF">#REF!</definedName>
    <definedName name="HEIGHT_TH2_V2__Unit_2___Concrete_to_ST_Beams">#REF!</definedName>
    <definedName name="HEIGHT_TH2_V2__Unit_2___Concrete_to_steps">#REF!</definedName>
    <definedName name="HEIGHT_TH2_V2__Unit_2___Concrete_to_Suspended_Slab__FF">#REF!</definedName>
    <definedName name="HEIGHT_TH2_V2__Unit_2___Concrete_to_Suspended_Slab_GF">#REF!</definedName>
    <definedName name="HEIGHT_TH2_V2__Unit_2___Concrete_to_terrace_slabs">#REF!</definedName>
    <definedName name="HEIGHT_TH2_V2__Unit_2___Excavation_to_Footing">#REF!</definedName>
    <definedName name="HEIGHT_TH2_V2__Unit_2___Excavation_to_ST_Beams">#REF!</definedName>
    <definedName name="HEIGHT_TH2_V2__Unit_2___Formworks_to_Roof">#REF!</definedName>
    <definedName name="HEIGHT_TH2_V2__Unit_2___Formworks_to_Roof_Slab_GF">#REF!</definedName>
    <definedName name="HEIGHT_TH2_V2__Unit_2___Formworks_to_Sides_of_Beams_FF">#REF!</definedName>
    <definedName name="HEIGHT_TH2_V2__Unit_2___Formworks_to_Sides_of_Beams_GF">#REF!</definedName>
    <definedName name="HEIGHT_TH2_V2__Unit_2___Formworks_to_Sides_of_Column">#REF!</definedName>
    <definedName name="HEIGHT_TH2_V2__Unit_2___Formworks_to_Sides_of_Column_FF___Copy">#REF!</definedName>
    <definedName name="HEIGHT_TH2_V2__Unit_2___Formworks_to_Sides_of_Column_RF">#REF!</definedName>
    <definedName name="HEIGHT_TH2_V2__Unit_2___Formworks_to_Sides_of_Columns_GF">#REF!</definedName>
    <definedName name="HEIGHT_TH2_V2__UNit_2___Formworks_to_Sides_of_Grade_Beam">#REF!</definedName>
    <definedName name="HEIGHT_TH2_V2__Unit_2___Formworks_to_Soffit_of_Beam_FF">#REF!</definedName>
    <definedName name="HEIGHT_TH2_V2__Unit_2___Formworks_to_Soffit_of_Beams_GF">#REF!</definedName>
    <definedName name="HEIGHT_TH2_V2__UNit_2___Formworks_to_Soffit_of_Grade_Beam">#REF!</definedName>
    <definedName name="HEIGHT_TH2_V2__Unit_2___Formworks_to_Suspended_Slab_FF">#REF!</definedName>
    <definedName name="HEIGHT_TH2_V2__Unit_2___Formworks_to_Suspended_Slab_GF">#REF!</definedName>
    <definedName name="HEIGHT_TH2_V2__Unit_2___Reinforcement_to_Column_below_grade">#REF!</definedName>
    <definedName name="HEIGHT_TH2_V2__Unit_2___Reinforcement_to_Footing">#REF!</definedName>
    <definedName name="HEIGHT_TH2_V2__Unit_2__Reinforcement_to_ST_Beams">#REF!</definedName>
    <definedName name="HEIGHT_TH2_V2__units_1___Blockworks_100mm_thick">#REF!</definedName>
    <definedName name="HEIGHT_TH2_V2__units_1___Blockworks_BW_1">#REF!</definedName>
    <definedName name="HEIGHT_TH2_V2__units_1___Blockworks_BW_2">#REF!</definedName>
    <definedName name="HEIGHT_TH2_V2__units_1___Blockworks_BW_3">#REF!</definedName>
    <definedName name="HEIGHT_TH2_V2__units_1___Blockworks_BW_3_External">#REF!</definedName>
    <definedName name="HEIGHT_TH2_V2__units_1___Blockworks_BW_4">#REF!</definedName>
    <definedName name="HEIGHT_TH2_V2__units_1___Ceiling_Finishes__390mm_high_BH">#REF!</definedName>
    <definedName name="HEIGHT_TH2_V2__units_1___Ceiling_Finishes__450mm_high_BH">#REF!</definedName>
    <definedName name="HEIGHT_TH2_V2__units_1___Ceiling_Finishes__460mm_high_BH">#REF!</definedName>
    <definedName name="HEIGHT_TH2_V2__units_1___Ceiling_Finishes__490mm_high_BH">#REF!</definedName>
    <definedName name="HEIGHT_TH2_V2__units_1___Ceiling_Finishes__560mm_high_BH">#REF!</definedName>
    <definedName name="HEIGHT_TH2_V2__units_1___Ceiling_Finishes_Plaster_w__Paint__Moisture_">#REF!</definedName>
    <definedName name="HEIGHT_TH2_V2__units_1___Ceiling_Finishes_Plaster_w__Paint_PF01">#REF!</definedName>
    <definedName name="HEIGHT_TH2_V2__units_1___Ceiling_Finishes_Plasterboard_w__Paint_PF01">#REF!</definedName>
    <definedName name="HEIGHT_TH2_V2__units_1___Ceiling_Finishes_Plasterboard_w__Paint_PF02">#REF!</definedName>
    <definedName name="HEIGHT_TH2_V2__units_1___Floor_Finishes_Ceramic_Tiles">#REF!</definedName>
    <definedName name="HEIGHT_TH2_V2__units_1___Floor_Finishes_FF01">#REF!</definedName>
    <definedName name="HEIGHT_TH2_V2__units_1___Floor_Finishes_FF03">#REF!</definedName>
    <definedName name="HEIGHT_TH2_V2__units_1___Floor_Finishes_Interlock">#REF!</definedName>
    <definedName name="HEIGHT_TH2_V2__units_1___Floor_Finishes_Pavers">#REF!</definedName>
    <definedName name="HEIGHT_TH2_V2__units_1___Floor_Finishes_Pavers_Kerbs">#REF!</definedName>
    <definedName name="HEIGHT_TH2_V2__units_1___Floor_Finishes_Screed_only">#REF!</definedName>
    <definedName name="HEIGHT_TH2_V2__units_1___Handrail__1100mm_high">#REF!</definedName>
    <definedName name="HEIGHT_TH2_V2__units_1___Roof_Finishes_Precast_Concrete">#REF!</definedName>
    <definedName name="HEIGHT_TH2_V2__units_1___Roof_Finishes_Waterproofing_w__Paint">#REF!</definedName>
    <definedName name="HEIGHT_TH2_V2__units_1___Skirting_External">#REF!</definedName>
    <definedName name="HEIGHT_TH2_V2__units_1___Skirting_FF01">#REF!</definedName>
    <definedName name="HEIGHT_TH2_V2__units_1___Staircase_Finishes_FF05">#REF!</definedName>
    <definedName name="HEIGHT_TH2_V2__units_1___Type_AL_01__1000_x_2100mm_high">#REF!</definedName>
    <definedName name="HEIGHT_TH2_V2__units_1___Type_AL_02__600_x_1350mm_high">#REF!</definedName>
    <definedName name="HEIGHT_TH2_V2__units_1___Type_AL_03__350_x_1350mm_high">#REF!</definedName>
    <definedName name="HEIGHT_TH2_V2__units_1___Type_AL_04__800_x_1350mm_high">#REF!</definedName>
    <definedName name="HEIGHT_TH2_V2__units_1___Type_D_01__1100_x_2400mm_high">#REF!</definedName>
    <definedName name="HEIGHT_TH2_V2__units_1___Type_D_02__900_x_2200mm_high">#REF!</definedName>
    <definedName name="HEIGHT_TH2_V2__units_1___Type_D_03__850_x_2200mm_high">#REF!</definedName>
    <definedName name="HEIGHT_TH2_V2__units_1___Type_D_03__850_x_2200mm_high_Internal">#REF!</definedName>
    <definedName name="HEIGHT_TH2_V2__units_1___Type_D_04__900_x_2200mm_high">#REF!</definedName>
    <definedName name="HEIGHT_TH2_V2__units_1___Type_GL_01__750_x_1250mm_high">#REF!</definedName>
    <definedName name="HEIGHT_TH2_V2__units_1___Type_GL_02__600_x_1250mm_high">#REF!</definedName>
    <definedName name="HEIGHT_TH2_V2__units_1___Type_GL_03__2225_x_3750mm_high__corner">#REF!</definedName>
    <definedName name="HEIGHT_TH2_V2__units_1___Type_GL_04__2200_x_2700mm_high">#REF!</definedName>
    <definedName name="HEIGHT_TH2_V2__units_1___Type_GL_05__2700_x_2550mm_high__corner">#REF!</definedName>
    <definedName name="HEIGHT_TH2_V2__units_1___Type_GL_06__1400_x_1250mm_high">#REF!</definedName>
    <definedName name="HEIGHT_TH2_V2__units_1___Type_GL_16__2400_x_2400mm_high__corner">#REF!</definedName>
    <definedName name="HEIGHT_TH2_V2__units_1___Type_GL_17__750_x_2550mm_high">#REF!</definedName>
    <definedName name="HEIGHT_TH2_V2__units_1___Type_GL_18__750_x_2100mm_high">#REF!</definedName>
    <definedName name="HEIGHT_TH2_V2__units_1___Type_GL_19__700_x_1250mm_high">#REF!</definedName>
    <definedName name="HEIGHT_TH2_V2__units_1___Type_GL_20__2850_x_2400mm_high">#REF!</definedName>
    <definedName name="HEIGHT_TH2_V2__units_1___Type_GL_21__1400_x_2400mm_high">#REF!</definedName>
    <definedName name="HEIGHT_TH2_V2__units_1___Type_GL_22__900_x_2200mm_high">#REF!</definedName>
    <definedName name="HEIGHT_TH2_V2__units_1___Type_GL_23__1900_x_2700mm_high">#REF!</definedName>
    <definedName name="HEIGHT_TH2_V2__units_1___Wall_Finishes_PF03">#REF!</definedName>
    <definedName name="HEIGHT_TH2_V2__units_1___Wall_Finishes_PF04">#REF!</definedName>
    <definedName name="HEIGHT_TH2_V2__units_1___Wall_Finishes_Plaster_w__paint">#REF!</definedName>
    <definedName name="HEIGHT_TH2_V2__units_1___Wall_Finishes_Plaster_w__paint__dark_">#REF!</definedName>
    <definedName name="HEIGHT_TH2_V2__units_1___Wall_Finishes_SS">#REF!</definedName>
    <definedName name="HEIGHT_TH2_V2__units_1___Wall_Finishes_WF01">#REF!</definedName>
    <definedName name="HEIGHT_TH2_V2__units_1___Wall_Finishes_WF02">#REF!</definedName>
    <definedName name="HEIGHT_TH2_V2__units_1___Wall_Finishes_WF03">#REF!</definedName>
    <definedName name="HEIGHT_TH2_V2__units_1___Wall_Finishes_WF04">#REF!</definedName>
    <definedName name="HEIGHT_TH2_V2__units_1___Wall_Finishes_WF05">#REF!</definedName>
    <definedName name="HEIGHT_TH2_V2__units_1___Wall_Finishes_WF06">#REF!</definedName>
    <definedName name="HEIGHT_TH2_V2__units_1___Wall_Finishes_WF07">#REF!</definedName>
    <definedName name="HEIGHT_TH2_V2__units_1___Wall_Finishes_WF08">#REF!</definedName>
    <definedName name="HEIGHT_TH2_V2__units_1___Wall_Insulation">#REF!</definedName>
    <definedName name="HEIGHT_TH2_V2__units_1___Waterproofing_to_walls">#REF!</definedName>
    <definedName name="HEIGHT_TH2_V2__units_1___Waterproofing_to_wet_areas">#REF!</definedName>
    <definedName name="HEIGHT_Trees___Around_Perimeter">#REF!</definedName>
    <definedName name="HEIGHT_Trees___Inside_Plot">#REF!</definedName>
    <definedName name="HEIGHT_TYPICAL__ADDL_SLAB">#REF!</definedName>
    <definedName name="HEIGHT_TYPICAL__HEB_100">#REF!</definedName>
    <definedName name="HEIGHT_TYPICAL__HEB_160">#REF!</definedName>
    <definedName name="HEIGHT_TYPICAL__L_150x150x15">#REF!</definedName>
    <definedName name="HEIGHT_TYPICAL__MEP_FLOOR">#REF!</definedName>
    <definedName name="HEIGHT_Unallocated_Rooms">#REF!</definedName>
    <definedName name="HEIGHT_uPVC_Sewage_Pipe_1F">#REF!</definedName>
    <definedName name="HEIGHT_uPVC_Sewage_Pipe_GF">#REF!</definedName>
    <definedName name="HEIGHT_uPVC_Waste_Pipe_1F">#REF!</definedName>
    <definedName name="HEIGHT_uPVC_Waste_Pipe_1F_collection">#REF!</definedName>
    <definedName name="HEIGHT_uPVC_Waste_Pipe_GF">#REF!</definedName>
    <definedName name="HEIGHT_uPVC_Waste_Pipe_GF_Collection">#REF!</definedName>
    <definedName name="HEIGHT_Water_Feature">#REF!</definedName>
    <definedName name="HEIGHT_Water_Hammer_Arrestor">#REF!</definedName>
    <definedName name="HEIGHT_Water_jets">#REF!</definedName>
    <definedName name="heights">#REF!</definedName>
    <definedName name="hello">#REF!</definedName>
    <definedName name="hello1">#REF!</definedName>
    <definedName name="help">#REF!</definedName>
    <definedName name="HEMPEL">#REF!</definedName>
    <definedName name="hence" localSheetId="1" hidden="1">{#N/A,#N/A,TRUE,"Cover";#N/A,#N/A,TRUE,"Conts";#N/A,#N/A,TRUE,"VOS";#N/A,#N/A,TRUE,"Warrington";#N/A,#N/A,TRUE,"Widnes"}</definedName>
    <definedName name="hence" hidden="1">{#N/A,#N/A,TRUE,"Cover";#N/A,#N/A,TRUE,"Conts";#N/A,#N/A,TRUE,"VOS";#N/A,#N/A,TRUE,"Warrington";#N/A,#N/A,TRUE,"Widnes"}</definedName>
    <definedName name="here2">#REF!</definedName>
    <definedName name="hf" localSheetId="1">#REF!</definedName>
    <definedName name="hf">#REF!</definedName>
    <definedName name="hfdh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dh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dskjhgashfdkhjf" localSheetId="1" hidden="1">{#N/A,#N/A,FALSE,"Cover";#N/A,#N/A,FALSE,"Index";#N/A,#N/A,FALSE,"Spec";#N/A,#N/A,FALSE,"Breakdown";#N/A,#N/A,FALSE,"Cost Plan"}</definedName>
    <definedName name="hfdskjhgashfdkhjf" hidden="1">{#N/A,#N/A,FALSE,"Cover";#N/A,#N/A,FALSE,"Index";#N/A,#N/A,FALSE,"Spec";#N/A,#N/A,FALSE,"Breakdown";#N/A,#N/A,FALSE,"Cost Plan"}</definedName>
    <definedName name="hffr7y">#N/A</definedName>
    <definedName name="hffuf">#N/A</definedName>
    <definedName name="hfgdmfgdhn">#REF!</definedName>
    <definedName name="hfgff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f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fhfhhgfg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fhfhhg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" localSheetId="1" hidden="1">{#N/A,#N/A,TRUE,"Cover";#N/A,#N/A,TRUE,"Conts";#N/A,#N/A,TRUE,"VOS";#N/A,#N/A,TRUE,"Warrington";#N/A,#N/A,TRUE,"Widnes"}</definedName>
    <definedName name="hfgh" hidden="1">{#N/A,#N/A,TRUE,"Cover";#N/A,#N/A,TRUE,"Conts";#N/A,#N/A,TRUE,"VOS";#N/A,#N/A,TRUE,"Warrington";#N/A,#N/A,TRUE,"Widnes"}</definedName>
    <definedName name="hfgh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f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hf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h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hgf" localSheetId="1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fhgf_1" localSheetId="1" hidden="1">{#N/A,#N/A,TRUE,"Cover";#N/A,#N/A,TRUE,"Conts";#N/A,#N/A,TRUE,"VOS";#N/A,#N/A,TRUE,"Warrington";#N/A,#N/A,TRUE,"Widnes"}</definedName>
    <definedName name="hfhgf_1" hidden="1">{#N/A,#N/A,TRUE,"Cover";#N/A,#N/A,TRUE,"Conts";#N/A,#N/A,TRUE,"VOS";#N/A,#N/A,TRUE,"Warrington";#N/A,#N/A,TRUE,"Widnes"}</definedName>
    <definedName name="HFJ">#REF!</definedName>
    <definedName name="hfram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ram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df" localSheetId="1" hidden="1">{#N/A,#N/A,FALSE,"HCA";#N/A,#N/A,FALSE,"Revenue";#N/A,#N/A,FALSE,"Opex";#N/A,#N/A,FALSE,"AMP"}</definedName>
    <definedName name="hgdf" hidden="1">{#N/A,#N/A,FALSE,"HCA";#N/A,#N/A,FALSE,"Revenue";#N/A,#N/A,FALSE,"Opex";#N/A,#N/A,FALSE,"AMP"}</definedName>
    <definedName name="hgfhfghgh" localSheetId="1" hidden="1">{#N/A,#N/A,TRUE,"Cover";#N/A,#N/A,TRUE,"Conts";#N/A,#N/A,TRUE,"VOS";#N/A,#N/A,TRUE,"Warrington";#N/A,#N/A,TRUE,"Widnes"}</definedName>
    <definedName name="hgfhfghgh" hidden="1">{#N/A,#N/A,TRUE,"Cover";#N/A,#N/A,TRUE,"Conts";#N/A,#N/A,TRUE,"VOS";#N/A,#N/A,TRUE,"Warrington";#N/A,#N/A,TRUE,"Widnes"}</definedName>
    <definedName name="hgfj" localSheetId="1">BlankMacro1</definedName>
    <definedName name="hgfj">BlankMacro1</definedName>
    <definedName name="hgh" localSheetId="1" hidden="1">#REF!</definedName>
    <definedName name="hgh" hidden="1">#REF!</definedName>
    <definedName name="hghgh" hidden="1">#REF!</definedName>
    <definedName name="hghgyrt">#N/A</definedName>
    <definedName name="HGHRTTY">#N/A</definedName>
    <definedName name="HGHTHTH">#N/A</definedName>
    <definedName name="HGJGH" localSheetId="1">[1]!CUSTOM1_2_bed_fridge_freezer+Extra_Payment</definedName>
    <definedName name="HGJGH">Scheduled_Payment+Extra_Payment</definedName>
    <definedName name="hgjh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j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khkg" localSheetId="1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gkhkg_1" localSheetId="1" hidden="1">{#N/A,#N/A,TRUE,"Cover";#N/A,#N/A,TRUE,"Conts";#N/A,#N/A,TRUE,"VOS";#N/A,#N/A,TRUE,"Warrington";#N/A,#N/A,TRUE,"Widnes"}</definedName>
    <definedName name="hgkhkg_1" hidden="1">{#N/A,#N/A,TRUE,"Cover";#N/A,#N/A,TRUE,"Conts";#N/A,#N/A,TRUE,"VOS";#N/A,#N/A,TRUE,"Warrington";#N/A,#N/A,TRUE,"Widnes"}</definedName>
    <definedName name="hgkhlh" localSheetId="1" hidden="1">{"'Break down'!$A$4"}</definedName>
    <definedName name="hgkhlh" hidden="1">{"'Break down'!$A$4"}</definedName>
    <definedName name="hgkjh" localSheetId="1">{"Book1"}</definedName>
    <definedName name="hgkjh">{"Book1"}</definedName>
    <definedName name="HGRTRTRT">#N/A</definedName>
    <definedName name="HGT45CVD" localSheetId="1" hidden="1">{"'Break down'!$A$4"}</definedName>
    <definedName name="HGT45CVD" hidden="1">{"'Break down'!$A$4"}</definedName>
    <definedName name="HGTF453" localSheetId="1" hidden="1">{"'Break down'!$A$4"}</definedName>
    <definedName name="HGTF453" hidden="1">{"'Break down'!$A$4"}</definedName>
    <definedName name="hgyu" localSheetId="1" hidden="1">{"'Break down'!$A$4"}</definedName>
    <definedName name="hgyu" hidden="1">{"'Break down'!$A$4"}</definedName>
    <definedName name="HH" localSheetId="1">#REF!</definedName>
    <definedName name="HH">#REF!</definedName>
    <definedName name="hh___0" localSheetId="1">#REF!</definedName>
    <definedName name="hh___0">#REF!</definedName>
    <definedName name="hh___13">#REF!</definedName>
    <definedName name="HH_1">0</definedName>
    <definedName name="HH_22">#REF!</definedName>
    <definedName name="hh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f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fgh" localSheetId="1" hidden="1">{#N/A,#N/A,TRUE,"Cover";#N/A,#N/A,TRUE,"Conts";#N/A,#N/A,TRUE,"VOS";#N/A,#N/A,TRUE,"Warrington";#N/A,#N/A,TRUE,"Widnes"}</definedName>
    <definedName name="hhfgh" hidden="1">{#N/A,#N/A,TRUE,"Cover";#N/A,#N/A,TRUE,"Conts";#N/A,#N/A,TRUE,"VOS";#N/A,#N/A,TRUE,"Warrington";#N/A,#N/A,TRUE,"Widnes"}</definedName>
    <definedName name="hhg" localSheetId="1">BlankMacro1</definedName>
    <definedName name="hhg">BlankMacro1</definedName>
    <definedName name="hhggh" localSheetId="1" hidden="1">{#N/A,#N/A,FALSE,"MARCH"}</definedName>
    <definedName name="hhggh" hidden="1">{#N/A,#N/A,FALSE,"MARCH"}</definedName>
    <definedName name="HHH" localSheetId="1">#REF!</definedName>
    <definedName name="HHH">#REF!</definedName>
    <definedName name="hhhh" localSheetId="1">#REF!</definedName>
    <definedName name="hhhh">#REF!</definedName>
    <definedName name="hhhhcfd" localSheetId="1">BlankMacro1</definedName>
    <definedName name="hhhhcfd">BlankMacro1</definedName>
    <definedName name="hhhhh">#N/A</definedName>
    <definedName name="hhhhhh" localSheetId="1" hidden="1">#REF!</definedName>
    <definedName name="hhhhhh" hidden="1">#REF!</definedName>
    <definedName name="hhhhhhhhhhhhhhhh" hidden="1">#REF!</definedName>
    <definedName name="hhhhhhhhhhhhhhhhhh" localSheetId="1">#REF!</definedName>
    <definedName name="hhhhhhhhhhhhhhhhhh">#REF!</definedName>
    <definedName name="hhhhhhhhhhhhhhhhhhhhhhhh" localSheetId="1" hidden="1">#REF!</definedName>
    <definedName name="hhhhhhhhhhhhhhhhhhhhhhhh" hidden="1">#REF!</definedName>
    <definedName name="hhhhhhhhhhhhhhhhhhhhhhhhhhhhhhhhhh" localSheetId="1">#REF!</definedName>
    <definedName name="hhhhhhhhhhhhhhhhhhhhhhhhhhhhhhhhhh">#REF!</definedName>
    <definedName name="HHHJ" localSheetId="1" hidden="1">{#N/A,#N/A,TRUE,"Cover";#N/A,#N/A,TRUE,"Conts";#N/A,#N/A,TRUE,"VOS";#N/A,#N/A,TRUE,"Warrington";#N/A,#N/A,TRUE,"Widnes"}</definedName>
    <definedName name="HHHJ" hidden="1">{#N/A,#N/A,TRUE,"Cover";#N/A,#N/A,TRUE,"Conts";#N/A,#N/A,TRUE,"VOS";#N/A,#N/A,TRUE,"Warrington";#N/A,#N/A,TRUE,"Widnes"}</definedName>
    <definedName name="hhkh" localSheetId="1">BlankMacro1</definedName>
    <definedName name="hhkh">BlankMacro1</definedName>
    <definedName name="hhuuyvv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uuy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>#REF!</definedName>
    <definedName name="HIBEEP" localSheetId="1">#REF!</definedName>
    <definedName name="HIBEEP">#REF!</definedName>
    <definedName name="HiddenRows" hidden="1">#REF!</definedName>
    <definedName name="HIGH">#REF!</definedName>
    <definedName name="HINDHUSTAN">#REF!</definedName>
    <definedName name="HIns">#REF!</definedName>
    <definedName name="HIRED">#REF!</definedName>
    <definedName name="history">#REF!</definedName>
    <definedName name="HIT">#REF!</definedName>
    <definedName name="HJ">#N/A</definedName>
    <definedName name="HJ564DFCV" localSheetId="1" hidden="1">{"'Break down'!$A$4"}</definedName>
    <definedName name="HJ564DFCV" hidden="1">{"'Break down'!$A$4"}</definedName>
    <definedName name="HJ56FG" localSheetId="1" hidden="1">{"'Break down'!$A$4"}</definedName>
    <definedName name="HJ56FG" hidden="1">{"'Break down'!$A$4"}</definedName>
    <definedName name="HJ6754FG" localSheetId="1" hidden="1">{"'Break down'!$A$4"}</definedName>
    <definedName name="HJ6754FG" hidden="1">{"'Break down'!$A$4"}</definedName>
    <definedName name="HJ6TYBG" localSheetId="1" hidden="1">{"'Break down'!$A$4"}</definedName>
    <definedName name="HJ6TYBG" hidden="1">{"'Break down'!$A$4"}</definedName>
    <definedName name="HJBN543" localSheetId="1" hidden="1">{"'Break down'!$A$4"}</definedName>
    <definedName name="HJBN543" hidden="1">{"'Break down'!$A$4"}</definedName>
    <definedName name="hjdj" localSheetId="1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jdj_1" localSheetId="1" hidden="1">{#N/A,#N/A,TRUE,"Cover";#N/A,#N/A,TRUE,"Conts";#N/A,#N/A,TRUE,"VOS";#N/A,#N/A,TRUE,"Warrington";#N/A,#N/A,TRUE,"Widnes"}</definedName>
    <definedName name="hjdj_1" hidden="1">{#N/A,#N/A,TRUE,"Cover";#N/A,#N/A,TRUE,"Conts";#N/A,#N/A,TRUE,"VOS";#N/A,#N/A,TRUE,"Warrington";#N/A,#N/A,TRUE,"Widnes"}</definedName>
    <definedName name="hjghjf" localSheetId="1" hidden="1">{#N/A,#N/A,FALSE,"표지목차"}</definedName>
    <definedName name="hjghjf" hidden="1">{#N/A,#N/A,FALSE,"표지목차"}</definedName>
    <definedName name="hjh">#REF!</definedName>
    <definedName name="hjhgj" localSheetId="1">#REF!</definedName>
    <definedName name="hjhgj">#REF!</definedName>
    <definedName name="hjhgjhjhg" localSheetId="1">#REF!</definedName>
    <definedName name="hjhgjhjhg">#REF!</definedName>
    <definedName name="hjhj" localSheetId="1">BlankMacro1</definedName>
    <definedName name="hjhj">BlankMacro1</definedName>
    <definedName name="hjhjhjhkljh" localSheetId="1">#REF!</definedName>
    <definedName name="hjhjhjhkljh">#REF!</definedName>
    <definedName name="hjjjj">#REF!</definedName>
    <definedName name="hjk" localSheetId="1" hidden="1">{#N/A,#N/A,FALSE,"MARCH"}</definedName>
    <definedName name="hjk" hidden="1">{#N/A,#N/A,FALSE,"MARCH"}</definedName>
    <definedName name="hjk_1" localSheetId="1" hidden="1">{#N/A,#N/A,FALSE,"MARCH"}</definedName>
    <definedName name="hjk_1" hidden="1">{#N/A,#N/A,FALSE,"MARCH"}</definedName>
    <definedName name="hjkgh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jkgh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JLK" localSheetId="1" hidden="1">{"'Break down'!$A$4"}</definedName>
    <definedName name="HJLK" hidden="1">{"'Break down'!$A$4"}</definedName>
    <definedName name="hjmghj" localSheetId="1" hidden="1">{#N/A,#N/A,FALSE,"물량산출"}</definedName>
    <definedName name="hjmghj" hidden="1">{#N/A,#N/A,FALSE,"물량산출"}</definedName>
    <definedName name="HJU">#N/A</definedName>
    <definedName name="HJUE">#N/A</definedName>
    <definedName name="hjy" localSheetId="1">{"'Break down'!$A$4"}</definedName>
    <definedName name="hjy">{"'Break down'!$A$4"}</definedName>
    <definedName name="hjy_1" localSheetId="1">{"'Break down'!$A$4"}</definedName>
    <definedName name="hjy_1">{"'Break down'!$A$4"}</definedName>
    <definedName name="HJY654JK" localSheetId="1" hidden="1">{"'Break down'!$A$4"}</definedName>
    <definedName name="HJY654JK" hidden="1">{"'Break down'!$A$4"}</definedName>
    <definedName name="h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D">#REF!</definedName>
    <definedName name="hkdg" localSheetId="1">BlankMacro1</definedName>
    <definedName name="hkdg">BlankMacro1</definedName>
    <definedName name="hkdjdjh" localSheetId="1" hidden="1">{#N/A,#N/A,FALSE,"물량산출"}</definedName>
    <definedName name="hkdjdjh" hidden="1">{#N/A,#N/A,FALSE,"물량산출"}</definedName>
    <definedName name="hkhkhkj" localSheetId="1">#REF!</definedName>
    <definedName name="hkhkhkj">#REF!</definedName>
    <definedName name="hkjjhkhkh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KILJI" localSheetId="1">#REF!</definedName>
    <definedName name="HKKILJI">#REF!</definedName>
    <definedName name="hkkkkkkkkkkkkkkkkkkkk" localSheetId="1" hidden="1">#REF!</definedName>
    <definedName name="hkkkkkkkkkkkkkkkkkkkk" hidden="1">#REF!</definedName>
    <definedName name="HKR_Middle_East_Architects_Engineering_LLC" localSheetId="1">#REF!</definedName>
    <definedName name="HKR_Middle_East_Architects_Engineering_LLC">#REF!</definedName>
    <definedName name="hland" localSheetId="1">#REF!</definedName>
    <definedName name="hland">#REF!</definedName>
    <definedName name="hlbd" localSheetId="1">#REF!</definedName>
    <definedName name="hlbd">#REF!</definedName>
    <definedName name="hlp">#REF!</definedName>
    <definedName name="hmliynkly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mliynkl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nju" localSheetId="1" hidden="1">{#N/A,#N/A,FALSE,"Header P";#N/A,#N/A,FALSE,"Summary";#N/A,#N/A,FALSE,"CONTRACT WORKS";#N/A,#N/A,FALSE,"Variations";#N/A,#N/A,FALSE,"Dwk"}</definedName>
    <definedName name="hnju" hidden="1">{#N/A,#N/A,FALSE,"Header P";#N/A,#N/A,FALSE,"Summary";#N/A,#N/A,FALSE,"CONTRACT WORKS";#N/A,#N/A,FALSE,"Variations";#N/A,#N/A,FALSE,"Dwk"}</definedName>
    <definedName name="HO" localSheetId="1">#REF!</definedName>
    <definedName name="HO">#REF!</definedName>
    <definedName name="ho___0" localSheetId="1">#REF!</definedName>
    <definedName name="ho___0">#REF!</definedName>
    <definedName name="ho___13">#REF!</definedName>
    <definedName name="HO_Eng">#REF!</definedName>
    <definedName name="HO_Exp">#REF!</definedName>
    <definedName name="ho_progress_detail">#REF!</definedName>
    <definedName name="HO2_" localSheetId="1">#REF!</definedName>
    <definedName name="HO2_">#REF!</definedName>
    <definedName name="HOC">#REF!</definedName>
    <definedName name="HOcosts">#REF!</definedName>
    <definedName name="hoi" localSheetId="1">#REF!</definedName>
    <definedName name="hoi">#REF!</definedName>
    <definedName name="HOIST기초" localSheetId="1" hidden="1">{#N/A,#N/A,FALSE,"물량산출"}</definedName>
    <definedName name="HOIST기초" hidden="1">{#N/A,#N/A,FALSE,"물량산출"}</definedName>
    <definedName name="Hollow">#REF!</definedName>
    <definedName name="HollywoodTwinArea" localSheetId="1">#REF!</definedName>
    <definedName name="HollywoodTwinArea">#REF!</definedName>
    <definedName name="HollywoodTwinPerimeter" localSheetId="1">#REF!</definedName>
    <definedName name="HollywoodTwinPerimeter">#REF!</definedName>
    <definedName name="hom">#REF!</definedName>
    <definedName name="HOME">#REF!</definedName>
    <definedName name="HOME_MANP">#REF!</definedName>
    <definedName name="Home_Ofc_OT">#REF!</definedName>
    <definedName name="Home_Ofc_ST">#REF!</definedName>
    <definedName name="HomeCell" localSheetId="1">#REF!</definedName>
    <definedName name="HomeCell">#REF!</definedName>
    <definedName name="HOMEOFFICE_COST" localSheetId="1">#REF!</definedName>
    <definedName name="HOMEOFFICE_COST">#REF!</definedName>
    <definedName name="homer">#REF!</definedName>
    <definedName name="homerun">#REF!</definedName>
    <definedName name="HOR_TOP">#REF!</definedName>
    <definedName name="HorizontalArea" localSheetId="1">#REF!</definedName>
    <definedName name="HorizontalArea">#REF!</definedName>
    <definedName name="Horn_Speaker" localSheetId="1">#REF!</definedName>
    <definedName name="Horn_Speaker">#REF!</definedName>
    <definedName name="hosp" localSheetId="1">#REF!</definedName>
    <definedName name="hosp">#REF!</definedName>
    <definedName name="hosp_com">#REF!</definedName>
    <definedName name="hosp_com.now">#REF!</definedName>
    <definedName name="hosp_com.payment">#REF!</definedName>
    <definedName name="hosp_com.uncommit">#REF!</definedName>
    <definedName name="hosp_com.vo.app">#REF!</definedName>
    <definedName name="hosp_com.vo.pend">#REF!</definedName>
    <definedName name="hosp_ffe">#REF!</definedName>
    <definedName name="hosp_ffe.now">#REF!</definedName>
    <definedName name="hosp_ffe.payment">#REF!</definedName>
    <definedName name="hosp_ffe.uncommit">#REF!</definedName>
    <definedName name="hosp_ffe.vo.app">#REF!</definedName>
    <definedName name="hosp_ffe.vo.pend">#REF!</definedName>
    <definedName name="hotel" localSheetId="1" hidden="1">{#N/A,#N/A,FALSE,"MARCH"}</definedName>
    <definedName name="hotel" hidden="1">{#N/A,#N/A,FALSE,"MARCH"}</definedName>
    <definedName name="Hotel_net_of_Comp" localSheetId="1">#REF!</definedName>
    <definedName name="Hotel_net_of_Comp">#REF!</definedName>
    <definedName name="Hotel_std">#REF!</definedName>
    <definedName name="Hour_1" localSheetId="1">#REF!</definedName>
    <definedName name="Hour_1">#REF!</definedName>
    <definedName name="hourlyrate2" localSheetId="1">#REF!</definedName>
    <definedName name="hourlyrate2">#REF!</definedName>
    <definedName name="hourlyrates" localSheetId="1">#REF!</definedName>
    <definedName name="hourlyrates">#REF!</definedName>
    <definedName name="HOURS_A">#REF!</definedName>
    <definedName name="HOURS_C">#REF!</definedName>
    <definedName name="hours_day" localSheetId="1">#REF!</definedName>
    <definedName name="hours_day">#REF!</definedName>
    <definedName name="Hours_Per_Month_For_Recitals">#REF!</definedName>
    <definedName name="Hours_Per_Month_For_Ss_And_FCs">#REF!</definedName>
    <definedName name="Housing_Std">#REF!</definedName>
    <definedName name="HOV" localSheetId="1">#REF!</definedName>
    <definedName name="HOV">#REF!</definedName>
    <definedName name="How_many_floors">#REF!</definedName>
    <definedName name="hp_acr">#REF!</definedName>
    <definedName name="hp_cont">#REF!</definedName>
    <definedName name="hp_pc">#REF!</definedName>
    <definedName name="hp_PQ">#REF!</definedName>
    <definedName name="hp_PS">#REF!</definedName>
    <definedName name="hp_var">#REF!</definedName>
    <definedName name="HpGPMFth" localSheetId="1">IF(#REF!&lt;&gt;0,(ROUND(#REF!*#REF!/3364*1.33,0)),0)</definedName>
    <definedName name="HpGPMFth">IF(#REF!&lt;&gt;0,(ROUND(#REF!*#REF!/3364*1.33,0)),0)</definedName>
    <definedName name="hplay">#REF!</definedName>
    <definedName name="HR_BUDGET" localSheetId="1" hidden="1">{#N/A,#N/A,FALSE,"Cover";#N/A,#N/A,FALSE,"Index";#N/A,#N/A,FALSE,"Spec";#N/A,#N/A,FALSE,"Breakdown";#N/A,#N/A,FALSE,"Cost Plan"}</definedName>
    <definedName name="HR_BUDGET" hidden="1">{#N/A,#N/A,FALSE,"Cover";#N/A,#N/A,FALSE,"Index";#N/A,#N/A,FALSE,"Spec";#N/A,#N/A,FALSE,"Breakdown";#N/A,#N/A,FALSE,"Cost Plan"}</definedName>
    <definedName name="HRSG_Boiler_Conc" localSheetId="1">#REF!</definedName>
    <definedName name="HRSG_Boiler_Conc">#REF!</definedName>
    <definedName name="hrths" localSheetId="1">IF(ISNA(MATCH(ROW(),[1]!COUNT_TH2_V2__units_1___Type_D_04__900_x_2200mm_high,1)),1,MATCH(ROW(),[1]!COUNT_TH2_V2__units_1___Type_D_04__900_x_2200mm_high,1)+1)</definedName>
    <definedName name="hrths">IF(ISNA(MATCH(ROW(),RowAfterpgbrk,1)),1,MATCH(ROW(),RowAfterpgbrk,1)+1)</definedName>
    <definedName name="hS" localSheetId="1">#REF!</definedName>
    <definedName name="hS">#REF!</definedName>
    <definedName name="hS___0" localSheetId="1">#REF!</definedName>
    <definedName name="hS___0">#REF!</definedName>
    <definedName name="hS___13" localSheetId="1">#REF!</definedName>
    <definedName name="hS___13">#REF!</definedName>
    <definedName name="HS_TIEN">#REF!</definedName>
    <definedName name="HSCP">#REF!</definedName>
    <definedName name="hsdfahshhzcadghasdgasdg" localSheetId="1">#REF!</definedName>
    <definedName name="hsdfahshhzcadghasdgasdg">#REF!</definedName>
    <definedName name="hshjy" localSheetId="1" hidden="1">{#N/A,#N/A,TRUE,"Cover";#N/A,#N/A,TRUE,"Conts";#N/A,#N/A,TRUE,"VOS";#N/A,#N/A,TRUE,"Warrington";#N/A,#N/A,TRUE,"Widnes"}</definedName>
    <definedName name="hshjy" hidden="1">{#N/A,#N/A,TRUE,"Cover";#N/A,#N/A,TRUE,"Conts";#N/A,#N/A,TRUE,"VOS";#N/A,#N/A,TRUE,"Warrington";#N/A,#N/A,TRUE,"Widnes"}</definedName>
    <definedName name="hshjy_1" localSheetId="1" hidden="1">{#N/A,#N/A,TRUE,"Cover";#N/A,#N/A,TRUE,"Conts";#N/A,#N/A,TRUE,"VOS";#N/A,#N/A,TRUE,"Warrington";#N/A,#N/A,TRUE,"Widnes"}</definedName>
    <definedName name="hshjy_1" hidden="1">{#N/A,#N/A,TRUE,"Cover";#N/A,#N/A,TRUE,"Conts";#N/A,#N/A,TRUE,"VOS";#N/A,#N/A,TRUE,"Warrington";#N/A,#N/A,TRUE,"Widnes"}</definedName>
    <definedName name="hshxdht" localSheetId="1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hxdht_1" localSheetId="1" hidden="1">{#N/A,#N/A,TRUE,"Cover";#N/A,#N/A,TRUE,"Conts";#N/A,#N/A,TRUE,"VOS";#N/A,#N/A,TRUE,"Warrington";#N/A,#N/A,TRUE,"Widnes"}</definedName>
    <definedName name="hshxdht_1" hidden="1">{#N/A,#N/A,TRUE,"Cover";#N/A,#N/A,TRUE,"Conts";#N/A,#N/A,TRUE,"VOS";#N/A,#N/A,TRUE,"Warrington";#N/A,#N/A,TRUE,"Widnes"}</definedName>
    <definedName name="hsjh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j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NC">#REF!</definedName>
    <definedName name="hsyhjtyhj" localSheetId="1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syhjtyhj_1" localSheetId="1" hidden="1">{#N/A,#N/A,TRUE,"Cover";#N/A,#N/A,TRUE,"Conts";#N/A,#N/A,TRUE,"VOS";#N/A,#N/A,TRUE,"Warrington";#N/A,#N/A,TRUE,"Widnes"}</definedName>
    <definedName name="hsyhjtyhj_1" hidden="1">{#N/A,#N/A,TRUE,"Cover";#N/A,#N/A,TRUE,"Conts";#N/A,#N/A,TRUE,"VOS";#N/A,#N/A,TRUE,"Warrington";#N/A,#N/A,TRUE,"Widnes"}</definedName>
    <definedName name="ht" localSheetId="1">#REF!</definedName>
    <definedName name="ht">#REF!</definedName>
    <definedName name="htfhfh">#N/A</definedName>
    <definedName name="htg" localSheetId="1">#REF!</definedName>
    <definedName name="htg">#REF!</definedName>
    <definedName name="htgg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g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gjhfg">#N/A</definedName>
    <definedName name="HTHTT">#N/A</definedName>
    <definedName name="HTHTY">#N/A</definedName>
    <definedName name="hthu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hu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ML_CodePage">9</definedName>
    <definedName name="HTML_CodePage1">9</definedName>
    <definedName name="HTML_Control" localSheetId="1">{"'Break down'!$A$4"}</definedName>
    <definedName name="HTML_Control">{"'Break down'!$A$4"}</definedName>
    <definedName name="HTML_Control_1" localSheetId="1">{"'Break down'!$A$4"}</definedName>
    <definedName name="HTML_Control_1">{"'Break down'!$A$4"}</definedName>
    <definedName name="HTML_Control1" localSheetId="1">{"'Break down'!$A$4"}</definedName>
    <definedName name="HTML_Control1">{"'Break down'!$A$4"}</definedName>
    <definedName name="HTML_Control1_1" localSheetId="1">{"'Break down'!$A$4"}</definedName>
    <definedName name="HTML_Control1_1">{"'Break down'!$A$4"}</definedName>
    <definedName name="HTML_Control2" localSheetId="1" hidden="1">{"'VO'!$P$64:$S$69"}</definedName>
    <definedName name="HTML_Control2" hidden="1">{"'VO'!$P$64:$S$69"}</definedName>
    <definedName name="HTML_Description">""</definedName>
    <definedName name="HTML_Email">""</definedName>
    <definedName name="HTML_Header">"Break down"</definedName>
    <definedName name="HTML_Header1">"Break down"</definedName>
    <definedName name="HTML_LastUpdate">"6/7/98"</definedName>
    <definedName name="HTML_LastUpdate1">"6/7/98"</definedName>
    <definedName name="HTML_LineAfter">FALSE</definedName>
    <definedName name="HTML_LineBefore">FALSE</definedName>
    <definedName name="HTML_Name">"PAUL MATHEW"</definedName>
    <definedName name="HTML_Name1">"PAUL MATHEW"</definedName>
    <definedName name="HTML_OBDlg2">TRUE</definedName>
    <definedName name="HTML_OBDlg4">TRUE</definedName>
    <definedName name="HTML_OS">0</definedName>
    <definedName name="HTML_PathFile">"C:\WINDOWS\MSAPPS\MyHTML.htm"</definedName>
    <definedName name="HTML_PathFile1">"C:\WINDOWS\MSAPPS\MyHTML.htm"</definedName>
    <definedName name="HTML_Title">"Break_down"</definedName>
    <definedName name="HTML_Title1">"Break_down"</definedName>
    <definedName name="htr" localSheetId="1">{"'Break down'!$A$4"}</definedName>
    <definedName name="htr">{"'Break down'!$A$4"}</definedName>
    <definedName name="htr_1" localSheetId="1">{"'Break down'!$A$4"}</definedName>
    <definedName name="htr_1">{"'Break down'!$A$4"}</definedName>
    <definedName name="HTR_COUNT">#REF!</definedName>
    <definedName name="htrhrsth" localSheetId="1" hidden="1">{#N/A,#N/A,TRUE,"Cover";#N/A,#N/A,TRUE,"Conts";#N/A,#N/A,TRUE,"VOS";#N/A,#N/A,TRUE,"Warrington";#N/A,#N/A,TRUE,"Widnes"}</definedName>
    <definedName name="htrhrsth" hidden="1">{#N/A,#N/A,TRUE,"Cover";#N/A,#N/A,TRUE,"Conts";#N/A,#N/A,TRUE,"VOS";#N/A,#N/A,TRUE,"Warrington";#N/A,#N/A,TRUE,"Widnes"}</definedName>
    <definedName name="htrhrsth_1" localSheetId="1" hidden="1">{#N/A,#N/A,TRUE,"Cover";#N/A,#N/A,TRUE,"Conts";#N/A,#N/A,TRUE,"VOS";#N/A,#N/A,TRUE,"Warrington";#N/A,#N/A,TRUE,"Widnes"}</definedName>
    <definedName name="htrhrsth_1" hidden="1">{#N/A,#N/A,TRUE,"Cover";#N/A,#N/A,TRUE,"Conts";#N/A,#N/A,TRUE,"VOS";#N/A,#N/A,TRUE,"Warrington";#N/A,#N/A,TRUE,"Widnes"}</definedName>
    <definedName name="htrru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rru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rwg" localSheetId="1">BlankMacro1</definedName>
    <definedName name="htrwg">BlankMacro1</definedName>
    <definedName name="htt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wing" localSheetId="1">#REF!</definedName>
    <definedName name="htwing">#REF!</definedName>
    <definedName name="htytyt">#N/A</definedName>
    <definedName name="hu" localSheetId="1" hidden="1">{"'Break down'!$A$4"}</definedName>
    <definedName name="hu" hidden="1">{"'Break down'!$A$4"}</definedName>
    <definedName name="Hu___0">#REF!</definedName>
    <definedName name="Hu___13">#REF!</definedName>
    <definedName name="huiufy" localSheetId="1">BlankMacro1</definedName>
    <definedName name="huiufy">BlankMacro1</definedName>
    <definedName name="HukumDev" localSheetId="1">#REF!</definedName>
    <definedName name="HukumDev">#REF!</definedName>
    <definedName name="hutgfru" localSheetId="1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hutgfru_1" localSheetId="1" hidden="1">{#N/A,#N/A,TRUE,"Cover";#N/A,#N/A,TRUE,"Conts";#N/A,#N/A,TRUE,"VOS";#N/A,#N/A,TRUE,"Warrington";#N/A,#N/A,TRUE,"Widnes"}</definedName>
    <definedName name="hutgfru_1" hidden="1">{#N/A,#N/A,TRUE,"Cover";#N/A,#N/A,TRUE,"Conts";#N/A,#N/A,TRUE,"VOS";#N/A,#N/A,TRUE,"Warrington";#N/A,#N/A,TRUE,"Widnes"}</definedName>
    <definedName name="huy">#REF!</definedName>
    <definedName name="huye" localSheetId="1" hidden="1">{"'Sheet1'!$L$16"}</definedName>
    <definedName name="huye" hidden="1">{"'Sheet1'!$L$16"}</definedName>
    <definedName name="HV">#REF!</definedName>
    <definedName name="HVAC">#REF!</definedName>
    <definedName name="hvacrates">#REF!</definedName>
    <definedName name="HWCODE">#REF!</definedName>
    <definedName name="HWCODE_1">"$#REF!.$#REF!$#REF!"</definedName>
    <definedName name="hxb">#REF!</definedName>
    <definedName name="hxi" localSheetId="1">#REF!</definedName>
    <definedName name="hxi">#REF!</definedName>
    <definedName name="hxsr" localSheetId="1">#REF!</definedName>
    <definedName name="hxsr">#REF!</definedName>
    <definedName name="h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564CV" localSheetId="1" hidden="1">{"'Break down'!$A$4"}</definedName>
    <definedName name="HY564CV" hidden="1">{"'Break down'!$A$4"}</definedName>
    <definedName name="HYDBN" localSheetId="1" hidden="1">{#N/A,#N/A,TRUE,"Cover";#N/A,#N/A,TRUE,"Conts";#N/A,#N/A,TRUE,"VOS";#N/A,#N/A,TRUE,"Warrington";#N/A,#N/A,TRUE,"Widnes"}</definedName>
    <definedName name="HYDBN" hidden="1">{#N/A,#N/A,TRUE,"Cover";#N/A,#N/A,TRUE,"Conts";#N/A,#N/A,TRUE,"VOS";#N/A,#N/A,TRUE,"Warrington";#N/A,#N/A,TRUE,"Widnes"}</definedName>
    <definedName name="Hydroturf_International">#REF!</definedName>
    <definedName name="HYTH" localSheetId="1">#REF!</definedName>
    <definedName name="HYTH">#REF!</definedName>
    <definedName name="hyugu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ug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y" hidden="1">#REF!</definedName>
    <definedName name="i" localSheetId="1">#REF!</definedName>
    <definedName name="i">#REF!</definedName>
    <definedName name="i___0">#REF!</definedName>
    <definedName name="i___0___0">"$#REF!.$#REF!$#REF!"</definedName>
    <definedName name="i___0___3">"$#REF!.$#REF!$#REF!"</definedName>
    <definedName name="i___0___4">"$#REF!.$#REF!$#REF!"</definedName>
    <definedName name="I___13">#REF!</definedName>
    <definedName name="i___2" localSheetId="1">#REF!</definedName>
    <definedName name="i___2">#REF!</definedName>
    <definedName name="i___2___0">"$#REF!.$#REF!$#REF!"</definedName>
    <definedName name="i___2___3">"$#REF!.$#REF!$#REF!"</definedName>
    <definedName name="i___3">#REF!</definedName>
    <definedName name="i___3___0">"$#REF!.$#REF!$#REF!"</definedName>
    <definedName name="i___3___3">"$#REF!.$#REF!$#REF!"</definedName>
    <definedName name="i___3___4">"$#REF!.$#REF!$#REF!"</definedName>
    <definedName name="i___4">#REF!</definedName>
    <definedName name="i___4___0">"$#REF!.$#REF!$#REF!"</definedName>
    <definedName name="i___4___3">"$#REF!.$#REF!$#REF!"</definedName>
    <definedName name="i___7">"$#REF!.$#REF!$#REF!"</definedName>
    <definedName name="i_data">#REF!</definedName>
    <definedName name="i_data1" localSheetId="1">#REF!</definedName>
    <definedName name="i_data1">#REF!</definedName>
    <definedName name="I_Gen.">#REF!</definedName>
    <definedName name="i_part_stall">#REF!</definedName>
    <definedName name="I_Steel" localSheetId="1">#REF!</definedName>
    <definedName name="I_Steel">#REF!</definedName>
    <definedName name="i.d" localSheetId="1" hidden="1">{"'Break down'!$A$4"}</definedName>
    <definedName name="i.d" hidden="1">{"'Break down'!$A$4"}</definedName>
    <definedName name="I.WALLLength">#REF!</definedName>
    <definedName name="i8uiuyi" localSheetId="1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8uiuyi_1" localSheetId="1" hidden="1">{#N/A,#N/A,TRUE,"Cover";#N/A,#N/A,TRUE,"Conts";#N/A,#N/A,TRUE,"VOS";#N/A,#N/A,TRUE,"Warrington";#N/A,#N/A,TRUE,"Widnes"}</definedName>
    <definedName name="i8uiuyi_1" hidden="1">{#N/A,#N/A,TRUE,"Cover";#N/A,#N/A,TRUE,"Conts";#N/A,#N/A,TRUE,"VOS";#N/A,#N/A,TRUE,"Warrington";#N/A,#N/A,TRUE,"Widnes"}</definedName>
    <definedName name="iac">#REF!</definedName>
    <definedName name="Iai">#REF!</definedName>
    <definedName name="IAM" localSheetId="1" hidden="1">{"'Sheet1'!$A$4386:$N$4591"}</definedName>
    <definedName name="IAM" hidden="1">{"'Sheet1'!$A$4386:$N$4591"}</definedName>
    <definedName name="Ian">#REF!</definedName>
    <definedName name="Ians">#REF!</definedName>
    <definedName name="IBL">#REF!</definedName>
    <definedName name="IBN">#REF!</definedName>
    <definedName name="IBNVorb">#REF!</definedName>
    <definedName name="ice" localSheetId="1">#REF!</definedName>
    <definedName name="ice">#REF!</definedName>
    <definedName name="ice_1">0</definedName>
    <definedName name="ICP">#REF!</definedName>
    <definedName name="icws">#REF!</definedName>
    <definedName name="ID">#REF!</definedName>
    <definedName name="ID_ClientSeries">#REF!</definedName>
    <definedName name="ID_Copyright">#REF!</definedName>
    <definedName name="ID_MLCref">#REF!</definedName>
    <definedName name="ID_ProjectName">#REF!</definedName>
    <definedName name="ID_QSRSeries">#REF!</definedName>
    <definedName name="ID_ReportDate">#REF!</definedName>
    <definedName name="ID_Revision">#REF!</definedName>
    <definedName name="id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CGK" localSheetId="1">#N/A</definedName>
    <definedName name="IDCGK">[1]!City&amp;" "&amp;STATE</definedName>
    <definedName name="IDDESIGNCORDINATION_TOTAL" localSheetId="1">#REF!</definedName>
    <definedName name="IDDESIGNCORDINATION_TOTAL">#REF!</definedName>
    <definedName name="Idet">#REF!</definedName>
    <definedName name="idiot" localSheetId="1" hidden="1">{"dep. full detail",#N/A,FALSE,"annex";"3cd annex",#N/A,FALSE,"annex";"co. dep.",#N/A,FALSE,"annex"}</definedName>
    <definedName name="idiot" hidden="1">{"dep. full detail",#N/A,FALSE,"annex";"3cd annex",#N/A,FALSE,"annex";"co. dep.",#N/A,FALSE,"annex"}</definedName>
    <definedName name="IDLAB_COST">#REF!</definedName>
    <definedName name="idpvol" localSheetId="1">#REF!</definedName>
    <definedName name="idpvol">#REF!</definedName>
    <definedName name="If">#REF!</definedName>
    <definedName name="Ig">#REF!</definedName>
    <definedName name="Ig___0">#REF!</definedName>
    <definedName name="Ig___13">#REF!</definedName>
    <definedName name="IGFA">#REF!</definedName>
    <definedName name="ihg" localSheetId="1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g_1" localSheetId="1" hidden="1">{#N/A,#N/A,TRUE,"Cover";#N/A,#N/A,TRUE,"Conts";#N/A,#N/A,TRUE,"VOS";#N/A,#N/A,TRUE,"Warrington";#N/A,#N/A,TRUE,"Widnes"}</definedName>
    <definedName name="ihg_1" hidden="1">{#N/A,#N/A,TRUE,"Cover";#N/A,#N/A,TRUE,"Conts";#N/A,#N/A,TRUE,"VOS";#N/A,#N/A,TRUE,"Warrington";#N/A,#N/A,TRUE,"Widnes"}</definedName>
    <definedName name="iho" localSheetId="1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ho_1" localSheetId="1" hidden="1">{#N/A,#N/A,TRUE,"Cover";#N/A,#N/A,TRUE,"Conts";#N/A,#N/A,TRUE,"VOS";#N/A,#N/A,TRUE,"Warrington";#N/A,#N/A,TRUE,"Widnes"}</definedName>
    <definedName name="iho_1" hidden="1">{#N/A,#N/A,TRUE,"Cover";#N/A,#N/A,TRUE,"Conts";#N/A,#N/A,TRUE,"VOS";#N/A,#N/A,TRUE,"Warrington";#N/A,#N/A,TRUE,"Widnes"}</definedName>
    <definedName name="II">#REF!</definedName>
    <definedName name="iii" localSheetId="1">#REF!</definedName>
    <definedName name="iii">#REF!</definedName>
    <definedName name="iiiii" localSheetId="1">#REF!</definedName>
    <definedName name="iiiii">#REF!</definedName>
    <definedName name="iiiiiiiiiii">#REF!</definedName>
    <definedName name="iiiiiiiiiiiiii">#REF!</definedName>
    <definedName name="iiip" localSheetId="1">{"'Break down'!$A$4"}</definedName>
    <definedName name="iiip">{"'Break down'!$A$4"}</definedName>
    <definedName name="iiip_1" localSheetId="1">{"'Break down'!$A$4"}</definedName>
    <definedName name="iiip_1">{"'Break down'!$A$4"}</definedName>
    <definedName name="iijj">#REF!</definedName>
    <definedName name="iiki" localSheetId="1" hidden="1">{#N/A,#N/A,FALSE,"MARCH"}</definedName>
    <definedName name="iiki" hidden="1">{#N/A,#N/A,FALSE,"MARCH"}</definedName>
    <definedName name="iiy" localSheetId="1">{"'Break down'!$A$4"}</definedName>
    <definedName name="iiy">{"'Break down'!$A$4"}</definedName>
    <definedName name="iiy_1" localSheetId="1">{"'Break down'!$A$4"}</definedName>
    <definedName name="iiy_1">{"'Break down'!$A$4"}</definedName>
    <definedName name="IJ">#REF!</definedName>
    <definedName name="ijhg" hidden="1">#REF!</definedName>
    <definedName name="ijn" localSheetId="1" hidden="1">{#N/A,#N/A,FALSE,"MARCH"}</definedName>
    <definedName name="ijn" hidden="1">{#N/A,#N/A,FALSE,"MARCH"}</definedName>
    <definedName name="ijn_1" localSheetId="1" hidden="1">{#N/A,#N/A,FALSE,"MARCH"}</definedName>
    <definedName name="ijn_1" hidden="1">{#N/A,#N/A,FALSE,"MARCH"}</definedName>
    <definedName name="ik" localSheetId="1">MATCH(0.01,[1]!End_Bal,-1)+1</definedName>
    <definedName name="IK">#REF!</definedName>
    <definedName name="ikolu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ikolu">IF(ISNA(MATCH(ROW(),RowAfterpgbrk,1)),1,MATCH(ROW(),RowAfterpgbrk,1)+1)&lt;&gt;IF(ISNA(MATCH(ROW()+1,RowAfterpgbrk,1)),1,MATCH(ROW()+1,RowAfterpgbrk,1)+1)</definedName>
    <definedName name="il" localSheetId="1">#REF!</definedName>
    <definedName name="il">#REF!</definedName>
    <definedName name="Il_not">#REF!</definedName>
    <definedName name="Ilastfactor">#REF!</definedName>
    <definedName name="Ileak">#REF!</definedName>
    <definedName name="Ileck" localSheetId="1">#REF!</definedName>
    <definedName name="Ileck">#REF!</definedName>
    <definedName name="ILGA">#REF!</definedName>
    <definedName name="IM">#REF!</definedName>
    <definedName name="ima">#REF!</definedName>
    <definedName name="Imam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mam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max" localSheetId="1">#REF!</definedName>
    <definedName name="Imax">#REF!</definedName>
    <definedName name="IMM" localSheetId="1">#REF!</definedName>
    <definedName name="IMM">#REF!</definedName>
    <definedName name="imm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m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MO">#REF!</definedName>
    <definedName name="IMP" localSheetId="1">#REF!</definedName>
    <definedName name="IMP">#REF!</definedName>
    <definedName name="Import_1">#REF!</definedName>
    <definedName name="Import_1071">#REF!</definedName>
    <definedName name="Import_11">#REF!</definedName>
    <definedName name="Import_1572">#REF!</definedName>
    <definedName name="Import_73">#REF!</definedName>
    <definedName name="Import_734">#REF!</definedName>
    <definedName name="Import_738">#REF!</definedName>
    <definedName name="Import_760">#REF!</definedName>
    <definedName name="Import_762">#REF!</definedName>
    <definedName name="Import_768">#REF!</definedName>
    <definedName name="Import_770">#REF!</definedName>
    <definedName name="Import_960">#REF!</definedName>
    <definedName name="imported" localSheetId="1">#REF!</definedName>
    <definedName name="imported">#REF!</definedName>
    <definedName name="importfill" localSheetId="1">#REF!</definedName>
    <definedName name="importfill">#REF!</definedName>
    <definedName name="Impression" localSheetId="1">#REF!</definedName>
    <definedName name="Impression">#REF!</definedName>
    <definedName name="In" localSheetId="1" hidden="1">{#N/A,#N/A,FALSE,"gc (2)"}</definedName>
    <definedName name="In" hidden="1">{#N/A,#N/A,FALSE,"gc (2)"}</definedName>
    <definedName name="IN_HOUSE_USAGE" localSheetId="1">#REF!</definedName>
    <definedName name="IN_HOUSE_USAGE">#REF!</definedName>
    <definedName name="Inc.Tax_Korean">#REF!</definedName>
    <definedName name="Inc.Tax_Local.Reg">#REF!</definedName>
    <definedName name="Inc.Tax_Third.N">#REF!</definedName>
    <definedName name="Included">#REF!</definedName>
    <definedName name="INCOME" localSheetId="1">#REF!</definedName>
    <definedName name="INCOME">#REF!</definedName>
    <definedName name="INCOME_TAX" localSheetId="1">#REF!</definedName>
    <definedName name="INCOME_TAX">#REF!</definedName>
    <definedName name="Incurr" localSheetId="1" hidden="1">{#N/A,#N/A,FALSE,"gc (2)"}</definedName>
    <definedName name="Incurr" hidden="1">{#N/A,#N/A,FALSE,"gc (2)"}</definedName>
    <definedName name="Ind">1</definedName>
    <definedName name="IND_LAB">#REF!</definedName>
    <definedName name="Indem1" localSheetId="1">#REF!</definedName>
    <definedName name="Indem1">#REF!</definedName>
    <definedName name="INDEMNITY" localSheetId="1">#REF!</definedName>
    <definedName name="INDEMNITY">#REF!</definedName>
    <definedName name="INDEX">#REF!</definedName>
    <definedName name="INDEX_1">#REF!</definedName>
    <definedName name="INDEX_2">#REF!</definedName>
    <definedName name="Index_Print">#REF!</definedName>
    <definedName name="Index_Technical_Works_LLC" localSheetId="1">#REF!</definedName>
    <definedName name="Index_Technical_Works_LLC">#REF!</definedName>
    <definedName name="indf" localSheetId="1">#REF!</definedName>
    <definedName name="indf">#REF!</definedName>
    <definedName name="indf_4" localSheetId="1">#REF!</definedName>
    <definedName name="indf_4">#REF!</definedName>
    <definedName name="indf_4_1">#REF!</definedName>
    <definedName name="indf_6">#REF!</definedName>
    <definedName name="INDIGO">#REF!</definedName>
    <definedName name="indirect">#REF!</definedName>
    <definedName name="INDIRECT_CITY">#REF!</definedName>
    <definedName name="INDIRECT_ESC">#REF!</definedName>
    <definedName name="INDIRECT_MATRL_UNIT_COST" localSheetId="1">#REF!,#REF!,#REF!,#REF!,#REF!,#REF!,#REF!</definedName>
    <definedName name="INDIRECT_MATRL_UNIT_COST">#REF!,#REF!,#REF!,#REF!,#REF!,#REF!,#REF!</definedName>
    <definedName name="INDIRECT_OLD_CITY" localSheetId="1">#REF!</definedName>
    <definedName name="INDIRECT_OLD_CITY">#REF!</definedName>
    <definedName name="INDIRECT_OLD_ESC">#REF!</definedName>
    <definedName name="INDIRECT_OLD_PROD">#REF!</definedName>
    <definedName name="INDIRECT_OLD_WAGE">#REF!</definedName>
    <definedName name="INDIRECT_PCT_LABOR_COST">#REF!,#REF!,#REF!,#REF!,#REF!,#REF!,#REF!</definedName>
    <definedName name="INDIRECT_PROD" localSheetId="1">#REF!</definedName>
    <definedName name="INDIRECT_PROD">#REF!</definedName>
    <definedName name="INDIRECT_WAGE">#REF!</definedName>
    <definedName name="indirectMH">#REF!</definedName>
    <definedName name="INDMANP">#REF!</definedName>
    <definedName name="INDOOR_COND">#REF!</definedName>
    <definedName name="Induced1">#REF!</definedName>
    <definedName name="Induced2">#REF!</definedName>
    <definedName name="industry">#REF!</definedName>
    <definedName name="ine">#REF!</definedName>
    <definedName name="INF">#REF!</definedName>
    <definedName name="infl">#REF!</definedName>
    <definedName name="INFL_HK_N">#REF!</definedName>
    <definedName name="INFL_HK_N1">#REF!</definedName>
    <definedName name="INFL_HK_N2">#REF!</definedName>
    <definedName name="INFL_HK_N3">#REF!</definedName>
    <definedName name="INFL_HK_N4">#REF!</definedName>
    <definedName name="Infl1" localSheetId="1">#REF!,#REF!,#REF!,#REF!,#REF!,#REF!,#REF!,#REF!,#REF!,#REF!</definedName>
    <definedName name="Infl1">#REF!,#REF!,#REF!,#REF!,#REF!,#REF!,#REF!,#REF!,#REF!,#REF!</definedName>
    <definedName name="Inflation" localSheetId="1">#REF!</definedName>
    <definedName name="Inflation">#REF!</definedName>
    <definedName name="INFra" localSheetId="1" hidden="1">{#N/A,#N/A,FALSE,"VARIATIONS";#N/A,#N/A,FALSE,"BUDGET";#N/A,#N/A,FALSE,"CIVIL QNTY VAR";#N/A,#N/A,FALSE,"SUMMARY";#N/A,#N/A,FALSE,"MATERIAL VAR"}</definedName>
    <definedName name="INFra" hidden="1">{#N/A,#N/A,FALSE,"VARIATIONS";#N/A,#N/A,FALSE,"BUDGET";#N/A,#N/A,FALSE,"CIVIL QNTY VAR";#N/A,#N/A,FALSE,"SUMMARY";#N/A,#N/A,FALSE,"MATERIAL VAR"}</definedName>
    <definedName name="INFRASTRUCTURE_ENTRY">#REF!</definedName>
    <definedName name="IN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g_Cost" localSheetId="1">'City Walk - Comparison'!Ing_Cost</definedName>
    <definedName name="Ing_Cost">[1]!Ing_Cost</definedName>
    <definedName name="IngKost_ZI_KC" localSheetId="1">#REF!</definedName>
    <definedName name="IngKost_ZI_KC">#REF!</definedName>
    <definedName name="inh" localSheetId="1" hidden="1">{#N/A,#N/A,TRUE,"Cover";#N/A,#N/A,TRUE,"Conts";#N/A,#N/A,TRUE,"VOS";#N/A,#N/A,TRUE,"Warrington";#N/A,#N/A,TRUE,"Widnes"}</definedName>
    <definedName name="inh" hidden="1">{#N/A,#N/A,TRUE,"Cover";#N/A,#N/A,TRUE,"Conts";#N/A,#N/A,TRUE,"VOS";#N/A,#N/A,TRUE,"Warrington";#N/A,#N/A,TRUE,"Widnes"}</definedName>
    <definedName name="Inlets" localSheetId="1">#REF!</definedName>
    <definedName name="Inlets">#REF!</definedName>
    <definedName name="InletSpecs" localSheetId="1">#REF!</definedName>
    <definedName name="InletSpecs">#REF!</definedName>
    <definedName name="input_an" localSheetId="1">#REF!</definedName>
    <definedName name="input_an">#REF!</definedName>
    <definedName name="input_anal_bcg" localSheetId="1">#REF!</definedName>
    <definedName name="input_anal_bcg">#REF!</definedName>
    <definedName name="input_atom" localSheetId="1">#REF!</definedName>
    <definedName name="input_atom">#REF!</definedName>
    <definedName name="input_ba">#REF!</definedName>
    <definedName name="input_ba_bcg">#REF!</definedName>
    <definedName name="input_bill">#REF!</definedName>
    <definedName name="input_billing">#REF!</definedName>
    <definedName name="Input_Camera_Server_Disk">#REF!</definedName>
    <definedName name="input_E1">#REF!</definedName>
    <definedName name="input_echo">#REF!</definedName>
    <definedName name="input_index">#REF!</definedName>
    <definedName name="input_N7_int">#REF!</definedName>
    <definedName name="input_N7_nat">#REF!</definedName>
    <definedName name="input_pra">#REF!</definedName>
    <definedName name="input_pra_bcg">#REF!</definedName>
    <definedName name="input_R2">#REF!</definedName>
    <definedName name="input_T1">#REF!</definedName>
    <definedName name="input_tof">#REF!</definedName>
    <definedName name="input_V51">#REF!</definedName>
    <definedName name="input_V52">#REF!</definedName>
    <definedName name="Input_View">#REF!</definedName>
    <definedName name="input_X25" localSheetId="1">#REF!</definedName>
    <definedName name="input_X25">#REF!</definedName>
    <definedName name="input_X25_bool" localSheetId="1">#REF!</definedName>
    <definedName name="input_X25_bool">#REF!</definedName>
    <definedName name="InputData">#REF!,#REF!,#REF!,#REF!,#REF!,#REF!,#REF!</definedName>
    <definedName name="InputManualInputAll">#REF!,#REF!,#REF!,#REF!,#REF!,#REF!,#REF!,#REF!,#REF!,#REF!,#REF!,#REF!,#REF!</definedName>
    <definedName name="Insert" localSheetId="1">#REF!</definedName>
    <definedName name="Insert">#REF!</definedName>
    <definedName name="insert_rows_1" localSheetId="1">#REF!</definedName>
    <definedName name="insert_rows_1">#REF!</definedName>
    <definedName name="insertplate_and_exp_joint" localSheetId="1">#REF!</definedName>
    <definedName name="insertplate_and_exp_joint">#REF!</definedName>
    <definedName name="INSPCN">#REF!</definedName>
    <definedName name="Inst">#REF!</definedName>
    <definedName name="Inst.">#REF!</definedName>
    <definedName name="INST60_OLD_CITY">#REF!</definedName>
    <definedName name="INST60_OLD_ESC">#REF!</definedName>
    <definedName name="INST60_OLD_PROD">#REF!</definedName>
    <definedName name="INST60_OLD_WAGE">#REF!</definedName>
    <definedName name="INSTAL">#REF!</definedName>
    <definedName name="Installa">#REF!</definedName>
    <definedName name="installation">#REF!</definedName>
    <definedName name="Installation_Group_4C">#REF!</definedName>
    <definedName name="Installation_Group_SC_A_UAA35">#REF!</definedName>
    <definedName name="Installation_Group_SC_UAB35">#REF!</definedName>
    <definedName name="InstallTotal" localSheetId="1">#REF!</definedName>
    <definedName name="InstallTotal">#REF!</definedName>
    <definedName name="InstBillingMethod">#REF!</definedName>
    <definedName name="InstBillingMethod_4">#REF!</definedName>
    <definedName name="InstBillingMethod_4_1">#REF!</definedName>
    <definedName name="InstBillingMethod_6">#REF!</definedName>
    <definedName name="instf">#REF!</definedName>
    <definedName name="instf_4">#REF!</definedName>
    <definedName name="instf_4_1">#REF!</definedName>
    <definedName name="instf_6">#REF!</definedName>
    <definedName name="INSTR">#REF!</definedName>
    <definedName name="INSTR_REMARKS">#REF!</definedName>
    <definedName name="INSTR_STANDS">#REF!</definedName>
    <definedName name="INSTR_TUBING">#REF!</definedName>
    <definedName name="INSTR60_CITY">#REF!</definedName>
    <definedName name="INSTR60_ESC">#REF!</definedName>
    <definedName name="INSTR60_HRS">#REF!</definedName>
    <definedName name="INSTR60_LAB">#REF!</definedName>
    <definedName name="INSTR60_MAT">#REF!</definedName>
    <definedName name="INSTR60_PROD">#REF!</definedName>
    <definedName name="INSTR60_SC">#REF!</definedName>
    <definedName name="INSTR60_SCHRS">#REF!</definedName>
    <definedName name="INSTR60_TOT">#REF!</definedName>
    <definedName name="INSTR60_WAGE">#REF!</definedName>
    <definedName name="instrumData" localSheetId="1">OFFSET(#REF!,0,0,COUNTA(#REF!)-1,13)</definedName>
    <definedName name="instrumData">OFFSET(#REF!,0,0,COUNTA(#REF!)-1,13)</definedName>
    <definedName name="instrumData1" localSheetId="1">OFFSET(#REF!,0,0,COUNTA(#REF!)-1,2)</definedName>
    <definedName name="instrumData1">OFFSET(#REF!,0,0,COUNTA(#REF!)-1,2)</definedName>
    <definedName name="instrumData2" localSheetId="1">OFFSET(#REF!,0,2,COUNTA(#REF!)-1,11)</definedName>
    <definedName name="instrumData2">OFFSET(#REF!,0,2,COUNTA(#REF!)-1,11)</definedName>
    <definedName name="INSU">#REF!</definedName>
    <definedName name="INSULATION" localSheetId="1">#REF!</definedName>
    <definedName name="INSULATION">#REF!</definedName>
    <definedName name="Insurance">#REF!</definedName>
    <definedName name="Int" localSheetId="1">#REF!</definedName>
    <definedName name="Int">#REF!</definedName>
    <definedName name="int_ext_sel">1</definedName>
    <definedName name="Int_Finalpay" localSheetId="1">#REF!</definedName>
    <definedName name="Int_Finalpay">#REF!</definedName>
    <definedName name="Int_IntPay" localSheetId="1">#REF!</definedName>
    <definedName name="Int_IntPay">#REF!</definedName>
    <definedName name="Int_MM_MA" localSheetId="1">#REF!</definedName>
    <definedName name="Int_MM_MA">#REF!</definedName>
    <definedName name="Int_PG">#REF!</definedName>
    <definedName name="int_plaster">#REF!</definedName>
    <definedName name="Int_Props">#REF!</definedName>
    <definedName name="Int_Relf_MA">#REF!</definedName>
    <definedName name="Int_RetMonsy">#REF!</definedName>
    <definedName name="Int_Wall_Fin">#REF!</definedName>
    <definedName name="Int_WorkingCap" localSheetId="1">#REF!</definedName>
    <definedName name="Int_WorkingCap">#REF!</definedName>
    <definedName name="intdoors" localSheetId="1">#REF!</definedName>
    <definedName name="intdoors">#REF!</definedName>
    <definedName name="Interest">#REF!</definedName>
    <definedName name="INTEREST_CALCULATION">#REF!</definedName>
    <definedName name="INTEREST_LOADING">#REF!</definedName>
    <definedName name="Interest_Rate">#REF!</definedName>
    <definedName name="InterestAppraised">#REF!</definedName>
    <definedName name="InterestIncome">#REF!</definedName>
    <definedName name="interestpas">#REF!,#REF!,#REF!,#REF!,#REF!</definedName>
    <definedName name="INTERFACE_to_ITM_NM_G" localSheetId="1">#REF!</definedName>
    <definedName name="INTERFACE_to_ITM_NM_G">#REF!</definedName>
    <definedName name="Interior">#REF!</definedName>
    <definedName name="interiorcolumn">#N/A</definedName>
    <definedName name="INTERNAL__DOORS" localSheetId="1">#REF!</definedName>
    <definedName name="INTERNAL__DOORS">#REF!</definedName>
    <definedName name="INTERNAL__WALLS__AND__PARTITIONS" localSheetId="1">#REF!</definedName>
    <definedName name="INTERNAL__WALLS__AND__PARTITIONS">#REF!</definedName>
    <definedName name="Internal_Doors" localSheetId="1">#REF!</definedName>
    <definedName name="Internal_Doors">#REF!</definedName>
    <definedName name="Internal_Plaster" localSheetId="1">#REF!</definedName>
    <definedName name="Internal_Plaster">#REF!</definedName>
    <definedName name="Internal_Screens" localSheetId="1">#REF!</definedName>
    <definedName name="Internal_Screens">#REF!</definedName>
    <definedName name="Internal_Walls" localSheetId="1">#REF!</definedName>
    <definedName name="Internal_Walls">#REF!</definedName>
    <definedName name="Internal_Walls_and_Partitions" localSheetId="1">#REF!</definedName>
    <definedName name="Internal_Walls_and_Partitions">#REF!</definedName>
    <definedName name="Internalsum">#REF!</definedName>
    <definedName name="International_Design_Group_IDG" localSheetId="1">#REF!</definedName>
    <definedName name="International_Design_Group_IDG">#REF!</definedName>
    <definedName name="International_Group_Prefabrication_Houses" localSheetId="1">#REF!</definedName>
    <definedName name="International_Group_Prefabrication_Houses">#REF!</definedName>
    <definedName name="Intersection" localSheetId="1">#REF!</definedName>
    <definedName name="Intersection">#REF!</definedName>
    <definedName name="intext" localSheetId="1">#REF!</definedName>
    <definedName name="intext">#REF!</definedName>
    <definedName name="INTL">#REF!</definedName>
    <definedName name="INTLRECIPE">#REF!</definedName>
    <definedName name="IntPME_Scaff">#REF!</definedName>
    <definedName name="intwalls">#REF!</definedName>
    <definedName name="INV">#REF!</definedName>
    <definedName name="Inv_Props">#REF!</definedName>
    <definedName name="Inv_Scaff">#REF!</definedName>
    <definedName name="INV_SCH">#REF!</definedName>
    <definedName name="InvalidOption">#REF!</definedName>
    <definedName name="INVERTER설치">#REF!</definedName>
    <definedName name="investment">#REF!</definedName>
    <definedName name="Investment_in_real_estate_subsidiaries">#REF!</definedName>
    <definedName name="Investment_real_estate_subsidiaries">#REF!</definedName>
    <definedName name="INVofPMEScaff">#REF!</definedName>
    <definedName name="INVOICE">#REF!</definedName>
    <definedName name="Invoice_Details">#REF!</definedName>
    <definedName name="INVOICELIST">#REF!</definedName>
    <definedName name="invprefreturn">#REF!</definedName>
    <definedName name="io" localSheetId="1" hidden="1">{#N/A,#N/A,TRUE,"Cover";#N/A,#N/A,TRUE,"Conts";#N/A,#N/A,TRUE,"VOS";#N/A,#N/A,TRUE,"Warrington";#N/A,#N/A,TRUE,"Widnes"}</definedName>
    <definedName name="io" hidden="1">{#N/A,#N/A,TRUE,"Cover";#N/A,#N/A,TRUE,"Conts";#N/A,#N/A,TRUE,"VOS";#N/A,#N/A,TRUE,"Warrington";#N/A,#N/A,TRUE,"Widnes"}</definedName>
    <definedName name="io_1" localSheetId="1" hidden="1">{#N/A,#N/A,TRUE,"Cover";#N/A,#N/A,TRUE,"Conts";#N/A,#N/A,TRUE,"VOS";#N/A,#N/A,TRUE,"Warrington";#N/A,#N/A,TRUE,"Widnes"}</definedName>
    <definedName name="io_1" hidden="1">{#N/A,#N/A,TRUE,"Cover";#N/A,#N/A,TRUE,"Conts";#N/A,#N/A,TRUE,"VOS";#N/A,#N/A,TRUE,"Warrington";#N/A,#N/A,TRUE,"Widnes"}</definedName>
    <definedName name="io8yuou8y" localSheetId="1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8yuou8y_1" localSheetId="1" hidden="1">{#N/A,#N/A,TRUE,"Cover";#N/A,#N/A,TRUE,"Conts";#N/A,#N/A,TRUE,"VOS";#N/A,#N/A,TRUE,"Warrington";#N/A,#N/A,TRUE,"Widnes"}</definedName>
    <definedName name="io8yuou8y_1" hidden="1">{#N/A,#N/A,TRUE,"Cover";#N/A,#N/A,TRUE,"Conts";#N/A,#N/A,TRUE,"VOS";#N/A,#N/A,TRUE,"Warrington";#N/A,#N/A,TRUE,"Widnes"}</definedName>
    <definedName name="ioiig">#REF!</definedName>
    <definedName name="ioik" localSheetId="1" hidden="1">{#N/A,#N/A,TRUE,"Cover";#N/A,#N/A,TRUE,"Conts";#N/A,#N/A,TRUE,"VOS";#N/A,#N/A,TRUE,"Warrington";#N/A,#N/A,TRUE,"Widnes"}</definedName>
    <definedName name="ioik" hidden="1">{#N/A,#N/A,TRUE,"Cover";#N/A,#N/A,TRUE,"Conts";#N/A,#N/A,TRUE,"VOS";#N/A,#N/A,TRUE,"Warrington";#N/A,#N/A,TRUE,"Widnes"}</definedName>
    <definedName name="iol" localSheetId="1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l_1" localSheetId="1" hidden="1">{#N/A,#N/A,TRUE,"Cover";#N/A,#N/A,TRUE,"Conts";#N/A,#N/A,TRUE,"VOS";#N/A,#N/A,TRUE,"Warrington";#N/A,#N/A,TRUE,"Widnes"}</definedName>
    <definedName name="iol_1" hidden="1">{#N/A,#N/A,TRUE,"Cover";#N/A,#N/A,TRUE,"Conts";#N/A,#N/A,TRUE,"VOS";#N/A,#N/A,TRUE,"Warrington";#N/A,#N/A,TRUE,"Widnes"}</definedName>
    <definedName name="Ionic_Purifiers" localSheetId="1">#REF!</definedName>
    <definedName name="Ionic_Purifiers">#REF!</definedName>
    <definedName name="IOU">#N/A</definedName>
    <definedName name="ioykyoyu" localSheetId="1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oykyoyu_1" localSheetId="1" hidden="1">{#N/A,#N/A,TRUE,"Cover";#N/A,#N/A,TRUE,"Conts";#N/A,#N/A,TRUE,"VOS";#N/A,#N/A,TRUE,"Warrington";#N/A,#N/A,TRUE,"Widnes"}</definedName>
    <definedName name="ioykyoyu_1" hidden="1">{#N/A,#N/A,TRUE,"Cover";#N/A,#N/A,TRUE,"Conts";#N/A,#N/A,TRUE,"VOS";#N/A,#N/A,TRUE,"Warrington";#N/A,#N/A,TRUE,"Widnes"}</definedName>
    <definedName name="ip">#REF!</definedName>
    <definedName name="IPCs" localSheetId="1">#REF!</definedName>
    <definedName name="IPCs">#REF!</definedName>
    <definedName name="ipp">#REF!</definedName>
    <definedName name="ipsgsghsrhr">#REF!</definedName>
    <definedName name="ipu">#REF!</definedName>
    <definedName name="ipu___0">#REF!</definedName>
    <definedName name="ipu___13">#REF!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42150.3212268519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d">#REF!</definedName>
    <definedName name="iro" hidden="1">#REF!</definedName>
    <definedName name="iron" localSheetId="1">#REF!</definedName>
    <definedName name="iron">#REF!</definedName>
    <definedName name="Ironmongery">#REF!</definedName>
    <definedName name="IRP">#REF!</definedName>
    <definedName name="IRR">#REF!</definedName>
    <definedName name="IRR_after_financing">#REF!</definedName>
    <definedName name="IRR_before_financing">#REF!</definedName>
    <definedName name="Irritech_m_e">#REF!</definedName>
    <definedName name="irshad" localSheetId="1" hidden="1">{#N/A,#N/A,FALSE,"VCR"}</definedName>
    <definedName name="irshad" hidden="1">{#N/A,#N/A,FALSE,"VCR"}</definedName>
    <definedName name="Is">#REF!</definedName>
    <definedName name="IS_P_COUNTRY" localSheetId="1">#REF!</definedName>
    <definedName name="IS_P_COUNTRY">#REF!</definedName>
    <definedName name="isdr" localSheetId="1">#REF!</definedName>
    <definedName name="isdr">#REF!</definedName>
    <definedName name="IsLite" hidden="1">#REF!</definedName>
    <definedName name="isolator" localSheetId="1">#REF!</definedName>
    <definedName name="isolator">#REF!</definedName>
    <definedName name="Isolators">#N/A</definedName>
    <definedName name="Isolierung_H" localSheetId="1">#REF!</definedName>
    <definedName name="Isolierung_H">#REF!</definedName>
    <definedName name="Issu_Date">#REF!</definedName>
    <definedName name="Issue" localSheetId="1">#REF!</definedName>
    <definedName name="Issue">#REF!</definedName>
    <definedName name="Issue_date">#REF!</definedName>
    <definedName name="Issue1" localSheetId="1">#REF!</definedName>
    <definedName name="Issue1">#REF!</definedName>
    <definedName name="Issue2" localSheetId="1">#REF!</definedName>
    <definedName name="Issue2">#REF!</definedName>
    <definedName name="issued">#REF!</definedName>
    <definedName name="Istanbul_Electrical_Trdg">#REF!</definedName>
    <definedName name="italian">#REF!</definedName>
    <definedName name="Italianwall">#REF!</definedName>
    <definedName name="Item" localSheetId="1">#REF!</definedName>
    <definedName name="Item">#REF!</definedName>
    <definedName name="Item_Code">#REF!</definedName>
    <definedName name="item_d" localSheetId="1">#REF!</definedName>
    <definedName name="item_d">#REF!</definedName>
    <definedName name="item_d1" localSheetId="1">#REF!</definedName>
    <definedName name="item_d1">#REF!</definedName>
    <definedName name="Item_Descr" localSheetId="1">#REF!</definedName>
    <definedName name="Item_Descr">#REF!</definedName>
    <definedName name="item_list">#REF!</definedName>
    <definedName name="Item_PV">#REF!</definedName>
    <definedName name="Item_Range">#REF!</definedName>
    <definedName name="ItemCode">#REF!</definedName>
    <definedName name="itemData">OFFSET(#REF!,0,0,COUNTA(#REF!)-1,11)</definedName>
    <definedName name="itemData1">OFFSET(#REF!,0,0,COUNTA(#REF!)-1,2)</definedName>
    <definedName name="itemData2">OFFSET(#REF!,0,2,COUNTA(#REF!)-1,9)</definedName>
    <definedName name="ITEMNO" localSheetId="1">#REF!</definedName>
    <definedName name="ITEMNO">#REF!</definedName>
    <definedName name="ITEMSItem" localSheetId="1">#REF!</definedName>
    <definedName name="ITEMSItem">#REF!</definedName>
    <definedName name="itemstobediscussed" localSheetId="1">#REF!</definedName>
    <definedName name="itemstobediscussed">#REF!</definedName>
    <definedName name="iteration">#REF!</definedName>
    <definedName name="ITL">#REF!</definedName>
    <definedName name="ITM_SC" localSheetId="1">#REF!</definedName>
    <definedName name="ITM_SC">#REF!</definedName>
    <definedName name="itn" localSheetId="1">#REF!</definedName>
    <definedName name="itn">#REF!</definedName>
    <definedName name="ityiuy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ityiuy">IF(ISNA(MATCH(ROW(),RowAfterpgbrk,1)),1,MATCH(ROW(),RowAfterpgbrk,1)+1)&lt;&gt;IF(ISNA(MATCH(ROW()-1,RowAfterpgbrk,1)),1,MATCH(ROW()-1,RowAfterpgbrk,1)+1)</definedName>
    <definedName name="iu" localSheetId="1" hidden="1">{#N/A,#N/A,TRUE,"Cover";#N/A,#N/A,TRUE,"Conts";#N/A,#N/A,TRUE,"VOS";#N/A,#N/A,TRUE,"Warrington";#N/A,#N/A,TRUE,"Widnes"}</definedName>
    <definedName name="iu" hidden="1">{#N/A,#N/A,TRUE,"Cover";#N/A,#N/A,TRUE,"Conts";#N/A,#N/A,TRUE,"VOS";#N/A,#N/A,TRUE,"Warrington";#N/A,#N/A,TRUE,"Widnes"}</definedName>
    <definedName name="iu_1" localSheetId="1" hidden="1">{#N/A,#N/A,TRUE,"Cover";#N/A,#N/A,TRUE,"Conts";#N/A,#N/A,TRUE,"VOS";#N/A,#N/A,TRUE,"Warrington";#N/A,#N/A,TRUE,"Widnes"}</definedName>
    <definedName name="iu_1" hidden="1">{#N/A,#N/A,TRUE,"Cover";#N/A,#N/A,TRUE,"Conts";#N/A,#N/A,TRUE,"VOS";#N/A,#N/A,TRUE,"Warrington";#N/A,#N/A,TRUE,"Widnes"}</definedName>
    <definedName name="iuh" localSheetId="1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h_1" localSheetId="1" hidden="1">{#N/A,#N/A,TRUE,"Cover";#N/A,#N/A,TRUE,"Conts";#N/A,#N/A,TRUE,"VOS";#N/A,#N/A,TRUE,"Warrington";#N/A,#N/A,TRUE,"Widnes"}</definedName>
    <definedName name="iuh_1" hidden="1">{#N/A,#N/A,TRUE,"Cover";#N/A,#N/A,TRUE,"Conts";#N/A,#N/A,TRUE,"VOS";#N/A,#N/A,TRUE,"Warrington";#N/A,#N/A,TRUE,"Widnes"}</definedName>
    <definedName name="iui" localSheetId="1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_1" localSheetId="1" hidden="1">{#N/A,#N/A,TRUE,"Cover";#N/A,#N/A,TRUE,"Conts";#N/A,#N/A,TRUE,"VOS";#N/A,#N/A,TRUE,"Warrington";#N/A,#N/A,TRUE,"Widnes"}</definedName>
    <definedName name="iui_1" hidden="1">{#N/A,#N/A,TRUE,"Cover";#N/A,#N/A,TRUE,"Conts";#N/A,#N/A,TRUE,"VOS";#N/A,#N/A,TRUE,"Warrington";#N/A,#N/A,TRUE,"Widnes"}</definedName>
    <definedName name="iuig" localSheetId="1">BlankMacro1</definedName>
    <definedName name="iuig">BlankMacro1</definedName>
    <definedName name="iuiou" localSheetId="1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iuuiu">#N/A</definedName>
    <definedName name="iuk" localSheetId="1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_1" localSheetId="1" hidden="1">{#N/A,#N/A,TRUE,"Cover";#N/A,#N/A,TRUE,"Conts";#N/A,#N/A,TRUE,"VOS";#N/A,#N/A,TRUE,"Warrington";#N/A,#N/A,TRUE,"Widnes"}</definedName>
    <definedName name="iuk_1" hidden="1">{#N/A,#N/A,TRUE,"Cover";#N/A,#N/A,TRUE,"Conts";#N/A,#N/A,TRUE,"VOS";#N/A,#N/A,TRUE,"Warrington";#N/A,#N/A,TRUE,"Widnes"}</definedName>
    <definedName name="iukh" localSheetId="1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kh_1" localSheetId="1" hidden="1">{#N/A,#N/A,TRUE,"Cover";#N/A,#N/A,TRUE,"Conts";#N/A,#N/A,TRUE,"VOS";#N/A,#N/A,TRUE,"Warrington";#N/A,#N/A,TRUE,"Widnes"}</definedName>
    <definedName name="iukh_1" hidden="1">{#N/A,#N/A,TRUE,"Cover";#N/A,#N/A,TRUE,"Conts";#N/A,#N/A,TRUE,"VOS";#N/A,#N/A,TRUE,"Warrington";#N/A,#N/A,TRUE,"Widnes"}</definedName>
    <definedName name="iulouy" localSheetId="1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louy_1" localSheetId="1" hidden="1">{#N/A,#N/A,TRUE,"Cover";#N/A,#N/A,TRUE,"Conts";#N/A,#N/A,TRUE,"VOS";#N/A,#N/A,TRUE,"Warrington";#N/A,#N/A,TRUE,"Widnes"}</definedName>
    <definedName name="iulouy_1" hidden="1">{#N/A,#N/A,TRUE,"Cover";#N/A,#N/A,TRUE,"Conts";#N/A,#N/A,TRUE,"VOS";#N/A,#N/A,TRUE,"Warrington";#N/A,#N/A,TRUE,"Widnes"}</definedName>
    <definedName name="IunderC">#REF!</definedName>
    <definedName name="iuouio" localSheetId="1" hidden="1">{#N/A,#N/A,FALSE,"물량산출"}</definedName>
    <definedName name="iuouio" hidden="1">{#N/A,#N/A,FALSE,"물량산출"}</definedName>
    <definedName name="iuy" localSheetId="1">BlankMacro1</definedName>
    <definedName name="iuy">BlankMacro1</definedName>
    <definedName name="iuyoykiu" localSheetId="1">#REF!</definedName>
    <definedName name="iuyoykiu">#REF!</definedName>
    <definedName name="iuyy" localSheetId="1" hidden="1">{#N/A,#N/A,TRUE,"Cover";#N/A,#N/A,TRUE,"Conts";#N/A,#N/A,TRUE,"VOS";#N/A,#N/A,TRUE,"Warrington";#N/A,#N/A,TRUE,"Widnes"}</definedName>
    <definedName name="iuyy" hidden="1">{#N/A,#N/A,TRUE,"Cover";#N/A,#N/A,TRUE,"Conts";#N/A,#N/A,TRUE,"VOS";#N/A,#N/A,TRUE,"Warrington";#N/A,#N/A,TRUE,"Widnes"}</definedName>
    <definedName name="ivrcl" localSheetId="1" hidden="1">{"'Sheet1'!$A$4386:$N$4591"}</definedName>
    <definedName name="ivrcl" hidden="1">{"'Sheet1'!$A$4386:$N$4591"}</definedName>
    <definedName name="IW">#REF!</definedName>
    <definedName name="IW_DB">#REF!</definedName>
    <definedName name="J" localSheetId="1">#REF!</definedName>
    <definedName name="J">#REF!</definedName>
    <definedName name="j___0" localSheetId="1">#REF!</definedName>
    <definedName name="j___0">#REF!</definedName>
    <definedName name="j___0___0">"$#REF!.$#REF!$#REF!"</definedName>
    <definedName name="j___0___3">"$#REF!.$#REF!$#REF!"</definedName>
    <definedName name="j___0___4">"$#REF!.$#REF!$#REF!"</definedName>
    <definedName name="j___2">#REF!</definedName>
    <definedName name="j___2___0">"$#REF!.$#REF!$#REF!"</definedName>
    <definedName name="j___2___3">"$#REF!.$#REF!$#REF!"</definedName>
    <definedName name="j___3">#REF!</definedName>
    <definedName name="j___3___0">"$#REF!.$#REF!$#REF!"</definedName>
    <definedName name="j___3___3">"$#REF!.$#REF!$#REF!"</definedName>
    <definedName name="j___3___4">"$#REF!.$#REF!$#REF!"</definedName>
    <definedName name="j___4">#REF!</definedName>
    <definedName name="j___4___0">"$#REF!.$#REF!$#REF!"</definedName>
    <definedName name="j___4___3">"$#REF!.$#REF!$#REF!"</definedName>
    <definedName name="j___7">"$#REF!.$#REF!$#REF!"</definedName>
    <definedName name="J_1">0</definedName>
    <definedName name="J_22">#REF!</definedName>
    <definedName name="J_Metalwork" localSheetId="1">#REF!</definedName>
    <definedName name="J_Metalwork">#REF!</definedName>
    <definedName name="j356C8">#REF!</definedName>
    <definedName name="j7u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7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acob">#REF!</definedName>
    <definedName name="jaghsdjas" hidden="1">#REF!</definedName>
    <definedName name="JAHRA1" localSheetId="1">#REF!</definedName>
    <definedName name="JAHRA1">#REF!</definedName>
    <definedName name="JAHRA2" localSheetId="1">#REF!</definedName>
    <definedName name="JAHRA2">#REF!</definedName>
    <definedName name="jalgue">#N/A</definedName>
    <definedName name="jam" localSheetId="1">#REF!</definedName>
    <definedName name="jam">#REF!</definedName>
    <definedName name="jangan" localSheetId="1">#REF!</definedName>
    <definedName name="jangan">#REF!</definedName>
    <definedName name="jas" localSheetId="1">#REF!</definedName>
    <definedName name="jas">#REF!</definedName>
    <definedName name="jaspre" localSheetId="1">#REF!</definedName>
    <definedName name="jaspre">#REF!</definedName>
    <definedName name="Jay" localSheetId="1" hidden="1">{#N/A,#N/A,FALSE,"gc (2)"}</definedName>
    <definedName name="Jay" hidden="1">{#N/A,#N/A,FALSE,"gc (2)"}</definedName>
    <definedName name="jba" localSheetId="1" hidden="1">{"'M'!$C$12:$D$12"}</definedName>
    <definedName name="jba" hidden="1">{"'M'!$C$12:$D$12"}</definedName>
    <definedName name="jbhjb">#REF!</definedName>
    <definedName name="JBNAM">"ANNAS1"</definedName>
    <definedName name="JBNMB">"154637"</definedName>
    <definedName name="jbvhbvh">#REF!</definedName>
    <definedName name="jdjhdj" localSheetId="1" hidden="1">{#N/A,#N/A,FALSE,"CAM-G7";#N/A,#N/A,FALSE,"SPL";#N/A,#N/A,FALSE,"butt-in G7";#N/A,#N/A,FALSE,"dia-in G7";#N/A,#N/A,FALSE,"추가-STA G7"}</definedName>
    <definedName name="jdjhdj" hidden="1">{#N/A,#N/A,FALSE,"CAM-G7";#N/A,#N/A,FALSE,"SPL";#N/A,#N/A,FALSE,"butt-in G7";#N/A,#N/A,FALSE,"dia-in G7";#N/A,#N/A,FALSE,"추가-STA G7"}</definedName>
    <definedName name="jdtyjd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jdtyjd">IF(ISNA(MATCH(ROW(),RowAfterpgbrk,1)),1,MATCH(ROW(),RowAfterpgbrk,1)+1)&lt;&gt;IF(ISNA(MATCH(ROW()-1,RowAfterpgbrk,1)),1,MATCH(ROW()-1,RowAfterpgbrk,1)+1)</definedName>
    <definedName name="jdtyjdt" localSheetId="1">"Page "&amp;IF(ISNA(MATCH(ROW(),[1]!COUNT_TH2_V2__units_1___Type_D_04__900_x_2200mm_high,1)),1,MATCH(ROW(),[1]!COUNT_TH2_V2__units_1___Type_D_04__900_x_2200mm_high,1)+1)&amp;" of " &amp; [1]!CUSTOM1_Shops__GF_ + 0*NOW()</definedName>
    <definedName name="jdtyjdt">"Page "&amp;IF(ISNA(MATCH(ROW(),RowAfterpgbrk,1)),1,MATCH(ROW(),RowAfterpgbrk,1)+1)&amp;" of " &amp; TotPageCount + 0*NOW()</definedName>
    <definedName name="jdynmtrsyaer">#REF!</definedName>
    <definedName name="je">#N/A</definedName>
    <definedName name="jef">#REF!</definedName>
    <definedName name="JEJS" localSheetId="1">#REF!</definedName>
    <definedName name="JEJS">#REF!</definedName>
    <definedName name="JEJS___0" localSheetId="1">#REF!</definedName>
    <definedName name="JEJS___0">#REF!</definedName>
    <definedName name="JEJS___11" localSheetId="1">#REF!</definedName>
    <definedName name="JEJS___11">#REF!</definedName>
    <definedName name="JEJS___12">#REF!</definedName>
    <definedName name="JEJS___13">#REF!</definedName>
    <definedName name="JEJS___4">#REF!</definedName>
    <definedName name="jen">#REF!</definedName>
    <definedName name="jeya" localSheetId="1" hidden="1">{#N/A,#N/A,FALSE,"VCR"}</definedName>
    <definedName name="jeya" hidden="1">{#N/A,#N/A,FALSE,"VCR"}</definedName>
    <definedName name="jf" localSheetId="1">BlankMacro1</definedName>
    <definedName name="jf">BlankMacro1</definedName>
    <definedName name="jfhgjf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gj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">#N/A</definedName>
    <definedName name="jfkflf" localSheetId="1" hidden="1">{#N/A,#N/A,TRUE,"Cover";#N/A,#N/A,TRUE,"Conts";#N/A,#N/A,TRUE,"VOS";#N/A,#N/A,TRUE,"Warrington";#N/A,#N/A,TRUE,"Widnes"}</definedName>
    <definedName name="jfkflf" hidden="1">{#N/A,#N/A,TRUE,"Cover";#N/A,#N/A,TRUE,"Conts";#N/A,#N/A,TRUE,"VOS";#N/A,#N/A,TRUE,"Warrington";#N/A,#N/A,TRUE,"Widnes"}</definedName>
    <definedName name="jfu">#REF!</definedName>
    <definedName name="jg" localSheetId="1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g_1" localSheetId="1" hidden="1">{#N/A,#N/A,TRUE,"Cover";#N/A,#N/A,TRUE,"Conts";#N/A,#N/A,TRUE,"VOS";#N/A,#N/A,TRUE,"Warrington";#N/A,#N/A,TRUE,"Widnes"}</definedName>
    <definedName name="jg_1" hidden="1">{#N/A,#N/A,TRUE,"Cover";#N/A,#N/A,TRUE,"Conts";#N/A,#N/A,TRUE,"VOS";#N/A,#N/A,TRUE,"Warrington";#N/A,#N/A,TRUE,"Widnes"}</definedName>
    <definedName name="jghj" localSheetId="1">IF(ISNA(MATCH(ROW(),[1]!COUNT_TH2_V2__units_1___Type_D_04__900_x_2200mm_high,1)),1,MATCH(ROW(),[1]!COUNT_TH2_V2__units_1___Type_D_04__900_x_2200mm_high,1)+1)</definedName>
    <definedName name="jghj">IF(ISNA(MATCH(ROW(),RowAfterpgbrk,1)),1,MATCH(ROW(),RowAfterpgbrk,1)+1)</definedName>
    <definedName name="jghjgj" localSheetId="1" hidden="1">{#N/A,#N/A,FALSE,"물량산출"}</definedName>
    <definedName name="jghjgj" hidden="1">{#N/A,#N/A,FALSE,"물량산출"}</definedName>
    <definedName name="jghkg" localSheetId="1" hidden="1">{#N/A,#N/A,FALSE,"갑지";#N/A,#N/A,FALSE,"개요";#N/A,#N/A,FALSE,"비목별";#N/A,#N/A,FALSE,"건물별";#N/A,#N/A,FALSE,"기구표";#N/A,#N/A,FALSE,"직원투입"}</definedName>
    <definedName name="jghkg" hidden="1">{#N/A,#N/A,FALSE,"갑지";#N/A,#N/A,FALSE,"개요";#N/A,#N/A,FALSE,"비목별";#N/A,#N/A,FALSE,"건물별";#N/A,#N/A,FALSE,"기구표";#N/A,#N/A,FALSE,"직원투입"}</definedName>
    <definedName name="jgjgtj">#N/A</definedName>
    <definedName name="jgk">#REF!</definedName>
    <definedName name="jgt" localSheetId="1">{"'Break down'!$A$4"}</definedName>
    <definedName name="jgt">{"'Break down'!$A$4"}</definedName>
    <definedName name="jgt_1" localSheetId="1">{"'Break down'!$A$4"}</definedName>
    <definedName name="jgt_1">{"'Break down'!$A$4"}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bgcoudaf3uhb">#REF!</definedName>
    <definedName name="JHBN564" localSheetId="1" hidden="1">{"'Break down'!$A$4"}</definedName>
    <definedName name="JHBN564" hidden="1">{"'Break down'!$A$4"}</definedName>
    <definedName name="jhdsghghfh">#REF!</definedName>
    <definedName name="jhfghf" hidden="1">#REF!</definedName>
    <definedName name="jhfgjfj" localSheetId="1" hidden="1">{#N/A,#N/A,FALSE,"CAM-G7";#N/A,#N/A,FALSE,"SPL";#N/A,#N/A,FALSE,"butt-in G7";#N/A,#N/A,FALSE,"dia-in G7";#N/A,#N/A,FALSE,"추가-STA G7"}</definedName>
    <definedName name="jhfgjfj" hidden="1">{#N/A,#N/A,FALSE,"CAM-G7";#N/A,#N/A,FALSE,"SPL";#N/A,#N/A,FALSE,"butt-in G7";#N/A,#N/A,FALSE,"dia-in G7";#N/A,#N/A,FALSE,"추가-STA G7"}</definedName>
    <definedName name="jhg" localSheetId="1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hg_1" localSheetId="1" hidden="1">{#N/A,#N/A,TRUE,"Cover";#N/A,#N/A,TRUE,"Conts";#N/A,#N/A,TRUE,"VOS";#N/A,#N/A,TRUE,"Warrington";#N/A,#N/A,TRUE,"Widnes"}</definedName>
    <definedName name="jhg_1" hidden="1">{#N/A,#N/A,TRUE,"Cover";#N/A,#N/A,TRUE,"Conts";#N/A,#N/A,TRUE,"VOS";#N/A,#N/A,TRUE,"Warrington";#N/A,#N/A,TRUE,"Widnes"}</definedName>
    <definedName name="jhga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jhga">IF(ISNA(MATCH(ROW(),RowAfterpgbrk,1)),1,MATCH(ROW(),RowAfterpgbrk,1)+1)&lt;&gt;IF(ISNA(MATCH(ROW()-1,RowAfterpgbrk,1)),1,MATCH(ROW()-1,RowAfterpgbrk,1)+1)</definedName>
    <definedName name="jhgf" localSheetId="1">#REF!</definedName>
    <definedName name="jhgf">#REF!</definedName>
    <definedName name="jhgfjfgjj" localSheetId="1" hidden="1">{#N/A,#N/A,FALSE,"운반시간"}</definedName>
    <definedName name="jhgfjfgjj" hidden="1">{#N/A,#N/A,FALSE,"운반시간"}</definedName>
    <definedName name="jhghghgh" hidden="1">#REF!</definedName>
    <definedName name="jhgj" localSheetId="1">#REF!</definedName>
    <definedName name="jhgj">#REF!</definedName>
    <definedName name="jhgjghj" localSheetId="1" hidden="1">{#N/A,#N/A,FALSE,"물량산출"}</definedName>
    <definedName name="jhgjghj" hidden="1">{#N/A,#N/A,FALSE,"물량산출"}</definedName>
    <definedName name="jhguy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gu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H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iokjhjhbhb" hidden="1">#REF!</definedName>
    <definedName name="jhjhj" localSheetId="1" hidden="1">{#N/A,#N/A,FALSE,"MARCH"}</definedName>
    <definedName name="jhjhj" hidden="1">{#N/A,#N/A,FALSE,"MARCH"}</definedName>
    <definedName name="jhjjkjuiouj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jjkjuiou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jkk" localSheetId="1" hidden="1">{#N/A,#N/A,FALSE,"MARCH"}</definedName>
    <definedName name="jhjkk" hidden="1">{#N/A,#N/A,FALSE,"MARCH"}</definedName>
    <definedName name="JHJKVBH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JKVBH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jyt">#N/A</definedName>
    <definedName name="jhkhgf" localSheetId="1" hidden="1">{#N/A,#N/A,FALSE,"갑지";#N/A,#N/A,FALSE,"개요";#N/A,#N/A,FALSE,"비목별";#N/A,#N/A,FALSE,"건물별";#N/A,#N/A,FALSE,"기구표";#N/A,#N/A,FALSE,"직원투입"}</definedName>
    <definedName name="jhkhgf" hidden="1">{#N/A,#N/A,FALSE,"갑지";#N/A,#N/A,FALSE,"개요";#N/A,#N/A,FALSE,"비목별";#N/A,#N/A,FALSE,"건물별";#N/A,#N/A,FALSE,"기구표";#N/A,#N/A,FALSE,"직원투입"}</definedName>
    <definedName name="jhkkg" localSheetId="1" hidden="1">{#N/A,#N/A,FALSE,"물량산출"}</definedName>
    <definedName name="jhkkg" hidden="1">{#N/A,#N/A,FALSE,"물량산출"}</definedName>
    <definedName name="jhkt">#REF!</definedName>
    <definedName name="jhrerilulire" localSheetId="1">BlankMacro1</definedName>
    <definedName name="jhrerilulire">BlankMacro1</definedName>
    <definedName name="JHUn" localSheetId="1">#REF!</definedName>
    <definedName name="JHUn">#REF!</definedName>
    <definedName name="ji" localSheetId="1">#REF!</definedName>
    <definedName name="ji">#REF!</definedName>
    <definedName name="ji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i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iik">#REF!</definedName>
    <definedName name="jiku" localSheetId="1">"Page "&amp;IF(ISNA(MATCH(ROW(),[1]!COUNT_TH2_V2__units_1___Type_D_04__900_x_2200mm_high,1)),1,MATCH(ROW(),[1]!COUNT_TH2_V2__units_1___Type_D_04__900_x_2200mm_high,1)+1)&amp;" of " &amp; [1]!CUSTOM1_Shops__GF_ + 0*NOW()</definedName>
    <definedName name="jiku">"Page "&amp;IF(ISNA(MATCH(ROW(),RowAfterpgbrk,1)),1,MATCH(ROW(),RowAfterpgbrk,1)+1)&amp;" of " &amp; TotPageCount + 0*NOW()</definedName>
    <definedName name="JIM">#REF!</definedName>
    <definedName name="JIPO">#N/A</definedName>
    <definedName name="JiSt" localSheetId="1">#REF!</definedName>
    <definedName name="JiSt">#REF!</definedName>
    <definedName name="jj" localSheetId="1" hidden="1">{#N/A,#N/A,TRUE,"Cover";#N/A,#N/A,TRUE,"Conts";#N/A,#N/A,TRUE,"VOS";#N/A,#N/A,TRUE,"Warrington";#N/A,#N/A,TRUE,"Widnes"}</definedName>
    <definedName name="jj" hidden="1">{#N/A,#N/A,TRUE,"Cover";#N/A,#N/A,TRUE,"Conts";#N/A,#N/A,TRUE,"VOS";#N/A,#N/A,TRUE,"Warrington";#N/A,#N/A,TRUE,"Widnes"}</definedName>
    <definedName name="jjhh">#REF!</definedName>
    <definedName name="jji" localSheetId="1">BlankMacro1</definedName>
    <definedName name="jji">BlankMacro1</definedName>
    <definedName name="jjj" localSheetId="1" hidden="1">{#N/A,#N/A,TRUE,"Cover";#N/A,#N/A,TRUE,"Conts";#N/A,#N/A,TRUE,"VOS";#N/A,#N/A,TRUE,"Warrington";#N/A,#N/A,TRUE,"Widnes"}</definedName>
    <definedName name="jjj" hidden="1">{#N/A,#N/A,TRUE,"Cover";#N/A,#N/A,TRUE,"Conts";#N/A,#N/A,TRUE,"VOS";#N/A,#N/A,TRUE,"Warrington";#N/A,#N/A,TRUE,"Widnes"}</definedName>
    <definedName name="jjjj">#N/A</definedName>
    <definedName name="jjjjj" localSheetId="1">#REF!</definedName>
    <definedName name="jjjjj">#REF!</definedName>
    <definedName name="JJJJJJ" hidden="1">#REF!</definedName>
    <definedName name="jjjjjjjjjj" localSheetId="1">#REF!</definedName>
    <definedName name="jjjjjjjjjj">#REF!</definedName>
    <definedName name="jjjjjjjjjjjjjjj" localSheetId="1">#REF!</definedName>
    <definedName name="jjjjjjjjjjjjjjj">#REF!</definedName>
    <definedName name="jjjjjjjjjjjjjjjjjjjjjjjjjjjjjjjjjjjjjjjjjjjjjjjjjjjjk" localSheetId="1" hidden="1">#REF!</definedName>
    <definedName name="jjjjjjjjjjjjjjjjjjjjjjjjjjjjjjjjjjjjjjjjjjjjjjjjjjjjk" hidden="1">#REF!</definedName>
    <definedName name="jjss" localSheetId="1">BlankMacro1</definedName>
    <definedName name="jjss">BlankMacro1</definedName>
    <definedName name="jjuu" localSheetId="1" hidden="1">{#N/A,#N/A,TRUE,"Cover";#N/A,#N/A,TRUE,"Conts";#N/A,#N/A,TRUE,"VOS";#N/A,#N/A,TRUE,"Warrington";#N/A,#N/A,TRUE,"Widnes"}</definedName>
    <definedName name="jjuu" hidden="1">{#N/A,#N/A,TRUE,"Cover";#N/A,#N/A,TRUE,"Conts";#N/A,#N/A,TRUE,"VOS";#N/A,#N/A,TRUE,"Warrington";#N/A,#N/A,TRUE,"Widnes"}</definedName>
    <definedName name="jjy" localSheetId="1">{"'Break down'!$A$4"}</definedName>
    <definedName name="jjy">{"'Break down'!$A$4"}</definedName>
    <definedName name="jjy_1" localSheetId="1">{"'Break down'!$A$4"}</definedName>
    <definedName name="jjy_1">{"'Break down'!$A$4"}</definedName>
    <definedName name="JK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.j.oi" localSheetId="1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.j.oi_1" localSheetId="1" hidden="1">{#N/A,#N/A,TRUE,"Cover";#N/A,#N/A,TRUE,"Conts";#N/A,#N/A,TRUE,"VOS";#N/A,#N/A,TRUE,"Warrington";#N/A,#N/A,TRUE,"Widnes"}</definedName>
    <definedName name="jk.j.oi_1" hidden="1">{#N/A,#N/A,TRUE,"Cover";#N/A,#N/A,TRUE,"Conts";#N/A,#N/A,TRUE,"VOS";#N/A,#N/A,TRUE,"Warrington";#N/A,#N/A,TRUE,"Widnes"}</definedName>
    <definedName name="JKGHJ" localSheetId="1" hidden="1">{#N/A,#N/A,TRUE,"Cover";#N/A,#N/A,TRUE,"Conts";#N/A,#N/A,TRUE,"VOS";#N/A,#N/A,TRUE,"Warrington";#N/A,#N/A,TRUE,"Widnes"}</definedName>
    <definedName name="JKGHJ" hidden="1">{#N/A,#N/A,TRUE,"Cover";#N/A,#N/A,TRUE,"Conts";#N/A,#N/A,TRUE,"VOS";#N/A,#N/A,TRUE,"Warrington";#N/A,#N/A,TRUE,"Widnes"}</definedName>
    <definedName name="jkghk" localSheetId="1" hidden="1">{#N/A,#N/A,FALSE,"물량산출"}</definedName>
    <definedName name="jkghk" hidden="1">{#N/A,#N/A,FALSE,"물량산출"}</definedName>
    <definedName name="JKGKJHK" localSheetId="1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GKJHK_1" localSheetId="1" hidden="1">{#N/A,#N/A,TRUE,"Cover";#N/A,#N/A,TRUE,"Conts";#N/A,#N/A,TRUE,"VOS";#N/A,#N/A,TRUE,"Warrington";#N/A,#N/A,TRUE,"Widnes"}</definedName>
    <definedName name="JKGKJHK_1" hidden="1">{#N/A,#N/A,TRUE,"Cover";#N/A,#N/A,TRUE,"Conts";#N/A,#N/A,TRUE,"VOS";#N/A,#N/A,TRUE,"Warrington";#N/A,#N/A,TRUE,"Widnes"}</definedName>
    <definedName name="jkhkh" localSheetId="1" hidden="1">{#N/A,#N/A,FALSE,"물량산출"}</definedName>
    <definedName name="jkhkh" hidden="1">{#N/A,#N/A,FALSE,"물량산출"}</definedName>
    <definedName name="jkhkj" localSheetId="1" hidden="1">{"Japan_Capers_Ed_Pub",#N/A,FALSE,"DI 2 YEAR MASTER SCHEDULE"}</definedName>
    <definedName name="jkhkj" hidden="1">{"Japan_Capers_Ed_Pub",#N/A,FALSE,"DI 2 YEAR MASTER SCHEDULE"}</definedName>
    <definedName name="JKHY675" localSheetId="1" hidden="1">{"'Break down'!$A$4"}</definedName>
    <definedName name="JKHY675" hidden="1">{"'Break down'!$A$4"}</definedName>
    <definedName name="JKI" localSheetId="1" hidden="1">{"'Break down'!$A$4"}</definedName>
    <definedName name="JKI" hidden="1">{"'Break down'!$A$4"}</definedName>
    <definedName name="jkj" localSheetId="1" hidden="1">{#N/A,#N/A,FALSE,"MARCH"}</definedName>
    <definedName name="jkj" hidden="1">{#N/A,#N/A,FALSE,"MARCH"}</definedName>
    <definedName name="jkj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jkjkj">#REF!</definedName>
    <definedName name="JKK" localSheetId="1">#REF!</definedName>
    <definedName name="JKK">#REF!</definedName>
    <definedName name="jkl" localSheetId="1">#REF!</definedName>
    <definedName name="jkl">#REF!</definedName>
    <definedName name="jkljljkl" localSheetId="1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ljljkl_1" localSheetId="1" hidden="1">{#N/A,#N/A,TRUE,"Cover";#N/A,#N/A,TRUE,"Conts";#N/A,#N/A,TRUE,"VOS";#N/A,#N/A,TRUE,"Warrington";#N/A,#N/A,TRUE,"Widnes"}</definedName>
    <definedName name="jkljljkl_1" hidden="1">{#N/A,#N/A,TRUE,"Cover";#N/A,#N/A,TRUE,"Conts";#N/A,#N/A,TRUE,"VOS";#N/A,#N/A,TRUE,"Warrington";#N/A,#N/A,TRUE,"Widnes"}</definedName>
    <definedName name="jklmnbuiom">#REF!</definedName>
    <definedName name="jktrujij" localSheetId="1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rujij_1" localSheetId="1" hidden="1">{#N/A,#N/A,TRUE,"Cover";#N/A,#N/A,TRUE,"Conts";#N/A,#N/A,TRUE,"VOS";#N/A,#N/A,TRUE,"Warrington";#N/A,#N/A,TRUE,"Widnes"}</definedName>
    <definedName name="jktrujij_1" hidden="1">{#N/A,#N/A,TRUE,"Cover";#N/A,#N/A,TRUE,"Conts";#N/A,#N/A,TRUE,"VOS";#N/A,#N/A,TRUE,"Warrington";#N/A,#N/A,TRUE,"Widnes"}</definedName>
    <definedName name="jktukk" localSheetId="1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tukk_1" localSheetId="1" hidden="1">{#N/A,#N/A,TRUE,"Cover";#N/A,#N/A,TRUE,"Conts";#N/A,#N/A,TRUE,"VOS";#N/A,#N/A,TRUE,"Warrington";#N/A,#N/A,TRUE,"Widnes"}</definedName>
    <definedName name="jktukk_1" hidden="1">{#N/A,#N/A,TRUE,"Cover";#N/A,#N/A,TRUE,"Conts";#N/A,#N/A,TRUE,"VOS";#N/A,#N/A,TRUE,"Warrington";#N/A,#N/A,TRUE,"Widnes"}</definedName>
    <definedName name="JKVBH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VBH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y" localSheetId="1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ky_1" localSheetId="1" hidden="1">{#N/A,#N/A,TRUE,"Cover";#N/A,#N/A,TRUE,"Conts";#N/A,#N/A,TRUE,"VOS";#N/A,#N/A,TRUE,"Warrington";#N/A,#N/A,TRUE,"Widnes"}</definedName>
    <definedName name="jky_1" hidden="1">{#N/A,#N/A,TRUE,"Cover";#N/A,#N/A,TRUE,"Conts";#N/A,#N/A,TRUE,"VOS";#N/A,#N/A,TRUE,"Warrington";#N/A,#N/A,TRUE,"Widnes"}</definedName>
    <definedName name="jlhligil" localSheetId="1" hidden="1">{"'Sheet1'!$L$16"}</definedName>
    <definedName name="jlhligil" hidden="1">{"'Sheet1'!$L$16"}</definedName>
    <definedName name="jlouo" localSheetId="1">BlankMacro1</definedName>
    <definedName name="jlouo">BlankMacro1</definedName>
    <definedName name="jmhjj">#N/A</definedName>
    <definedName name="jmjkjk" localSheetId="1">{"'Break down'!$A$4"}</definedName>
    <definedName name="jmjkjk">{"'Break down'!$A$4"}</definedName>
    <definedName name="jmjkjk_1" localSheetId="1">{"'Break down'!$A$4"}</definedName>
    <definedName name="jmjkjk_1">{"'Break down'!$A$4"}</definedName>
    <definedName name="JMVJMV" localSheetId="1" hidden="1">{#N/A,#N/A,TRUE,"Cover";#N/A,#N/A,TRUE,"Conts";#N/A,#N/A,TRUE,"VOS";#N/A,#N/A,TRUE,"Warrington";#N/A,#N/A,TRUE,"Widnes"}</definedName>
    <definedName name="JMVJMV" hidden="1">{#N/A,#N/A,TRUE,"Cover";#N/A,#N/A,TRUE,"Conts";#N/A,#N/A,TRUE,"VOS";#N/A,#N/A,TRUE,"Warrington";#N/A,#N/A,TRUE,"Widnes"}</definedName>
    <definedName name="JNBG546" localSheetId="1" hidden="1">{"'Break down'!$A$4"}</definedName>
    <definedName name="JNBG546" hidden="1">{"'Break down'!$A$4"}</definedName>
    <definedName name="jnnnmklnkl">#REF!</definedName>
    <definedName name="jo" localSheetId="1" hidden="1">{"'Break down'!$A$4"}</definedName>
    <definedName name="jo" hidden="1">{"'Break down'!$A$4"}</definedName>
    <definedName name="job">#REF!</definedName>
    <definedName name="job___0" localSheetId="1">#REF!</definedName>
    <definedName name="job___0">#REF!</definedName>
    <definedName name="job___11" localSheetId="1">#REF!</definedName>
    <definedName name="job___11">#REF!</definedName>
    <definedName name="job___12" localSheetId="1">#REF!</definedName>
    <definedName name="job___12">#REF!</definedName>
    <definedName name="Job_Cost_Salaries">#REF!</definedName>
    <definedName name="Job_No">#REF!</definedName>
    <definedName name="Job_No.">#REF!</definedName>
    <definedName name="Job_Nr" localSheetId="1">#REF!</definedName>
    <definedName name="Job_Nr">#REF!</definedName>
    <definedName name="job_number">"qs12257"</definedName>
    <definedName name="job.no" hidden="1">#REF!</definedName>
    <definedName name="JobDate" localSheetId="1">#REF!</definedName>
    <definedName name="JobDate">#REF!</definedName>
    <definedName name="JobID">#REF!</definedName>
    <definedName name="JobName">#REF!</definedName>
    <definedName name="JobNr">#REF!</definedName>
    <definedName name="Jobtypes">#REF!</definedName>
    <definedName name="Jobtypes_3">#REF!</definedName>
    <definedName name="Johnson_Controls" localSheetId="1">#REF!</definedName>
    <definedName name="Johnson_Controls">#REF!</definedName>
    <definedName name="JOINERY" localSheetId="1">#REF!</definedName>
    <definedName name="JOINERY">#REF!</definedName>
    <definedName name="JOINTS" localSheetId="1">#REF!</definedName>
    <definedName name="JOINTS">#REF!</definedName>
    <definedName name="jon">#REF!</definedName>
    <definedName name="JOTUN">#REF!</definedName>
    <definedName name="joy" localSheetId="1" hidden="1">{"'Break down'!$A$4"}</definedName>
    <definedName name="joy" hidden="1">{"'Break down'!$A$4"}</definedName>
    <definedName name="joyr" localSheetId="1" hidden="1">{"'Break down'!$A$4"}</definedName>
    <definedName name="joyr" hidden="1">{"'Break down'!$A$4"}</definedName>
    <definedName name="JP">#N/A</definedName>
    <definedName name="jp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PY">#REF!</definedName>
    <definedName name="jrdygrut" localSheetId="1">BlankMacro1</definedName>
    <definedName name="jrdygrut">BlankMacro1</definedName>
    <definedName name="js" localSheetId="1">#REF!</definedName>
    <definedName name="js">#REF!</definedName>
    <definedName name="JSF" localSheetId="1">IF('City Walk - Comparison'!Loan_Amount*[1]!Interest_Rate*[1]!Loan_Years*'City Walk - Comparison'!Loan_Start&gt;0,1,0)</definedName>
    <definedName name="JSF">IF(Loan_Amount*Interest_Rate*Loan_Years*Loan_Start&gt;0,1,0)</definedName>
    <definedName name="jsyode" localSheetId="1" hidden="1">#REF!</definedName>
    <definedName name="jsyode" hidden="1">#REF!</definedName>
    <definedName name="jt" localSheetId="1">"Page "&amp;IF(ISNA(MATCH(ROW(),[1]!COUNT_TH2_V2__units_1___Type_D_04__900_x_2200mm_high,1)),1,MATCH(ROW(),[1]!COUNT_TH2_V2__units_1___Type_D_04__900_x_2200mm_high,1)+1)&amp;" of " &amp; [1]!CUSTOM1_Shops__GF_ + 0*NOW()</definedName>
    <definedName name="jt">"Page "&amp;IF(ISNA(MATCH(ROW(),RowAfterpgbrk,1)),1,MATCH(ROW(),RowAfterpgbrk,1)+1)&amp;" of " &amp; TotPageCount + 0*NOW()</definedName>
    <definedName name="jty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jty">IF(ISNA(MATCH(ROW(),RowAfterpgbrk,1)),1,MATCH(ROW(),RowAfterpgbrk,1)+1)&lt;&gt;IF(ISNA(MATCH(ROW()-1,RowAfterpgbrk,1)),1,MATCH(ROW()-1,RowAfterpgbrk,1)+1)</definedName>
    <definedName name="jtyhjswjy" localSheetId="1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jtyhjswjy_1" localSheetId="1" hidden="1">{#N/A,#N/A,TRUE,"Cover";#N/A,#N/A,TRUE,"Conts";#N/A,#N/A,TRUE,"VOS";#N/A,#N/A,TRUE,"Warrington";#N/A,#N/A,TRUE,"Widnes"}</definedName>
    <definedName name="jtyhjswjy_1" hidden="1">{#N/A,#N/A,TRUE,"Cover";#N/A,#N/A,TRUE,"Conts";#N/A,#N/A,TRUE,"VOS";#N/A,#N/A,TRUE,"Warrington";#N/A,#N/A,TRUE,"Widnes"}</definedName>
    <definedName name="jtyjt" localSheetId="1">"Page "&amp;IF(ISNA(MATCH(ROW(),[1]!COUNT_TH2_V2__units_1___Type_D_04__900_x_2200mm_high,1)),1,MATCH(ROW(),[1]!COUNT_TH2_V2__units_1___Type_D_04__900_x_2200mm_high,1)+1)&amp;" of " &amp; [1]!CUSTOM1_Shops__GF_ + 0*NOW()</definedName>
    <definedName name="jtyjt">"Page "&amp;IF(ISNA(MATCH(ROW(),RowAfterpgbrk,1)),1,MATCH(ROW(),RowAfterpgbrk,1)+1)&amp;" of " &amp; TotPageCount + 0*NOW()</definedName>
    <definedName name="ju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hy" localSheetId="1" hidden="1">{#N/A,#N/A,FALSE,"Header P";#N/A,#N/A,FALSE,"Summary";#N/A,#N/A,FALSE,"CONTRACT WORKS";#N/A,#N/A,FALSE,"Variations";#N/A,#N/A,FALSE,"Dwk"}</definedName>
    <definedName name="juhy" hidden="1">{#N/A,#N/A,FALSE,"Header P";#N/A,#N/A,FALSE,"Summary";#N/A,#N/A,FALSE,"CONTRACT WORKS";#N/A,#N/A,FALSE,"Variations";#N/A,#N/A,FALSE,"Dwk"}</definedName>
    <definedName name="jujnk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jn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l">#REF!</definedName>
    <definedName name="julie" localSheetId="1">#REF!</definedName>
    <definedName name="julie">#REF!</definedName>
    <definedName name="JUN" localSheetId="1">#REF!</definedName>
    <definedName name="JUN">#REF!</definedName>
    <definedName name="june" localSheetId="1" hidden="1">{#N/A,#N/A,FALSE,"MARCH"}</definedName>
    <definedName name="june" hidden="1">{#N/A,#N/A,FALSE,"MARCH"}</definedName>
    <definedName name="june_5">#REF!</definedName>
    <definedName name="june_7" localSheetId="1">#REF!</definedName>
    <definedName name="june_7">#REF!</definedName>
    <definedName name="JUNIORTV" localSheetId="1">#REF!</definedName>
    <definedName name="JUNIORTV">#REF!</definedName>
    <definedName name="ju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vhbdhsjb">#REF!</definedName>
    <definedName name="jvjj">#N/A</definedName>
    <definedName name="JVYes">#REF!</definedName>
    <definedName name="JW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W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" localSheetId="1">"Page "&amp;IF(ISNA(MATCH(ROW(),[1]!COUNT_TH2_V2__units_1___Type_D_04__900_x_2200mm_high,1)),1,MATCH(ROW(),[1]!COUNT_TH2_V2__units_1___Type_D_04__900_x_2200mm_high,1)+1)&amp;" of " &amp; [1]!CUSTOM1_Shops__GF_ + 0*NOW()</definedName>
    <definedName name="jy">"Page "&amp;IF(ISNA(MATCH(ROW(),RowAfterpgbrk,1)),1,MATCH(ROW(),RowAfterpgbrk,1)+1)&amp;" of " &amp; TotPageCount + 0*NOW()</definedName>
    <definedName name="jyjh">#REF!</definedName>
    <definedName name="jyt" localSheetId="1">IF(ISNA(MATCH(ROW(),[1]!COUNT_TH2_V2__units_1___Type_D_04__900_x_2200mm_high,1)),1,MATCH(ROW(),[1]!COUNT_TH2_V2__units_1___Type_D_04__900_x_2200mm_high,1)+1)</definedName>
    <definedName name="jyt">IF(ISNA(MATCH(ROW(),RowAfterpgbrk,1)),1,MATCH(ROW(),RowAfterpgbrk,1)+1)</definedName>
    <definedName name="jytej" localSheetId="1" hidden="1">{#N/A,#N/A,FALSE,"갑지";#N/A,#N/A,FALSE,"개요";#N/A,#N/A,FALSE,"비목별";#N/A,#N/A,FALSE,"건물별";#N/A,#N/A,FALSE,"기구표";#N/A,#N/A,FALSE,"직원투입"}</definedName>
    <definedName name="jytej" hidden="1">{#N/A,#N/A,FALSE,"갑지";#N/A,#N/A,FALSE,"개요";#N/A,#N/A,FALSE,"비목별";#N/A,#N/A,FALSE,"건물별";#N/A,#N/A,FALSE,"기구표";#N/A,#N/A,FALSE,"직원투입"}</definedName>
    <definedName name="jyuyu">#N/A</definedName>
    <definedName name="K" localSheetId="1">#REF!</definedName>
    <definedName name="K">#REF!</definedName>
    <definedName name="K_">"$#REF!.$AH$13:$AH$132"</definedName>
    <definedName name="k___0">#REF!</definedName>
    <definedName name="k___0___0">"$#REF!.$#REF!$#REF!"</definedName>
    <definedName name="k___0___3">"$#REF!.$#REF!$#REF!"</definedName>
    <definedName name="k___0___4">"$#REF!.$#REF!$#REF!"</definedName>
    <definedName name="K___13">#REF!</definedName>
    <definedName name="k___2" localSheetId="1">#REF!</definedName>
    <definedName name="k___2">#REF!</definedName>
    <definedName name="k___2___0">"$#REF!.$#REF!$#REF!"</definedName>
    <definedName name="k___2___3">"$#REF!.$#REF!$#REF!"</definedName>
    <definedName name="k___3">#REF!</definedName>
    <definedName name="k___3___0">"$#REF!.$#REF!$#REF!"</definedName>
    <definedName name="k___3___3">"$#REF!.$#REF!$#REF!"</definedName>
    <definedName name="k___3___4">"$#REF!.$#REF!$#REF!"</definedName>
    <definedName name="k___4">#REF!</definedName>
    <definedName name="k___4___0">"$#REF!.$#REF!$#REF!"</definedName>
    <definedName name="k___4___3">"$#REF!.$#REF!$#REF!"</definedName>
    <definedName name="k___7">"$#REF!.$#REF!$#REF!"</definedName>
    <definedName name="K__1">"$#REF!.$AH$13:$AH$132"</definedName>
    <definedName name="k_0">#REF!</definedName>
    <definedName name="K_1">0</definedName>
    <definedName name="k_1m">#REF!</definedName>
    <definedName name="K_22" localSheetId="1">#REF!</definedName>
    <definedName name="K_22">#REF!</definedName>
    <definedName name="k_2m">#REF!</definedName>
    <definedName name="k_3m">#REF!</definedName>
    <definedName name="k_4">#REF!</definedName>
    <definedName name="K_Anlagenart">#REF!</definedName>
    <definedName name="K_Appro">1.005</definedName>
    <definedName name="K_AufrEinh" localSheetId="1">#REF!</definedName>
    <definedName name="K_AufrEinh">#REF!</definedName>
    <definedName name="K_Bau">#REF!</definedName>
    <definedName name="K_Dev_XEU">6.55957</definedName>
    <definedName name="K_ECUNEW">#REF!</definedName>
    <definedName name="K_Einh_KostIng" localSheetId="1">#REF!</definedName>
    <definedName name="K_Einh_KostIng">#REF!</definedName>
    <definedName name="K_Einh_ProjIng">#REF!</definedName>
    <definedName name="k_EN">#REF!</definedName>
    <definedName name="K_Genehmigung">#REF!</definedName>
    <definedName name="K_Gesellsch">#REF!</definedName>
    <definedName name="K_GZ">#REF!</definedName>
    <definedName name="K_IBN">#REF!</definedName>
    <definedName name="k_inst">#REF!</definedName>
    <definedName name="K_Inst.">#REF!</definedName>
    <definedName name="K_JobNr">#REF!</definedName>
    <definedName name="K_KKS">#REF!</definedName>
    <definedName name="K_KostIng">#REF!</definedName>
    <definedName name="K_Kurztitel">#REF!</definedName>
    <definedName name="K_KZS">#REF!</definedName>
    <definedName name="K_Land">#REF!</definedName>
    <definedName name="K_Mech_Fertigst">#REF!</definedName>
    <definedName name="K_Plastering">#REF!</definedName>
    <definedName name="K_ProjArt">#REF!</definedName>
    <definedName name="K_ProjEinh">#REF!</definedName>
    <definedName name="K_ProjIng">#REF!</definedName>
    <definedName name="K_ProjNr">#REF!</definedName>
    <definedName name="K_RATE">#REF!</definedName>
    <definedName name="k_rep">#REF!</definedName>
    <definedName name="k_sales">#REF!</definedName>
    <definedName name="k_salesops">#REF!</definedName>
    <definedName name="K_Stand">#REF!</definedName>
    <definedName name="K_Standort">#REF!</definedName>
    <definedName name="K_Status">#REF!</definedName>
    <definedName name="K_Tel_KostIng">#REF!</definedName>
    <definedName name="K_Tel_ProjIng">#REF!</definedName>
    <definedName name="k_test">#REF!</definedName>
    <definedName name="k_usdeuro">#REF!</definedName>
    <definedName name="K_XEU">6.55957</definedName>
    <definedName name="k.oflyifeskrjuwryahte">#REF!</definedName>
    <definedName name="K\">#REF!</definedName>
    <definedName name="K1_">#REF!</definedName>
    <definedName name="k1_table" localSheetId="1">#REF!</definedName>
    <definedName name="k1_table">#REF!</definedName>
    <definedName name="K1HK" localSheetId="1">#REF!</definedName>
    <definedName name="K1HK">#REF!</definedName>
    <definedName name="k1x" localSheetId="1">#REF!</definedName>
    <definedName name="k1x">#REF!</definedName>
    <definedName name="k1y" localSheetId="1">#REF!</definedName>
    <definedName name="k1y">#REF!</definedName>
    <definedName name="K2_" localSheetId="1">#REF!</definedName>
    <definedName name="K2_">#REF!</definedName>
    <definedName name="k2x" localSheetId="1">#REF!</definedName>
    <definedName name="k2x">#REF!</definedName>
    <definedName name="k2y" localSheetId="1">#REF!</definedName>
    <definedName name="k2y">#REF!</definedName>
    <definedName name="K3_" localSheetId="1">#REF!</definedName>
    <definedName name="K3_">#REF!</definedName>
    <definedName name="K302_St_21" localSheetId="1">#REF!</definedName>
    <definedName name="K302_St_21">#REF!</definedName>
    <definedName name="K302_St_22" localSheetId="1">#REF!</definedName>
    <definedName name="K302_St_22">#REF!</definedName>
    <definedName name="K302_St_23" localSheetId="1">#REF!</definedName>
    <definedName name="K302_St_23">#REF!</definedName>
    <definedName name="KA" localSheetId="1">#REF!</definedName>
    <definedName name="KA">#REF!</definedName>
    <definedName name="Kabelliste">#REF!</definedName>
    <definedName name="KABL">#REF!</definedName>
    <definedName name="Kacq">#REF!</definedName>
    <definedName name="kad">#REF!</definedName>
    <definedName name="KAJLJ">#REF!</definedName>
    <definedName name="KAJLJ1">#REF!</definedName>
    <definedName name="KaleaHA">#REF!</definedName>
    <definedName name="KaleaMO">#REF!</definedName>
    <definedName name="kamere1">#REF!</definedName>
    <definedName name="KAMIL" localSheetId="1">#REF!</definedName>
    <definedName name="KAMIL">#REF!</definedName>
    <definedName name="kan" localSheetId="1">#REF!</definedName>
    <definedName name="kan">#REF!</definedName>
    <definedName name="kanch" localSheetId="1">#REF!</definedName>
    <definedName name="kanch">#REF!</definedName>
    <definedName name="kaori" localSheetId="1">#REF!</definedName>
    <definedName name="kaori">#REF!</definedName>
    <definedName name="Kap">1.1844</definedName>
    <definedName name="kappa">#REF!</definedName>
    <definedName name="KAREEM" localSheetId="1">#REF!</definedName>
    <definedName name="KAREEM">#REF!</definedName>
    <definedName name="KARNA" localSheetId="1">#REF!</definedName>
    <definedName name="KARNA">#REF!</definedName>
    <definedName name="KAS">#REF!</definedName>
    <definedName name="kasdfjhd" localSheetId="1" hidden="1">{"'Typical Costs Estimates'!$C$158:$H$161"}</definedName>
    <definedName name="kasdfjhd" hidden="1">{"'Typical Costs Estimates'!$C$158:$H$161"}</definedName>
    <definedName name="KATA">#N/A</definedName>
    <definedName name="KATARA">#N/A</definedName>
    <definedName name="KAUSHAR">#REF!</definedName>
    <definedName name="KAv">1</definedName>
    <definedName name="kay" hidden="1">#REF!</definedName>
    <definedName name="kazuyo" localSheetId="1">#REF!</definedName>
    <definedName name="kazuyo">#REF!</definedName>
    <definedName name="kb" localSheetId="1">#REF!</definedName>
    <definedName name="kb">#REF!</definedName>
    <definedName name="KBms">1.1846</definedName>
    <definedName name="KBuild">1</definedName>
    <definedName name="kc">#REF!</definedName>
    <definedName name="KCA" localSheetId="1">#REF!</definedName>
    <definedName name="KCA">#REF!</definedName>
    <definedName name="KCHP" localSheetId="1">#REF!</definedName>
    <definedName name="KCHP">#REF!</definedName>
    <definedName name="KD">#REF!</definedName>
    <definedName name="kdfnsdk" localSheetId="1">#REF!</definedName>
    <definedName name="kdfnsdk">#REF!</definedName>
    <definedName name="kdhjdh" localSheetId="1" hidden="1">{#N/A,#N/A,FALSE,"단가표지"}</definedName>
    <definedName name="kdhjdh" hidden="1">{#N/A,#N/A,FALSE,"단가표지"}</definedName>
    <definedName name="ke" localSheetId="1" hidden="1">{"'Break down'!$A$4"}</definedName>
    <definedName name="ke" hidden="1">{"'Break down'!$A$4"}</definedName>
    <definedName name="key_dates">#REF!</definedName>
    <definedName name="key_dates_4">#REF!</definedName>
    <definedName name="keydates">#REF!</definedName>
    <definedName name="keydates_4">#REF!</definedName>
    <definedName name="KeyStatsData" localSheetId="1">#REF!</definedName>
    <definedName name="KeyStatsData">#REF!</definedName>
    <definedName name="KFa">1</definedName>
    <definedName name="KFAS_P" localSheetId="1">#REF!</definedName>
    <definedName name="KFAS_P">#REF!</definedName>
    <definedName name="KFDV" localSheetId="1">#REF!</definedName>
    <definedName name="KFDV">#REF!</definedName>
    <definedName name="kfjdfjdj" localSheetId="1" hidden="1">{#N/A,#N/A,FALSE,"CAM-G7";#N/A,#N/A,FALSE,"SPL";#N/A,#N/A,FALSE,"butt-in G7";#N/A,#N/A,FALSE,"dia-in G7";#N/A,#N/A,FALSE,"추가-STA G7"}</definedName>
    <definedName name="kfjdfjdj" hidden="1">{#N/A,#N/A,FALSE,"CAM-G7";#N/A,#N/A,FALSE,"SPL";#N/A,#N/A,FALSE,"butt-in G7";#N/A,#N/A,FALSE,"dia-in G7";#N/A,#N/A,FALSE,"추가-STA G7"}</definedName>
    <definedName name="kFOB">#REF!</definedName>
    <definedName name="KGen">1</definedName>
    <definedName name="KGFKLF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FKL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HJF" localSheetId="1" hidden="1">{#N/A,#N/A,TRUE,"Cover";#N/A,#N/A,TRUE,"Conts";#N/A,#N/A,TRUE,"VOS";#N/A,#N/A,TRUE,"Warrington";#N/A,#N/A,TRUE,"Widnes"}</definedName>
    <definedName name="KGHJF" hidden="1">{#N/A,#N/A,TRUE,"Cover";#N/A,#N/A,TRUE,"Conts";#N/A,#N/A,TRUE,"VOS";#N/A,#N/A,TRUE,"Warrington";#N/A,#N/A,TRUE,"Widnes"}</definedName>
    <definedName name="kgj" localSheetId="1" hidden="1">{#N/A,#N/A,FALSE,"MARCH"}</definedName>
    <definedName name="kgj" hidden="1">{#N/A,#N/A,FALSE,"MARCH"}</definedName>
    <definedName name="kgj_1" localSheetId="1" hidden="1">{#N/A,#N/A,FALSE,"MARCH"}</definedName>
    <definedName name="kgj_1" hidden="1">{#N/A,#N/A,FALSE,"MARCH"}</definedName>
    <definedName name="kgjfgjgj" localSheetId="1" hidden="1">{#N/A,#N/A,TRUE,"Cover";#N/A,#N/A,TRUE,"Conts";#N/A,#N/A,TRUE,"VOS";#N/A,#N/A,TRUE,"Warrington";#N/A,#N/A,TRUE,"Widnes"}</definedName>
    <definedName name="kgjfgjgj" hidden="1">{#N/A,#N/A,TRUE,"Cover";#N/A,#N/A,TRUE,"Conts";#N/A,#N/A,TRUE,"VOS";#N/A,#N/A,TRUE,"Warrington";#N/A,#N/A,TRUE,"Widnes"}</definedName>
    <definedName name="kgjfgjgj_1" localSheetId="1" hidden="1">{#N/A,#N/A,TRUE,"Cover";#N/A,#N/A,TRUE,"Conts";#N/A,#N/A,TRUE,"VOS";#N/A,#N/A,TRUE,"Warrington";#N/A,#N/A,TRUE,"Widnes"}</definedName>
    <definedName name="kgjfgjgj_1" hidden="1">{#N/A,#N/A,TRUE,"Cover";#N/A,#N/A,TRUE,"Conts";#N/A,#N/A,TRUE,"VOS";#N/A,#N/A,TRUE,"Warrington";#N/A,#N/A,TRUE,"Widnes"}</definedName>
    <definedName name="Kh">#REF!</definedName>
    <definedName name="Kh___0" localSheetId="1">#REF!</definedName>
    <definedName name="Kh___0">#REF!</definedName>
    <definedName name="Kh___13" localSheetId="1">#REF!</definedName>
    <definedName name="Kh___13">#REF!</definedName>
    <definedName name="khaldoun" localSheetId="1">{"'Break down'!$A$4"}</definedName>
    <definedName name="khaldoun">{"'Break down'!$A$4"}</definedName>
    <definedName name="Khalidabc">#REF!</definedName>
    <definedName name="khfgjsdj" localSheetId="1" hidden="1">{#N/A,#N/A,FALSE,"혼합골재"}</definedName>
    <definedName name="khfgjsdj" hidden="1">{#N/A,#N/A,FALSE,"혼합골재"}</definedName>
    <definedName name="khgfkhgf" localSheetId="1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hgfkhgf_1" localSheetId="1" hidden="1">{#N/A,#N/A,TRUE,"Cover";#N/A,#N/A,TRUE,"Conts";#N/A,#N/A,TRUE,"VOS";#N/A,#N/A,TRUE,"Warrington";#N/A,#N/A,TRUE,"Widnes"}</definedName>
    <definedName name="khgfkhgf_1" hidden="1">{#N/A,#N/A,TRUE,"Cover";#N/A,#N/A,TRUE,"Conts";#N/A,#N/A,TRUE,"VOS";#N/A,#N/A,TRUE,"Warrington";#N/A,#N/A,TRUE,"Widnes"}</definedName>
    <definedName name="khgkhg" localSheetId="1" hidden="1">{#N/A,#N/A,FALSE,"물량산출"}</definedName>
    <definedName name="khgkhg" hidden="1">{#N/A,#N/A,FALSE,"물량산출"}</definedName>
    <definedName name="KHotAud">1</definedName>
    <definedName name="khtf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htf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hthitjjk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hthitjj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HURSHID">#REF!</definedName>
    <definedName name="Khw" localSheetId="1">#REF!</definedName>
    <definedName name="Khw">#REF!</definedName>
    <definedName name="Ki" localSheetId="1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F">#REF!</definedName>
    <definedName name="kihgfga" localSheetId="1">BlankMacro1</definedName>
    <definedName name="kihgfga">BlankMacro1</definedName>
    <definedName name="Kii" localSheetId="1">#REF!</definedName>
    <definedName name="Kii">#REF!</definedName>
    <definedName name="Kii___0" localSheetId="1">#REF!</definedName>
    <definedName name="Kii___0">#REF!</definedName>
    <definedName name="Kii___13" localSheetId="1">#REF!</definedName>
    <definedName name="Kii___13">#REF!</definedName>
    <definedName name="kij" localSheetId="1" hidden="1">{#N/A,#N/A,FALSE,"MARCH"}</definedName>
    <definedName name="kij" hidden="1">{#N/A,#N/A,FALSE,"MARCH"}</definedName>
    <definedName name="kij_1" localSheetId="1" hidden="1">{#N/A,#N/A,FALSE,"MARCH"}</definedName>
    <definedName name="kij_1" hidden="1">{#N/A,#N/A,FALSE,"MARCH"}</definedName>
    <definedName name="kiju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kiju">IF(ISNA(MATCH(ROW(),RowAfterpgbrk,1)),1,MATCH(ROW(),RowAfterpgbrk,1)+1)&lt;&gt;IF(ISNA(MATCH(ROW()-1,RowAfterpgbrk,1)),1,MATCH(ROW()-1,RowAfterpgbrk,1)+1)</definedName>
    <definedName name="kiku" localSheetId="1" hidden="1">{"'Sheet1'!$L$16"}</definedName>
    <definedName name="kiku" hidden="1">{"'Sheet1'!$L$16"}</definedName>
    <definedName name="Kilo">1000</definedName>
    <definedName name="KILOPL" localSheetId="1" hidden="1">{#N/A,#N/A,TRUE,"Cover";#N/A,#N/A,TRUE,"Conts";#N/A,#N/A,TRUE,"VOS";#N/A,#N/A,TRUE,"Warrington";#N/A,#N/A,TRUE,"Widnes"}</definedName>
    <definedName name="KILOPL" hidden="1">{#N/A,#N/A,TRUE,"Cover";#N/A,#N/A,TRUE,"Conts";#N/A,#N/A,TRUE,"VOS";#N/A,#N/A,TRUE,"Warrington";#N/A,#N/A,TRUE,"Widnes"}</definedName>
    <definedName name="KimmoSheet1" localSheetId="1">#REF!</definedName>
    <definedName name="KimmoSheet1">#REF!</definedName>
    <definedName name="KimmoSheet2">#REF!</definedName>
    <definedName name="king">#REF!</definedName>
    <definedName name="kiolp" localSheetId="1" hidden="1">{"'Break down'!$A$4"}</definedName>
    <definedName name="kiolp" hidden="1">{"'Break down'!$A$4"}</definedName>
    <definedName name="kiop" localSheetId="1" hidden="1">{#N/A,#N/A,TRUE,"Cover";#N/A,#N/A,TRUE,"Conts";#N/A,#N/A,TRUE,"VOS";#N/A,#N/A,TRUE,"Warrington";#N/A,#N/A,TRUE,"Widnes"}</definedName>
    <definedName name="kiop" hidden="1">{#N/A,#N/A,TRUE,"Cover";#N/A,#N/A,TRUE,"Conts";#N/A,#N/A,TRUE,"VOS";#N/A,#N/A,TRUE,"Warrington";#N/A,#N/A,TRUE,"Widnes"}</definedName>
    <definedName name="kiosks">#REF!</definedName>
    <definedName name="kis" localSheetId="1">#REF!</definedName>
    <definedName name="kis">#REF!</definedName>
    <definedName name="Kisa" localSheetId="1">#REF!</definedName>
    <definedName name="Kisa">#REF!</definedName>
    <definedName name="kit">#REF!</definedName>
    <definedName name="KIT_AIR">#REF!</definedName>
    <definedName name="Kit_Under_Counter_Lam">#REF!</definedName>
    <definedName name="kitc" localSheetId="1">#N/A</definedName>
    <definedName name="kitc">#REF!</definedName>
    <definedName name="Kitchen_con" localSheetId="1">#REF!</definedName>
    <definedName name="Kitchen_con">#REF!</definedName>
    <definedName name="KIUT">#N/A</definedName>
    <definedName name="kj" localSheetId="1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_1" localSheetId="1" hidden="1">{#N/A,#N/A,TRUE,"Cover";#N/A,#N/A,TRUE,"Conts";#N/A,#N/A,TRUE,"VOS";#N/A,#N/A,TRUE,"Warrington";#N/A,#N/A,TRUE,"Widnes"}</definedName>
    <definedName name="kj_1" hidden="1">{#N/A,#N/A,TRUE,"Cover";#N/A,#N/A,TRUE,"Conts";#N/A,#N/A,TRUE,"VOS";#N/A,#N/A,TRUE,"Warrington";#N/A,#N/A,TRUE,"Widnes"}</definedName>
    <definedName name="kjbhvb" localSheetId="1">BlankMacro1</definedName>
    <definedName name="kjbhvb">BlankMacro1</definedName>
    <definedName name="kjghfkj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jghfkj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jh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kjh">IF(ISNA(MATCH(ROW(),RowAfterpgbrk,1)),1,MATCH(ROW(),RowAfterpgbrk,1)+1)&lt;&gt;IF(ISNA(MATCH(ROW()-1,RowAfterpgbrk,1)),1,MATCH(ROW()-1,RowAfterpgbrk,1)+1)</definedName>
    <definedName name="kjhdjs" localSheetId="1" hidden="1">{#N/A,#N/A,FALSE,"CAM-G7";#N/A,#N/A,FALSE,"SPL";#N/A,#N/A,FALSE,"butt-in G7";#N/A,#N/A,FALSE,"dia-in G7";#N/A,#N/A,FALSE,"추가-STA G7"}</definedName>
    <definedName name="kjhdjs" hidden="1">{#N/A,#N/A,FALSE,"CAM-G7";#N/A,#N/A,FALSE,"SPL";#N/A,#N/A,FALSE,"butt-in G7";#N/A,#N/A,FALSE,"dia-in G7";#N/A,#N/A,FALSE,"추가-STA G7"}</definedName>
    <definedName name="kjhgdfsd">#REF!</definedName>
    <definedName name="kjhgf" localSheetId="1">{#N/A,#N/A,FALSE,"Chi tiÆt"}</definedName>
    <definedName name="kjhgf">{#N/A,#N/A,FALSE,"Chi tiÆt"}</definedName>
    <definedName name="kjhgfdjdj" localSheetId="1" hidden="1">{#N/A,#N/A,FALSE,"물량산출"}</definedName>
    <definedName name="kjhgfdjdj" hidden="1">{#N/A,#N/A,FALSE,"물량산출"}</definedName>
    <definedName name="kjhhg" localSheetId="1">BlankMacro1</definedName>
    <definedName name="kjhhg">BlankMacro1</definedName>
    <definedName name="KJHIUBNJ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HIUBN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hkhk" localSheetId="1" hidden="1">{#N/A,#N/A,FALSE,"갑지";#N/A,#N/A,FALSE,"개요";#N/A,#N/A,FALSE,"비목별";#N/A,#N/A,FALSE,"건물별";#N/A,#N/A,FALSE,"기구표";#N/A,#N/A,FALSE,"직원투입"}</definedName>
    <definedName name="kjhkhk" hidden="1">{#N/A,#N/A,FALSE,"갑지";#N/A,#N/A,FALSE,"개요";#N/A,#N/A,FALSE,"비목별";#N/A,#N/A,FALSE,"건물별";#N/A,#N/A,FALSE,"기구표";#N/A,#N/A,FALSE,"직원투입"}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" localSheetId="1">BlankMacro1</definedName>
    <definedName name="kjhkjh">BlankMacro1</definedName>
    <definedName name="KJHN654" localSheetId="1" hidden="1">{"'Break down'!$A$4"}</definedName>
    <definedName name="KJHN654" hidden="1">{"'Break down'!$A$4"}</definedName>
    <definedName name="kjhutuy" localSheetId="1" hidden="1">{"'Sheet1'!$L$16"}</definedName>
    <definedName name="kjhutuy" hidden="1">{"'Sheet1'!$L$16"}</definedName>
    <definedName name="KJHY">#N/A</definedName>
    <definedName name="kjj" hidden="1">#REF!</definedName>
    <definedName name="kjjkk" localSheetId="1" hidden="1">{#N/A,#N/A,FALSE,"MARCH"}</definedName>
    <definedName name="kjjkk" hidden="1">{#N/A,#N/A,FALSE,"MARCH"}</definedName>
    <definedName name="kjk" localSheetId="1" hidden="1">{#N/A,#N/A,FALSE,"MARCH"}</definedName>
    <definedName name="kjk" hidden="1">{#N/A,#N/A,FALSE,"MARCH"}</definedName>
    <definedName name="kjkj" localSheetId="1">BlankMacro1</definedName>
    <definedName name="kjkj">BlankMacro1</definedName>
    <definedName name="kjkjkjkjkjkj">#N/A</definedName>
    <definedName name="kjkjkjkjkjkjkj">#N/A</definedName>
    <definedName name="KJNBVF432" localSheetId="1" hidden="1">{"'Break down'!$A$4"}</definedName>
    <definedName name="KJNBVF432" hidden="1">{"'Break down'!$A$4"}</definedName>
    <definedName name="KJNM765CV" localSheetId="1" hidden="1">{"'Break down'!$A$4"}</definedName>
    <definedName name="KJNM765CV" hidden="1">{"'Break down'!$A$4"}</definedName>
    <definedName name="KJNMGH56VF" localSheetId="1" hidden="1">{"'Break down'!$A$4"}</definedName>
    <definedName name="KJNMGH56VF" hidden="1">{"'Break down'!$A$4"}</definedName>
    <definedName name="kjop">#REF!</definedName>
    <definedName name="kjsbadfjhbjkb" localSheetId="1">#REF!</definedName>
    <definedName name="kjsbadfjhbjkb">#REF!</definedName>
    <definedName name="KJU76BGH" localSheetId="1" hidden="1">{"'Break down'!$A$4"}</definedName>
    <definedName name="KJU76BGH" hidden="1">{"'Break down'!$A$4"}</definedName>
    <definedName name="KJUIOL" localSheetId="1" hidden="1">{#N/A,#N/A,TRUE,"Cover";#N/A,#N/A,TRUE,"Conts";#N/A,#N/A,TRUE,"VOS";#N/A,#N/A,TRUE,"Warrington";#N/A,#N/A,TRUE,"Widnes"}</definedName>
    <definedName name="KJUIOL" hidden="1">{#N/A,#N/A,TRUE,"Cover";#N/A,#N/A,TRUE,"Conts";#N/A,#N/A,TRUE,"VOS";#N/A,#N/A,TRUE,"Warrington";#N/A,#N/A,TRUE,"Widnes"}</definedName>
    <definedName name="kjuy" localSheetId="1">BlankMacro1</definedName>
    <definedName name="kjuy">BlankMacro1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Rev">#REF!</definedName>
    <definedName name="kkflex" localSheetId="1">#REF!</definedName>
    <definedName name="kkflex">#REF!</definedName>
    <definedName name="kki" localSheetId="1">BlankMacro1</definedName>
    <definedName name="kki">BlankMacro1</definedName>
    <definedName name="kkj" localSheetId="1">BlankMacro1</definedName>
    <definedName name="kkj">BlankMacro1</definedName>
    <definedName name="kkjbzxdfhaiuhb" localSheetId="1">#REF!</definedName>
    <definedName name="kkjbzxdfhaiuhb">#REF!</definedName>
    <definedName name="kkk" localSheetId="1" hidden="1">{#N/A,#N/A,FALSE,"COVER1.XLS ";#N/A,#N/A,FALSE,"RACT1.XLS";#N/A,#N/A,FALSE,"RACT2.XLS";#N/A,#N/A,FALSE,"ECCMP";#N/A,#N/A,FALSE,"WELDER.XLS"}</definedName>
    <definedName name="KKK">#REF!</definedName>
    <definedName name="kkki" localSheetId="1">{#N/A,#N/A,FALSE,"Chi tiÆt"}</definedName>
    <definedName name="kkki">{#N/A,#N/A,FALSE,"Chi tiÆt"}</definedName>
    <definedName name="kkkk" localSheetId="1">{#N/A,#N/A,FALSE,"Chi tiÆt"}</definedName>
    <definedName name="kkkk">{#N/A,#N/A,FALSE,"Chi tiÆt"}</definedName>
    <definedName name="kkkkj" localSheetId="1">{#N/A,#N/A,FALSE,"Chi tiÆt"}</definedName>
    <definedName name="kkkkj">{#N/A,#N/A,FALSE,"Chi tiÆt"}</definedName>
    <definedName name="KKKKJJJ">#REF!</definedName>
    <definedName name="kkkkkkkkkkkkk" localSheetId="1">#REF!</definedName>
    <definedName name="kkkkkkkkkkkkk">#REF!</definedName>
    <definedName name="kkkkkkkkkkkkkk" localSheetId="1">#REF!</definedName>
    <definedName name="kkkkkkkkkkkkkk">#REF!</definedName>
    <definedName name="kkkkkkkkkkkkkkk" localSheetId="1" hidden="1">{#N/A,#N/A,FALSE,"Scenario B";#N/A,#N/A,FALSE,"Budget";#N/A,#N/A,FALSE,"Land";#N/A,#N/A,FALSE,"Proceeds";#N/A,#N/A,FALSE,"Assumptions";#N/A,#N/A,FALSE,"Ground Rent"}</definedName>
    <definedName name="kkkkkkkkkkkkkkk" hidden="1">{#N/A,#N/A,FALSE,"Scenario B";#N/A,#N/A,FALSE,"Budget";#N/A,#N/A,FALSE,"Land";#N/A,#N/A,FALSE,"Proceeds";#N/A,#N/A,FALSE,"Assumptions";#N/A,#N/A,FALSE,"Ground Rent"}</definedName>
    <definedName name="kkko" localSheetId="1">BlankMacro1</definedName>
    <definedName name="kkko">BlankMacro1</definedName>
    <definedName name="kkkt" localSheetId="1">BlankMacro1</definedName>
    <definedName name="kkkt">BlankMacro1</definedName>
    <definedName name="kkku" localSheetId="1">BlankMacro1</definedName>
    <definedName name="kkku">BlankMacro1</definedName>
    <definedName name="kkl" localSheetId="1" hidden="1">{#N/A,#N/A,FALSE,"MARCH"}</definedName>
    <definedName name="kkl" hidden="1">{#N/A,#N/A,FALSE,"MARCH"}</definedName>
    <definedName name="kklmlk" localSheetId="1" hidden="1">{#N/A,#N/A,TRUE,"Cover";#N/A,#N/A,TRUE,"Conts";#N/A,#N/A,TRUE,"VOS";#N/A,#N/A,TRUE,"Warrington";#N/A,#N/A,TRUE,"Widnes"}</definedName>
    <definedName name="kklmlk" hidden="1">{#N/A,#N/A,TRUE,"Cover";#N/A,#N/A,TRUE,"Conts";#N/A,#N/A,TRUE,"VOS";#N/A,#N/A,TRUE,"Warrington";#N/A,#N/A,TRUE,"Widnes"}</definedName>
    <definedName name="kklmlk_1" localSheetId="1" hidden="1">{#N/A,#N/A,TRUE,"Cover";#N/A,#N/A,TRUE,"Conts";#N/A,#N/A,TRUE,"VOS";#N/A,#N/A,TRUE,"Warrington";#N/A,#N/A,TRUE,"Widnes"}</definedName>
    <definedName name="kklmlk_1" hidden="1">{#N/A,#N/A,TRUE,"Cover";#N/A,#N/A,TRUE,"Conts";#N/A,#N/A,TRUE,"VOS";#N/A,#N/A,TRUE,"Warrington";#N/A,#N/A,TRUE,"Widnes"}</definedName>
    <definedName name="KL" localSheetId="1">#REF!</definedName>
    <definedName name="KL">#REF!</definedName>
    <definedName name="KLBN98123" localSheetId="1" hidden="1">{"'Break down'!$A$4"}</definedName>
    <definedName name="KLBN98123" hidden="1">{"'Break down'!$A$4"}</definedName>
    <definedName name="KLDV">#REF!</definedName>
    <definedName name="klhhil" hidden="1">#REF!</definedName>
    <definedName name="kli" localSheetId="1" hidden="1">{"'Break down'!$A$4"}</definedName>
    <definedName name="kli" hidden="1">{"'Break down'!$A$4"}</definedName>
    <definedName name="KLIO876" localSheetId="1" hidden="1">{"'Break down'!$A$4"}</definedName>
    <definedName name="KLIO876" hidden="1">{"'Break down'!$A$4"}</definedName>
    <definedName name="kLit">#REF!</definedName>
    <definedName name="KLite">1.0211</definedName>
    <definedName name="KLiteCon">1</definedName>
    <definedName name="klj" localSheetId="1" hidden="1">{#N/A,#N/A,FALSE,"MARCH"}</definedName>
    <definedName name="klj" hidden="1">{#N/A,#N/A,FALSE,"MARCH"}</definedName>
    <definedName name="KLJ76TG" localSheetId="1" hidden="1">{"'Break down'!$A$4"}</definedName>
    <definedName name="KLJ76TG" hidden="1">{"'Break down'!$A$4"}</definedName>
    <definedName name="kljhgfd">#REF!</definedName>
    <definedName name="klklo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lkl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LNB543" localSheetId="1" hidden="1">{"'Break down'!$A$4"}</definedName>
    <definedName name="KLNB543" hidden="1">{"'Break down'!$A$4"}</definedName>
    <definedName name="klo" localSheetId="1" hidden="1">{#N/A,#N/A,TRUE,"Cover";#N/A,#N/A,TRUE,"Conts";#N/A,#N/A,TRUE,"VOS";#N/A,#N/A,TRUE,"Warrington";#N/A,#N/A,TRUE,"Widnes"}</definedName>
    <definedName name="klo" hidden="1">{#N/A,#N/A,TRUE,"Cover";#N/A,#N/A,TRUE,"Conts";#N/A,#N/A,TRUE,"VOS";#N/A,#N/A,TRUE,"Warrington";#N/A,#N/A,TRUE,"Widnes"}</definedName>
    <definedName name="kloc">#REF!</definedName>
    <definedName name="KLOP" localSheetId="1" hidden="1">{#N/A,#N/A,TRUE,"Cover";#N/A,#N/A,TRUE,"Conts";#N/A,#N/A,TRUE,"VOS";#N/A,#N/A,TRUE,"Warrington";#N/A,#N/A,TRUE,"Widnes"}</definedName>
    <definedName name="KLOP" hidden="1">{#N/A,#N/A,TRUE,"Cover";#N/A,#N/A,TRUE,"Conts";#N/A,#N/A,TRUE,"VOS";#N/A,#N/A,TRUE,"Warrington";#N/A,#N/A,TRUE,"Widnes"}</definedName>
    <definedName name="KLv">1</definedName>
    <definedName name="klyhmmkh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lyhmmk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m">#REF!</definedName>
    <definedName name="Km___0" localSheetId="1">#REF!</definedName>
    <definedName name="Km___0">#REF!</definedName>
    <definedName name="Km___13" localSheetId="1">#REF!</definedName>
    <definedName name="Km___13">#REF!</definedName>
    <definedName name="kmb">#REF!</definedName>
    <definedName name="KMed">1</definedName>
    <definedName name="kn" localSheetId="1">#REF!</definedName>
    <definedName name="kn">#REF!</definedName>
    <definedName name="KNVHDF" localSheetId="1" hidden="1">{#N/A,#N/A,TRUE,"Cover";#N/A,#N/A,TRUE,"Conts";#N/A,#N/A,TRUE,"VOS";#N/A,#N/A,TRUE,"Warrington";#N/A,#N/A,TRUE,"Widnes"}</definedName>
    <definedName name="KNVHDF" hidden="1">{#N/A,#N/A,TRUE,"Cover";#N/A,#N/A,TRUE,"Conts";#N/A,#N/A,TRUE,"VOS";#N/A,#N/A,TRUE,"Warrington";#N/A,#N/A,TRUE,"Widnes"}</definedName>
    <definedName name="KO" localSheetId="1" hidden="1">{"'Break down'!$A$4"}</definedName>
    <definedName name="KO" hidden="1">{"'Break down'!$A$4"}</definedName>
    <definedName name="kolj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lj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l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msn">#REF!</definedName>
    <definedName name="Kopf" localSheetId="1">#REF!</definedName>
    <definedName name="Kopf">#REF!</definedName>
    <definedName name="Kost_Ing">#REF!</definedName>
    <definedName name="Kota">#REF!</definedName>
    <definedName name="kota_skirting">#REF!</definedName>
    <definedName name="kou" localSheetId="1">BlankMacro1</definedName>
    <definedName name="kou">BlankMacro1</definedName>
    <definedName name="k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a">1</definedName>
    <definedName name="KPN">#REF!</definedName>
    <definedName name="KPP" localSheetId="1">#REF!</definedName>
    <definedName name="KPP">#REF!</definedName>
    <definedName name="KProtec">1</definedName>
    <definedName name="Krack" localSheetId="1">#REF!</definedName>
    <definedName name="Krack">#REF!</definedName>
    <definedName name="KRALIST" localSheetId="1">#REF!</definedName>
    <definedName name="KRALIST">#REF!</definedName>
    <definedName name="Kripsol_Filters_R">#REF!</definedName>
    <definedName name="Kripsol_Pumps_R">#REF!</definedName>
    <definedName name="KRT">#REF!</definedName>
    <definedName name="kryk" localSheetId="1" hidden="1">{#N/A,#N/A,TRUE,"Cover";#N/A,#N/A,TRUE,"Conts";#N/A,#N/A,TRUE,"VOS";#N/A,#N/A,TRUE,"Warrington";#N/A,#N/A,TRUE,"Widnes"}</definedName>
    <definedName name="kryk" hidden="1">{#N/A,#N/A,TRUE,"Cover";#N/A,#N/A,TRUE,"Conts";#N/A,#N/A,TRUE,"VOS";#N/A,#N/A,TRUE,"Warrington";#N/A,#N/A,TRUE,"Widnes"}</definedName>
    <definedName name="kryk_1" localSheetId="1" hidden="1">{#N/A,#N/A,TRUE,"Cover";#N/A,#N/A,TRUE,"Conts";#N/A,#N/A,TRUE,"VOS";#N/A,#N/A,TRUE,"Warrington";#N/A,#N/A,TRUE,"Widnes"}</definedName>
    <definedName name="kryk_1" hidden="1">{#N/A,#N/A,TRUE,"Cover";#N/A,#N/A,TRUE,"Conts";#N/A,#N/A,TRUE,"VOS";#N/A,#N/A,TRUE,"Warrington";#N/A,#N/A,TRUE,"Widnes"}</definedName>
    <definedName name="Ks">#REF!</definedName>
    <definedName name="Ks___0" localSheetId="1">#REF!</definedName>
    <definedName name="Ks___0">#REF!</definedName>
    <definedName name="Ks___13" localSheetId="1">#REF!</definedName>
    <definedName name="Ks___13">#REF!</definedName>
    <definedName name="KSec">1</definedName>
    <definedName name="kskk" localSheetId="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P">#REF!</definedName>
    <definedName name="Ksw" localSheetId="1">#REF!</definedName>
    <definedName name="Ksw">#REF!</definedName>
    <definedName name="KT" localSheetId="1">#REF!</definedName>
    <definedName name="KT">#REF!</definedName>
    <definedName name="KTA" localSheetId="1">#REF!</definedName>
    <definedName name="KTA">#REF!</definedName>
    <definedName name="KTB" localSheetId="1">#REF!</definedName>
    <definedName name="KTB">#REF!</definedName>
    <definedName name="KTE" localSheetId="1">#REF!</definedName>
    <definedName name="KTE">#REF!</definedName>
    <definedName name="KTel">1</definedName>
    <definedName name="Ktr" localSheetId="1">#REF!</definedName>
    <definedName name="Ktr">#REF!</definedName>
    <definedName name="Ktrans">1/0.67</definedName>
    <definedName name="KTv">1</definedName>
    <definedName name="KTX">#REF!</definedName>
    <definedName name="ku" localSheetId="1">IF(ISNA(MATCH(ROW(),[1]!COUNT_TH2_V2__units_1___Type_D_04__900_x_2200mm_high,1)),1,MATCH(ROW(),[1]!COUNT_TH2_V2__units_1___Type_D_04__900_x_2200mm_high,1)+1)</definedName>
    <definedName name="ku">IF(ISNA(MATCH(ROW(),RowAfterpgbrk,1)),1,MATCH(ROW(),RowAfterpgbrk,1)+1)</definedName>
    <definedName name="kuciste">#REF!</definedName>
    <definedName name="kuh" localSheetId="1">#REF!</definedName>
    <definedName name="kuh">#REF!</definedName>
    <definedName name="ku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u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uiuuuiuuu">#N/A</definedName>
    <definedName name="kuky" localSheetId="1">"Page "&amp;IF(ISNA(MATCH(ROW(),[1]!COUNT_TH2_V2__units_1___Type_D_04__900_x_2200mm_high,1)),1,MATCH(ROW(),[1]!COUNT_TH2_V2__units_1___Type_D_04__900_x_2200mm_high,1)+1)&amp;" of " &amp; [1]!CUSTOM1_Shops__GF_ + 0*NOW()</definedName>
    <definedName name="kuky">"Page "&amp;IF(ISNA(MATCH(ROW(),RowAfterpgbrk,1)),1,MATCH(ROW(),RowAfterpgbrk,1)+1)&amp;" of " &amp; TotPageCount + 0*NOW()</definedName>
    <definedName name="KumarTKD">#REF!</definedName>
    <definedName name="KupSaat">#REF!</definedName>
    <definedName name="KurFarki" localSheetId="1">#REF!</definedName>
    <definedName name="KurFarki">#REF!</definedName>
    <definedName name="kurs">#REF!</definedName>
    <definedName name="Kurs_Faktor" localSheetId="1">[1]!AREA_1st_Floor___FOH___Guestrooms</definedName>
    <definedName name="Kurs_Faktor">[1]!Kurs_Faktor</definedName>
    <definedName name="Kurztitel" localSheetId="1">#REF!</definedName>
    <definedName name="Kurztitel">#REF!</definedName>
    <definedName name="kuuyu">#N/A</definedName>
    <definedName name="kuy" localSheetId="1" hidden="1">{#N/A,#N/A,TRUE,"Cover";#N/A,#N/A,TRUE,"Conts";#N/A,#N/A,TRUE,"VOS";#N/A,#N/A,TRUE,"Warrington";#N/A,#N/A,TRUE,"Widnes"}</definedName>
    <definedName name="kuy" hidden="1">{#N/A,#N/A,TRUE,"Cover";#N/A,#N/A,TRUE,"Conts";#N/A,#N/A,TRUE,"VOS";#N/A,#N/A,TRUE,"Warrington";#N/A,#N/A,TRUE,"Widnes"}</definedName>
    <definedName name="kv" hidden="1">#REF!</definedName>
    <definedName name="kvs" localSheetId="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YFC" localSheetId="1" hidden="1">{#N/A,#N/A,TRUE,"Cover";#N/A,#N/A,TRUE,"Conts";#N/A,#N/A,TRUE,"VOS";#N/A,#N/A,TRUE,"Warrington";#N/A,#N/A,TRUE,"Widnes"}</definedName>
    <definedName name="KYFC" hidden="1">{#N/A,#N/A,TRUE,"Cover";#N/A,#N/A,TRUE,"Conts";#N/A,#N/A,TRUE,"VOS";#N/A,#N/A,TRUE,"Warrington";#N/A,#N/A,TRUE,"Widnes"}</definedName>
    <definedName name="KYSTH" localSheetId="1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KYSTH_1" localSheetId="1" hidden="1">{#N/A,#N/A,TRUE,"Cover";#N/A,#N/A,TRUE,"Conts";#N/A,#N/A,TRUE,"VOS";#N/A,#N/A,TRUE,"Warrington";#N/A,#N/A,TRUE,"Widnes"}</definedName>
    <definedName name="KYSTH_1" hidden="1">{#N/A,#N/A,TRUE,"Cover";#N/A,#N/A,TRUE,"Conts";#N/A,#N/A,TRUE,"VOS";#N/A,#N/A,TRUE,"Warrington";#N/A,#N/A,TRUE,"Widnes"}</definedName>
    <definedName name="kyu" localSheetId="1">IF(ISNA(MATCH(ROW(),[1]!COUNT_TH2_V2__units_1___Type_D_04__900_x_2200mm_high,1)),1,MATCH(ROW(),[1]!COUNT_TH2_V2__units_1___Type_D_04__900_x_2200mm_high,1)+1)</definedName>
    <definedName name="kyu">IF(ISNA(MATCH(ROW(),RowAfterpgbrk,1)),1,MATCH(ROW(),RowAfterpgbrk,1)+1)</definedName>
    <definedName name="kyukyu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kyukyu">IF(ISNA(MATCH(ROW(),RowAfterpgbrk,1)),1,MATCH(ROW(),RowAfterpgbrk,1)+1)&lt;&gt;IF(ISNA(MATCH(ROW()-1,RowAfterpgbrk,1)),1,MATCH(ROW()-1,RowAfterpgbrk,1)+1)</definedName>
    <definedName name="L" localSheetId="1">#REF!</definedName>
    <definedName name="L">#REF!</definedName>
    <definedName name="l___0" localSheetId="1">#REF!</definedName>
    <definedName name="l___0">#REF!</definedName>
    <definedName name="l___0___0">"$#REF!.$#REF!$#REF!"</definedName>
    <definedName name="l___0___3">"$#REF!.$#REF!$#REF!"</definedName>
    <definedName name="l___0___4">"$#REF!.$#REF!$#REF!"</definedName>
    <definedName name="L___13">#REF!</definedName>
    <definedName name="l___2" localSheetId="1">#REF!</definedName>
    <definedName name="l___2">#REF!</definedName>
    <definedName name="l___2___0">"$#REF!.$#REF!$#REF!"</definedName>
    <definedName name="l___2___3">"$#REF!.$#REF!$#REF!"</definedName>
    <definedName name="l___3">#REF!</definedName>
    <definedName name="l___3___0">"$#REF!.$#REF!$#REF!"</definedName>
    <definedName name="l___3___3">"$#REF!.$#REF!$#REF!"</definedName>
    <definedName name="l___3___4">"$#REF!.$#REF!$#REF!"</definedName>
    <definedName name="l___4">#REF!</definedName>
    <definedName name="l___4___0">"$#REF!.$#REF!$#REF!"</definedName>
    <definedName name="l___4___3">"$#REF!.$#REF!$#REF!"</definedName>
    <definedName name="l___7">"$#REF!.$#REF!$#REF!"</definedName>
    <definedName name="L_1">#REF!</definedName>
    <definedName name="L_2">#REF!</definedName>
    <definedName name="L_22" localSheetId="1">#REF!</definedName>
    <definedName name="L_22">#REF!</definedName>
    <definedName name="L_3" localSheetId="1">#REF!</definedName>
    <definedName name="L_3">#REF!</definedName>
    <definedName name="L_Adjust" localSheetId="1">#REF!</definedName>
    <definedName name="L_Adjust">#REF!</definedName>
    <definedName name="L_AJE_Tot" localSheetId="1">#REF!</definedName>
    <definedName name="L_AJE_Tot">#REF!</definedName>
    <definedName name="L_Box">"List Box 4"</definedName>
    <definedName name="L_CY_End">#REF!</definedName>
    <definedName name="L_PY_End" localSheetId="1">#REF!</definedName>
    <definedName name="L_PY_End">#REF!</definedName>
    <definedName name="L_RJE_Tot" localSheetId="1">#REF!</definedName>
    <definedName name="L_RJE_Tot">#REF!</definedName>
    <definedName name="L_S">#REF!</definedName>
    <definedName name="L_Tiling">#REF!</definedName>
    <definedName name="L1_TAB">#N/A</definedName>
    <definedName name="L2_TAB">#N/A</definedName>
    <definedName name="L3_TAB">#N/A</definedName>
    <definedName name="L4_TAB">#N/A</definedName>
    <definedName name="l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A_01">#REF!</definedName>
    <definedName name="LA_02" localSheetId="1">#REF!</definedName>
    <definedName name="LA_02">#REF!</definedName>
    <definedName name="LA_03" localSheetId="1">#REF!</definedName>
    <definedName name="LA_03">#REF!</definedName>
    <definedName name="LA_11">#REF!</definedName>
    <definedName name="LA_12">#REF!</definedName>
    <definedName name="Lab" localSheetId="1">#N/A</definedName>
    <definedName name="Lab">#N/A</definedName>
    <definedName name="LABOR" localSheetId="1">#REF!</definedName>
    <definedName name="LABOR">#REF!</definedName>
    <definedName name="LABOR_C" localSheetId="1">#REF!</definedName>
    <definedName name="LABOR_C">#REF!</definedName>
    <definedName name="LABOR1">#N/A</definedName>
    <definedName name="LABORATORY_EQUIPMENTS___MISC._TOOLS" localSheetId="1">#REF!</definedName>
    <definedName name="LABORATORY_EQUIPMENTS___MISC._TOOLS">#REF!</definedName>
    <definedName name="LABOUR" localSheetId="1">#REF!</definedName>
    <definedName name="LABOUR">#REF!</definedName>
    <definedName name="LABOUR_HUTS" localSheetId="1">#REF!</definedName>
    <definedName name="LABOUR_HUTS">#REF!</definedName>
    <definedName name="LABOURGENERAL">#REF!</definedName>
    <definedName name="LABOURGENRATE">#REF!</definedName>
    <definedName name="LABOURPRGEN">#REF!</definedName>
    <definedName name="labourrate">#REF!</definedName>
    <definedName name="labourrecon" localSheetId="1">#REF!</definedName>
    <definedName name="labourrecon">#REF!</definedName>
    <definedName name="LAbrec" localSheetId="1">#REF!</definedName>
    <definedName name="LAbrec">#REF!</definedName>
    <definedName name="lac">100000</definedName>
    <definedName name="Ladders">#REF!</definedName>
    <definedName name="LadderSpecs">#REF!</definedName>
    <definedName name="LAKE" hidden="1">#REF!</definedName>
    <definedName name="lala" localSheetId="1">#REF!</definedName>
    <definedName name="lala">#REF!</definedName>
    <definedName name="lamband1" localSheetId="1">#REF!</definedName>
    <definedName name="lamband1">#REF!</definedName>
    <definedName name="LAMCEIL">#REF!</definedName>
    <definedName name="Lami_1200">#REF!</definedName>
    <definedName name="LAMP" localSheetId="1">#REF!</definedName>
    <definedName name="LAMP">#REF!</definedName>
    <definedName name="LAMP___0" localSheetId="1">#REF!</definedName>
    <definedName name="LAMP___0">#REF!</definedName>
    <definedName name="LAMP___13" localSheetId="1">#REF!</definedName>
    <definedName name="LAMP___13">#REF!</definedName>
    <definedName name="LamPan">#REF!</definedName>
    <definedName name="lampan1">#REF!</definedName>
    <definedName name="lampart1">#REF!</definedName>
    <definedName name="Land" localSheetId="1">#REF!</definedName>
    <definedName name="Land">#REF!</definedName>
    <definedName name="Land_adv">#REF!</definedName>
    <definedName name="Land_Cost">#REF!</definedName>
    <definedName name="landcost">#REF!</definedName>
    <definedName name="LandMI">#REF!</definedName>
    <definedName name="LandpMI">#REF!</definedName>
    <definedName name="lands" localSheetId="1">#REF!</definedName>
    <definedName name="lands">#REF!</definedName>
    <definedName name="Landscaping" localSheetId="1">#REF!</definedName>
    <definedName name="Landscaping">#REF!</definedName>
    <definedName name="LANDUSE">#REF!</definedName>
    <definedName name="LandUseList">#REF!</definedName>
    <definedName name="LandUseListOffset" localSheetId="1">#N/A</definedName>
    <definedName name="LandUseListOffset">IF(IsLite,OFFSET(#REF!,0,0,5,1),#REF!)</definedName>
    <definedName name="lap" localSheetId="1">#REF!</definedName>
    <definedName name="lap">#REF!</definedName>
    <definedName name="Larsen___Toubro_Limited___ECC_Construction_Division" localSheetId="1">#REF!</definedName>
    <definedName name="Larsen___Toubro_Limited___ECC_Construction_Division">#REF!</definedName>
    <definedName name="Last">#N/A</definedName>
    <definedName name="LAST_LINE_SUBMITTALS" localSheetId="1">#REF!</definedName>
    <definedName name="LAST_LINE_SUBMITTALS">#REF!</definedName>
    <definedName name="Last_Row" localSheetId="1">IF([1]!CUSTOM2_3.1.1___BW3__200mm_thk,[1]!Header_Row+[1]!ChGrInd,[1]!Header_Row)</definedName>
    <definedName name="Last_Row">IF(Values_Entered,Header_Row+Number_of_Payments,Header_Row)</definedName>
    <definedName name="LastCell" localSheetId="1">#REF!</definedName>
    <definedName name="LastCell">#REF!</definedName>
    <definedName name="LastRow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LastRow">IF(ISNA(MATCH(ROW(),RowAfterpgbrk,1)),1,MATCH(ROW(),RowAfterpgbrk,1)+1)&lt;&gt;IF(ISNA(MATCH(ROW()+1,RowAfterpgbrk,1)),1,MATCH(ROW()+1,RowAfterpgbrk,1)+1)</definedName>
    <definedName name="Lc" localSheetId="1">#REF!</definedName>
    <definedName name="Lc">#REF!</definedName>
    <definedName name="Lc___0" localSheetId="1">#REF!</definedName>
    <definedName name="Lc___0">#REF!</definedName>
    <definedName name="Lc___13" localSheetId="1">#REF!</definedName>
    <definedName name="Lc___13">#REF!</definedName>
    <definedName name="Lcant">#REF!</definedName>
    <definedName name="LCAR100">#REF!</definedName>
    <definedName name="LCC_EXPAT">#REF!</definedName>
    <definedName name="LCC_LOCAL">#REF!</definedName>
    <definedName name="LCIn11">#REF!</definedName>
    <definedName name="LCIn12">#REF!</definedName>
    <definedName name="LCM" localSheetId="1">#REF!</definedName>
    <definedName name="LCM">#REF!</definedName>
    <definedName name="LCOut11" localSheetId="1">#REF!</definedName>
    <definedName name="LCOut11">#REF!</definedName>
    <definedName name="LCOut12" localSheetId="1">#REF!</definedName>
    <definedName name="LCOut12">#REF!</definedName>
    <definedName name="LCS" localSheetId="1">#REF!</definedName>
    <definedName name="LCS">#REF!</definedName>
    <definedName name="le_operator">#N/A</definedName>
    <definedName name="Lead" localSheetId="1">#REF!</definedName>
    <definedName name="Lead">#REF!</definedName>
    <definedName name="Leaders_Aluminum_and_Glass_Ind" localSheetId="1">#REF!</definedName>
    <definedName name="Leaders_Aluminum_and_Glass_Ind">#REF!</definedName>
    <definedName name="Leaf">#REF!</definedName>
    <definedName name="leancon">#REF!</definedName>
    <definedName name="LeanConcrete">#REF!</definedName>
    <definedName name="LeasMI">#REF!</definedName>
    <definedName name="Leather">#REF!</definedName>
    <definedName name="leatherbnch">#REF!</definedName>
    <definedName name="leave" localSheetId="1">#REF!</definedName>
    <definedName name="leave">#REF!</definedName>
    <definedName name="LED_edge_Exit_Light_CEAG_1504_CG_S">#REF!</definedName>
    <definedName name="LED_edge_Exit_Light_CEAG_1804_CG_S">#REF!</definedName>
    <definedName name="LED_edge_Exit_Light_CEAG_3503_CG_S">#REF!</definedName>
    <definedName name="LED_edge_Exit_Light_CEAG_SPIRIT_LED">#REF!</definedName>
    <definedName name="ledger" localSheetId="1" hidden="1">{"'Break down'!$A$4"}</definedName>
    <definedName name="ledger" hidden="1">{"'Break down'!$A$4"}</definedName>
    <definedName name="lee">#REF!</definedName>
    <definedName name="lef">#REF!</definedName>
    <definedName name="LEIGH">#REF!</definedName>
    <definedName name="lel">#REF!</definedName>
    <definedName name="len">#REF!</definedName>
    <definedName name="Length">#REF!</definedName>
    <definedName name="LENGTH__C1A__Standard_Guestroom">#REF!</definedName>
    <definedName name="LENGTH__C1C__Junior_Suites">#REF!</definedName>
    <definedName name="LENGTH__C1D__One_Bedroom_Suites">#REF!</definedName>
    <definedName name="LENGTH__C1E__Two_bedroom_Suites">#REF!</definedName>
    <definedName name="LENGTH__C1F1__Public_Circulation_Areas">#REF!</definedName>
    <definedName name="LENGTH__C1G4__Shafts">#REF!</definedName>
    <definedName name="LENGTH__C1G6__Fire_Escape_Stairs">#REF!</definedName>
    <definedName name="LENGTH__C1H1__Standard_Guestrooms">#REF!</definedName>
    <definedName name="LENGTH__C1H3__Junior_Suites">#REF!</definedName>
    <definedName name="LENGTH__C1H4__One_Bedroom_Suites">#REF!</definedName>
    <definedName name="LENGTH__C1H5__Two_Bedroom_Suites">#REF!</definedName>
    <definedName name="LENGTH__C1H6__One_Bedroom_Suites_Type_2">#REF!</definedName>
    <definedName name="LENGTH__C1I__General_Works_Guestrooms">#REF!</definedName>
    <definedName name="LENGTH__C1J__One_Bedroom_Suites_Type_2">#REF!</definedName>
    <definedName name="LENGTH__C2A2__Arrival_and_Reception_Lobby">#REF!</definedName>
    <definedName name="LENGTH__C2A3__Front_Offices___Concierge">#REF!</definedName>
    <definedName name="LENGTH__C2A4__Luggage_Scanner">#REF!</definedName>
    <definedName name="LENGTH__C2A5__Hotel_Retail">#REF!</definedName>
    <definedName name="LENGTH__C2A6__Prayer_Rooms">#REF!</definedName>
    <definedName name="LENGTH__C2A7__Kids_Club">#REF!</definedName>
    <definedName name="LENGTH__C2A8__Public_Toilets">#REF!</definedName>
    <definedName name="LENGTH__C2A9__Changing_Rooms">#REF!</definedName>
    <definedName name="LENGTH__C2C1__Hotel_Restaurant">#REF!</definedName>
    <definedName name="LENGTH__C2C2__Lobby_Lounge">#REF!</definedName>
    <definedName name="LENGTH__C2C3__Lobby_Bar">#REF!</definedName>
    <definedName name="LENGTH__C2C4__Lobby_Bar___Covered_Terrace">#REF!</definedName>
    <definedName name="LENGTH__C2C5__Speciality_Restaurant__1">#REF!</definedName>
    <definedName name="LENGTH__C2C6__Speciality_Restaurant__2">#REF!</definedName>
    <definedName name="LENGTH__C2C7__Speciality_Restaurant__2___Covered_Terrace">#REF!</definedName>
    <definedName name="LENGTH__C2C8__Pool_Bar___Grill">#REF!</definedName>
    <definedName name="LENGTH__C2D2__Gymnasium">#REF!</definedName>
    <definedName name="LENGTH__C2G1__Circulation">#REF!</definedName>
    <definedName name="LENGTH__C2G2__Outdoor_Lobby">#REF!</definedName>
    <definedName name="LENGTH__C3A1__Front_Offices">#REF!</definedName>
    <definedName name="LENGTH__C3A2__Administration_Offices">#REF!</definedName>
    <definedName name="LENGTH__C3A3__Accounting_Offices">#REF!</definedName>
    <definedName name="LENGTH__C3A4__Human_Resources_and_Training">#REF!</definedName>
    <definedName name="LENGTH__C3B__IT_Department">#REF!</definedName>
    <definedName name="LENGTH__C3C1__Kitchen___Main_Kitchen">#REF!</definedName>
    <definedName name="LENGTH__C3C2__Kitchen___Speciality_Restaurant__1">#REF!</definedName>
    <definedName name="LENGTH__C3C3__Kitchen___Speciality_Restaurant__2">#REF!</definedName>
    <definedName name="LENGTH__C3C5__Pantry___Lobby_Bar">#REF!</definedName>
    <definedName name="LENGTH__C3D__Housekeeping_and_Linen">#REF!</definedName>
    <definedName name="LENGTH__C3E__Central_Laundry___Dry_Cleaning___Valet_Only">#REF!</definedName>
    <definedName name="LENGTH__C3F5__Dining_Room_Seating">#REF!</definedName>
    <definedName name="LENGTH__C3F8__Staff_Changing_Rooms">#REF!</definedName>
    <definedName name="LENGTH__C3F9__Staff_Prayer_Rooms">#REF!</definedName>
    <definedName name="LENGTH__C3G__Maintenance_and_Engineering">#REF!</definedName>
    <definedName name="LENGTH__C3H1__Plant_and_Equipment_Rooms">#REF!</definedName>
    <definedName name="LENGTH__C3H2__MEP_Shafts">#REF!</definedName>
    <definedName name="LENGTH__C3J__Security">#REF!</definedName>
    <definedName name="LENGTH__C3K__Purchasing__Goods_Receiving_and_Storage">#REF!</definedName>
    <definedName name="LENGTH__C3L__BOH_Circulation_Areas">#REF!</definedName>
    <definedName name="LENGTH__C4B__General_Works_Parking">#REF!</definedName>
    <definedName name="LENGTH__C5__Unallocated_Rooms">#REF!</definedName>
    <definedName name="LENGTH__G1__Conference_Centre">#REF!</definedName>
    <definedName name="LENGTH__G1A__Conference_Hall">#REF!</definedName>
    <definedName name="LENGTH__G1B__Reception">#REF!</definedName>
    <definedName name="LENGTH__G1C__Meeting_Rooms">#REF!</definedName>
    <definedName name="LENGTH__G2__Pre_function">#REF!</definedName>
    <definedName name="LENGTH__G3__Toilets">#REF!</definedName>
    <definedName name="LENGTH__G4__FOH_Circulation">#REF!</definedName>
    <definedName name="LENGTH__G5__BOH_Circulation">#REF!</definedName>
    <definedName name="LENGTH__G6__Fire_Escape_Stairs">#REF!</definedName>
    <definedName name="LENGTH__G7__Plant_and_Equipment_Rooms">#REF!</definedName>
    <definedName name="LENGTH__G8__Storage">#REF!</definedName>
    <definedName name="LENGTH__G9__Kitchen_and_Service_Area">#REF!</definedName>
    <definedName name="Length_1">#REF!</definedName>
    <definedName name="LENGTH_1_bed_Balcony_area">#REF!</definedName>
    <definedName name="LENGTH_1_bed_bath_screen">#REF!</definedName>
    <definedName name="LENGTH_1_bed_bath_shelf">#REF!</definedName>
    <definedName name="LENGTH_1_bed_Bath_tub">#REF!</definedName>
    <definedName name="LENGTH_1_bed_Bath_tub_mixer">#REF!</definedName>
    <definedName name="LENGTH_1_bed_Bathroom_area">#REF!</definedName>
    <definedName name="LENGTH_1_bed_Bedroom_area">#REF!</definedName>
    <definedName name="LENGTH_1_bed_Cistern_cover">#REF!</definedName>
    <definedName name="LENGTH_1_bed_Cooker_hob">#REF!</definedName>
    <definedName name="LENGTH_1_bed_Fridge_freezer">#REF!</definedName>
    <definedName name="LENGTH_1_bed_Kitchen_sink">#REF!</definedName>
    <definedName name="LENGTH_1_bed_Kitchen_sink_mixer">#REF!</definedName>
    <definedName name="LENGTH_1_bed_kitchen_units">#REF!</definedName>
    <definedName name="LENGTH_1_bed_living_area">#REF!</definedName>
    <definedName name="LENGTH_1_bed_mirror">#REF!</definedName>
    <definedName name="LENGTH_1_bed_NIA">#REF!</definedName>
    <definedName name="LENGTH_1_bed_Oven">#REF!</definedName>
    <definedName name="LENGTH_1_bed_shower_mixer">#REF!</definedName>
    <definedName name="LENGTH_1_bed_vanitys">#REF!</definedName>
    <definedName name="LENGTH_1_bed_Wardrobes">#REF!</definedName>
    <definedName name="LENGTH_1_bed_Wash_basin">#REF!</definedName>
    <definedName name="LENGTH_1_bed_Wash_basin_mixer">#REF!</definedName>
    <definedName name="LENGTH_1_bed_Washing_machine">#REF!</definedName>
    <definedName name="LENGTH_1_bed_WC">#REF!</definedName>
    <definedName name="LENGTH_110_mm_dia._RWP">#REF!</definedName>
    <definedName name="LENGTH_110mm_dia_RWP">#REF!</definedName>
    <definedName name="LENGTH_110mm_dia._opening_for_rain_water">#REF!</definedName>
    <definedName name="LENGTH_110mm_dia._Rainwater_pipe">#REF!</definedName>
    <definedName name="LENGTH_15mm_dia_Copper_pipe">#REF!</definedName>
    <definedName name="LENGTH_15mm_dia._CWS_Buried_Underground">#REF!</definedName>
    <definedName name="LENGTH_1F__25mm_dia._BCWS_Pipe">#REF!</definedName>
    <definedName name="LENGTH_1F__25mm_dia._HWS_Pipe">#REF!</definedName>
    <definedName name="LENGTH_1F__Isolation_valve">#REF!</definedName>
    <definedName name="LENGTH_1F__Water_Hammer_Arrestor">#REF!</definedName>
    <definedName name="LENGTH_1F_BOH_Service_and_Utility_area">#REF!</definedName>
    <definedName name="LENGTH_1F_BOH_Staircase">#REF!</definedName>
    <definedName name="LENGTH_1F_Guest_Core">#REF!</definedName>
    <definedName name="LENGTH_1F_Guestrooms">#REF!</definedName>
    <definedName name="LENGTH_1F_HGR_BOH">#REF!</definedName>
    <definedName name="LENGTH_1F_HGR_Circulation">#REF!</definedName>
    <definedName name="LENGTH_1F_HGR_Covered_Balcony">#REF!</definedName>
    <definedName name="LENGTH_1F_HGR_Fire_Staircase">#REF!</definedName>
    <definedName name="LENGTH_1F_HGR_Open_Terrace">#REF!</definedName>
    <definedName name="LENGTH_1F_Lift_Shaft">#REF!</definedName>
    <definedName name="LENGTH_1F_Roof_Terrace">#REF!</definedName>
    <definedName name="LENGTH_1F_Services_Core">#REF!</definedName>
    <definedName name="LENGTH_1F_Void___Dead_space">#REF!</definedName>
    <definedName name="LENGTH_1st_Floor">#REF!</definedName>
    <definedName name="LENGTH_1st_Floor___BOH___FIre_Escape_Stairs">#REF!</definedName>
    <definedName name="LENGTH_1st_Floor___BOH___Guest_Core">#REF!</definedName>
    <definedName name="LENGTH_1st_Floor___BOH___Guest_Core_lifts">#REF!</definedName>
    <definedName name="LENGTH_1st_Floor___BOH___Service_Core">#REF!</definedName>
    <definedName name="LENGTH_1st_Floor___BOH___Service_Core_ducts">#REF!</definedName>
    <definedName name="LENGTH_1st_Floor___BOH___Service_Core_lift_shafts">#REF!</definedName>
    <definedName name="LENGTH_1st_Floor___FOH___Guest_Circulation">#REF!</definedName>
    <definedName name="LENGTH_1st_Floor___FOH___Guestroom_Terrace">#REF!</definedName>
    <definedName name="LENGTH_1st_Floor___FOH___Guestrooms">#REF!</definedName>
    <definedName name="LENGTH_1st_Floor___Guest_Core_ducts">#REF!</definedName>
    <definedName name="LENGTH_2_bed_2nd_bathroom_area" localSheetId="1">#REF!</definedName>
    <definedName name="LENGTH_2_bed_2nd_bathroom_area">#REF!</definedName>
    <definedName name="LENGTH_2_bed_2nd_bedroom_area">#REF!</definedName>
    <definedName name="LENGTH_2_bed_4_burner_hob">#REF!</definedName>
    <definedName name="LENGTH_2_bed_Balcony_area">#REF!</definedName>
    <definedName name="LENGTH_2_bed_bath_screen">#REF!</definedName>
    <definedName name="LENGTH_2_bed_bath_tub">#REF!</definedName>
    <definedName name="LENGTH_2_bed_bath_tub_mixer">#REF!</definedName>
    <definedName name="LENGTH_2_bed_bidet">#REF!</definedName>
    <definedName name="LENGTH_2_bed_cistern_cover">#REF!</definedName>
    <definedName name="LENGTH_2_bed_fridge_freezer">#REF!</definedName>
    <definedName name="LENGTH_2_bed_kitchen_sink">#REF!</definedName>
    <definedName name="LENGTH_2_bed_kitchen_sink_mixer">#REF!</definedName>
    <definedName name="LENGTH_2_bed_Kitchen_units">#REF!</definedName>
    <definedName name="LENGTH_2_bed_living_area">#REF!</definedName>
    <definedName name="LENGTH_2_bed_Master_bathroom_area">#REF!</definedName>
    <definedName name="LENGTH_2_bed_Master_bedroom_area">#REF!</definedName>
    <definedName name="LENGTH_2_bed_mirror">#REF!</definedName>
    <definedName name="LENGTH_2_bed_NIA">#REF!</definedName>
    <definedName name="LENGTH_2_bed_shower_mixer_set">#REF!</definedName>
    <definedName name="LENGTH_2_bed_shower_partition_inc_door">#REF!</definedName>
    <definedName name="LENGTH_2_bed_vanity_unit">#REF!</definedName>
    <definedName name="LENGTH_2_bed_wardrobes">#REF!</definedName>
    <definedName name="LENGTH_2_bed_wash_basin">#REF!</definedName>
    <definedName name="LENGTH_2_bed_wash_basin_mixer">#REF!</definedName>
    <definedName name="LENGTH_2_bed_washing_machine">#REF!</definedName>
    <definedName name="LENGTH_2_bed_WC">#REF!</definedName>
    <definedName name="LENGTH_2.2.1___Upper_Floors_240mm_thk_slab">#REF!</definedName>
    <definedName name="LENGTH_2.2.1___Upper_Floors_300mm_thk_slab">#REF!</definedName>
    <definedName name="LENGTH_2.3.1___Stairs__FF05_Steps_280mm">#REF!</definedName>
    <definedName name="LENGTH_2.3.2___Stairs__FF05_Risers_170mm">#REF!</definedName>
    <definedName name="LENGTH_2.3.3___Stairs__FF05_Skirting_100mm_high">#REF!</definedName>
    <definedName name="LENGTH_2.3.4___Stairs__Balustrade___Fixed_to_floor">#REF!</definedName>
    <definedName name="LENGTH_2.3.4___Stairs__Balustrade___Handrails_50mm_to_wall">#REF!</definedName>
    <definedName name="LENGTH_2.3.4___Stairs__Balustrade___Sloping_Fixed_to_floor">#REF!</definedName>
    <definedName name="LENGTH_2.4.1___Roof___Shuttering__Paint_incl_waterproofing_to_roof_canopies">#REF!</definedName>
    <definedName name="LENGTH_2.4.1___Roof___Shuttering__Precast_cement_incl_waterproofing">#REF!</definedName>
    <definedName name="LENGTH_2.4.1___Roof___Shuttering__Suspended_Reinforced_Concrete_Slab">#REF!</definedName>
    <definedName name="LENGTH_2.4.2___Roof___Shuttering__Roof_Access_panel_750mmx900mm">#REF!</definedName>
    <definedName name="LENGTH_20mm_dia_Bib_tap">#REF!</definedName>
    <definedName name="LENGTH_20mm_dia_HSW_pipe">#REF!</definedName>
    <definedName name="LENGTH_25mm_dia_BCWS_pipe">#REF!</definedName>
    <definedName name="LENGTH_25mm_dia_HSW_pipe">#REF!</definedName>
    <definedName name="LENGTH_2F_BOH_Roof_Terrace">#REF!</definedName>
    <definedName name="LENGTH_2F_BOH_Service_and_Utility_area">#REF!</definedName>
    <definedName name="LENGTH_2F_BOH_Staircase">#REF!</definedName>
    <definedName name="LENGTH_2F_Guest_Core">#REF!</definedName>
    <definedName name="LENGTH_2F_Guestrooms">#REF!</definedName>
    <definedName name="LENGTH_2F_HGR_BOH">#REF!</definedName>
    <definedName name="LENGTH_2F_HGR_Circulation">#REF!</definedName>
    <definedName name="LENGTH_2F_HGR_Covered_Balcony">#REF!</definedName>
    <definedName name="LENGTH_2F_HGR_Fire_Staircase">#REF!</definedName>
    <definedName name="LENGTH_2F_Lift_Shaft">#REF!</definedName>
    <definedName name="LENGTH_2F_Services_Core">#REF!</definedName>
    <definedName name="LENGTH_2F_Voids___Dead_space">#REF!</definedName>
    <definedName name="LENGTH_2nd_Floor">#REF!</definedName>
    <definedName name="LENGTH_2nd_Floor___BOH___Event_Center_Core">#REF!</definedName>
    <definedName name="LENGTH_2nd_Floor___BOH___Event_Center_Core_lift_shafts">#REF!</definedName>
    <definedName name="LENGTH_2nd_Floor___BOH___Event_Center_Service">#REF!</definedName>
    <definedName name="LENGTH_2nd_Floor___BOH___Event_Center_Service_lift_shafts">#REF!</definedName>
    <definedName name="LENGTH_2nd_Floor___BOH___Fire_Escape_Stairs">#REF!</definedName>
    <definedName name="LENGTH_2nd_Floor___BOH___Guest_Core">#REF!</definedName>
    <definedName name="LENGTH_2nd_Floor___BOH___Guest_Core_ducts">#REF!</definedName>
    <definedName name="LENGTH_2nd_Floor___BOH___Guest_Core_lift_shafts">#REF!</definedName>
    <definedName name="LENGTH_2nd_Floor___BOH___Service_Core">#REF!</definedName>
    <definedName name="LENGTH_2nd_Floor___BOH___Service_Core_ducts">#REF!</definedName>
    <definedName name="LENGTH_2nd_Floor___BOH___Service_Core_lift_shafts">#REF!</definedName>
    <definedName name="LENGTH_2nd_Floor___FOH___Guestroom_Circulation">#REF!</definedName>
    <definedName name="LENGTH_2nd_Floor___FOH___Guestroom_Terrace">#REF!</definedName>
    <definedName name="LENGTH_2nd_Floor___FOH___Guestrooms">#REF!</definedName>
    <definedName name="LENGTH_3.1__External_Walls" localSheetId="1">#REF!</definedName>
    <definedName name="LENGTH_3.1__External_Walls">#REF!</definedName>
    <definedName name="LENGTH_3.1.1___BW2__150mm_thk">#REF!</definedName>
    <definedName name="LENGTH_3.1.1___BW3__200mm_thk">#REF!</definedName>
    <definedName name="LENGTH_3.1.1___BW4__250mm_thk">#REF!</definedName>
    <definedName name="LENGTH_3.2.2___Timber__D_01___1600mmx2250mm" localSheetId="1">#REF!</definedName>
    <definedName name="LENGTH_3.2.2___Timber__D_01___1600mmx2250mm">#REF!</definedName>
    <definedName name="LENGTH_3.2.2___Timber__D_02___1000mmx2200mm" localSheetId="1">#REF!</definedName>
    <definedName name="LENGTH_3.2.2___Timber__D_02___1000mmx2200mm">#REF!</definedName>
    <definedName name="LENGTH_3.2.2___Timber__D_04___1100mmx2200mm">#REF!</definedName>
    <definedName name="LENGTH_3.3.1___GL01___800mmx1350mm">#REF!</definedName>
    <definedName name="LENGTH_3.3.1___GL02___2350mmx2600mm">#REF!</definedName>
    <definedName name="LENGTH_3.3.1___GL03___2500mmx2600mm">#REF!</definedName>
    <definedName name="LENGTH_3.3.1___GL04___2000mmx2600mm">#REF!</definedName>
    <definedName name="LENGTH_3.3.1___GL05___2600mmx2700mm">#REF!</definedName>
    <definedName name="LENGTH_3.3.1___GL06___3600mmx2700mm">#REF!</definedName>
    <definedName name="LENGTH_3.3.1___GL07___1600mmx1350mm">#REF!</definedName>
    <definedName name="LENGTH_3.3.1___GL08___800mmx1350mm">#REF!</definedName>
    <definedName name="LENGTH_3.3.1___GL09___500mmx1200mm">#REF!</definedName>
    <definedName name="LENGTH_3.3.1___GL10___3600mmx2700mm">#REF!</definedName>
    <definedName name="LENGTH_3.3.1___GL11___2100mmx2700mm">#REF!</definedName>
    <definedName name="LENGTH_3.3.1___GL12___1600mmx2700mm">#REF!</definedName>
    <definedName name="LENGTH_3.3.1___GL13___1200mmx1800mm">#REF!</definedName>
    <definedName name="LENGTH_3.3.1___GL14___1000mmx1500mm">#REF!</definedName>
    <definedName name="LENGTH_3.3.1___GL15___5000mmx2700mm">#REF!</definedName>
    <definedName name="LENGTH_3.3.1___GL16___1700mmx1350mm">#REF!</definedName>
    <definedName name="LENGTH_3.3.1___GL17___600mmx1200mm">#REF!</definedName>
    <definedName name="LENGTH_3.4.1___Cement_render_and_paint">#REF!</definedName>
    <definedName name="LENGTH_3.4.2___50mmthk_Insulation">#REF!</definedName>
    <definedName name="LENGTH_3.4.3___External_Soffits">#REF!</definedName>
    <definedName name="LENGTH_3.4.5___Metal_railing_to_balcony">#REF!</definedName>
    <definedName name="LENGTH_32_dia._CWS_Main_Buried_underground" localSheetId="1">#REF!</definedName>
    <definedName name="LENGTH_32_dia._CWS_Main_Buried_underground">#REF!</definedName>
    <definedName name="LENGTH_32mm_dia_BCWS">#REF!</definedName>
    <definedName name="LENGTH_32mm_dia_BCWS_pipe">#REF!</definedName>
    <definedName name="LENGTH_32mm_dia_BCWS_Riser">#REF!</definedName>
    <definedName name="LENGTH_32mm_dia_HSW_pipe">#REF!</definedName>
    <definedName name="LENGTH_32mm_dia_HSW_Riser">#REF!</definedName>
    <definedName name="LENGTH_3F_BOH_Service___Utility_area">#REF!</definedName>
    <definedName name="LENGTH_3F_BOH_Staircase">#REF!</definedName>
    <definedName name="LENGTH_3F_Guest_Core">#REF!</definedName>
    <definedName name="LENGTH_3F_Guestrooms">#REF!</definedName>
    <definedName name="LENGTH_3F_HGR_BOH">#REF!</definedName>
    <definedName name="LENGTH_3F_HGR_Circulation">#REF!</definedName>
    <definedName name="LENGTH_3F_HGR_Covered_Balcony">#REF!</definedName>
    <definedName name="LENGTH_3F_HGR_Fire_Staircase">#REF!</definedName>
    <definedName name="LENGTH_3F_Lift_Shaft">#REF!</definedName>
    <definedName name="LENGTH_3F_Services_Core">#REF!</definedName>
    <definedName name="LENGTH_3F_Voids___Dead_space">#REF!</definedName>
    <definedName name="LENGTH_3rd_Floor">#REF!</definedName>
    <definedName name="LENGTH_3rd_Floor___BOH___Fire_Escape_Stairs">#REF!</definedName>
    <definedName name="LENGTH_3rd_Floor___BOH___Guest_Core">#REF!</definedName>
    <definedName name="LENGTH_3rd_Floor___BOH___Guest_Core_ducts">#REF!</definedName>
    <definedName name="LENGTH_3rd_Floor___BOH___Guest_Core_lift_shafts">#REF!</definedName>
    <definedName name="LENGTH_3rd_Floor___BOH___Service_Core">#REF!</definedName>
    <definedName name="LENGTH_3rd_Floor___BOH___Service_Core_ducts">#REF!</definedName>
    <definedName name="LENGTH_3rd_Floor___BOH___Service_Core_lift_shafts">#REF!</definedName>
    <definedName name="LENGTH_3rd_Floor___FOH___Guest_Circulation">#REF!</definedName>
    <definedName name="LENGTH_3rd_Floor___FOH___Guestroom_Terrace">#REF!</definedName>
    <definedName name="LENGTH_3rd_Floor___FOH___Guestrooms">#REF!</definedName>
    <definedName name="LENGTH_4.1.1___BW1__100mm_thk">#REF!</definedName>
    <definedName name="LENGTH_4.1.1___BW2__150mm_thk">#REF!</definedName>
    <definedName name="LENGTH_4.1.1___BW3__200mm_thk">#REF!</definedName>
    <definedName name="LENGTH_4.1.2___Allow_for_joint_sealant">#REF!</definedName>
    <definedName name="LENGTH_4.2.1___D_02__1000mm_x_2200mm">#REF!</definedName>
    <definedName name="LENGTH_4.2.1___D_03__900mm_x_2200mm">#REF!</definedName>
    <definedName name="LENGTH_4.2.1___D_04">#REF!</definedName>
    <definedName name="LENGTH_4.2.2___Utility_Cupboard">#REF!</definedName>
    <definedName name="LENGTH_4F_BOH_Service___Utility_area" localSheetId="1">#REF!</definedName>
    <definedName name="LENGTH_4F_BOH_Service___Utility_area">#REF!</definedName>
    <definedName name="LENGTH_4F_BOH_Staircase" localSheetId="1">#REF!</definedName>
    <definedName name="LENGTH_4F_BOH_Staircase">#REF!</definedName>
    <definedName name="LENGTH_4F_Guest_Core" localSheetId="1">#REF!</definedName>
    <definedName name="LENGTH_4F_Guest_Core">#REF!</definedName>
    <definedName name="LENGTH_4F_Guestrooms">#REF!</definedName>
    <definedName name="LENGTH_4F_HGR_BOH">#REF!</definedName>
    <definedName name="LENGTH_4F_HGR_Circulation">#REF!</definedName>
    <definedName name="LENGTH_4F_HGR_Covered_Balcony">#REF!</definedName>
    <definedName name="LENGTH_4F_HGR_Fire_Staircase">#REF!</definedName>
    <definedName name="LENGTH_4F_Lift_Shaft">#REF!</definedName>
    <definedName name="LENGTH_4F_Services_Core">#REF!</definedName>
    <definedName name="LENGTH_4F_Voids___Dead_space">#REF!</definedName>
    <definedName name="LENGTH_4th_Floor___BOH___Fire_Escape_Stairs">#REF!</definedName>
    <definedName name="LENGTH_4th_Floor___BOH___Guest_Core">#REF!</definedName>
    <definedName name="LENGTH_4th_Floor___BOH___Guest_Core_ducts">#REF!</definedName>
    <definedName name="LENGTH_4th_Floor___BOH___Guest_Core_lift_shafts">#REF!</definedName>
    <definedName name="LENGTH_4th_Floor___BOH___Service_Core">#REF!</definedName>
    <definedName name="LENGTH_4th_Floor___BOH___Service_Core_ducts">#REF!</definedName>
    <definedName name="LENGTH_4th_Floor___BOH___Service_Core_lift_shafts">#REF!</definedName>
    <definedName name="LENGTH_4th_Floor___FOH___Guestroom_Circulation">#REF!</definedName>
    <definedName name="LENGTH_4th_Floor___FOH___Guestroom_Terrace">#REF!</definedName>
    <definedName name="LENGTH_4th_Floor___FOH___Guestrooms">#REF!</definedName>
    <definedName name="LENGTH_4th_Floor___FOH___Roof_Top_Pantry">#REF!</definedName>
    <definedName name="LENGTH_4th_Floor___FOH___Roof_Top_Restaurant">#REF!</definedName>
    <definedName name="LENGTH_4th_Floor___FOH___Roof_Top_Toilets">#REF!</definedName>
    <definedName name="LENGTH_4th_Floor___Roof_Top_Restaurant_open_terrace">#REF!</definedName>
    <definedName name="LENGTH_5.1.2___Paint_to_walls__PF03">#REF!</definedName>
    <definedName name="LENGTH_5.1.2___Paint_to_walls__PF04">#REF!</definedName>
    <definedName name="LENGTH_5.1.3___Ceramic_Tiles_to_walls__WF01">#REF!</definedName>
    <definedName name="LENGTH_5.1.3___Ceramic_Tiles_to_walls__WF03">#REF!</definedName>
    <definedName name="LENGTH_5.1.3___Ceramic_Tiles_to_walls__WF05">#REF!</definedName>
    <definedName name="LENGTH_5.1.3___Ceramic_Tiles_to_walls__WF07">#REF!</definedName>
    <definedName name="LENGTH_5.1.4___Waterproofing_to_wet_areas">#REF!</definedName>
    <definedName name="LENGTH_5.2.2___FF01__Porcelian_Tiles">#REF!</definedName>
    <definedName name="LENGTH_5.2.2___FF01__Porcelian_Tiles_Skirting">#REF!</definedName>
    <definedName name="LENGTH_5.2.3___FF03__Ceramic_Tiles">#REF!</definedName>
    <definedName name="LENGTH_5.2.3___FF03__Ceramic_Tiles____Balconies">#REF!</definedName>
    <definedName name="LENGTH_5.2.3___FF03__Ceramic_Tiles____Waterproofing_to_wet_areas">#REF!</definedName>
    <definedName name="LENGTH_5.2.3___FF03__Ceramic_Tiles_Skirting">#REF!</definedName>
    <definedName name="LENGTH_5.2.4___Threshold_Allowance_100mm_200mm_thk">#REF!</definedName>
    <definedName name="LENGTH_5.3.1___PF01__Gypsum_Board">#REF!</definedName>
    <definedName name="LENGTH_5.3.1___PF01__Slab_Soffits">#REF!</definedName>
    <definedName name="LENGTH_5.3.1___PF03__Gypsum_Board">#REF!</definedName>
    <definedName name="LENGTH_5.3.2___Bulkheads">#REF!</definedName>
    <definedName name="LENGTH_50mm_dia_WP">#REF!</definedName>
    <definedName name="LENGTH_50mm_dia._Balcony_Drain" localSheetId="1">#REF!</definedName>
    <definedName name="LENGTH_50mm_dia._Balcony_Drain">#REF!</definedName>
    <definedName name="LENGTH_5A_CEILING">#REF!</definedName>
    <definedName name="LENGTH_5A_FS01">#REF!</definedName>
    <definedName name="LENGTH_5A_FS02">#REF!</definedName>
    <definedName name="LENGTH_5A_FS02_2F">#REF!</definedName>
    <definedName name="LENGTH_5A_FS03">#REF!</definedName>
    <definedName name="LENGTH_5A_FS03_AREA">#REF!</definedName>
    <definedName name="LENGTH_5A_FS03_GRILL">#REF!</definedName>
    <definedName name="LENGTH_5A_FS04">#REF!</definedName>
    <definedName name="LENGTH_5A_FS04_1F">#REF!</definedName>
    <definedName name="LENGTH_5A_FS04_2F">#REF!</definedName>
    <definedName name="LENGTH_5A_FS05">#REF!</definedName>
    <definedName name="LENGTH_5A_FS05_RF">#REF!</definedName>
    <definedName name="LENGTH_5A_FS07">#REF!</definedName>
    <definedName name="LENGTH_5A_FS08">#REF!</definedName>
    <definedName name="LENGTH_5A_FS08_RF">#REF!</definedName>
    <definedName name="LENGTH_5A_FS12_1F">#REF!</definedName>
    <definedName name="LENGTH_5A_FS15_2F">#REF!</definedName>
    <definedName name="LENGTH_5A_FS16">#REF!</definedName>
    <definedName name="LENGTH_5B_FS01">#REF!</definedName>
    <definedName name="LENGTH_5B_FS02_1F">#REF!</definedName>
    <definedName name="LENGTH_5B_FS02_RF">#REF!</definedName>
    <definedName name="LENGTH_5B_FS03">#REF!</definedName>
    <definedName name="LENGTH_5B_FS03_AREA">#REF!</definedName>
    <definedName name="LENGTH_5B_FS03_GRILL">#REF!</definedName>
    <definedName name="LENGTH_5B_FS03_RF">#REF!</definedName>
    <definedName name="LENGTH_5B_FS04_1F">#REF!</definedName>
    <definedName name="LENGTH_5B_FS04_2F">#REF!</definedName>
    <definedName name="LENGTH_5B_FS04_RF">#REF!</definedName>
    <definedName name="LENGTH_5B_FS05">#REF!</definedName>
    <definedName name="LENGTH_5B_FS05_GARDEN">#REF!</definedName>
    <definedName name="LENGTH_5B_FS05_PARAPET">#REF!</definedName>
    <definedName name="LENGTH_5B_FS06">#REF!</definedName>
    <definedName name="LENGTH_5B_FS07_1F">#REF!</definedName>
    <definedName name="LENGTH_5B_FS08_RF">#REF!</definedName>
    <definedName name="LENGTH_5B_FS11_1F">#REF!</definedName>
    <definedName name="LENGTH_5B_FS11_2F">#REF!</definedName>
    <definedName name="LENGTH_5B_FS12_2F">#REF!</definedName>
    <definedName name="LENGTH_5B_FS15_1F">#REF!</definedName>
    <definedName name="LENGTH_5B_FS15_2F">#REF!</definedName>
    <definedName name="LENGTH_5B_FS15_RF">#REF!</definedName>
    <definedName name="LENGTH_5B_FS16">#REF!</definedName>
    <definedName name="LENGTH_5B_LOUVRE">#REF!</definedName>
    <definedName name="LENGTH_5B_PARAPET_COPING">#REF!</definedName>
    <definedName name="LENGTH_5C_FS01">#REF!</definedName>
    <definedName name="LENGTH_5C_FS02">#REF!</definedName>
    <definedName name="LENGTH_5C_FS02_1F">#REF!</definedName>
    <definedName name="LENGTH_5C_FS02_COPING">#REF!</definedName>
    <definedName name="LENGTH_5C_FS03">#REF!</definedName>
    <definedName name="LENGTH_5C_FS03_GRILL">#REF!</definedName>
    <definedName name="LENGTH_5C_FS05_RF">#REF!</definedName>
    <definedName name="LENGTH_5C_FS07_RF">#REF!</definedName>
    <definedName name="LENGTH_5C_FS08_1F">#REF!</definedName>
    <definedName name="LENGTH_5C_FS08_RF">#REF!</definedName>
    <definedName name="LENGTH_5C_FS16">#REF!</definedName>
    <definedName name="LENGTH_5C_LINK_BRIDGE">#REF!</definedName>
    <definedName name="LENGTH_5F_BOH_Circulation">#REF!</definedName>
    <definedName name="LENGTH_5F_BOH_Service___Utility_area">#REF!</definedName>
    <definedName name="LENGTH_5F_BOH_Staircase">#REF!</definedName>
    <definedName name="LENGTH_5F_Lift_Shaft">#REF!</definedName>
    <definedName name="LENGTH_5F_MEP">#REF!</definedName>
    <definedName name="LENGTH_5F_Services_Core">#REF!</definedName>
    <definedName name="LENGTH_5F_Voids___Dead_area">#REF!</definedName>
    <definedName name="LENGTH_6.1.1___U_Shaped_Base_Cabinet___3400___2250___2300_x_700_x_900">#REF!</definedName>
    <definedName name="LENGTH_6.1.2___Kitchen_Wall_Cabinet_____600_x340_x_830">#REF!</definedName>
    <definedName name="LENGTH_6.1.2___Kitchen_Wall_Cabinet_____650_x340_x_830">#REF!</definedName>
    <definedName name="LENGTH_6.1.2___Kitchen_Wall_Cabinet_____850_x340_x_830">#REF!</definedName>
    <definedName name="LENGTH_6.1.2___Kitchen_Wall_Cabinet_____900_x340_x_400">#REF!</definedName>
    <definedName name="LENGTH_6.1.3___Cooker_Hood__4_series">#REF!</definedName>
    <definedName name="LENGTH_6.2.1___Wardrobe__1000mm_x_600mm__walkin_">#REF!</definedName>
    <definedName name="LENGTH_6.2.1___Wardrobe__2000mm_x_600mm__Bed3_">#REF!</definedName>
    <definedName name="LENGTH_6.2.1___Wardrobe__2200mm_x_600mm__Bed2_">#REF!</definedName>
    <definedName name="LENGTH_6.2.1___Wardrobe_L_shape__2500mm___2300mm_x_600mm__walkin_">#REF!</definedName>
    <definedName name="LENGTH_6.3.1___Base_Cabinet__1000mm_x_600mm_x_900mm">#REF!</definedName>
    <definedName name="LENGTH_6.3.1___Base_Cabinet__1800mm_x_600mm_x_900m">#REF!</definedName>
    <definedName name="LENGTH_6.3.1___Base_Cabinet__1900mm_x_600mm_x_900m">#REF!</definedName>
    <definedName name="LENGTH_82mm_dia_Vent_pipe_1F" localSheetId="1">#REF!</definedName>
    <definedName name="LENGTH_82mm_dia_Vent_pipe_1F">#REF!</definedName>
    <definedName name="LENGTH_82mm_dia_Vent_pipe_GF">#REF!</definedName>
    <definedName name="LENGTH_AM_Beams">#REF!</definedName>
    <definedName name="LENGTH_AM_Slab_1200">#REF!</definedName>
    <definedName name="LENGTH_AM_Slab_300">#REF!</definedName>
    <definedName name="LENGTH_Assume_Roof">#REF!</definedName>
    <definedName name="LENGTH_Assumed_Stair_Roof">#REF!</definedName>
    <definedName name="LENGTH_B1">#REF!</definedName>
    <definedName name="LENGTH_B1___BOH____Loading_Unloading">#REF!</definedName>
    <definedName name="LENGTH_B1___BOH____Service_Corridor">#REF!</definedName>
    <definedName name="LENGTH_B1___BOH___Bulk_Storage">#REF!</definedName>
    <definedName name="LENGTH_B1___BOH___Event_Center_Core">#REF!</definedName>
    <definedName name="LENGTH_B1___BOH___Event_Center_Core_lift_shafts">#REF!</definedName>
    <definedName name="LENGTH_B1___BOH___Event_Center_Kitchen">#REF!</definedName>
    <definedName name="LENGTH_B1___BOH___Event_Center_Service">#REF!</definedName>
    <definedName name="LENGTH_B1___BOH___Fire_Escape_Stairs">#REF!</definedName>
    <definedName name="LENGTH_B1___BOH___Food___Beverage_Dept">#REF!</definedName>
    <definedName name="LENGTH_B1___BOH___General_Areas">#REF!</definedName>
    <definedName name="LENGTH_B1___BOH___Guest_Core">#REF!</definedName>
    <definedName name="LENGTH_B1___BOH___Guest_Core_ducts">#REF!</definedName>
    <definedName name="LENGTH_B1___BOH___Guest_Core_lift_shafts">#REF!</definedName>
    <definedName name="LENGTH_B1___BOH___Human_Resources">#REF!</definedName>
    <definedName name="LENGTH_B1___BOH___Main_Kitchen">#REF!</definedName>
    <definedName name="LENGTH_B1___BOH___Pool_Bar___Grill_Pantry">#REF!</definedName>
    <definedName name="LENGTH_B1___BOH___Ramp__B1___GF_">#REF!</definedName>
    <definedName name="LENGTH_B1___BOH___Ramp_B1_to_B2__loading_unloading_">#REF!</definedName>
    <definedName name="LENGTH_B1___BOH___Receiving___Purchasing">#REF!</definedName>
    <definedName name="LENGTH_B1___BOH___Service_Core">#REF!</definedName>
    <definedName name="LENGTH_B1___BOH___Service_Core_ducts">#REF!</definedName>
    <definedName name="LENGTH_B1___BOH___Service_Core_lift_shaft">#REF!</definedName>
    <definedName name="LENGTH_B1___BOH___Service_Corridor">#REF!</definedName>
    <definedName name="LENGTH_B1___BOH___Speciality_Restaurant_01_Pantry">#REF!</definedName>
    <definedName name="LENGTH_B1___BOH___Staff_Core">#REF!</definedName>
    <definedName name="LENGTH_B1___BOH___Staff_Core_lift_shafts">#REF!</definedName>
    <definedName name="LENGTH_B1___BOH___Staff_Facilities">#REF!</definedName>
    <definedName name="LENGTH_B1___BOH___Waste_Management">#REF!</definedName>
    <definedName name="LENGTH_B1___Double_Volume_internal_Plant_RM">#REF!</definedName>
    <definedName name="LENGTH_B1___FOH____Day_Care_Center">#REF!</definedName>
    <definedName name="LENGTH_B1___FOH___All_Day_Dining">#REF!</definedName>
    <definedName name="LENGTH_B1___FOH___Circulation">#REF!</definedName>
    <definedName name="LENGTH_B1___FOH___Day_Care_Center_Terrace">#REF!</definedName>
    <definedName name="LENGTH_B1___FOH___Guest_Circulation">#REF!</definedName>
    <definedName name="LENGTH_B1___FOH___Guestroom_Terrace">#REF!</definedName>
    <definedName name="LENGTH_B1___FOH___Guestrooms">#REF!</definedName>
    <definedName name="LENGTH_B1___FOH___Gym">#REF!</definedName>
    <definedName name="LENGTH_B1___FOH___Pool_Bar___Grill">#REF!</definedName>
    <definedName name="LENGTH_B1___FOH___Pool_Bar___Grill_Terrace">#REF!</definedName>
    <definedName name="LENGTH_B1___FOH___Spa">#REF!</definedName>
    <definedName name="LENGTH_B1___FOH___Speciality_Restauarant_02_Toilets">#REF!</definedName>
    <definedName name="LENGTH_B1___FOH___Speciality_Restaurant_01">#REF!</definedName>
    <definedName name="LENGTH_B1___FOH___Speciality_Restaurant_02">#REF!</definedName>
    <definedName name="LENGTH_B1___FOH___Speciality_Restaurant_02_Terrace__covered_terrace_area_">#REF!</definedName>
    <definedName name="LENGTH_B1___FOH___Speciality_Restaurant_02_Terrace__open_terrace_area_">#REF!</definedName>
    <definedName name="LENGTH_B1___Parking">#REF!</definedName>
    <definedName name="LENGTH_B1__BOH_">#REF!</definedName>
    <definedName name="LENGTH_B1__Car_Park_">#REF!</definedName>
    <definedName name="LENGTH_B1__Column_C1">#REF!</definedName>
    <definedName name="LENGTH_B1__Column_C10">#REF!</definedName>
    <definedName name="LENGTH_B1__Column_C11">#REF!</definedName>
    <definedName name="LENGTH_B1__Column_C12">#REF!</definedName>
    <definedName name="LENGTH_B1__Column_C2">#REF!</definedName>
    <definedName name="LENGTH_B1__Column_C3">#REF!</definedName>
    <definedName name="LENGTH_B1__Column_C4">#REF!</definedName>
    <definedName name="LENGTH_B1__Column_C5">#REF!</definedName>
    <definedName name="LENGTH_B1__Column_C6">#REF!</definedName>
    <definedName name="LENGTH_B1__Column_C7">#REF!</definedName>
    <definedName name="LENGTH_B1__Column_C8">#REF!</definedName>
    <definedName name="LENGTH_B1__Column_C9">#REF!</definedName>
    <definedName name="LENGTH_B1__Column_TC1">#REF!</definedName>
    <definedName name="LENGTH_B1__Column_TC2">#REF!</definedName>
    <definedName name="LENGTH_B1__Column_TC3">#REF!</definedName>
    <definedName name="LENGTH_B1__Column_TC4">#REF!</definedName>
    <definedName name="LENGTH_B1__Column_TC5">#REF!</definedName>
    <definedName name="LENGTH_B1__FOH_circulation_">#REF!</definedName>
    <definedName name="LENGTH_B1__GIFA_">#REF!</definedName>
    <definedName name="LENGTH_B1__RW1_400">#REF!</definedName>
    <definedName name="LENGTH_B1__RW2_600">#REF!</definedName>
    <definedName name="LENGTH_B1__Stairs_">#REF!</definedName>
    <definedName name="LENGTH_B1__TW1_250">#REF!</definedName>
    <definedName name="LENGTH_B1__TW2_200">#REF!</definedName>
    <definedName name="LENGTH_B1__TW3_300">#REF!</definedName>
    <definedName name="LENGTH_B1__TW3_400">#REF!</definedName>
    <definedName name="LENGTH_B1__TW4_500">#REF!</definedName>
    <definedName name="LENGTH_B1__TW4_500_Door_Overhead">#REF!</definedName>
    <definedName name="LENGTH_B1__TW4_600">#REF!</definedName>
    <definedName name="LENGTH_B1__voids_">#REF!</definedName>
    <definedName name="LENGTH_B1__W1__300">#REF!</definedName>
    <definedName name="LENGTH_B1__W1_300_Door_Overhead">#REF!</definedName>
    <definedName name="LENGTH_B1_Beams">#REF!</definedName>
    <definedName name="LENGTH_B1_BOH">#REF!</definedName>
    <definedName name="LENGTH_B1_BOH_Area" localSheetId="1">#REF!</definedName>
    <definedName name="LENGTH_B1_BOH_Area">#REF!</definedName>
    <definedName name="LENGTH_B1_BOH_Service___Utility_area" localSheetId="1">#REF!</definedName>
    <definedName name="LENGTH_B1_BOH_Service___Utility_area">#REF!</definedName>
    <definedName name="LENGTH_B1_Car_Park" localSheetId="1">#REF!</definedName>
    <definedName name="LENGTH_B1_Car_Park">#REF!</definedName>
    <definedName name="LENGTH_B1_Double_Internal_Doors__BOH_" localSheetId="1">#REF!</definedName>
    <definedName name="LENGTH_B1_Double_Internal_Doors__BOH_">#REF!</definedName>
    <definedName name="LENGTH_B1_Double_Internal_Doors__FOH_">#REF!</definedName>
    <definedName name="LENGTH_B1_Double_Volume_area" localSheetId="1">#REF!</definedName>
    <definedName name="LENGTH_B1_Double_Volume_area">#REF!</definedName>
    <definedName name="LENGTH_B1_Executive_Club" localSheetId="1">#REF!</definedName>
    <definedName name="LENGTH_B1_Executive_Club">#REF!</definedName>
    <definedName name="LENGTH_B1_FOH_Circulation" localSheetId="1">#REF!</definedName>
    <definedName name="LENGTH_B1_FOH_Circulation">#REF!</definedName>
    <definedName name="LENGTH_B1_FOH_Circulation_area" localSheetId="1">#REF!</definedName>
    <definedName name="LENGTH_B1_FOH_Circulation_area">#REF!</definedName>
    <definedName name="LENGTH_B1_FOH_Lobby" localSheetId="1">#REF!</definedName>
    <definedName name="LENGTH_B1_FOH_Lobby">#REF!</definedName>
    <definedName name="LENGTH_B1_GIFA" localSheetId="1">#REF!</definedName>
    <definedName name="LENGTH_B1_GIFA">#REF!</definedName>
    <definedName name="LENGTH_B1_Guest_Core" localSheetId="1">#REF!</definedName>
    <definedName name="LENGTH_B1_Guest_Core">#REF!</definedName>
    <definedName name="LENGTH_B1_Gym" localSheetId="1">#REF!</definedName>
    <definedName name="LENGTH_B1_Gym">#REF!</definedName>
    <definedName name="LENGTH_B1_Gym_Toilets" localSheetId="1">#REF!</definedName>
    <definedName name="LENGTH_B1_Gym_Toilets">#REF!</definedName>
    <definedName name="LENGTH_B1_Internal_Double_doors__BOH_">#REF!</definedName>
    <definedName name="LENGTH_B1_Internal_Double_doors__FOH_">#REF!</definedName>
    <definedName name="LENGTH_B1_Internal_Single_doors__BOH_">#REF!</definedName>
    <definedName name="LENGTH_B1_Kids_Area">#REF!</definedName>
    <definedName name="LENGTH_B1_Kitchen">#REF!</definedName>
    <definedName name="LENGTH_B1_Lift_Shaft">#REF!</definedName>
    <definedName name="LENGTH_B1_Main_Restaurant">#REF!</definedName>
    <definedName name="LENGTH_B1_MEP_Area">#REF!</definedName>
    <definedName name="LENGTH_B1_Mezz">#REF!</definedName>
    <definedName name="LENGTH_B1_Mezzanine___BOH___Event_Center_Admin">#REF!</definedName>
    <definedName name="LENGTH_B1_Mezzanine___BOH___Event_Center_Core">#REF!</definedName>
    <definedName name="LENGTH_B1_Mezzanine___BOH___Event_Center_Valet">#REF!</definedName>
    <definedName name="LENGTH_B1_Mezzanine___BOH___Event_Service_Core_lift_shafts">#REF!</definedName>
    <definedName name="LENGTH_B1_Mezzanine___BOH___Fire_Escape_Stairs">#REF!</definedName>
    <definedName name="LENGTH_B1_Mezzanine___BOH___General_Areas">#REF!</definedName>
    <definedName name="LENGTH_B1_Mezzanine___BOH___Guest_Core">#REF!</definedName>
    <definedName name="LENGTH_B1_Mezzanine___BOH___Guest_Core_ducts">#REF!</definedName>
    <definedName name="LENGTH_B1_Mezzanine___BOH___Guest_Core_lift_shafts">#REF!</definedName>
    <definedName name="LENGTH_B1_Mezzanine___BOH___RMU">#REF!</definedName>
    <definedName name="LENGTH_B1_Mezzanine___BOH___Service_Core">#REF!</definedName>
    <definedName name="LENGTH_B1_Mezzanine___BOH___Service_Core_ducts">#REF!</definedName>
    <definedName name="LENGTH_B1_Mezzanine___BOH___Service_Core_lift_shafts">#REF!</definedName>
    <definedName name="LENGTH_B1_Mezzanine___Double_Volume__left_wing_">#REF!</definedName>
    <definedName name="LENGTH_B1_Mezzanine___Double_Volume__left_wing_stairs___">#REF!</definedName>
    <definedName name="LENGTH_B1_Mezzanine___Double_Volume__main_hotel___">#REF!</definedName>
    <definedName name="LENGTH_B1_Mezzanine___Double_Volume__right_wing_">#REF!</definedName>
    <definedName name="LENGTH_B1_Mezzanine___Double_Volume__right_wing_stairs___">#REF!</definedName>
    <definedName name="LENGTH_B1_Mezzanine___Double_Volume__Speciality_Restaurant___">#REF!</definedName>
    <definedName name="LENGTH_B1_Mezzanine___FOH___Business_Center">#REF!</definedName>
    <definedName name="LENGTH_B1_Mezzanine___FOH___Circulation">#REF!</definedName>
    <definedName name="LENGTH_B1_Mezzanine___FOH___Event_Center_Core_lift_shafts">#REF!</definedName>
    <definedName name="LENGTH_B1_Mezzanine___FOH___Event_Center_Port_Corchere">#REF!</definedName>
    <definedName name="LENGTH_B1_Mezzanine___FOH___Event_Center_Reception">#REF!</definedName>
    <definedName name="LENGTH_B1_Mezzanine___FOH___Event_Center_Wind_Lobby">#REF!</definedName>
    <definedName name="LENGTH_B1_Mezzanine___FOH___Guestroom_Terrace">#REF!</definedName>
    <definedName name="LENGTH_B1_Mezzanine___FOH___Guestrooms">#REF!</definedName>
    <definedName name="LENGTH_B1_Mezzanine___FOH___Meeting_Prefunction">#REF!</definedName>
    <definedName name="LENGTH_B1_Mezzanine___FOH___Meeting_Rooms">#REF!</definedName>
    <definedName name="LENGTH_B1_Mezzanine___FOH___Meeting_Rooms_Pantry">#REF!</definedName>
    <definedName name="LENGTH_B1_Mezzanine___FOH___Meeting_Rooms_Terrace">#REF!</definedName>
    <definedName name="LENGTH_B1_Mezzanine___FOH___Meeting_Rooms_Toilet">#REF!</definedName>
    <definedName name="LENGTH_B1_Mezzanine___FOH___Retail">#REF!</definedName>
    <definedName name="LENGTH_B1_Parking_area">#REF!</definedName>
    <definedName name="LENGTH_B1_Public_Toilets">#REF!</definedName>
    <definedName name="LENGTH_B1_Ramp">#REF!</definedName>
    <definedName name="LENGTH_B1_Service_Lift_Lobby">#REF!</definedName>
    <definedName name="LENGTH_B1_Services_Core">#REF!</definedName>
    <definedName name="LENGTH_B1_Single_Internal_Doors__BOH_">#REF!</definedName>
    <definedName name="LENGTH_B1_Slab_200" localSheetId="1">#REF!</definedName>
    <definedName name="LENGTH_B1_Slab_200">#REF!</definedName>
    <definedName name="LENGTH_B1_Slab_220">#REF!</definedName>
    <definedName name="LENGTH_B1_Slab_240">#REF!</definedName>
    <definedName name="LENGTH_B1_Slab_260">#REF!</definedName>
    <definedName name="LENGTH_B1_Spa">#REF!</definedName>
    <definedName name="LENGTH_B1_Speciality_Kitchen">#REF!</definedName>
    <definedName name="LENGTH_B1_Speciality_Restaurant">#REF!</definedName>
    <definedName name="LENGTH_B1_Staicase_Lobby">#REF!</definedName>
    <definedName name="LENGTH_B1_Staircase">#REF!</definedName>
    <definedName name="LENGTH_B1_Stairs">#REF!</definedName>
    <definedName name="LENGTH_B1_Voids" localSheetId="1">#REF!</definedName>
    <definedName name="LENGTH_B1_Voids">#REF!</definedName>
    <definedName name="LENGTH_B2" localSheetId="1">#REF!</definedName>
    <definedName name="LENGTH_B2">#REF!</definedName>
    <definedName name="LENGTH_B2___BOH____Tank" localSheetId="1">#REF!</definedName>
    <definedName name="LENGTH_B2___BOH____Tank">#REF!</definedName>
    <definedName name="LENGTH_B2___BOH___AHU">#REF!</definedName>
    <definedName name="LENGTH_B2___BOH___Engineering___Maintenance">#REF!</definedName>
    <definedName name="LENGTH_B2___BOH___Event_Center_Core">#REF!</definedName>
    <definedName name="LENGTH_B2___BOH___Event_Center_Core_lift_shafts">#REF!</definedName>
    <definedName name="LENGTH_B2___BOH___Fire_Escape_Stairs">#REF!</definedName>
    <definedName name="LENGTH_B2___BOH___Guest_Core">#REF!</definedName>
    <definedName name="LENGTH_B2___BOH___Guest_Core_lift_shafts">#REF!</definedName>
    <definedName name="LENGTH_B2___BOH___Heat_Exchange">#REF!</definedName>
    <definedName name="LENGTH_B2___BOH___IT_Department">#REF!</definedName>
    <definedName name="LENGTH_B2___BOH___Laundry___Housekeeping">#REF!</definedName>
    <definedName name="LENGTH_B2___BOH___LV_Room">#REF!</definedName>
    <definedName name="LENGTH_B2___BOH___Plant">#REF!</definedName>
    <definedName name="LENGTH_B2___BOH___Pump_Room">#REF!</definedName>
    <definedName name="LENGTH_B2___BOH___Ramp_B2_to_B1">#REF!</definedName>
    <definedName name="LENGTH_B2___BOH___Ramp_B2_to_B1__loading___unloading_">#REF!</definedName>
    <definedName name="LENGTH_B2___BOH___Service_Core">#REF!</definedName>
    <definedName name="LENGTH_B2___BOH___Service_Core_duct">#REF!</definedName>
    <definedName name="LENGTH_B2___BOH___Service_Core_lift_shafts">#REF!</definedName>
    <definedName name="LENGTH_B2___BOH___Service_Corridor">#REF!</definedName>
    <definedName name="LENGTH_B2___BOH___Substation">#REF!</definedName>
    <definedName name="LENGTH_B2___BOH___Unknown_areas">#REF!</definedName>
    <definedName name="LENGTH_B2___FOH___Pool_Toilets">#REF!</definedName>
    <definedName name="LENGTH_B2___FOH___Speciality_Restaurant_01_Toilets">#REF!</definedName>
    <definedName name="LENGTH_B2___Parking">#REF!</definedName>
    <definedName name="LENGTH_B2__BOH_">#REF!</definedName>
    <definedName name="LENGTH_B2__Car_Parking_">#REF!</definedName>
    <definedName name="LENGTH_B2__Column_C1">#REF!</definedName>
    <definedName name="LENGTH_B2__Column_C10">#REF!</definedName>
    <definedName name="LENGTH_B2__Column_C11">#REF!</definedName>
    <definedName name="LENGTH_B2__Column_C12">#REF!</definedName>
    <definedName name="LENGTH_B2__Column_C2">#REF!</definedName>
    <definedName name="LENGTH_B2__Column_C3">#REF!</definedName>
    <definedName name="LENGTH_B2__Column_C4">#REF!</definedName>
    <definedName name="LENGTH_B2__Column_C5">#REF!</definedName>
    <definedName name="LENGTH_B2__Column_C6">#REF!</definedName>
    <definedName name="LENGTH_B2__Column_C7">#REF!</definedName>
    <definedName name="LENGTH_B2__Column_C8">#REF!</definedName>
    <definedName name="LENGTH_B2__Column_C9">#REF!</definedName>
    <definedName name="LENGTH_B2__Column_TC1">#REF!</definedName>
    <definedName name="LENGTH_B2__Column_TC2">#REF!</definedName>
    <definedName name="LENGTH_B2__Column_TC3">#REF!</definedName>
    <definedName name="LENGTH_B2__Column_TC4">#REF!</definedName>
    <definedName name="LENGTH_B2__Column_TC5">#REF!</definedName>
    <definedName name="LENGTH_B2__FOH_Circulation_">#REF!</definedName>
    <definedName name="LENGTH_B2__GIFA_">#REF!</definedName>
    <definedName name="LENGTH_B2__Loading__Unloading_Area">#REF!</definedName>
    <definedName name="LENGTH_B2__RW1_400">#REF!</definedName>
    <definedName name="LENGTH_B2__RW2_600">#REF!</definedName>
    <definedName name="LENGTH_B2__Stairs_">#REF!</definedName>
    <definedName name="LENGTH_B2__TW1_250">#REF!</definedName>
    <definedName name="LENGTH_B2__TW2_200">#REF!</definedName>
    <definedName name="LENGTH_B2__TW3_300">#REF!</definedName>
    <definedName name="LENGTH_B2__TW3_400">#REF!</definedName>
    <definedName name="LENGTH_B2__TW4_500">#REF!</definedName>
    <definedName name="LENGTH_B2__TW4_600">#REF!</definedName>
    <definedName name="LENGTH_B2__Voids_">#REF!</definedName>
    <definedName name="LENGTH_B2__W1__300">#REF!</definedName>
    <definedName name="LENGTH_B2__W1__300_Door_Overhead">#REF!</definedName>
    <definedName name="LENGTH_B2_BOH">#REF!</definedName>
    <definedName name="LENGTH_B2_BOH___Services_Area" localSheetId="1">#REF!</definedName>
    <definedName name="LENGTH_B2_BOH___Services_Area">#REF!</definedName>
    <definedName name="LENGTH_B2_BOH_Area" localSheetId="1">#REF!</definedName>
    <definedName name="LENGTH_B2_BOH_Area">#REF!</definedName>
    <definedName name="LENGTH_B2_Car_Park" localSheetId="1">#REF!</definedName>
    <definedName name="LENGTH_B2_Car_Park">#REF!</definedName>
    <definedName name="LENGTH_B2_Dirty_Room" localSheetId="1">#REF!</definedName>
    <definedName name="LENGTH_B2_Dirty_Room">#REF!</definedName>
    <definedName name="LENGTH_B2_Double_Internal_Doors__BOH_" localSheetId="1">#REF!</definedName>
    <definedName name="LENGTH_B2_Double_Internal_Doors__BOH_">#REF!</definedName>
    <definedName name="LENGTH_B2_Double_Internal_Doors__FOH_" localSheetId="1">#REF!</definedName>
    <definedName name="LENGTH_B2_Double_Internal_Doors__FOH_">#REF!</definedName>
    <definedName name="LENGTH_B2_FOH" localSheetId="1">#REF!</definedName>
    <definedName name="LENGTH_B2_FOH">#REF!</definedName>
    <definedName name="LENGTH_B2_GIFA">#REF!</definedName>
    <definedName name="LENGTH_B2_Kitchen" localSheetId="1">#REF!</definedName>
    <definedName name="LENGTH_B2_Kitchen">#REF!</definedName>
    <definedName name="LENGTH_B2_Lift_Shaft" localSheetId="1">#REF!</definedName>
    <definedName name="LENGTH_B2_Lift_Shaft">#REF!</definedName>
    <definedName name="LENGTH_B2_MEP_Area" localSheetId="1">#REF!</definedName>
    <definedName name="LENGTH_B2_MEP_Area">#REF!</definedName>
    <definedName name="LENGTH_B2_Raft_2500">#REF!</definedName>
    <definedName name="LENGTH_B2_Raft_600">#REF!</definedName>
    <definedName name="LENGTH_B2_Services_Core">#REF!</definedName>
    <definedName name="LENGTH_B2_Single_Internal_Doors__BOH_">#REF!</definedName>
    <definedName name="LENGTH_B2_Staircase" localSheetId="1">#REF!</definedName>
    <definedName name="LENGTH_B2_Staircase">#REF!</definedName>
    <definedName name="LENGTH_B2_Stairs" localSheetId="1">#REF!</definedName>
    <definedName name="LENGTH_B2_Stairs">#REF!</definedName>
    <definedName name="LENGTH_B2_Voids" localSheetId="1">#REF!</definedName>
    <definedName name="LENGTH_B2_Voids">#REF!</definedName>
    <definedName name="LENGTH_B3_Beams" localSheetId="1">#REF!</definedName>
    <definedName name="LENGTH_B3_Beams">#REF!</definedName>
    <definedName name="LENGTH_B3_Wall">#REF!</definedName>
    <definedName name="LENGTH_B3_Wall_Link">#REF!</definedName>
    <definedName name="LENGTH_B4_Beams">#REF!</definedName>
    <definedName name="LENGTH_B4_Tower_Wall___same_as_B5">#REF!</definedName>
    <definedName name="LENGTH_B4_Wall_Length">#REF!</definedName>
    <definedName name="LENGTH_B4_Wall_Link">#REF!</definedName>
    <definedName name="LENGTH_B5_Beams">#REF!</definedName>
    <definedName name="LENGTH_B5_Tower_Wall">#REF!</definedName>
    <definedName name="LENGTH_B5_Wall_Length">#REF!</definedName>
    <definedName name="LENGTH_B5_Wall_Link">#REF!</definedName>
    <definedName name="LENGTH_B6_Beams">#REF!</definedName>
    <definedName name="LENGTH_B7_Tower_Wall">#REF!</definedName>
    <definedName name="LENGTH_B7_Wall_Length">#REF!</definedName>
    <definedName name="LENGTH_B7_Wall_Link">#REF!</definedName>
    <definedName name="LENGTH_Balconies_Entry">#REF!</definedName>
    <definedName name="LENGTH_Balcony_Drain">#REF!</definedName>
    <definedName name="LENGTH_Bib_Tap">#REF!</definedName>
    <definedName name="LENGTH_BOH__GF_">#REF!</definedName>
    <definedName name="LENGTH_BOH__Podium_1_">#REF!</definedName>
    <definedName name="LENGTH_BOH__Podium_2_">#REF!</definedName>
    <definedName name="LENGTH_BOH__Roof_">#REF!</definedName>
    <definedName name="LENGTH_BOH_areas__lvl_1_">#REF!</definedName>
    <definedName name="LENGTH_BOH_areas__lvl_2_">#REF!</definedName>
    <definedName name="LENGTH_BOH_areas__lvl_3_">#REF!</definedName>
    <definedName name="LENGTH_BUA">#REF!</definedName>
    <definedName name="LENGTH_Bypass_Valve__Normally_Closed_">#REF!</definedName>
    <definedName name="LENGTH_Cable_Foundation_Length">#REF!</definedName>
    <definedName name="LENGTH_Cable_raft">#REF!</definedName>
    <definedName name="LENGTH_Cable_Retaining_wall">#REF!</definedName>
    <definedName name="LENGTH_Cable_Waterproofing">#REF!</definedName>
    <definedName name="LENGTH_capping">#REF!</definedName>
    <definedName name="LENGTH_Car_Park__Podium_1_">#REF!</definedName>
    <definedName name="LENGTH_Car_Park__Podium_2_">#REF!</definedName>
    <definedName name="LENGTH_Car_Parking__lvl_1_">#REF!</definedName>
    <definedName name="LENGTH_Conference_Centre">#REF!</definedName>
    <definedName name="LENGTH_Counterweight">#REF!</definedName>
    <definedName name="LENGTH_DP1_3000x3000x350">#REF!</definedName>
    <definedName name="LENGTH_DP11_3250x1750x350">#REF!</definedName>
    <definedName name="LENGTH_DP2_3000x1750x350">#REF!</definedName>
    <definedName name="LENGTH_DP3_3500x1900x350">#REF!</definedName>
    <definedName name="LENGTH_DP5_3000x3000x400">#REF!</definedName>
    <definedName name="LENGTH_DP6_6500x4000x550">#REF!</definedName>
    <definedName name="LENGTH_DP7_3500x1900x400">#REF!</definedName>
    <definedName name="LENGTH_Entrance_lobby__GF_">#REF!</definedName>
    <definedName name="LENGTH_External_areas__lvl_2_">#REF!</definedName>
    <definedName name="LENGTH_External_areas__Roof_">#REF!</definedName>
    <definedName name="LENGTH_External_Doors__AL_01">#REF!</definedName>
    <definedName name="LENGTH_External_Doors__AL_02">#REF!</definedName>
    <definedName name="LENGTH_External_Doors__AL_03">#REF!</definedName>
    <definedName name="LENGTH_External_Doors__AL_04">#REF!</definedName>
    <definedName name="LENGTH_External_Doors__AL_05">#REF!</definedName>
    <definedName name="LENGTH_External_Doors__D_01">#REF!</definedName>
    <definedName name="LENGTH_External_Doors__D_02">#REF!</definedName>
    <definedName name="LENGTH_External_Doors__D_05">#REF!</definedName>
    <definedName name="LENGTH_External_Doors__Threshold">#REF!</definedName>
    <definedName name="LENGTH_External_Floor_Finishes__Interlocking_Paving">#REF!</definedName>
    <definedName name="LENGTH_External_Wall__Blockwork___BW_2">#REF!</definedName>
    <definedName name="LENGTH_External_Wall__Blockwork___BW_3">#REF!</definedName>
    <definedName name="LENGTH_External_Wall__Blockwork___BW_4">#REF!</definedName>
    <definedName name="LENGTH_External_Wall_Finishes__50mm_thk_insulation">#REF!</definedName>
    <definedName name="LENGTH_External_Wall_finishes__Cast_Aluminium_handrail___Balustrade">#REF!</definedName>
    <definedName name="LENGTH_External_Wall_Finishes__Cement_render___Paint">#REF!</definedName>
    <definedName name="LENGTH_External_Wall_finishes__Elevation_projection_with_painted_finish">#REF!</definedName>
    <definedName name="LENGTH_External_Wall_Finishes__Skirting">#REF!</definedName>
    <definedName name="LENGTH_External_Wall_finishes__Soffits">#REF!</definedName>
    <definedName name="LENGTH_External_Window__GL_01">#REF!</definedName>
    <definedName name="LENGTH_External_Window__GL_02">#REF!</definedName>
    <definedName name="LENGTH_External_Window__GL_02_a">#REF!</definedName>
    <definedName name="LENGTH_External_Window__GL_03">#REF!</definedName>
    <definedName name="LENGTH_External_Window__GL_04">#REF!</definedName>
    <definedName name="LENGTH_External_Window__GL_05">#REF!</definedName>
    <definedName name="LENGTH_External_Window__GL_06">#REF!</definedName>
    <definedName name="LENGTH_External_Window__GL_07">#REF!</definedName>
    <definedName name="LENGTH_External_Window__GL_08">#REF!</definedName>
    <definedName name="LENGTH_External_Window__GL_16">#REF!</definedName>
    <definedName name="LENGTH_External_Window__GL_18">#REF!</definedName>
    <definedName name="LENGTH_External_Window__GL_19">#REF!</definedName>
    <definedName name="LENGTH_External_Window__GL_19_a">#REF!</definedName>
    <definedName name="LENGTH_External_Window__GL_20">#REF!</definedName>
    <definedName name="LENGTH_External_Window__GL_21">#REF!</definedName>
    <definedName name="LENGTH_External_Window__GL_22">#REF!</definedName>
    <definedName name="LENGTH_External_Window__GL_23">#REF!</definedName>
    <definedName name="LENGTH_External_Window__GL_24">#REF!</definedName>
    <definedName name="LENGTH_External_Window__GL_25">#REF!</definedName>
    <definedName name="LENGTH_Fence">#REF!</definedName>
    <definedName name="LENGTH_Floor_Plate___B1_Mezzanine">#REF!</definedName>
    <definedName name="LENGTH_Floor_Plate___Basement_1">#REF!</definedName>
    <definedName name="LENGTH_Floor_Plate___Basement_2">#REF!</definedName>
    <definedName name="LENGTH_Floor_Plate___First_Floor">#REF!</definedName>
    <definedName name="LENGTH_Floor_Plate___Fourth_Floor">#REF!</definedName>
    <definedName name="LENGTH_Floor_Plate___Ground_Floor">#REF!</definedName>
    <definedName name="LENGTH_Floor_Plate___Mezanine_Floor">#REF!</definedName>
    <definedName name="LENGTH_Floor_Plate___Second_Floor">#REF!</definedName>
    <definedName name="LENGTH_Floor_Plate___Third_Floor">#REF!</definedName>
    <definedName name="LENGTH_FOH_areas__GF_">#REF!</definedName>
    <definedName name="LENGTH_FOH_Areas__Roof_">#REF!</definedName>
    <definedName name="LENGTH_FOH_Circulation__GF_">#REF!</definedName>
    <definedName name="LENGTH_FOH_circulation__lvl_1_">#REF!</definedName>
    <definedName name="LENGTH_FOH_circulation__lvl_2_">#REF!</definedName>
    <definedName name="LENGTH_FOH_Circulation__lvl_3_">#REF!</definedName>
    <definedName name="LENGTH_FOH_Circulation__Podium_1_">#REF!</definedName>
    <definedName name="LENGTH_FOH_Circulation__Podium_2_">#REF!</definedName>
    <definedName name="LENGTH_FOH_Circulation__Roof_">#REF!</definedName>
    <definedName name="LENGTH_FP_A_00AF">#REF!</definedName>
    <definedName name="LENGTH_FP_A_01F">#REF!</definedName>
    <definedName name="LENGTH_FP_A_02F___4F">#REF!</definedName>
    <definedName name="LENGTH_FP_A_03F">#REF!</definedName>
    <definedName name="LENGTH_FP_A_05F">#REF!</definedName>
    <definedName name="LENGTH_FP_A_06F">#REF!</definedName>
    <definedName name="LENGTH_FP_A_07F">#REF!</definedName>
    <definedName name="LENGTH_FP_A_08F___10F">#REF!</definedName>
    <definedName name="LENGTH_FP_A_09F">#REF!</definedName>
    <definedName name="LENGTH_FP_A_11F_to_29F_alt_">#REF!</definedName>
    <definedName name="LENGTH_FP_A_12F_to_30F_alt_">#REF!</definedName>
    <definedName name="LENGTH_FP_A_31F">#REF!</definedName>
    <definedName name="LENGTH_FP_A_32F">#REF!</definedName>
    <definedName name="LENGTH_FP_A_33RF__">#REF!</definedName>
    <definedName name="LENGTH_FP_A_34uRF__">#REF!</definedName>
    <definedName name="LENGTH_FP_A_35uRF__">#REF!</definedName>
    <definedName name="LENGTH_FP_B_00BF_1">#REF!</definedName>
    <definedName name="LENGTH_FP_B_00BF_1_intermediate">#REF!</definedName>
    <definedName name="LENGTH_FP_B_00BF_2">#REF!</definedName>
    <definedName name="LENGTH_FP_B_00GF">#REF!</definedName>
    <definedName name="LENGTH_FP_B_00MF">#REF!</definedName>
    <definedName name="LENGTH_FP_B_00PF___1">#REF!</definedName>
    <definedName name="LENGTH_FP_B_00PF___2">#REF!</definedName>
    <definedName name="LENGTH_FP_B_00PF___3">#REF!</definedName>
    <definedName name="LENGTH_FS01">#REF!</definedName>
    <definedName name="LENGTH_FS01_1B">#REF!</definedName>
    <definedName name="LENGTH_FS01_1C">#REF!</definedName>
    <definedName name="LENGTH_FS012_1B2">#REF!</definedName>
    <definedName name="LENGTH_FS02_1A">#REF!</definedName>
    <definedName name="LENGTH_FS02_1B">#REF!</definedName>
    <definedName name="LENGTH_FS02_1B_RF">#REF!</definedName>
    <definedName name="LENGTH_FS02_1B1">#REF!</definedName>
    <definedName name="LENGTH_FS02_1C">#REF!</definedName>
    <definedName name="LENGTH_FS02_1C1">#REF!</definedName>
    <definedName name="LENGTH_FS03_1A">#REF!</definedName>
    <definedName name="LENGTH_FS03_1B">#REF!</definedName>
    <definedName name="LENGTH_FS03_1C">#REF!</definedName>
    <definedName name="LENGTH_FS04">#REF!</definedName>
    <definedName name="LENGTH_FS04_1A">#REF!</definedName>
    <definedName name="LENGTH_FS04_1B">#REF!</definedName>
    <definedName name="LENGTH_FS04_1B1">#REF!</definedName>
    <definedName name="LENGTH_FS04_1B2">#REF!</definedName>
    <definedName name="LENGTH_FS04_1C">#REF!</definedName>
    <definedName name="LENGTH_FS04_1C1">#REF!</definedName>
    <definedName name="LENGTH_FS04_1C2">#REF!</definedName>
    <definedName name="LENGTH_FS04_Rail">#REF!</definedName>
    <definedName name="LENGTH_FS05_1A">#REF!</definedName>
    <definedName name="LENGTH_FS05_1A_RF">#REF!</definedName>
    <definedName name="LENGTH_FS05_1B">#REF!</definedName>
    <definedName name="LENGTH_FS05_1B1">#REF!</definedName>
    <definedName name="LENGTH_FS05_1B2">#REF!</definedName>
    <definedName name="LENGTH_FS05_1C">#REF!</definedName>
    <definedName name="LENGTH_FS05_1C_RF">#REF!</definedName>
    <definedName name="LENGTH_FS05_1C1">#REF!</definedName>
    <definedName name="LENGTH_FS05_1C2">#REF!</definedName>
    <definedName name="LENGTH_FS05_GARDEN">#REF!</definedName>
    <definedName name="LENGTH_FS05_GARDEN_1C">#REF!</definedName>
    <definedName name="LENGTH_FS05_IB_RF">#REF!</definedName>
    <definedName name="LENGTH_FS06_1A">#REF!</definedName>
    <definedName name="LENGTH_FS06_1C_RF">#REF!</definedName>
    <definedName name="LENGTH_FS06_RF">#REF!</definedName>
    <definedName name="LENGTH_FS06_Skybridge">#REF!</definedName>
    <definedName name="LENGTH_FS07_1B1">#REF!</definedName>
    <definedName name="LENGTH_FS07_1C">#REF!</definedName>
    <definedName name="LENGTH_FS11_1B1">#REF!</definedName>
    <definedName name="LENGTH_FS11_1B2">#REF!</definedName>
    <definedName name="LENGTH_FS11_1C1">#REF!</definedName>
    <definedName name="LENGTH_FS11_1C2">#REF!</definedName>
    <definedName name="LENGTH_FS12_1C2">#REF!</definedName>
    <definedName name="LENGTH_FS12_IC_RF">#REF!</definedName>
    <definedName name="LENGTH_FS12_RAIL_1C">#REF!</definedName>
    <definedName name="LENGTH_FS12_RAIL_RF">#REF!</definedName>
    <definedName name="LENGTH_FS12_RF">#REF!</definedName>
    <definedName name="LENGTH_Garage">#REF!</definedName>
    <definedName name="LENGTH_Garden">#REF!</definedName>
    <definedName name="LENGTH_GF">#REF!</definedName>
    <definedName name="LENGTH_GF___BOH____General_areas">#REF!</definedName>
    <definedName name="LENGTH_GF___BOH___Admin_Support">#REF!</definedName>
    <definedName name="LENGTH_GF___BOH___Boiler_Room">#REF!</definedName>
    <definedName name="LENGTH_GF___BOH___Ducts">#REF!</definedName>
    <definedName name="LENGTH_GF___BOH___Executive_Offices">#REF!</definedName>
    <definedName name="LENGTH_GF___BOH___Fire_Escape_Stairs">#REF!</definedName>
    <definedName name="LENGTH_GF___BOH___Front_Desk">#REF!</definedName>
    <definedName name="LENGTH_GF___BOH___Front_Office_Devision">#REF!</definedName>
    <definedName name="LENGTH_GF___BOH___Guest_Core">#REF!</definedName>
    <definedName name="LENGTH_GF___BOH___Guest_Core_ducts">#REF!</definedName>
    <definedName name="LENGTH_GF___BOH___Guest_Core_lift_shafts">#REF!</definedName>
    <definedName name="LENGTH_GF___BOH___Lobby_Bar_Pantry">#REF!</definedName>
    <definedName name="LENGTH_GF___BOH___Luggage">#REF!</definedName>
    <definedName name="LENGTH_GF___BOH___Prayer_Rooms">#REF!</definedName>
    <definedName name="LENGTH_GF___BOH___Sales_Offices">#REF!</definedName>
    <definedName name="LENGTH_GF___BOH___Security_and_Valet">#REF!</definedName>
    <definedName name="LENGTH_GF___BOH___Service_Core">#REF!</definedName>
    <definedName name="LENGTH_GF___BOH___Service_Core_ducts">#REF!</definedName>
    <definedName name="LENGTH_GF___BOH___Staff_Core">#REF!</definedName>
    <definedName name="LENGTH_GF___BOH___Staff_Core_lift_shafts">#REF!</definedName>
    <definedName name="LENGTH_GF___Double_Volume_internal_Reception">#REF!</definedName>
    <definedName name="LENGTH_GF___FOH___Circulation">#REF!</definedName>
    <definedName name="LENGTH_GF___FOH___Guest_Circulation">#REF!</definedName>
    <definedName name="LENGTH_GF___FOH___Guestroom_Terrace">#REF!</definedName>
    <definedName name="LENGTH_GF___FOH___Guestrooms">#REF!</definedName>
    <definedName name="LENGTH_GF___FOH___Hotel_Port_Corchere">#REF!</definedName>
    <definedName name="LENGTH_GF___FOH___Lobby_Bar___Lounge">#REF!</definedName>
    <definedName name="LENGTH_GF___FOH___Lobby_Bar___Lounge_Toilets">#REF!</definedName>
    <definedName name="LENGTH_GF___FOH___Reception_and_Lobby_BR_Terrace">#REF!</definedName>
    <definedName name="LENGTH_GF___FOH___Reception_Lobby">#REF!</definedName>
    <definedName name="LENGTH_GF___FOH___Speciality_Restaurant_01_Roof_Terrace">#REF!</definedName>
    <definedName name="LENGTH_GF___FOH___Wind_Lobby">#REF!</definedName>
    <definedName name="LENGTH_GF__15mm_dia._CWS_Buried_Underground">#REF!</definedName>
    <definedName name="LENGTH_GF__25mm_dia._CWS_20mm_dia_HSW">#REF!</definedName>
    <definedName name="LENGTH_GF__32_dia._CWS_Main_Buried_underground">#REF!</definedName>
    <definedName name="LENGTH_GF__32mm_dia_BCWS_25mm_dia_HWS">#REF!</definedName>
    <definedName name="LENGTH_GF_Bell_Captain">#REF!</definedName>
    <definedName name="LENGTH_GF_BOH_Service___Utility_area">#REF!</definedName>
    <definedName name="LENGTH_GF_BOH_Staircase">#REF!</definedName>
    <definedName name="LENGTH_GF_Business_Center">#REF!</definedName>
    <definedName name="LENGTH_GF_Double_Vol._at_Parking_ramp__2.5m_high_">#REF!</definedName>
    <definedName name="LENGTH_GF_Double_Volume">#REF!</definedName>
    <definedName name="LENGTH_GF_ENT._LOBBY_TO_LUGGAGE_BELL_CAPT">#REF!</definedName>
    <definedName name="LENGTH_GF_External_Double_doors__FOH_">#REF!</definedName>
    <definedName name="LENGTH_GF_External_Revolving_doors__FOH_">#REF!</definedName>
    <definedName name="LENGTH_GF_External_Single_doors__BOH_">#REF!</definedName>
    <definedName name="LENGTH_GF_External_Single_doors__FOH_">#REF!</definedName>
    <definedName name="LENGTH_GF_FOH_Circulation_Area">#REF!</definedName>
    <definedName name="LENGTH_GF_FOH_Staircase">#REF!</definedName>
    <definedName name="LENGTH_GF_Front_Office">#REF!</definedName>
    <definedName name="LENGTH_GF_Guest_Core">#REF!</definedName>
    <definedName name="LENGTH_GF_Guest_Rooms">#REF!</definedName>
    <definedName name="LENGTH_GF_HGR_BOH">#REF!</definedName>
    <definedName name="LENGTH_GF_HGR_Circulation">#REF!</definedName>
    <definedName name="LENGTH_GF_HGR_Covered_Balcony">#REF!</definedName>
    <definedName name="LENGTH_GF_HGR_Fire_Staircase">#REF!</definedName>
    <definedName name="LENGTH_GF_Internal_Single_doors__BOH_">#REF!</definedName>
    <definedName name="LENGTH_GF_Internal_Single_doors__FOH_">#REF!</definedName>
    <definedName name="LENGTH_GF_Lift_Shaft">#REF!</definedName>
    <definedName name="LENGTH_GF_Lobby_Bar">#REF!</definedName>
    <definedName name="LENGTH_GF_Lobby_Lounge">#REF!</definedName>
    <definedName name="LENGTH_GF_Lobby_Lounge_pantry">#REF!</definedName>
    <definedName name="LENGTH_GF_Luggage_Room">#REF!</definedName>
    <definedName name="LENGTH_GF_MEP_Area">#REF!</definedName>
    <definedName name="LENGTH_GF_Prayer_Room">#REF!</definedName>
    <definedName name="LENGTH_GF_Public_Toilets">#REF!</definedName>
    <definedName name="LENGTH_GF_Ramp_B1_to_GF">#REF!</definedName>
    <definedName name="LENGTH_GF_Ramp_GF_to_B1">#REF!</definedName>
    <definedName name="LENGTH_GF_Reception">#REF!</definedName>
    <definedName name="LENGTH_GF_Roller_shutter_doors__BOH_">#REF!</definedName>
    <definedName name="LENGTH_GF_Service_Core">#REF!</definedName>
    <definedName name="LENGTH_GF_Toilet_cubicle_doors">#REF!</definedName>
    <definedName name="LENGTH_GF_Toilet_to_Prayer_rooms">#REF!</definedName>
    <definedName name="LENGTH_GF_Voids_Dead_areas">#REF!</definedName>
    <definedName name="LENGTH_GFA">#REF!</definedName>
    <definedName name="LENGTH_GFA__GF_">#REF!</definedName>
    <definedName name="LENGTH_GFA__lvl_1_">#REF!</definedName>
    <definedName name="LENGTH_GFA__lvl_2_">#REF!</definedName>
    <definedName name="LENGTH_GFA__lvl_3_">#REF!</definedName>
    <definedName name="LENGTH_GFA__Podium_1_">#REF!</definedName>
    <definedName name="LENGTH_GFA__Podium_2_">#REF!</definedName>
    <definedName name="LENGTH_GFA__Roof_">#REF!</definedName>
    <definedName name="LENGTH_GIFA">#REF!</definedName>
    <definedName name="LENGTH_GIFA__GF_">#REF!</definedName>
    <definedName name="LENGTH_GIFA__lvl_1_">#REF!</definedName>
    <definedName name="LENGTH_GIFA__lvl_2_">#REF!</definedName>
    <definedName name="LENGTH_GIFA__Podium_1_">#REF!</definedName>
    <definedName name="LENGTH_GIFA__Podium_2_">#REF!</definedName>
    <definedName name="LENGTH_GIFA__Roof_">#REF!</definedName>
    <definedName name="LENGTH_GR1__Ceiling_Finishes___Dropped_Ceiling">#REF!</definedName>
    <definedName name="LENGTH_GR1__Ceiling_Finishes___False_Ceiling">#REF!</definedName>
    <definedName name="LENGTH_GR1__Skirting____Blacken_Steel_Finish">#REF!</definedName>
    <definedName name="LENGTH_GR1__Skirting____Bronze_Finish">#REF!</definedName>
    <definedName name="LENGTH_GR1__Skirting____Chrome_metal_skirting">#REF!</definedName>
    <definedName name="LENGTH_GR1__Threshold">#REF!</definedName>
    <definedName name="LENGTH_GR2__Skirting____Blacken_Steel_Finish">#REF!</definedName>
    <definedName name="LENGTH_GR2__Skirting____Bronze_Finish">#REF!</definedName>
    <definedName name="LENGTH_GR2__Skirting____Chrome_metal_skirting">#REF!</definedName>
    <definedName name="LENGTH_GR2__Threshold">#REF!</definedName>
    <definedName name="LENGTH_Hotel_F_B__GF_" localSheetId="1">#REF!</definedName>
    <definedName name="LENGTH_Hotel_F_B__GF_">#REF!</definedName>
    <definedName name="LENGTH_IA_001mPF_BA_A_U00___lift_lobby">#REF!</definedName>
    <definedName name="LENGTH_IA_001mPF_BA_A_U00___lift_shaft">#REF!</definedName>
    <definedName name="LENGTH_IA_001mPF_BB_B_U00___double_vol._e.t.s._rm.">#REF!</definedName>
    <definedName name="LENGTH_IA_001mPF_BB_B_U00___double_volume">#REF!</definedName>
    <definedName name="LENGTH_IA_001mPF_BB_B_U00___electrical_rm.">#REF!</definedName>
    <definedName name="LENGTH_IA_001mPF_BB_B_U00___f.e._stairs">#REF!</definedName>
    <definedName name="LENGTH_IA_001mPF_BB_B_U00___f.h.c.">#REF!</definedName>
    <definedName name="LENGTH_IA_001mPF_BB_B_U00___garbage_rm.">#REF!</definedName>
    <definedName name="LENGTH_IA_001mPF_BB_B_U00___services_trans._area">#REF!</definedName>
    <definedName name="LENGTH_IA_001mPF_BB_B_U00___shaft">#REF!</definedName>
    <definedName name="LENGTH_IA_001mPF_BB_B_U00___stair_3">#REF!</definedName>
    <definedName name="LENGTH_IA_001mPF_BB_B_U00___telephone_rm.">#REF!</definedName>
    <definedName name="LENGTH_IA_001mPF_BB_B_U00___void">#REF!</definedName>
    <definedName name="LENGTH_IA_001mPF_BB_C_U00___driveway">#REF!</definedName>
    <definedName name="LENGTH_IA_001mPF_BB_C_U00___driveway_ramp">#REF!</definedName>
    <definedName name="LENGTH_IA_001mPF_BB_C_U00___driveway_zebra_lines">#REF!</definedName>
    <definedName name="LENGTH_IA_001mPF_BB_C_U00___parking_bay">#REF!</definedName>
    <definedName name="LENGTH_IA_001mPF_BB_C_U00___sidewalk">#REF!</definedName>
    <definedName name="LENGTH_IA_001mPF_BB_C_U00___sidewalk_ramp">#REF!</definedName>
    <definedName name="LENGTH_IA_001PF_BA_A_U00___lift_lobby">#REF!</definedName>
    <definedName name="LENGTH_IA_001PF_BA_A_U00___lift_shaft">#REF!</definedName>
    <definedName name="LENGTH_IA_001PF_BA_B_U00___electrical_rm.">#REF!</definedName>
    <definedName name="LENGTH_IA_001PF_BA_B_U00___f.e._stairs">#REF!</definedName>
    <definedName name="LENGTH_IA_001PF_BA_B_U00___f.h.c.">#REF!</definedName>
    <definedName name="LENGTH_IA_001PF_BA_B_U00___garbage_rm.">#REF!</definedName>
    <definedName name="LENGTH_IA_001PF_BA_B_U00___shaft">#REF!</definedName>
    <definedName name="LENGTH_IA_001PF_BA_B_U00___stair_3">#REF!</definedName>
    <definedName name="LENGTH_IA_001PF_BA_B_U00___telephone_rm.">#REF!</definedName>
    <definedName name="LENGTH_IA_001PF_BA_C_U00___driveway">#REF!</definedName>
    <definedName name="LENGTH_IA_001PF_BA_C_U00___driveway_zebra_line">#REF!</definedName>
    <definedName name="LENGTH_IA_001PF_BA_C_U00___parking_bay">#REF!</definedName>
    <definedName name="LENGTH_IA_001PF_BA_C_U00___sidewalk">#REF!</definedName>
    <definedName name="LENGTH_IA_002PF_BA_A_U00___lift_lobby">#REF!</definedName>
    <definedName name="LENGTH_IA_002PF_BA_A_U00___lift_shaft">#REF!</definedName>
    <definedName name="LENGTH_IA_002PF_BA_B_U00___electrical_rm.">#REF!</definedName>
    <definedName name="LENGTH_IA_002PF_BA_B_U00___f.e._stairs">#REF!</definedName>
    <definedName name="LENGTH_IA_002PF_BA_B_U00___f.h.c.">#REF!</definedName>
    <definedName name="LENGTH_IA_002PF_BA_B_U00___garbage_rm.">#REF!</definedName>
    <definedName name="LENGTH_IA_002PF_BA_B_U00___shaft">#REF!</definedName>
    <definedName name="LENGTH_IA_002PF_BA_B_U00___stair_3">#REF!</definedName>
    <definedName name="LENGTH_IA_002PF_BA_B_U00___telephone_rm.">#REF!</definedName>
    <definedName name="LENGTH_IA_002PF_BA_C_U00___driveway">#REF!</definedName>
    <definedName name="LENGTH_IA_002PF_BA_C_U00___driveway_zebra_line">#REF!</definedName>
    <definedName name="LENGTH_IA_002PF_BA_C_U00___parking_bay">#REF!</definedName>
    <definedName name="LENGTH_IA_002PF_BA_C_U00___sidewalk">#REF!</definedName>
    <definedName name="LENGTH_IA_003PF_BA_A_U00___lift_lobby">#REF!</definedName>
    <definedName name="LENGTH_IA_003PF_BA_A_U00___lift_shaft">#REF!</definedName>
    <definedName name="LENGTH_IA_003PF_BA_B_U00___electrical_rm.">#REF!</definedName>
    <definedName name="LENGTH_IA_003PF_BA_B_U00___f.e._stairs">#REF!</definedName>
    <definedName name="LENGTH_IA_003PF_BA_B_U00___f.h.c.">#REF!</definedName>
    <definedName name="LENGTH_IA_003PF_BA_B_U00___garbage_rm.">#REF!</definedName>
    <definedName name="LENGTH_IA_003PF_BA_B_U00___plant_rm.">#REF!</definedName>
    <definedName name="LENGTH_IA_003PF_BA_B_U00___shaft">#REF!</definedName>
    <definedName name="LENGTH_IA_003PF_BA_B_U00___stair_3">#REF!</definedName>
    <definedName name="LENGTH_IA_003PF_BA_B_U00___telephone_rm.">#REF!</definedName>
    <definedName name="LENGTH_IA_003PF_BA_C_U00___driveway">#REF!</definedName>
    <definedName name="LENGTH_IA_003PF_BA_C_U00___driveway_zebra_line">#REF!</definedName>
    <definedName name="LENGTH_IA_003PF_BA_C_U00___parking_bay">#REF!</definedName>
    <definedName name="LENGTH_IA_003PF_BA_C_U00___sidewalk">#REF!</definedName>
    <definedName name="LENGTH_IA_00AF_AB_U00___cafe">#REF!</definedName>
    <definedName name="LENGTH_IA_00AF_AB_U00___cafe_pantry">#REF!</definedName>
    <definedName name="LENGTH_IA_00AF_AB_U00___corridor">#REF!</definedName>
    <definedName name="LENGTH_IA_00AF_AB_U00___game_rm.">#REF!</definedName>
    <definedName name="LENGTH_IA_00AF_AB_U00___game_rm._store">#REF!</definedName>
    <definedName name="LENGTH_IA_00AF_AB_U00___gym_female">#REF!</definedName>
    <definedName name="LENGTH_IA_00AF_AB_U00___gym_female_lobby">#REF!</definedName>
    <definedName name="LENGTH_IA_00AF_AB_U00___gym_female_shaft">#REF!</definedName>
    <definedName name="LENGTH_IA_00AF_AB_U00___gym_female_store">#REF!</definedName>
    <definedName name="LENGTH_IA_00AF_AB_U00___gym_female_void">#REF!</definedName>
    <definedName name="LENGTH_IA_00AF_AB_U00___gym_male">#REF!</definedName>
    <definedName name="LENGTH_IA_00AF_AB_U00___gym_male_lobby">#REF!</definedName>
    <definedName name="LENGTH_IA_00AF_AB_U00___gym_male_shaft">#REF!</definedName>
    <definedName name="LENGTH_IA_00AF_AB_U00___gym_male_store">#REF!</definedName>
    <definedName name="LENGTH_IA_00AF_AB_U00___gym_male_void">#REF!</definedName>
    <definedName name="LENGTH_IA_00AF_AB_U00___handicap_toi._female">#REF!</definedName>
    <definedName name="LENGTH_IA_00AF_AB_U00___handicap_toi._male">#REF!</definedName>
    <definedName name="LENGTH_IA_00AF_AB_U00___lift_lobby">#REF!</definedName>
    <definedName name="LENGTH_IA_00AF_AB_U00___lift_shaft">#REF!</definedName>
    <definedName name="LENGTH_IA_00AF_AB_U00___multi_purpose_rm.">#REF!</definedName>
    <definedName name="LENGTH_IA_00AF_AB_U00___multi_purpose_shaft">#REF!</definedName>
    <definedName name="LENGTH_IA_00AF_AB_U00___multi_purpose_store">#REF!</definedName>
    <definedName name="LENGTH_IA_00AF_AB_U00___spa_f._hallway">#REF!</definedName>
    <definedName name="LENGTH_IA_00AF_AB_U00___spa_f._heater_rm.">#REF!</definedName>
    <definedName name="LENGTH_IA_00AF_AB_U00___spa_f._lobby">#REF!</definedName>
    <definedName name="LENGTH_IA_00AF_AB_U00___spa_f._lockers">#REF!</definedName>
    <definedName name="LENGTH_IA_00AF_AB_U00___spa_f._massage_rm.">#REF!</definedName>
    <definedName name="LENGTH_IA_00AF_AB_U00___spa_f._rec.">#REF!</definedName>
    <definedName name="LENGTH_IA_00AF_AB_U00___spa_f._sauna">#REF!</definedName>
    <definedName name="LENGTH_IA_00AF_AB_U00___spa_f._shaft">#REF!</definedName>
    <definedName name="LENGTH_IA_00AF_AB_U00___spa_f._shower_toilet">#REF!</definedName>
    <definedName name="LENGTH_IA_00AF_AB_U00___spa_f._steam_rm.">#REF!</definedName>
    <definedName name="LENGTH_IA_00AF_AB_U00___spa_m._hallway">#REF!</definedName>
    <definedName name="LENGTH_IA_00AF_AB_U00___spa_m._heater_rm.">#REF!</definedName>
    <definedName name="LENGTH_IA_00AF_AB_U00___spa_m._lobby">#REF!</definedName>
    <definedName name="LENGTH_IA_00AF_AB_U00___spa_m._lockers">#REF!</definedName>
    <definedName name="LENGTH_IA_00AF_AB_U00___spa_m._massage_rm.">#REF!</definedName>
    <definedName name="LENGTH_IA_00AF_AB_U00___spa_m._rec.">#REF!</definedName>
    <definedName name="LENGTH_IA_00AF_AB_U00___spa_m._sauna">#REF!</definedName>
    <definedName name="LENGTH_IA_00AF_AB_U00___spa_m._shaft">#REF!</definedName>
    <definedName name="LENGTH_IA_00AF_AB_U00___spa_m._shower_toilet">#REF!</definedName>
    <definedName name="LENGTH_IA_00AF_AB_U00___spa_m._steam_rm.">#REF!</definedName>
    <definedName name="LENGTH_IA_00AF_AC_U00___electrical_rm.">#REF!</definedName>
    <definedName name="LENGTH_IA_00AF_AC_U00___f.e._stair">#REF!</definedName>
    <definedName name="LENGTH_IA_00AF_AC_U00___fhc">#REF!</definedName>
    <definedName name="LENGTH_IA_00AF_AC_U00___garbage_rm.">#REF!</definedName>
    <definedName name="LENGTH_IA_00AF_AC_U00___shaft">#REF!</definedName>
    <definedName name="LENGTH_IA_00AF_AC_U00___stair_3">#REF!</definedName>
    <definedName name="LENGTH_IA_00AF_AC_U00___store_rm.">#REF!</definedName>
    <definedName name="LENGTH_IA_00AF_AC_U00___telephone_rm.">#REF!</definedName>
    <definedName name="LENGTH_IA_00B1F_BD_B_U00___double_volume">#REF!</definedName>
    <definedName name="LENGTH_IA_00B1F_BD_B_U00___f.e._stairs">#REF!</definedName>
    <definedName name="LENGTH_IA_00B1F_BD_B_U00___f.h.c.">#REF!</definedName>
    <definedName name="LENGTH_IA_00B1F_BD_B_U00___fire_pump_rm.">#REF!</definedName>
    <definedName name="LENGTH_IA_00B1F_BD_B_U00___lobby_rm.">#REF!</definedName>
    <definedName name="LENGTH_IA_00B1F_BD_B_U00___lobby_rm._ent.">#REF!</definedName>
    <definedName name="LENGTH_IA_00B1F_BD_B_U00___shaft">#REF!</definedName>
    <definedName name="LENGTH_IA_00B1F_BD_B_U00___stair_3">#REF!</definedName>
    <definedName name="LENGTH_IA_00B1F_BD_B_U00___tech._rm.">#REF!</definedName>
    <definedName name="LENGTH_IA_00B1F_BD_C_U00___double_volume">#REF!</definedName>
    <definedName name="LENGTH_IA_00B1F_BD_C_U00___driveway">#REF!</definedName>
    <definedName name="LENGTH_IA_00B1F_BD_C_U00___driveway_ramp_1">#REF!</definedName>
    <definedName name="LENGTH_IA_00B1F_BD_C_U00___driveway_zebra_lines">#REF!</definedName>
    <definedName name="LENGTH_IA_00B1F_BD_C_U00___parking_bay">#REF!</definedName>
    <definedName name="LENGTH_IA_00B1F_BD_C_U00___sidewalk">#REF!</definedName>
    <definedName name="LENGTH_IA_00B1F_BD_C_U00___sidewalk_ramp">#REF!</definedName>
    <definedName name="LENGTH_IA_00B1iF_BD_A_U00___lift_lobby">#REF!</definedName>
    <definedName name="LENGTH_IA_00B1iF_BD_A_U00___lift_shaft">#REF!</definedName>
    <definedName name="LENGTH_IA_00B1iF_BD_B_U00___electrical_rm.">#REF!</definedName>
    <definedName name="LENGTH_IA_00B1iF_BD_B_U00___f.e._stairs">#REF!</definedName>
    <definedName name="LENGTH_IA_00B1iF_BD_B_U00___f.h.c.">#REF!</definedName>
    <definedName name="LENGTH_IA_00B1iF_BD_B_U00___l.v._rm.">#REF!</definedName>
    <definedName name="LENGTH_IA_00B1iF_BD_B_U00___main_tel._rm.">#REF!</definedName>
    <definedName name="LENGTH_IA_00B1iF_BD_B_U00___shaft">#REF!</definedName>
    <definedName name="LENGTH_IA_00B1iF_BD_B_U00___stair_4">#REF!</definedName>
    <definedName name="LENGTH_IA_00B1iF_BD_B_U00___storage_1">#REF!</definedName>
    <definedName name="LENGTH_IA_00B1iF_BD_B_U00___tech._rm.1">#REF!</definedName>
    <definedName name="LENGTH_IA_00B1iF_BD_B_U00___tech._rm.2">#REF!</definedName>
    <definedName name="LENGTH_IA_00B1iF_BD_B_U00___tech._rm.3">#REF!</definedName>
    <definedName name="LENGTH_IA_00B1iF_BD_B_U00___water_tank_1_double_volume">#REF!</definedName>
    <definedName name="LENGTH_IA_00B1iF_BD_B_U00___water_tank_2_double_volume">#REF!</definedName>
    <definedName name="LENGTH_IA_00B1iF_BD_B_U00___water_tank_3_double_volume">#REF!</definedName>
    <definedName name="LENGTH_IA_00B1iF_BD_B_U00___water_tank_4_double_volume">#REF!</definedName>
    <definedName name="LENGTH_IA_00B1iF_BD_C_U00___driveway">#REF!</definedName>
    <definedName name="LENGTH_IA_00B1iF_BD_C_U00___driveway_zebra_lines">#REF!</definedName>
    <definedName name="LENGTH_IA_00B1iF_BD_C_U00___parking_bay">#REF!</definedName>
    <definedName name="LENGTH_IA_00B1iF_BD_C_U00___sidewalk">#REF!</definedName>
    <definedName name="LENGTH_IA_00B2F_BD_A_U00___lift_lobby">#REF!</definedName>
    <definedName name="LENGTH_IA_00B2F_BD_A_U00___lift_shaft">#REF!</definedName>
    <definedName name="LENGTH_IA_00B2F_BD_B_U00___electrical_rm.">#REF!</definedName>
    <definedName name="LENGTH_IA_00B2F_BD_B_U00___f.e._stair">#REF!</definedName>
    <definedName name="LENGTH_IA_00B2F_BD_B_U00___f.h.c.">#REF!</definedName>
    <definedName name="LENGTH_IA_00B2F_BD_B_U00___mechanical_rm.1">#REF!</definedName>
    <definedName name="LENGTH_IA_00B2F_BD_B_U00___pump_rm.">#REF!</definedName>
    <definedName name="LENGTH_IA_00B2F_BD_B_U00___pump_rm._2">#REF!</definedName>
    <definedName name="LENGTH_IA_00B2F_BD_B_U00___shaft">#REF!</definedName>
    <definedName name="LENGTH_IA_00B2F_BD_B_U00___stair_4">#REF!</definedName>
    <definedName name="LENGTH_IA_00B2F_BD_B_U00___store_rm.1">#REF!</definedName>
    <definedName name="LENGTH_IA_00B2F_BD_B_U00___store_rm.2">#REF!</definedName>
    <definedName name="LENGTH_IA_00B2F_BD_B_U00___store_rm.3">#REF!</definedName>
    <definedName name="LENGTH_IA_00B2F_BD_B_U00___store_rm.4">#REF!</definedName>
    <definedName name="LENGTH_IA_00B2F_BD_B_U00___store_rm.5">#REF!</definedName>
    <definedName name="LENGTH_IA_00B2F_BD_B_U00___tech_rm.1">#REF!</definedName>
    <definedName name="LENGTH_IA_00B2F_BD_B_U00___tech_rm.2">#REF!</definedName>
    <definedName name="LENGTH_IA_00B2F_BD_B_U00___tech_rm.3">#REF!</definedName>
    <definedName name="LENGTH_IA_00B2F_BD_B_U00___water_tank__1">#REF!</definedName>
    <definedName name="LENGTH_IA_00B2F_BD_B_U00___water_tank__2">#REF!</definedName>
    <definedName name="LENGTH_IA_00B2F_BD_B_U00___water_tank__3">#REF!</definedName>
    <definedName name="LENGTH_IA_00B2F_BD_B_U00___water_tank__4">#REF!</definedName>
    <definedName name="LENGTH_IA_00B2F_BD_C_U00___driveway_1">#REF!</definedName>
    <definedName name="LENGTH_IA_00B2F_BD_C_U00___driveway_1___zebra_line">#REF!</definedName>
    <definedName name="LENGTH_IA_00B2F_BD_C_U00___parking_bay_1">#REF!</definedName>
    <definedName name="LENGTH_IA_00B2F_BD_C_U00___sidewalk_1">#REF!</definedName>
    <definedName name="LENGTH_IA_00BF_BC_A_U00___entrance_lobby">#REF!</definedName>
    <definedName name="LENGTH_IA_00BF_BC_A_U00___lift_lobby">#REF!</definedName>
    <definedName name="LENGTH_IA_00BF_BC_A_U00___lift_shaft">#REF!</definedName>
    <definedName name="LENGTH_IA_00BF_BC_A_U00___main_entrance">#REF!</definedName>
    <definedName name="LENGTH_IA_00BF_BC_B_U00___b.m.s._rm.">#REF!</definedName>
    <definedName name="LENGTH_IA_00BF_BC_B_U00___e.t.s_rm.">#REF!</definedName>
    <definedName name="LENGTH_IA_00BF_BC_B_U00___e.t.s_rm._hallway">#REF!</definedName>
    <definedName name="LENGTH_IA_00BF_BC_B_U00___e.t.s_rm.1">#REF!</definedName>
    <definedName name="LENGTH_IA_00BF_BC_B_U00___elect._rm">#REF!</definedName>
    <definedName name="LENGTH_IA_00BF_BC_B_U00___elect._rm_1">#REF!</definedName>
    <definedName name="LENGTH_IA_00BF_BC_B_U00___f.e._stair">#REF!</definedName>
    <definedName name="LENGTH_IA_00BF_BC_B_U00___f.e._stair_corridor">#REF!</definedName>
    <definedName name="LENGTH_IA_00BF_BC_B_U00___f.e._stair_corridor_lobby">#REF!</definedName>
    <definedName name="LENGTH_IA_00BF_BC_B_U00___f.h.c.">#REF!</definedName>
    <definedName name="LENGTH_IA_00BF_BC_B_U00___g.s.m._rm.">#REF!</definedName>
    <definedName name="LENGTH_IA_00BF_BC_B_U00___garbage_rm.">#REF!</definedName>
    <definedName name="LENGTH_IA_00BF_BC_B_U00___garbage_rm._ramp">#REF!</definedName>
    <definedName name="LENGTH_IA_00BF_BC_B_U00___generator_rm.">#REF!</definedName>
    <definedName name="LENGTH_IA_00BF_BC_B_U00___guard_rm.">#REF!</definedName>
    <definedName name="LENGTH_IA_00BF_BC_B_U00___guard_rm._toilet">#REF!</definedName>
    <definedName name="LENGTH_IA_00BF_BC_B_U00___h.v._rm.">#REF!</definedName>
    <definedName name="LENGTH_IA_00BF_BC_B_U00___platform">#REF!</definedName>
    <definedName name="LENGTH_IA_00BF_BC_B_U00___shaft">#REF!</definedName>
    <definedName name="LENGTH_IA_00BF_BC_B_U00___stairs_3">#REF!</definedName>
    <definedName name="LENGTH_IA_00BF_BC_B_U00___tech._area_1">#REF!</definedName>
    <definedName name="LENGTH_IA_00BF_BC_B_U00___tech._area_2">#REF!</definedName>
    <definedName name="LENGTH_IA_00BF_BC_B_U00___tech._area_3">#REF!</definedName>
    <definedName name="LENGTH_IA_00BF_BC_B_U00___tech._area_3_lobby">#REF!</definedName>
    <definedName name="LENGTH_IA_00BF_BC_B_U00___tel_rm.">#REF!</definedName>
    <definedName name="LENGTH_IA_00BF_BC_B_U00___toilet">#REF!</definedName>
    <definedName name="LENGTH_IA_00BF_BC_B_U00___toilet_female">#REF!</definedName>
    <definedName name="LENGTH_IA_00BF_BC_B_U00___toilet_lobby">#REF!</definedName>
    <definedName name="LENGTH_IA_00BF_BC_B_U00___toilet_male">#REF!</definedName>
    <definedName name="LENGTH_IA_00BF_BC_B_U00___transformer_rm.">#REF!</definedName>
    <definedName name="LENGTH_IA_00BF_BC_C_U00___double_volume">#REF!</definedName>
    <definedName name="LENGTH_IA_00BF_BC_C_U00___driveway_1">#REF!</definedName>
    <definedName name="LENGTH_IA_00BF_BC_C_U00___driveway_ramp">#REF!</definedName>
    <definedName name="LENGTH_IA_00BF_BC_C_U00___driveway_zebra_line">#REF!</definedName>
    <definedName name="LENGTH_IA_00BF_BC_C_U00___sidewalk_1">#REF!</definedName>
    <definedName name="LENGTH_IA_00BF_BC_C_U00___sidewalk_1_ramp">#REF!</definedName>
    <definedName name="LENGTH_IA_00BF_BC_C_U00___void">#REF!</definedName>
    <definedName name="LENGTH_IA_01F_AA_U01___BR1_lobby">#REF!</definedName>
    <definedName name="LENGTH_IA_01F_AA_U01___BR1_rm.">#REF!</definedName>
    <definedName name="LENGTH_IA_01F_AA_U01___BR1_t_b">#REF!</definedName>
    <definedName name="LENGTH_IA_01F_AA_U01___BR2_dresser">#REF!</definedName>
    <definedName name="LENGTH_IA_01F_AA_U01___BR2_lobby">#REF!</definedName>
    <definedName name="LENGTH_IA_01F_AA_U01___BR2_rm.">#REF!</definedName>
    <definedName name="LENGTH_IA_01F_AA_U01___BR2_t_b">#REF!</definedName>
    <definedName name="LENGTH_IA_01F_AA_U01___corridor">#REF!</definedName>
    <definedName name="LENGTH_IA_01F_AA_U01___foyer">#REF!</definedName>
    <definedName name="LENGTH_IA_01F_AA_U01___kitchen">#REF!</definedName>
    <definedName name="LENGTH_IA_01F_AA_U01___living_dining">#REF!</definedName>
    <definedName name="LENGTH_IA_01F_AA_U01___maids_rm.">#REF!</definedName>
    <definedName name="LENGTH_IA_01F_AA_U01___maids_toi.">#REF!</definedName>
    <definedName name="LENGTH_IA_01F_AA_U01___shaft">#REF!</definedName>
    <definedName name="LENGTH_IA_01F_AA_U01___toilet">#REF!</definedName>
    <definedName name="LENGTH_IA_01F_AA_U01___utility_rm.">#REF!</definedName>
    <definedName name="LENGTH_IA_01F_AA_U01___void">#REF!</definedName>
    <definedName name="LENGTH_IA_01F_AA_U02___BR1_dresser">#REF!</definedName>
    <definedName name="LENGTH_IA_01F_AA_U02___BR1_rm.">#REF!</definedName>
    <definedName name="LENGTH_IA_01F_AA_U02___BR1_t_b">#REF!</definedName>
    <definedName name="LENGTH_IA_01F_AA_U02___BR2_lobby">#REF!</definedName>
    <definedName name="LENGTH_IA_01F_AA_U02___BR2_rm.">#REF!</definedName>
    <definedName name="LENGTH_IA_01F_AA_U02___BR2_t_b">#REF!</definedName>
    <definedName name="LENGTH_IA_01F_AA_U02___corridor">#REF!</definedName>
    <definedName name="LENGTH_IA_01F_AA_U02___foyer">#REF!</definedName>
    <definedName name="LENGTH_IA_01F_AA_U02___kitchen">#REF!</definedName>
    <definedName name="LENGTH_IA_01F_AA_U02___living_dining">#REF!</definedName>
    <definedName name="LENGTH_IA_01F_AA_U02___maids_rm.">#REF!</definedName>
    <definedName name="LENGTH_IA_01F_AA_U02___maids_toi.">#REF!</definedName>
    <definedName name="LENGTH_IA_01F_AA_U02___shaft">#REF!</definedName>
    <definedName name="LENGTH_IA_01F_AA_U02___toilet">#REF!</definedName>
    <definedName name="LENGTH_IA_01F_AA_U02___utility_rm.">#REF!</definedName>
    <definedName name="LENGTH_IA_01F_AA_U02___void">#REF!</definedName>
    <definedName name="LENGTH_IA_01F_AA_U03___BR1_dresser">#REF!</definedName>
    <definedName name="LENGTH_IA_01F_AA_U03___BR1_lobby">#REF!</definedName>
    <definedName name="LENGTH_IA_01F_AA_U03___BR1_rm.">#REF!</definedName>
    <definedName name="LENGTH_IA_01F_AA_U03___BR1_store">#REF!</definedName>
    <definedName name="LENGTH_IA_01F_AA_U03___BR1_t_b">#REF!</definedName>
    <definedName name="LENGTH_IA_01F_AA_U03___foyer">#REF!</definedName>
    <definedName name="LENGTH_IA_01F_AA_U03___kitchen">#REF!</definedName>
    <definedName name="LENGTH_IA_01F_AA_U03___living_dining">#REF!</definedName>
    <definedName name="LENGTH_IA_01F_AA_U03___shaft">#REF!</definedName>
    <definedName name="LENGTH_IA_01F_AA_U03___storage">#REF!</definedName>
    <definedName name="LENGTH_IA_01F_AA_U03___toilet">#REF!</definedName>
    <definedName name="LENGTH_IA_01F_AA_U03___utility_rm.">#REF!</definedName>
    <definedName name="LENGTH_IA_01F_AA_U03___void">#REF!</definedName>
    <definedName name="LENGTH_IA_01F_AA_U04___BR1_dresser">#REF!</definedName>
    <definedName name="LENGTH_IA_01F_AA_U04___BR1_lobby">#REF!</definedName>
    <definedName name="LENGTH_IA_01F_AA_U04___BR1_rm.">#REF!</definedName>
    <definedName name="LENGTH_IA_01F_AA_U04___BR1_store">#REF!</definedName>
    <definedName name="LENGTH_IA_01F_AA_U04___BR1_t_b">#REF!</definedName>
    <definedName name="LENGTH_IA_01F_AA_U04___foyer">#REF!</definedName>
    <definedName name="LENGTH_IA_01F_AA_U04___kitchen">#REF!</definedName>
    <definedName name="LENGTH_IA_01F_AA_U04___living_dining">#REF!</definedName>
    <definedName name="LENGTH_IA_01F_AA_U04___shaft">#REF!</definedName>
    <definedName name="LENGTH_IA_01F_AA_U04___storage">#REF!</definedName>
    <definedName name="LENGTH_IA_01F_AA_U04___toilet">#REF!</definedName>
    <definedName name="LENGTH_IA_01F_AA_U04___utility_rm.">#REF!</definedName>
    <definedName name="LENGTH_IA_01F_AA_U04___void">#REF!</definedName>
    <definedName name="LENGTH_IA_01F_AA_U05___corridor">#REF!</definedName>
    <definedName name="LENGTH_IA_01F_AA_U05___foyer">#REF!</definedName>
    <definedName name="LENGTH_IA_01F_AA_U05___kitchen">#REF!</definedName>
    <definedName name="LENGTH_IA_01F_AA_U05___living_dining">#REF!</definedName>
    <definedName name="LENGTH_IA_01F_AA_U05___maids_lobby">#REF!</definedName>
    <definedName name="LENGTH_IA_01F_AA_U05___maids_rm.">#REF!</definedName>
    <definedName name="LENGTH_IA_01F_AA_U05___maids_toi.">#REF!</definedName>
    <definedName name="LENGTH_IA_01F_AA_U05___shaft">#REF!</definedName>
    <definedName name="LENGTH_IA_01F_AA_U05___stairs">#REF!</definedName>
    <definedName name="LENGTH_IA_01F_AA_U05___toilet">#REF!</definedName>
    <definedName name="LENGTH_IA_01F_AA_U05___utility_rm.">#REF!</definedName>
    <definedName name="LENGTH_IA_01F_AA_U06___BR1_lobby">#REF!</definedName>
    <definedName name="LENGTH_IA_01F_AA_U06___BR1_rm.">#REF!</definedName>
    <definedName name="LENGTH_IA_01F_AA_U06___BR1_t_b">#REF!</definedName>
    <definedName name="LENGTH_IA_01F_AA_U06___BR2_dresser">#REF!</definedName>
    <definedName name="LENGTH_IA_01F_AA_U06___BR2_lobby">#REF!</definedName>
    <definedName name="LENGTH_IA_01F_AA_U06___BR2_rm.">#REF!</definedName>
    <definedName name="LENGTH_IA_01F_AA_U06___BR2_t_b">#REF!</definedName>
    <definedName name="LENGTH_IA_01F_AA_U06___BR3_dresser">#REF!</definedName>
    <definedName name="LENGTH_IA_01F_AA_U06___BR3_lobby">#REF!</definedName>
    <definedName name="LENGTH_IA_01F_AA_U06___BR3_rm.">#REF!</definedName>
    <definedName name="LENGTH_IA_01F_AA_U06___BR3_t_b">#REF!</definedName>
    <definedName name="LENGTH_IA_01F_AA_U06___corridor">#REF!</definedName>
    <definedName name="LENGTH_IA_01F_AA_U06___foyer">#REF!</definedName>
    <definedName name="LENGTH_IA_01F_AA_U06___kitchen">#REF!</definedName>
    <definedName name="LENGTH_IA_01F_AA_U06___living_dining">#REF!</definedName>
    <definedName name="LENGTH_IA_01F_AA_U06___maids_rm.">#REF!</definedName>
    <definedName name="LENGTH_IA_01F_AA_U06___maids_toi.">#REF!</definedName>
    <definedName name="LENGTH_IA_01F_AA_U06___shaft">#REF!</definedName>
    <definedName name="LENGTH_IA_01F_AA_U06___toilet">#REF!</definedName>
    <definedName name="LENGTH_IA_01F_AA_U06___utility_rm.">#REF!</definedName>
    <definedName name="LENGTH_IA_01F_AB_U00___corridor">#REF!</definedName>
    <definedName name="LENGTH_IA_01F_AB_U00___lift_lobby">#REF!</definedName>
    <definedName name="LENGTH_IA_01F_AB_U00___lift_shaft">#REF!</definedName>
    <definedName name="LENGTH_IA_01F_AC_U00___electrical_rm.">#REF!</definedName>
    <definedName name="LENGTH_IA_01F_AC_U00___f.e._stair">#REF!</definedName>
    <definedName name="LENGTH_IA_01F_AC_U00___f.h.c.">#REF!</definedName>
    <definedName name="LENGTH_IA_01F_AC_U00___garbage_rm.">#REF!</definedName>
    <definedName name="LENGTH_IA_01F_AC_U00___shaft">#REF!</definedName>
    <definedName name="LENGTH_IA_01F_AC_U00___telephone_rm.">#REF!</definedName>
    <definedName name="LENGTH_IA_02F_AA_U01___BR1_lobby">#REF!</definedName>
    <definedName name="LENGTH_IA_02F_AA_U01___BR1_rm.">#REF!</definedName>
    <definedName name="LENGTH_IA_02F_AA_U01___BR1_t_b">#REF!</definedName>
    <definedName name="LENGTH_IA_02F_AA_U01___BR2_dresser">#REF!</definedName>
    <definedName name="LENGTH_IA_02F_AA_U01___BR2_lobby">#REF!</definedName>
    <definedName name="LENGTH_IA_02F_AA_U01___BR2_rm.">#REF!</definedName>
    <definedName name="LENGTH_IA_02F_AA_U01___BR2_t_b">#REF!</definedName>
    <definedName name="LENGTH_IA_02F_AA_U01___corridor">#REF!</definedName>
    <definedName name="LENGTH_IA_02F_AA_U01___foyer">#REF!</definedName>
    <definedName name="LENGTH_IA_02F_AA_U01___kitchen">#REF!</definedName>
    <definedName name="LENGTH_IA_02F_AA_U01___living_dining">#REF!</definedName>
    <definedName name="LENGTH_IA_02F_AA_U01___maids_rm.">#REF!</definedName>
    <definedName name="LENGTH_IA_02F_AA_U01___maids_toi.">#REF!</definedName>
    <definedName name="LENGTH_IA_02F_AA_U01___shaft">#REF!</definedName>
    <definedName name="LENGTH_IA_02F_AA_U01___toilet">#REF!</definedName>
    <definedName name="LENGTH_IA_02F_AA_U01___utility_rm.">#REF!</definedName>
    <definedName name="LENGTH_IA_02F_AA_U01___void">#REF!</definedName>
    <definedName name="LENGTH_IA_02F_AA_U02___BR1_dresser">#REF!</definedName>
    <definedName name="LENGTH_IA_02F_AA_U02___BR1_rm.">#REF!</definedName>
    <definedName name="LENGTH_IA_02F_AA_U02___BR1_t_b">#REF!</definedName>
    <definedName name="LENGTH_IA_02F_AA_U02___BR2_lobby">#REF!</definedName>
    <definedName name="LENGTH_IA_02F_AA_U02___BR2_rm.">#REF!</definedName>
    <definedName name="LENGTH_IA_02F_AA_U02___BR2_t_b">#REF!</definedName>
    <definedName name="LENGTH_IA_02F_AA_U02___corridor">#REF!</definedName>
    <definedName name="LENGTH_IA_02F_AA_U02___foyer">#REF!</definedName>
    <definedName name="LENGTH_IA_02F_AA_U02___kitchen">#REF!</definedName>
    <definedName name="LENGTH_IA_02F_AA_U02___living_dining">#REF!</definedName>
    <definedName name="LENGTH_IA_02F_AA_U02___maids_rm.">#REF!</definedName>
    <definedName name="LENGTH_IA_02F_AA_U02___maids_toi.">#REF!</definedName>
    <definedName name="LENGTH_IA_02F_AA_U02___shaft">#REF!</definedName>
    <definedName name="LENGTH_IA_02F_AA_U02___toilet">#REF!</definedName>
    <definedName name="LENGTH_IA_02F_AA_U02___utility_rm.">#REF!</definedName>
    <definedName name="LENGTH_IA_02F_AA_U02___void">#REF!</definedName>
    <definedName name="LENGTH_IA_02F_AA_U05___BR1_rm.">#REF!</definedName>
    <definedName name="LENGTH_IA_02F_AA_U05___BR1_t_b">#REF!</definedName>
    <definedName name="LENGTH_IA_02F_AA_U05___BR2_lobby">#REF!</definedName>
    <definedName name="LENGTH_IA_02F_AA_U05___BR2_rm.">#REF!</definedName>
    <definedName name="LENGTH_IA_02F_AA_U05___BR2_t_b">#REF!</definedName>
    <definedName name="LENGTH_IA_02F_AA_U05___double_vol.">#REF!</definedName>
    <definedName name="LENGTH_IA_02F_AA_U05___foyer">#REF!</definedName>
    <definedName name="LENGTH_IA_02F_AA_U05___living_rm.">#REF!</definedName>
    <definedName name="LENGTH_IA_02F_AA_U05___shaft">#REF!</definedName>
    <definedName name="LENGTH_IA_02F_AA_U05___stairs">#REF!</definedName>
    <definedName name="LENGTH_IA_02F_AA_U05___void">#REF!</definedName>
    <definedName name="LENGTH_IA_02F_AA_U06___BR1_lobby">#REF!</definedName>
    <definedName name="LENGTH_IA_02F_AA_U06___BR1_rm.">#REF!</definedName>
    <definedName name="LENGTH_IA_02F_AA_U06___BR1_t_b">#REF!</definedName>
    <definedName name="LENGTH_IA_02F_AA_U06___BR2_dresser">#REF!</definedName>
    <definedName name="LENGTH_IA_02F_AA_U06___BR2_lobby">#REF!</definedName>
    <definedName name="LENGTH_IA_02F_AA_U06___BR2_rm.">#REF!</definedName>
    <definedName name="LENGTH_IA_02F_AA_U06___BR2_t_b">#REF!</definedName>
    <definedName name="LENGTH_IA_02F_AA_U06___BR3_dresser">#REF!</definedName>
    <definedName name="LENGTH_IA_02F_AA_U06___BR3_lobby">#REF!</definedName>
    <definedName name="LENGTH_IA_02F_AA_U06___BR3_rm.">#REF!</definedName>
    <definedName name="LENGTH_IA_02F_AA_U06___BR3_t_b">#REF!</definedName>
    <definedName name="LENGTH_IA_02F_AA_U06___corridor">#REF!</definedName>
    <definedName name="LENGTH_IA_02F_AA_U06___foyer">#REF!</definedName>
    <definedName name="LENGTH_IA_02F_AA_U06___kitchen">#REF!</definedName>
    <definedName name="LENGTH_IA_02F_AA_U06___living_dining">#REF!</definedName>
    <definedName name="LENGTH_IA_02F_AA_U06___maids_rm.">#REF!</definedName>
    <definedName name="LENGTH_IA_02F_AA_U06___maids_toi.">#REF!</definedName>
    <definedName name="LENGTH_IA_02F_AA_U06___shaft">#REF!</definedName>
    <definedName name="LENGTH_IA_02F_AA_U06___toilet">#REF!</definedName>
    <definedName name="LENGTH_IA_02F_AA_U06___utility_rm.">#REF!</definedName>
    <definedName name="LENGTH_IA_03F_AA_U05___corridor">#REF!</definedName>
    <definedName name="LENGTH_IA_03F_AA_U05___foyer">#REF!</definedName>
    <definedName name="LENGTH_IA_03F_AA_U05___kitchen">#REF!</definedName>
    <definedName name="LENGTH_IA_03F_AA_U05___living_dining">#REF!</definedName>
    <definedName name="LENGTH_IA_03F_AA_U05___maids_lobby">#REF!</definedName>
    <definedName name="LENGTH_IA_03F_AA_U05___maids_rm.">#REF!</definedName>
    <definedName name="LENGTH_IA_03F_AA_U05___maids_toi.">#REF!</definedName>
    <definedName name="LENGTH_IA_03F_AA_U05___shaft">#REF!</definedName>
    <definedName name="LENGTH_IA_03F_AA_U05___stairs">#REF!</definedName>
    <definedName name="LENGTH_IA_03F_AA_U05___toilet">#REF!</definedName>
    <definedName name="LENGTH_IA_03F_AA_U05___utility_rm.">#REF!</definedName>
    <definedName name="LENGTH_IA_05F_AA_U01___BR1_lobby">#REF!</definedName>
    <definedName name="LENGTH_IA_05F_AA_U01___BR1_rm.">#REF!</definedName>
    <definedName name="LENGTH_IA_05F_AA_U01___BR1_t_b">#REF!</definedName>
    <definedName name="LENGTH_IA_05F_AA_U01___BR2_dresser">#REF!</definedName>
    <definedName name="LENGTH_IA_05F_AA_U01___BR2_lobby">#REF!</definedName>
    <definedName name="LENGTH_IA_05F_AA_U01___BR2_rm.">#REF!</definedName>
    <definedName name="LENGTH_IA_05F_AA_U01___BR2_t_b">#REF!</definedName>
    <definedName name="LENGTH_IA_05F_AA_U01___corridor">#REF!</definedName>
    <definedName name="LENGTH_IA_05F_AA_U01___foyer">#REF!</definedName>
    <definedName name="LENGTH_IA_05F_AA_U01___kitchen">#REF!</definedName>
    <definedName name="LENGTH_IA_05F_AA_U01___living_dining">#REF!</definedName>
    <definedName name="LENGTH_IA_05F_AA_U01___maids_rm.">#REF!</definedName>
    <definedName name="LENGTH_IA_05F_AA_U01___maids_toi.">#REF!</definedName>
    <definedName name="LENGTH_IA_05F_AA_U01___shaft">#REF!</definedName>
    <definedName name="LENGTH_IA_05F_AA_U01___toilet">#REF!</definedName>
    <definedName name="LENGTH_IA_05F_AA_U01___utility_rm.">#REF!</definedName>
    <definedName name="LENGTH_IA_05F_AA_U01___void">#REF!</definedName>
    <definedName name="LENGTH_IA_05F_AA_U02___BR1_dresser">#REF!</definedName>
    <definedName name="LENGTH_IA_05F_AA_U02___BR1_rm.">#REF!</definedName>
    <definedName name="LENGTH_IA_05F_AA_U02___BR1_t_b">#REF!</definedName>
    <definedName name="LENGTH_IA_05F_AA_U02___BR2_lobby">#REF!</definedName>
    <definedName name="LENGTH_IA_05F_AA_U02___BR2_rm.">#REF!</definedName>
    <definedName name="LENGTH_IA_05F_AA_U02___BR2_t_b">#REF!</definedName>
    <definedName name="LENGTH_IA_05F_AA_U02___corridor">#REF!</definedName>
    <definedName name="LENGTH_IA_05F_AA_U02___foyer">#REF!</definedName>
    <definedName name="LENGTH_IA_05F_AA_U02___kitchen">#REF!</definedName>
    <definedName name="LENGTH_IA_05F_AA_U02___living_dining">#REF!</definedName>
    <definedName name="LENGTH_IA_05F_AA_U02___maids_rm.">#REF!</definedName>
    <definedName name="LENGTH_IA_05F_AA_U02___maids_toi.">#REF!</definedName>
    <definedName name="LENGTH_IA_05F_AA_U02___shaft">#REF!</definedName>
    <definedName name="LENGTH_IA_05F_AA_U02___toilet">#REF!</definedName>
    <definedName name="LENGTH_IA_05F_AA_U02___utility_rm.">#REF!</definedName>
    <definedName name="LENGTH_IA_05F_AA_U02___void">#REF!</definedName>
    <definedName name="LENGTH_IA_05F_AA_U05___corridor">#REF!</definedName>
    <definedName name="LENGTH_IA_05F_AA_U05___foyer">#REF!</definedName>
    <definedName name="LENGTH_IA_05F_AA_U05___kitchen">#REF!</definedName>
    <definedName name="LENGTH_IA_05F_AA_U05___living_dining">#REF!</definedName>
    <definedName name="LENGTH_IA_05F_AA_U05___maids_lobby">#REF!</definedName>
    <definedName name="LENGTH_IA_05F_AA_U05___maids_rm.">#REF!</definedName>
    <definedName name="LENGTH_IA_05F_AA_U05___maids_toi.">#REF!</definedName>
    <definedName name="LENGTH_IA_05F_AA_U05___shaft">#REF!</definedName>
    <definedName name="LENGTH_IA_05F_AA_U05___stairs">#REF!</definedName>
    <definedName name="LENGTH_IA_05F_AA_U05___toilet">#REF!</definedName>
    <definedName name="LENGTH_IA_05F_AA_U05___utility_rm.">#REF!</definedName>
    <definedName name="LENGTH_IA_05F_AA_U06___BR1_lobby">#REF!</definedName>
    <definedName name="LENGTH_IA_05F_AA_U06___BR1_rm.">#REF!</definedName>
    <definedName name="LENGTH_IA_05F_AA_U06___BR1_t_b">#REF!</definedName>
    <definedName name="LENGTH_IA_05F_AA_U06___BR2_dresser">#REF!</definedName>
    <definedName name="LENGTH_IA_05F_AA_U06___BR2_lobby">#REF!</definedName>
    <definedName name="LENGTH_IA_05F_AA_U06___BR2_rm.">#REF!</definedName>
    <definedName name="LENGTH_IA_05F_AA_U06___BR2_t_b">#REF!</definedName>
    <definedName name="LENGTH_IA_05F_AA_U06___BR3_dresser">#REF!</definedName>
    <definedName name="LENGTH_IA_05F_AA_U06___BR3_lobby">#REF!</definedName>
    <definedName name="LENGTH_IA_05F_AA_U06___BR3_rm.">#REF!</definedName>
    <definedName name="LENGTH_IA_05F_AA_U06___BR3_t_b">#REF!</definedName>
    <definedName name="LENGTH_IA_05F_AA_U06___corridor">#REF!</definedName>
    <definedName name="LENGTH_IA_05F_AA_U06___foyer">#REF!</definedName>
    <definedName name="LENGTH_IA_05F_AA_U06___kitchen">#REF!</definedName>
    <definedName name="LENGTH_IA_05F_AA_U06___living_dining">#REF!</definedName>
    <definedName name="LENGTH_IA_05F_AA_U06___maids_rm.">#REF!</definedName>
    <definedName name="LENGTH_IA_05F_AA_U06___maids_toi.">#REF!</definedName>
    <definedName name="LENGTH_IA_05F_AA_U06___shaft">#REF!</definedName>
    <definedName name="LENGTH_IA_05F_AA_U06___toilet">#REF!</definedName>
    <definedName name="LENGTH_IA_05F_AA_U06___utility_rm.">#REF!</definedName>
    <definedName name="LENGTH_IA_06F_AA_U05___BR1_rm.">#REF!</definedName>
    <definedName name="LENGTH_IA_06F_AA_U05___BR1_t_b">#REF!</definedName>
    <definedName name="LENGTH_IA_06F_AA_U05___BR2_lobby">#REF!</definedName>
    <definedName name="LENGTH_IA_06F_AA_U05___BR2_rm.">#REF!</definedName>
    <definedName name="LENGTH_IA_06F_AA_U05___BR2_t_b">#REF!</definedName>
    <definedName name="LENGTH_IA_06F_AA_U05___double_vol.">#REF!</definedName>
    <definedName name="LENGTH_IA_06F_AA_U05___foyer">#REF!</definedName>
    <definedName name="LENGTH_IA_06F_AA_U05___living_rm.">#REF!</definedName>
    <definedName name="LENGTH_IA_06F_AA_U05___shaft">#REF!</definedName>
    <definedName name="LENGTH_IA_06F_AA_U05___stairs">#REF!</definedName>
    <definedName name="LENGTH_IA_06F_AA_U05___void">#REF!</definedName>
    <definedName name="LENGTH_IA_06F_AA_U06___BR1_lobby">#REF!</definedName>
    <definedName name="LENGTH_IA_06F_AA_U06___BR1_rm.">#REF!</definedName>
    <definedName name="LENGTH_IA_06F_AA_U06___BR1_t_b">#REF!</definedName>
    <definedName name="LENGTH_IA_06F_AA_U06___BR2_dresser">#REF!</definedName>
    <definedName name="LENGTH_IA_06F_AA_U06___BR2_lobby">#REF!</definedName>
    <definedName name="LENGTH_IA_06F_AA_U06___BR2_rm.">#REF!</definedName>
    <definedName name="LENGTH_IA_06F_AA_U06___BR2_t_b">#REF!</definedName>
    <definedName name="LENGTH_IA_06F_AA_U06___BR3_dresser">#REF!</definedName>
    <definedName name="LENGTH_IA_06F_AA_U06___BR3_lobby">#REF!</definedName>
    <definedName name="LENGTH_IA_06F_AA_U06___BR3_rm.">#REF!</definedName>
    <definedName name="LENGTH_IA_06F_AA_U06___BR3_t_b">#REF!</definedName>
    <definedName name="LENGTH_IA_06F_AA_U06___corridor">#REF!</definedName>
    <definedName name="LENGTH_IA_06F_AA_U06___foyer">#REF!</definedName>
    <definedName name="LENGTH_IA_06F_AA_U06___kitchen">#REF!</definedName>
    <definedName name="LENGTH_IA_06F_AA_U06___living_dining">#REF!</definedName>
    <definedName name="LENGTH_IA_06F_AA_U06___maids_rm.">#REF!</definedName>
    <definedName name="LENGTH_IA_06F_AA_U06___maids_toi.">#REF!</definedName>
    <definedName name="LENGTH_IA_06F_AA_U06___shaft">#REF!</definedName>
    <definedName name="LENGTH_IA_06F_AA_U06___toilet">#REF!</definedName>
    <definedName name="LENGTH_IA_06F_AA_U06___utility_rm.">#REF!</definedName>
    <definedName name="LENGTH_IA_07F_AA_U03___BR1_dresser">#REF!</definedName>
    <definedName name="LENGTH_IA_07F_AA_U03___BR1_lobby">#REF!</definedName>
    <definedName name="LENGTH_IA_07F_AA_U03___BR1_rm.">#REF!</definedName>
    <definedName name="LENGTH_IA_07F_AA_U03___BR1_store">#REF!</definedName>
    <definedName name="LENGTH_IA_07F_AA_U03___BR1_t_b">#REF!</definedName>
    <definedName name="LENGTH_IA_07F_AA_U03___foyer">#REF!</definedName>
    <definedName name="LENGTH_IA_07F_AA_U03___kitchen">#REF!</definedName>
    <definedName name="LENGTH_IA_07F_AA_U03___living_dining">#REF!</definedName>
    <definedName name="LENGTH_IA_07F_AA_U03___shaft">#REF!</definedName>
    <definedName name="LENGTH_IA_07F_AA_U03___storage">#REF!</definedName>
    <definedName name="LENGTH_IA_07F_AA_U03___toilet">#REF!</definedName>
    <definedName name="LENGTH_IA_07F_AA_U03___utility_rm.">#REF!</definedName>
    <definedName name="LENGTH_IA_07F_AA_U03___void">#REF!</definedName>
    <definedName name="LENGTH_IA_07F_AA_U04___BR1_dresser">#REF!</definedName>
    <definedName name="LENGTH_IA_07F_AA_U04___BR1_lobby">#REF!</definedName>
    <definedName name="LENGTH_IA_07F_AA_U04___BR1_rm.">#REF!</definedName>
    <definedName name="LENGTH_IA_07F_AA_U04___BR1_store">#REF!</definedName>
    <definedName name="LENGTH_IA_07F_AA_U04___BR1_t_b">#REF!</definedName>
    <definedName name="LENGTH_IA_07F_AA_U04___foyer">#REF!</definedName>
    <definedName name="LENGTH_IA_07F_AA_U04___kitchen">#REF!</definedName>
    <definedName name="LENGTH_IA_07F_AA_U04___living_dining">#REF!</definedName>
    <definedName name="LENGTH_IA_07F_AA_U04___shaft">#REF!</definedName>
    <definedName name="LENGTH_IA_07F_AA_U04___storage">#REF!</definedName>
    <definedName name="LENGTH_IA_07F_AA_U04___toilet">#REF!</definedName>
    <definedName name="LENGTH_IA_07F_AA_U04___utility_rm.">#REF!</definedName>
    <definedName name="LENGTH_IA_07F_AA_U04___void">#REF!</definedName>
    <definedName name="LENGTH_IA_07F_AA_U06___BR1_lobby">#REF!</definedName>
    <definedName name="LENGTH_IA_07F_AA_U06___BR1_rm.">#REF!</definedName>
    <definedName name="LENGTH_IA_07F_AA_U06___BR1_t_b">#REF!</definedName>
    <definedName name="LENGTH_IA_07F_AA_U06___BR2_dresser">#REF!</definedName>
    <definedName name="LENGTH_IA_07F_AA_U06___BR2_lobby">#REF!</definedName>
    <definedName name="LENGTH_IA_07F_AA_U06___BR2_rm.">#REF!</definedName>
    <definedName name="LENGTH_IA_07F_AA_U06___BR2_t_b">#REF!</definedName>
    <definedName name="LENGTH_IA_07F_AA_U06___BR3_dresser">#REF!</definedName>
    <definedName name="LENGTH_IA_07F_AA_U06___BR3_lobby">#REF!</definedName>
    <definedName name="LENGTH_IA_07F_AA_U06___BR3_rm.">#REF!</definedName>
    <definedName name="LENGTH_IA_07F_AA_U06___BR3_t_b">#REF!</definedName>
    <definedName name="LENGTH_IA_07F_AA_U06___corridor">#REF!</definedName>
    <definedName name="LENGTH_IA_07F_AA_U06___foyer">#REF!</definedName>
    <definedName name="LENGTH_IA_07F_AA_U06___kitchen">#REF!</definedName>
    <definedName name="LENGTH_IA_07F_AA_U06___living_dining">#REF!</definedName>
    <definedName name="LENGTH_IA_07F_AA_U06___maids_rm.">#REF!</definedName>
    <definedName name="LENGTH_IA_07F_AA_U06___maids_toi.">#REF!</definedName>
    <definedName name="LENGTH_IA_07F_AA_U06___shaft">#REF!</definedName>
    <definedName name="LENGTH_IA_07F_AA_U06___toilet">#REF!</definedName>
    <definedName name="LENGTH_IA_07F_AA_U06___utility_rm.">#REF!</definedName>
    <definedName name="LENGTH_IA_08F_AA_U03___BR1_dresser">#REF!</definedName>
    <definedName name="LENGTH_IA_08F_AA_U03___BR1_lobby">#REF!</definedName>
    <definedName name="LENGTH_IA_08F_AA_U03___BR1_rm.">#REF!</definedName>
    <definedName name="LENGTH_IA_08F_AA_U03___BR1_t_b">#REF!</definedName>
    <definedName name="LENGTH_IA_08F_AA_U03___foyer">#REF!</definedName>
    <definedName name="LENGTH_IA_08F_AA_U03___kitchen">#REF!</definedName>
    <definedName name="LENGTH_IA_08F_AA_U03___living_dining">#REF!</definedName>
    <definedName name="LENGTH_IA_08F_AA_U03___shaft">#REF!</definedName>
    <definedName name="LENGTH_IA_08F_AA_U03___storage">#REF!</definedName>
    <definedName name="LENGTH_IA_08F_AA_U03___toilet">#REF!</definedName>
    <definedName name="LENGTH_IA_08F_AA_U03___utility_rm.">#REF!</definedName>
    <definedName name="LENGTH_IA_08F_AA_U04___BR1_dresser">#REF!</definedName>
    <definedName name="LENGTH_IA_08F_AA_U04___BR1_lobby">#REF!</definedName>
    <definedName name="LENGTH_IA_08F_AA_U04___BR1_rm.">#REF!</definedName>
    <definedName name="LENGTH_IA_08F_AA_U04___BR1_t_b">#REF!</definedName>
    <definedName name="LENGTH_IA_08F_AA_U04___foyer">#REF!</definedName>
    <definedName name="LENGTH_IA_08F_AA_U04___kitchen">#REF!</definedName>
    <definedName name="LENGTH_IA_08F_AA_U04___living_dining">#REF!</definedName>
    <definedName name="LENGTH_IA_08F_AA_U04___shaft">#REF!</definedName>
    <definedName name="LENGTH_IA_08F_AA_U04___storage">#REF!</definedName>
    <definedName name="LENGTH_IA_08F_AA_U04___toilet">#REF!</definedName>
    <definedName name="LENGTH_IA_08F_AA_U04___utility_rm.">#REF!</definedName>
    <definedName name="LENGTH_IA_08F_AA_U06___BR1_lobby">#REF!</definedName>
    <definedName name="LENGTH_IA_08F_AA_U06___BR1_rm.">#REF!</definedName>
    <definedName name="LENGTH_IA_08F_AA_U06___BR1_t_b">#REF!</definedName>
    <definedName name="LENGTH_IA_08F_AA_U06___BR2_dresser">#REF!</definedName>
    <definedName name="LENGTH_IA_08F_AA_U06___BR2_lobby">#REF!</definedName>
    <definedName name="LENGTH_IA_08F_AA_U06___BR2_rm.">#REF!</definedName>
    <definedName name="LENGTH_IA_08F_AA_U06___BR2_t_b">#REF!</definedName>
    <definedName name="LENGTH_IA_08F_AA_U06___BR3_dresser">#REF!</definedName>
    <definedName name="LENGTH_IA_08F_AA_U06___BR3_lobby">#REF!</definedName>
    <definedName name="LENGTH_IA_08F_AA_U06___BR3_rm.">#REF!</definedName>
    <definedName name="LENGTH_IA_08F_AA_U06___BR3_t_b">#REF!</definedName>
    <definedName name="LENGTH_IA_08F_AA_U06___corridor">#REF!</definedName>
    <definedName name="LENGTH_IA_08F_AA_U06___foyer">#REF!</definedName>
    <definedName name="LENGTH_IA_08F_AA_U06___kitchen">#REF!</definedName>
    <definedName name="LENGTH_IA_08F_AA_U06___living_dining">#REF!</definedName>
    <definedName name="LENGTH_IA_08F_AA_U06___maids_rm.">#REF!</definedName>
    <definedName name="LENGTH_IA_08F_AA_U06___maids_toi.">#REF!</definedName>
    <definedName name="LENGTH_IA_08F_AA_U06___shaft">#REF!</definedName>
    <definedName name="LENGTH_IA_08F_AA_U06___toilet">#REF!</definedName>
    <definedName name="LENGTH_IA_08F_AA_U06___utility_rm.">#REF!</definedName>
    <definedName name="LENGTH_IA_09F_AA_U06___BR1_lobby">#REF!</definedName>
    <definedName name="LENGTH_IA_09F_AA_U06___BR1_rm.">#REF!</definedName>
    <definedName name="LENGTH_IA_09F_AA_U06___BR1_t_b">#REF!</definedName>
    <definedName name="LENGTH_IA_09F_AA_U06___BR2_dresser">#REF!</definedName>
    <definedName name="LENGTH_IA_09F_AA_U06___BR2_lobby">#REF!</definedName>
    <definedName name="LENGTH_IA_09F_AA_U06___BR2_rm.">#REF!</definedName>
    <definedName name="LENGTH_IA_09F_AA_U06___BR2_t_b">#REF!</definedName>
    <definedName name="LENGTH_IA_09F_AA_U06___BR3_dresser">#REF!</definedName>
    <definedName name="LENGTH_IA_09F_AA_U06___BR3_lobby">#REF!</definedName>
    <definedName name="LENGTH_IA_09F_AA_U06___BR3_rm.">#REF!</definedName>
    <definedName name="LENGTH_IA_09F_AA_U06___BR3_t_b">#REF!</definedName>
    <definedName name="LENGTH_IA_09F_AA_U06___corridor">#REF!</definedName>
    <definedName name="LENGTH_IA_09F_AA_U06___foyer">#REF!</definedName>
    <definedName name="LENGTH_IA_09F_AA_U06___kitchen">#REF!</definedName>
    <definedName name="LENGTH_IA_09F_AA_U06___living_dining">#REF!</definedName>
    <definedName name="LENGTH_IA_09F_AA_U06___maids_rm.">#REF!</definedName>
    <definedName name="LENGTH_IA_09F_AA_U06___maids_toi.">#REF!</definedName>
    <definedName name="LENGTH_IA_09F_AA_U06___shaft">#REF!</definedName>
    <definedName name="LENGTH_IA_09F_AA_U06___toilet">#REF!</definedName>
    <definedName name="LENGTH_IA_09F_AA_U06___utility_rm.">#REF!</definedName>
    <definedName name="LENGTH_IA_11F_AA_U01___BR1_lobby">#REF!</definedName>
    <definedName name="LENGTH_IA_11F_AA_U01___BR1_rm.">#REF!</definedName>
    <definedName name="LENGTH_IA_11F_AA_U01___BR1_t_b">#REF!</definedName>
    <definedName name="LENGTH_IA_11F_AA_U01___BR2_dresser">#REF!</definedName>
    <definedName name="LENGTH_IA_11F_AA_U01___BR2_lobby">#REF!</definedName>
    <definedName name="LENGTH_IA_11F_AA_U01___BR2_rm.">#REF!</definedName>
    <definedName name="LENGTH_IA_11F_AA_U01___BR2_t_b">#REF!</definedName>
    <definedName name="LENGTH_IA_11F_AA_U01___corridor">#REF!</definedName>
    <definedName name="LENGTH_IA_11F_AA_U01___foyer">#REF!</definedName>
    <definedName name="LENGTH_IA_11F_AA_U01___kitchen">#REF!</definedName>
    <definedName name="LENGTH_IA_11F_AA_U01___living_dining">#REF!</definedName>
    <definedName name="LENGTH_IA_11F_AA_U01___maids_rm.">#REF!</definedName>
    <definedName name="LENGTH_IA_11F_AA_U01___maids_toi.">#REF!</definedName>
    <definedName name="LENGTH_IA_11F_AA_U01___shaft">#REF!</definedName>
    <definedName name="LENGTH_IA_11F_AA_U01___toilet">#REF!</definedName>
    <definedName name="LENGTH_IA_11F_AA_U01___utility_rm.">#REF!</definedName>
    <definedName name="LENGTH_IA_11F_AA_U01___void">#REF!</definedName>
    <definedName name="LENGTH_IA_11F_AA_U02___BR1_dresser">#REF!</definedName>
    <definedName name="LENGTH_IA_11F_AA_U02___BR1_rm.">#REF!</definedName>
    <definedName name="LENGTH_IA_11F_AA_U02___BR1_t_b">#REF!</definedName>
    <definedName name="LENGTH_IA_11F_AA_U02___BR2_lobby">#REF!</definedName>
    <definedName name="LENGTH_IA_11F_AA_U02___BR2_rm.">#REF!</definedName>
    <definedName name="LENGTH_IA_11F_AA_U02___BR2_t_b">#REF!</definedName>
    <definedName name="LENGTH_IA_11F_AA_U02___corridor">#REF!</definedName>
    <definedName name="LENGTH_IA_11F_AA_U02___foyer">#REF!</definedName>
    <definedName name="LENGTH_IA_11F_AA_U02___kitchen">#REF!</definedName>
    <definedName name="LENGTH_IA_11F_AA_U02___living_dining">#REF!</definedName>
    <definedName name="LENGTH_IA_11F_AA_U02___maids_rm.">#REF!</definedName>
    <definedName name="LENGTH_IA_11F_AA_U02___maids_toi.">#REF!</definedName>
    <definedName name="LENGTH_IA_11F_AA_U02___shaft">#REF!</definedName>
    <definedName name="LENGTH_IA_11F_AA_U02___toilet">#REF!</definedName>
    <definedName name="LENGTH_IA_11F_AA_U02___utility_rm.">#REF!</definedName>
    <definedName name="LENGTH_IA_11F_AA_U02___void">#REF!</definedName>
    <definedName name="LENGTH_IA_11F_AA_U03___BR1_dresser">#REF!</definedName>
    <definedName name="LENGTH_IA_11F_AA_U03___BR1_lobby">#REF!</definedName>
    <definedName name="LENGTH_IA_11F_AA_U03___BR1_rm.">#REF!</definedName>
    <definedName name="LENGTH_IA_11F_AA_U03___BR1_t_b">#REF!</definedName>
    <definedName name="LENGTH_IA_11F_AA_U03___foyer">#REF!</definedName>
    <definedName name="LENGTH_IA_11F_AA_U03___kitchen">#REF!</definedName>
    <definedName name="LENGTH_IA_11F_AA_U03___living_dining">#REF!</definedName>
    <definedName name="LENGTH_IA_11F_AA_U03___shaft">#REF!</definedName>
    <definedName name="LENGTH_IA_11F_AA_U03___storage">#REF!</definedName>
    <definedName name="LENGTH_IA_11F_AA_U03___toilet">#REF!</definedName>
    <definedName name="LENGTH_IA_11F_AA_U03___utility_rm.">#REF!</definedName>
    <definedName name="LENGTH_IA_11F_AA_U04___BR1_dresser">#REF!</definedName>
    <definedName name="LENGTH_IA_11F_AA_U04___BR1_lobby">#REF!</definedName>
    <definedName name="LENGTH_IA_11F_AA_U04___BR1_rm.">#REF!</definedName>
    <definedName name="LENGTH_IA_11F_AA_U04___BR1_t_b">#REF!</definedName>
    <definedName name="LENGTH_IA_11F_AA_U04___foyer">#REF!</definedName>
    <definedName name="LENGTH_IA_11F_AA_U04___kitchen">#REF!</definedName>
    <definedName name="LENGTH_IA_11F_AA_U04___living_dining">#REF!</definedName>
    <definedName name="LENGTH_IA_11F_AA_U04___shaft">#REF!</definedName>
    <definedName name="LENGTH_IA_11F_AA_U04___storage">#REF!</definedName>
    <definedName name="LENGTH_IA_11F_AA_U04___toilet">#REF!</definedName>
    <definedName name="LENGTH_IA_11F_AA_U04___utility_rm.">#REF!</definedName>
    <definedName name="LENGTH_IA_11F_AA_U06___BR1_lobby">#REF!</definedName>
    <definedName name="LENGTH_IA_11F_AA_U06___BR1_rm.">#REF!</definedName>
    <definedName name="LENGTH_IA_11F_AA_U06___BR1_t_b">#REF!</definedName>
    <definedName name="LENGTH_IA_11F_AA_U06___BR2_dresser">#REF!</definedName>
    <definedName name="LENGTH_IA_11F_AA_U06___BR2_lobby">#REF!</definedName>
    <definedName name="LENGTH_IA_11F_AA_U06___BR2_rm.">#REF!</definedName>
    <definedName name="LENGTH_IA_11F_AA_U06___BR2_t_b">#REF!</definedName>
    <definedName name="LENGTH_IA_11F_AA_U06___BR3_dresser">#REF!</definedName>
    <definedName name="LENGTH_IA_11F_AA_U06___BR3_lobby">#REF!</definedName>
    <definedName name="LENGTH_IA_11F_AA_U06___BR3_rm.">#REF!</definedName>
    <definedName name="LENGTH_IA_11F_AA_U06___BR3_t_b">#REF!</definedName>
    <definedName name="LENGTH_IA_11F_AA_U06___corridor">#REF!</definedName>
    <definedName name="LENGTH_IA_11F_AA_U06___foyer">#REF!</definedName>
    <definedName name="LENGTH_IA_11F_AA_U06___kitchen">#REF!</definedName>
    <definedName name="LENGTH_IA_11F_AA_U06___living_dining">#REF!</definedName>
    <definedName name="LENGTH_IA_11F_AA_U06___maids_rm.">#REF!</definedName>
    <definedName name="LENGTH_IA_11F_AA_U06___maids_toi.">#REF!</definedName>
    <definedName name="LENGTH_IA_11F_AA_U06___shaft">#REF!</definedName>
    <definedName name="LENGTH_IA_11F_AA_U06___toilet">#REF!</definedName>
    <definedName name="LENGTH_IA_11F_AA_U06___utility_rm.">#REF!</definedName>
    <definedName name="LENGTH_IA_11F_AB_U00___corridor">#REF!</definedName>
    <definedName name="LENGTH_IA_11F_AB_U00___lift_lobby">#REF!</definedName>
    <definedName name="LENGTH_IA_11F_AB_U00___lift_shaft">#REF!</definedName>
    <definedName name="LENGTH_IA_11F_AC_U00___electrical_rm.">#REF!</definedName>
    <definedName name="LENGTH_IA_11F_AC_U00___f.e._stair">#REF!</definedName>
    <definedName name="LENGTH_IA_11F_AC_U00___f.h.c.">#REF!</definedName>
    <definedName name="LENGTH_IA_11F_AC_U00___garbage_rm.">#REF!</definedName>
    <definedName name="LENGTH_IA_11F_AC_U00___shaft">#REF!</definedName>
    <definedName name="LENGTH_IA_11F_AC_U00___telephone_rm.">#REF!</definedName>
    <definedName name="LENGTH_IA_31F_AA_U01___BR1_lobby">#REF!</definedName>
    <definedName name="LENGTH_IA_31F_AA_U01___BR1_rm.">#REF!</definedName>
    <definedName name="LENGTH_IA_31F_AA_U01___BR1_t_b">#REF!</definedName>
    <definedName name="LENGTH_IA_31F_AA_U01___BR2_dresser">#REF!</definedName>
    <definedName name="LENGTH_IA_31F_AA_U01___BR2_lobby">#REF!</definedName>
    <definedName name="LENGTH_IA_31F_AA_U01___BR2_rm.">#REF!</definedName>
    <definedName name="LENGTH_IA_31F_AA_U01___BR2_t_b">#REF!</definedName>
    <definedName name="LENGTH_IA_31F_AA_U01___corridor">#REF!</definedName>
    <definedName name="LENGTH_IA_31F_AA_U01___foyer">#REF!</definedName>
    <definedName name="LENGTH_IA_31F_AA_U01___kitchen">#REF!</definedName>
    <definedName name="LENGTH_IA_31F_AA_U01___living_dining">#REF!</definedName>
    <definedName name="LENGTH_IA_31F_AA_U01___maids_rm.">#REF!</definedName>
    <definedName name="LENGTH_IA_31F_AA_U01___maids_toi.">#REF!</definedName>
    <definedName name="LENGTH_IA_31F_AA_U01___shaft">#REF!</definedName>
    <definedName name="LENGTH_IA_31F_AA_U01___toilet">#REF!</definedName>
    <definedName name="LENGTH_IA_31F_AA_U01___utility_rm.">#REF!</definedName>
    <definedName name="LENGTH_IA_31F_AA_U01___void">#REF!</definedName>
    <definedName name="LENGTH_IA_31F_AA_U02___BR1_dresser">#REF!</definedName>
    <definedName name="LENGTH_IA_31F_AA_U02___BR1_rm.">#REF!</definedName>
    <definedName name="LENGTH_IA_31F_AA_U02___BR1_t_b">#REF!</definedName>
    <definedName name="LENGTH_IA_31F_AA_U02___BR2_lobby">#REF!</definedName>
    <definedName name="LENGTH_IA_31F_AA_U02___BR2_rm.">#REF!</definedName>
    <definedName name="LENGTH_IA_31F_AA_U02___BR2_t_b">#REF!</definedName>
    <definedName name="LENGTH_IA_31F_AA_U02___corridor">#REF!</definedName>
    <definedName name="LENGTH_IA_31F_AA_U02___foyer">#REF!</definedName>
    <definedName name="LENGTH_IA_31F_AA_U02___kitchen">#REF!</definedName>
    <definedName name="LENGTH_IA_31F_AA_U02___living_dining">#REF!</definedName>
    <definedName name="LENGTH_IA_31F_AA_U02___maids_rm.">#REF!</definedName>
    <definedName name="LENGTH_IA_31F_AA_U02___maids_toi.">#REF!</definedName>
    <definedName name="LENGTH_IA_31F_AA_U02___shaft">#REF!</definedName>
    <definedName name="LENGTH_IA_31F_AA_U02___toilet">#REF!</definedName>
    <definedName name="LENGTH_IA_31F_AA_U02___utility_rm.">#REF!</definedName>
    <definedName name="LENGTH_IA_31F_AA_U02___void">#REF!</definedName>
    <definedName name="LENGTH_IA_31F_AA_U03___BR1_dresser">#REF!</definedName>
    <definedName name="LENGTH_IA_31F_AA_U03___BR1_lobby">#REF!</definedName>
    <definedName name="LENGTH_IA_31F_AA_U03___BR1_rm.">#REF!</definedName>
    <definedName name="LENGTH_IA_31F_AA_U03___BR1_t_b">#REF!</definedName>
    <definedName name="LENGTH_IA_31F_AA_U03___foyer">#REF!</definedName>
    <definedName name="LENGTH_IA_31F_AA_U03___kitchen">#REF!</definedName>
    <definedName name="LENGTH_IA_31F_AA_U03___living_dining">#REF!</definedName>
    <definedName name="LENGTH_IA_31F_AA_U03___shaft">#REF!</definedName>
    <definedName name="LENGTH_IA_31F_AA_U03___storage">#REF!</definedName>
    <definedName name="LENGTH_IA_31F_AA_U03___toilet">#REF!</definedName>
    <definedName name="LENGTH_IA_31F_AA_U03___utility_rm.">#REF!</definedName>
    <definedName name="LENGTH_IA_31F_AA_U04___BR1_dresser">#REF!</definedName>
    <definedName name="LENGTH_IA_31F_AA_U04___BR1_lobby">#REF!</definedName>
    <definedName name="LENGTH_IA_31F_AA_U04___BR1_rm.">#REF!</definedName>
    <definedName name="LENGTH_IA_31F_AA_U04___BR1_t_b">#REF!</definedName>
    <definedName name="LENGTH_IA_31F_AA_U04___foyer">#REF!</definedName>
    <definedName name="LENGTH_IA_31F_AA_U04___kitchen">#REF!</definedName>
    <definedName name="LENGTH_IA_31F_AA_U04___living_dining">#REF!</definedName>
    <definedName name="LENGTH_IA_31F_AA_U04___shaft">#REF!</definedName>
    <definedName name="LENGTH_IA_31F_AA_U04___storage">#REF!</definedName>
    <definedName name="LENGTH_IA_31F_AA_U04___toilet">#REF!</definedName>
    <definedName name="LENGTH_IA_31F_AA_U04___utility_rm.">#REF!</definedName>
    <definedName name="LENGTH_IA_31F_AA_U05___corridor">#REF!</definedName>
    <definedName name="LENGTH_IA_31F_AA_U05___foyer">#REF!</definedName>
    <definedName name="LENGTH_IA_31F_AA_U05___kitchen">#REF!</definedName>
    <definedName name="LENGTH_IA_31F_AA_U05___living_dining">#REF!</definedName>
    <definedName name="LENGTH_IA_31F_AA_U05___maids_lobby">#REF!</definedName>
    <definedName name="LENGTH_IA_31F_AA_U05___maids_rm.">#REF!</definedName>
    <definedName name="LENGTH_IA_31F_AA_U05___maids_toi.">#REF!</definedName>
    <definedName name="LENGTH_IA_31F_AA_U05___shaft">#REF!</definedName>
    <definedName name="LENGTH_IA_31F_AA_U05___stairs">#REF!</definedName>
    <definedName name="LENGTH_IA_31F_AA_U05___toilet">#REF!</definedName>
    <definedName name="LENGTH_IA_31F_AA_U05___utility_rm.">#REF!</definedName>
    <definedName name="LENGTH_IA_31F_AA_U06___BR1_lobby">#REF!</definedName>
    <definedName name="LENGTH_IA_31F_AA_U06___BR1_rm.">#REF!</definedName>
    <definedName name="LENGTH_IA_31F_AA_U06___BR1_t_b">#REF!</definedName>
    <definedName name="LENGTH_IA_31F_AA_U06___BR2_dresser">#REF!</definedName>
    <definedName name="LENGTH_IA_31F_AA_U06___BR2_lobby">#REF!</definedName>
    <definedName name="LENGTH_IA_31F_AA_U06___BR2_rm.">#REF!</definedName>
    <definedName name="LENGTH_IA_31F_AA_U06___BR2_t_b">#REF!</definedName>
    <definedName name="LENGTH_IA_31F_AA_U06___corridor">#REF!</definedName>
    <definedName name="LENGTH_IA_31F_AA_U06___foyer">#REF!</definedName>
    <definedName name="LENGTH_IA_31F_AA_U06___kitchen">#REF!</definedName>
    <definedName name="LENGTH_IA_31F_AA_U06___living_dining">#REF!</definedName>
    <definedName name="LENGTH_IA_31F_AA_U06___maids_rm.">#REF!</definedName>
    <definedName name="LENGTH_IA_31F_AA_U06___maids_toi.">#REF!</definedName>
    <definedName name="LENGTH_IA_31F_AA_U06___shaft">#REF!</definedName>
    <definedName name="LENGTH_IA_31F_AA_U06___solaria">#REF!</definedName>
    <definedName name="LENGTH_IA_31F_AA_U06___stair">#REF!</definedName>
    <definedName name="LENGTH_IA_31F_AA_U06___toilet">#REF!</definedName>
    <definedName name="LENGTH_IA_31F_AA_U06___utility_rm.">#REF!</definedName>
    <definedName name="LENGTH_IA_31F_AA_U06___void">#REF!</definedName>
    <definedName name="LENGTH_IA_31F_AB_U00___corridor">#REF!</definedName>
    <definedName name="LENGTH_IA_31F_AB_U00___lift_lobby">#REF!</definedName>
    <definedName name="LENGTH_IA_31F_AB_U00___lift_shaft">#REF!</definedName>
    <definedName name="LENGTH_IA_31F_AC_U00___electrical_rm.">#REF!</definedName>
    <definedName name="LENGTH_IA_31F_AC_U00___f.e._stair">#REF!</definedName>
    <definedName name="LENGTH_IA_31F_AC_U00___f.h.c.">#REF!</definedName>
    <definedName name="LENGTH_IA_31F_AC_U00___garbage_rm.">#REF!</definedName>
    <definedName name="LENGTH_IA_31F_AC_U00___shaft">#REF!</definedName>
    <definedName name="LENGTH_IA_31F_AC_U00___telephone_rm.">#REF!</definedName>
    <definedName name="LENGTH_IA_32F_AA_U05___BR1_rm.">#REF!</definedName>
    <definedName name="LENGTH_IA_32F_AA_U05___BR1_t_b">#REF!</definedName>
    <definedName name="LENGTH_IA_32F_AA_U05___BR2_lobby">#REF!</definedName>
    <definedName name="LENGTH_IA_32F_AA_U05___BR2_rm.">#REF!</definedName>
    <definedName name="LENGTH_IA_32F_AA_U05___BR2_t_b">#REF!</definedName>
    <definedName name="LENGTH_IA_32F_AA_U05___double_vol.">#REF!</definedName>
    <definedName name="LENGTH_IA_32F_AA_U05___foyer">#REF!</definedName>
    <definedName name="LENGTH_IA_32F_AA_U05___living_rm.">#REF!</definedName>
    <definedName name="LENGTH_IA_32F_AA_U05___shaft">#REF!</definedName>
    <definedName name="LENGTH_IA_32F_AA_U05___stairs">#REF!</definedName>
    <definedName name="LENGTH_IA_32F_AA_U05___void">#REF!</definedName>
    <definedName name="LENGTH_IA_32F_AA_U06___BR1_lobby">#REF!</definedName>
    <definedName name="LENGTH_IA_32F_AA_U06___BR1_rm.">#REF!</definedName>
    <definedName name="LENGTH_IA_32F_AA_U06___BR1_t_b">#REF!</definedName>
    <definedName name="LENGTH_IA_32F_AA_U06___BR2_dresser">#REF!</definedName>
    <definedName name="LENGTH_IA_32F_AA_U06___BR2_lobby">#REF!</definedName>
    <definedName name="LENGTH_IA_32F_AA_U06___BR2_rm.">#REF!</definedName>
    <definedName name="LENGTH_IA_32F_AA_U06___BR2_t_b">#REF!</definedName>
    <definedName name="LENGTH_IA_32F_AA_U06___corridor">#REF!</definedName>
    <definedName name="LENGTH_IA_32F_AA_U06___double_vol.">#REF!</definedName>
    <definedName name="LENGTH_IA_32F_AA_U06___jacuzzi_area">#REF!</definedName>
    <definedName name="LENGTH_IA_32F_AA_U06___living_foyer">#REF!</definedName>
    <definedName name="LENGTH_IA_32F_AA_U06___pantry">#REF!</definedName>
    <definedName name="LENGTH_IA_32F_AA_U06___shaft">#REF!</definedName>
    <definedName name="LENGTH_IA_32F_AA_U06___stair">#REF!</definedName>
    <definedName name="LENGTH_IA_32F_AA_U06___study">#REF!</definedName>
    <definedName name="LENGTH_IA_33RF_AC_U00___electrical_rm.">#REF!</definedName>
    <definedName name="LENGTH_IA_33RF_AC_U00___f.e._stair">#REF!</definedName>
    <definedName name="LENGTH_IA_33RF_AC_U00___g.s.m._rm.">#REF!</definedName>
    <definedName name="LENGTH_IA_33RF_AC_U00___lift_shaft">#REF!</definedName>
    <definedName name="LENGTH_IA_33RF_AC_U00___shaft">#REF!</definedName>
    <definedName name="LENGTH_IA_33RF_AC_U00___tech._rm.">#REF!</definedName>
    <definedName name="LENGTH_IA_33RF_AC_U00___telephone_rm.">#REF!</definedName>
    <definedName name="LENGTH_IA_33RF_AC_U00___water_tank">#REF!</definedName>
    <definedName name="LENGTH_IA_34uRF_AC_U00___machine_rm.">#REF!</definedName>
    <definedName name="LENGTH_IA_34uRF_AC_U00___machine_rm._lobby">#REF!</definedName>
    <definedName name="LENGTH_IA_34uRF_AC_U00___pump_rm.">#REF!</definedName>
    <definedName name="LENGTH_IA_34uRF_AC_U00___r.c._water_tank">#REF!</definedName>
    <definedName name="LENGTH_IA_34uRF_AC_U00___shaft">#REF!</definedName>
    <definedName name="LENGTH_Intelligent_Water_Meter_by_DEWA">#REF!</definedName>
    <definedName name="LENGTH_Internal_Ceiling_Finishes__Bulkhead">#REF!</definedName>
    <definedName name="LENGTH_Internal_Ceiling_Finishes__PF01">#REF!</definedName>
    <definedName name="LENGTH_Internal_Ceiling_Finishes__PF02">#REF!</definedName>
    <definedName name="LENGTH_Internal_Ceiling_Finishes__PH01">#REF!</definedName>
    <definedName name="LENGTH_Internal_Doors__D_02">#REF!</definedName>
    <definedName name="LENGTH_Internal_Doors__D_03">#REF!</definedName>
    <definedName name="LENGTH_Internal_Doors__D_04">#REF!</definedName>
    <definedName name="LENGTH_Internal_Doors__D_06">#REF!</definedName>
    <definedName name="LENGTH_Internal_Floor_Finishes__FF01">#REF!</definedName>
    <definedName name="LENGTH_Internal_Floor_Finishes__FF03">#REF!</definedName>
    <definedName name="LENGTH_Internal_Floor_Finishes__FF05">#REF!</definedName>
    <definedName name="LENGTH_Internal_Floor_Finishes__Wet_Areas">#REF!</definedName>
    <definedName name="LENGTH_Internal_Wall__Blockwork___BW_1">#REF!</definedName>
    <definedName name="LENGTH_Internal_Wall__Blockwork___BW_2">#REF!</definedName>
    <definedName name="LENGTH_Internal_Wall__Blockwork___BW_3">#REF!</definedName>
    <definedName name="LENGTH_Internal_Wall__Threshold">#REF!</definedName>
    <definedName name="LENGTH_Internal_Wall_Finishes__PF03">#REF!</definedName>
    <definedName name="LENGTH_Internal_Wall_Finishes__PF04">#REF!</definedName>
    <definedName name="LENGTH_Internal_Wall_Finishes__Render">#REF!</definedName>
    <definedName name="LENGTH_Internal_Wall_Finishes__W01">#REF!</definedName>
    <definedName name="LENGTH_Internal_Wall_Finishes__W03">#REF!</definedName>
    <definedName name="LENGTH_Internal_Wall_Finishes__WF05">#REF!</definedName>
    <definedName name="LENGTH_Internal_Wall_Finishes__WF07">#REF!</definedName>
    <definedName name="LENGTH_Isolation_Valve">#REF!</definedName>
    <definedName name="LENGTH_L0__TW1_250">#REF!</definedName>
    <definedName name="LENGTH_L0__TW2_200">#REF!</definedName>
    <definedName name="LENGTH_L0__TW3_300">#REF!</definedName>
    <definedName name="LENGTH_L0__TW3_400">#REF!</definedName>
    <definedName name="LENGTH_L0__TW4_500">#REF!</definedName>
    <definedName name="LENGTH_L0__TW4_600">#REF!</definedName>
    <definedName name="LENGTH_L0__W1__300">#REF!</definedName>
    <definedName name="LENGTH_L0__W1_300_Door_Overhead">#REF!</definedName>
    <definedName name="LENGTH_L0_Beams">#REF!</definedName>
    <definedName name="LENGTH_L0_DP1_3000x3000x350">#REF!</definedName>
    <definedName name="LENGTH_L0_DP2_3000x1750x350">#REF!</definedName>
    <definedName name="LENGTH_L0_DP5_3000x3000x400">#REF!</definedName>
    <definedName name="LENGTH_L0_DP6_6500x4000x550">#REF!</definedName>
    <definedName name="LENGTH_L0_DP7_3500x1900x400">#REF!</definedName>
    <definedName name="LENGTH_L0_Ramp">#REF!</definedName>
    <definedName name="LENGTH_L0_Slab_200">#REF!</definedName>
    <definedName name="LENGTH_L0_Slab_220">#REF!</definedName>
    <definedName name="LENGTH_L0_Slab_240">#REF!</definedName>
    <definedName name="LENGTH_L0_Slab_250">#REF!</definedName>
    <definedName name="LENGTH_L0_Slab_260">#REF!</definedName>
    <definedName name="LENGTH_L0_Slab_400">#REF!</definedName>
    <definedName name="LENGTH_L0_Slab_450">#REF!</definedName>
    <definedName name="LENGTH_L00__Column_C1">#REF!</definedName>
    <definedName name="LENGTH_L00__Column_C10">#REF!</definedName>
    <definedName name="LENGTH_L00__Column_C11">#REF!</definedName>
    <definedName name="LENGTH_L00__Column_C12">#REF!</definedName>
    <definedName name="LENGTH_L00__Column_C2">#REF!</definedName>
    <definedName name="LENGTH_L00__Column_C3">#REF!</definedName>
    <definedName name="LENGTH_L00__Column_C4">#REF!</definedName>
    <definedName name="LENGTH_L00__Column_C5">#REF!</definedName>
    <definedName name="LENGTH_L00__Column_C6">#REF!</definedName>
    <definedName name="LENGTH_L00__Column_C7">#REF!</definedName>
    <definedName name="LENGTH_L00__Column_C8">#REF!</definedName>
    <definedName name="LENGTH_L00__Column_C9">#REF!</definedName>
    <definedName name="LENGTH_L00__Column_FC1">#REF!</definedName>
    <definedName name="LENGTH_L00__Column_TC1">#REF!</definedName>
    <definedName name="LENGTH_L00__Column_TC2">#REF!</definedName>
    <definedName name="LENGTH_L00__Column_TC3">#REF!</definedName>
    <definedName name="LENGTH_L00__Column_TC4">#REF!</definedName>
    <definedName name="LENGTH_L00__Column_TC5">#REF!</definedName>
    <definedName name="LENGTH_L01__Column_C10">#REF!</definedName>
    <definedName name="LENGTH_L01__Column_C6">#REF!</definedName>
    <definedName name="LENGTH_L01__Column_C7">#REF!</definedName>
    <definedName name="LENGTH_L01__Column_TC1">#REF!</definedName>
    <definedName name="LENGTH_L01__Column_TC2">#REF!</definedName>
    <definedName name="LENGTH_L01__Column_TC3">#REF!</definedName>
    <definedName name="LENGTH_L01__Column_TC4">#REF!</definedName>
    <definedName name="LENGTH_L01__Column_TC5">#REF!</definedName>
    <definedName name="LENGTH_L02__Column_TC1">#REF!</definedName>
    <definedName name="LENGTH_L02__Column_TC2">#REF!</definedName>
    <definedName name="LENGTH_L02__Column_TC3">#REF!</definedName>
    <definedName name="LENGTH_L02__Column_TC4">#REF!</definedName>
    <definedName name="LENGTH_L02__Column_TC5">#REF!</definedName>
    <definedName name="LENGTH_L02_to_L03__CORE_Typical">#REF!</definedName>
    <definedName name="LENGTH_L03_to_L05__CORE_TYPICAL">#REF!</definedName>
    <definedName name="LENGTH_L03_to_L05__Opening">#REF!</definedName>
    <definedName name="LENGTH_L05_to_L14__CORE_Typical">#REF!</definedName>
    <definedName name="LENGTH_L1__TW1_250">#REF!</definedName>
    <definedName name="LENGTH_L1__TW2_200">#REF!</definedName>
    <definedName name="LENGTH_L1__TW3_300">#REF!</definedName>
    <definedName name="LENGTH_L1__TW4_600">#REF!</definedName>
    <definedName name="LENGTH_L1__TW5_300">#REF!</definedName>
    <definedName name="LENGTH_L1_Beams">#REF!</definedName>
    <definedName name="LENGTH_L1_DP">#REF!</definedName>
    <definedName name="LENGTH_L1_DP1_3000x3000x350">#REF!</definedName>
    <definedName name="LENGTH_L1_DP11_3250x1750x350">#REF!</definedName>
    <definedName name="LENGTH_L1_DP13_3250x1750x600">#REF!</definedName>
    <definedName name="LENGTH_L1_DP14_3000x3000x600">#REF!</definedName>
    <definedName name="LENGTH_L1_DP15_3500x3500x600">#REF!</definedName>
    <definedName name="LENGTH_L1_DP3_3500x1900x350">#REF!</definedName>
    <definedName name="LENGTH_L1_DP4_3500x3500x400">#REF!</definedName>
    <definedName name="LENGTH_L1_DP8_8000x5500x600">#REF!</definedName>
    <definedName name="LENGTH_L1_Slab_200">#REF!</definedName>
    <definedName name="LENGTH_L1_Slab_240">#REF!</definedName>
    <definedName name="LENGTH_L1_Slab_280">#REF!</definedName>
    <definedName name="LENGTH_L1_Slab_360">#REF!</definedName>
    <definedName name="LENGTH_L14__COMFLOR_100">#REF!</definedName>
    <definedName name="LENGTH_L14__CONC_SLAB">#REF!</definedName>
    <definedName name="LENGTH_L14__RC_CORE_VOIDS">#REF!</definedName>
    <definedName name="LENGTH_L15__COMFLOR_100">#REF!</definedName>
    <definedName name="LENGTH_L15__HEA_320">#REF!</definedName>
    <definedName name="LENGTH_L15__HEB_160">#REF!</definedName>
    <definedName name="LENGTH_L15__HEM_180">#REF!</definedName>
    <definedName name="LENGTH_L15__RHS_400x200x16">#REF!</definedName>
    <definedName name="LENGTH_L15__TW1_250">#REF!</definedName>
    <definedName name="LENGTH_L15__TW2_200">#REF!</definedName>
    <definedName name="LENGTH_L15__TW3_300">#REF!</definedName>
    <definedName name="LENGTH_L15__TW4_600">#REF!</definedName>
    <definedName name="LENGTH_L15__TW5_300">#REF!</definedName>
    <definedName name="LENGTH_L15_Beams">#REF!</definedName>
    <definedName name="LENGTH_L15_Slab_250">#REF!</definedName>
    <definedName name="LENGTH_L15_Slab_400">#REF!</definedName>
    <definedName name="LENGTH_L15_to_L16__CONC_SLAB">#REF!</definedName>
    <definedName name="LENGTH_L16__COMFLOR_100">#REF!</definedName>
    <definedName name="LENGTH_L16__HEA_320">#REF!</definedName>
    <definedName name="LENGTH_L16__HEB_160">#REF!</definedName>
    <definedName name="LENGTH_L16__HEM_180">#REF!</definedName>
    <definedName name="LENGTH_L16__RHS_400x200x16">#REF!</definedName>
    <definedName name="LENGTH_L16__TW1_250">#REF!</definedName>
    <definedName name="LENGTH_L16__TW2_200">#REF!</definedName>
    <definedName name="LENGTH_L16__TW3_300">#REF!</definedName>
    <definedName name="LENGTH_L16__TW4_600">#REF!</definedName>
    <definedName name="LENGTH_L16_Beams">#REF!</definedName>
    <definedName name="LENGTH_L16_Slab_200">#REF!</definedName>
    <definedName name="LENGTH_L16_Slab_240">#REF!</definedName>
    <definedName name="LENGTH_L16_Slab_280">#REF!</definedName>
    <definedName name="LENGTH_L17__COMFLOR_100">#REF!</definedName>
    <definedName name="LENGTH_L17__HEA_320">#REF!</definedName>
    <definedName name="LENGTH_L17__HEB_160">#REF!</definedName>
    <definedName name="LENGTH_L17__HEM_180">#REF!</definedName>
    <definedName name="LENGTH_L17__RHS_400x200x16">#REF!</definedName>
    <definedName name="LENGTH_L17__TW1_250">#REF!</definedName>
    <definedName name="LENGTH_L17__TW2_200">#REF!</definedName>
    <definedName name="LENGTH_L17__TW3_300">#REF!</definedName>
    <definedName name="LENGTH_L17__TW4_600">#REF!</definedName>
    <definedName name="LENGTH_L17_Beams">#REF!</definedName>
    <definedName name="LENGTH_L17_Slab_200">#REF!</definedName>
    <definedName name="LENGTH_L17_Slab_240">#REF!</definedName>
    <definedName name="LENGTH_L17_Slab_280">#REF!</definedName>
    <definedName name="LENGTH_L17_to_L35__CONC_SLAB">#REF!</definedName>
    <definedName name="LENGTH_L18__COMFLOR_100">#REF!</definedName>
    <definedName name="LENGTH_L18__HEA_320">#REF!</definedName>
    <definedName name="LENGTH_L18__HEB_160">#REF!</definedName>
    <definedName name="LENGTH_L18__HEM_180">#REF!</definedName>
    <definedName name="LENGTH_L18__RC_CORE_VOIDS">#REF!</definedName>
    <definedName name="LENGTH_L18__RHS_400x200x16">#REF!</definedName>
    <definedName name="LENGTH_L19__COMFLOR_100">#REF!</definedName>
    <definedName name="LENGTH_L19__HEA_320">#REF!</definedName>
    <definedName name="LENGTH_L19__HEB_160">#REF!</definedName>
    <definedName name="LENGTH_L19__HEM_180">#REF!</definedName>
    <definedName name="LENGTH_L19__RHS_400x200x16">#REF!</definedName>
    <definedName name="LENGTH_L2___1000x1500mm">#REF!</definedName>
    <definedName name="LENGTH_L2___1000x1500mm_curved">#REF!</definedName>
    <definedName name="LENGTH_L2___1200x1200x1500mm">#REF!</definedName>
    <definedName name="LENGTH_L2___1200x1500mm">#REF!</definedName>
    <definedName name="LENGTH_L2___1200x3000x1500mm">#REF!</definedName>
    <definedName name="LENGTH_L2___1500x1500x1500mm">#REF!</definedName>
    <definedName name="LENGTH_L2___1800x1800x1500mm">#REF!</definedName>
    <definedName name="LENGTH_L2___1800x4500x1500mm">#REF!</definedName>
    <definedName name="LENGTH_L2___400mm_raft_slab">#REF!</definedName>
    <definedName name="LENGTH_L2___400mm_Retaining_wall">#REF!</definedName>
    <definedName name="LENGTH_L2___400mm_Retaining_wall_curved">#REF!</definedName>
    <definedName name="LENGTH_L2___400x1500mm">#REF!</definedName>
    <definedName name="LENGTH_L2___500mm_Retaining_wall">#REF!</definedName>
    <definedName name="LENGTH_L2___500mm_Retaining_wall_curved">#REF!</definedName>
    <definedName name="LENGTH_L2___600mm_diameter">#REF!</definedName>
    <definedName name="LENGTH_L2___750mm_diameter">#REF!</definedName>
    <definedName name="LENGTH_L2___800x1500mm">#REF!</definedName>
    <definedName name="LENGTH_L2___900mm_diameter">#REF!</definedName>
    <definedName name="LENGTH_L2___Pilecaps">#REF!</definedName>
    <definedName name="LENGTH_L2__Column__550dia__assumed_size_as_per_plan_">#REF!</definedName>
    <definedName name="LENGTH_L2__TW1_250">#REF!</definedName>
    <definedName name="LENGTH_L2__TW2_200">#REF!</definedName>
    <definedName name="LENGTH_L2__TW3_300">#REF!</definedName>
    <definedName name="LENGTH_L2__TW4_600">#REF!</definedName>
    <definedName name="LENGTH_L2__TW5_300">#REF!</definedName>
    <definedName name="LENGTH_L2__Wall__250__assumed_">#REF!</definedName>
    <definedName name="LENGTH_L2__Wall__250_curved__assumed_">#REF!</definedName>
    <definedName name="LENGTH_L2_Beams">#REF!</definedName>
    <definedName name="LENGTH_L2_Slab_200">#REF!</definedName>
    <definedName name="LENGTH_L2_Slab_240">#REF!</definedName>
    <definedName name="LENGTH_L2_Slab_280">#REF!</definedName>
    <definedName name="LENGTH_L20__COMFLOR_100">#REF!</definedName>
    <definedName name="LENGTH_L20__HEA_320">#REF!</definedName>
    <definedName name="LENGTH_L20__HEB_160">#REF!</definedName>
    <definedName name="LENGTH_L20__HEM_180">#REF!</definedName>
    <definedName name="LENGTH_L20__RHS_400x400x16">#REF!</definedName>
    <definedName name="LENGTH_L21__COMFLOR_100">#REF!</definedName>
    <definedName name="LENGTH_L21__HEA_320">#REF!</definedName>
    <definedName name="LENGTH_L21__HEB_160">#REF!</definedName>
    <definedName name="LENGTH_L21__HEM_180">#REF!</definedName>
    <definedName name="LENGTH_L21__RHS_400x400x16">#REF!</definedName>
    <definedName name="LENGTH_L22__COMFLOR_100">#REF!</definedName>
    <definedName name="LENGTH_L22__HEA_320">#REF!</definedName>
    <definedName name="LENGTH_L22__HEB_160">#REF!</definedName>
    <definedName name="LENGTH_L22__HEM_180">#REF!</definedName>
    <definedName name="LENGTH_L22__RHS_400x400x16">#REF!</definedName>
    <definedName name="LENGTH_L23__COMFLOR_100">#REF!</definedName>
    <definedName name="LENGTH_L23__HEA_320">#REF!</definedName>
    <definedName name="LENGTH_L23__HEB_160">#REF!</definedName>
    <definedName name="LENGTH_L23__HEM_180">#REF!</definedName>
    <definedName name="LENGTH_L23__RHS_400x400x16">#REF!</definedName>
    <definedName name="LENGTH_L24__COMFLOR_100">#REF!</definedName>
    <definedName name="LENGTH_L24__HEA_320">#REF!</definedName>
    <definedName name="LENGTH_L24__HEB_160">#REF!</definedName>
    <definedName name="LENGTH_L24__HEM_180">#REF!</definedName>
    <definedName name="LENGTH_L24__RHS_400x400x16">#REF!</definedName>
    <definedName name="LENGTH_L25__COMFLOR_100">#REF!</definedName>
    <definedName name="LENGTH_L25__HEA_320">#REF!</definedName>
    <definedName name="LENGTH_L25__HEB_160">#REF!</definedName>
    <definedName name="LENGTH_L25__HEM_180">#REF!</definedName>
    <definedName name="LENGTH_L25__RHS_400x200x16">#REF!</definedName>
    <definedName name="LENGTH_L26__COMFLOR_100">#REF!</definedName>
    <definedName name="LENGTH_L26__HEA_320">#REF!</definedName>
    <definedName name="LENGTH_L26__HEB_160">#REF!</definedName>
    <definedName name="LENGTH_L26__HEM_180">#REF!</definedName>
    <definedName name="LENGTH_L26__RC_CORE_VOIDS">#REF!</definedName>
    <definedName name="LENGTH_L26__RHS_400x200x16">#REF!</definedName>
    <definedName name="LENGTH_L27__COMFLOR_100">#REF!</definedName>
    <definedName name="LENGTH_L27__HEA_320">#REF!</definedName>
    <definedName name="LENGTH_L27__HEB_160">#REF!</definedName>
    <definedName name="LENGTH_L27__HEM_180">#REF!</definedName>
    <definedName name="LENGTH_L27__RHS_400x200x16">#REF!</definedName>
    <definedName name="LENGTH_L28__COMFLOR_100">#REF!</definedName>
    <definedName name="LENGTH_L28__HEA_320">#REF!</definedName>
    <definedName name="LENGTH_L28__HEB_160">#REF!</definedName>
    <definedName name="LENGTH_L28__HEM_180">#REF!</definedName>
    <definedName name="LENGTH_L28__rHS_400x200x16">#REF!</definedName>
    <definedName name="LENGTH_L29__COMFLOR_100">#REF!</definedName>
    <definedName name="LENGTH_L29__HEA_320">#REF!</definedName>
    <definedName name="LENGTH_L29__HEB_160">#REF!</definedName>
    <definedName name="LENGTH_L29__HEM_180">#REF!</definedName>
    <definedName name="LENGTH_L29__RHS_400x200x16">#REF!</definedName>
    <definedName name="LENGTH_L3___1000x1500mm">#REF!</definedName>
    <definedName name="LENGTH_L3___1200x1200x1500mm">#REF!</definedName>
    <definedName name="LENGTH_L3___1200x3000x1500mm">#REF!</definedName>
    <definedName name="LENGTH_L3___1500x1500mm">#REF!</definedName>
    <definedName name="LENGTH_L3___1500x3000x1500mm">#REF!</definedName>
    <definedName name="LENGTH_L3___1800x1800x1500mm">#REF!</definedName>
    <definedName name="LENGTH_L3___1800x4500x1500mm">#REF!</definedName>
    <definedName name="LENGTH_L3___400mm_Retaining_wall">#REF!</definedName>
    <definedName name="LENGTH_L3___400mm_Retaining_wall_curved">#REF!</definedName>
    <definedName name="LENGTH_L3___500mm_thick_W3_curved">#REF!</definedName>
    <definedName name="LENGTH_L3___600mm_diameter">#REF!</definedName>
    <definedName name="LENGTH_L3___650mm_thick_W4_curved">#REF!</definedName>
    <definedName name="LENGTH_L3___700x1500mm">#REF!</definedName>
    <definedName name="LENGTH_L3___700x1500mm_curved">#REF!</definedName>
    <definedName name="LENGTH_L3___800x1500mm">#REF!</definedName>
    <definedName name="LENGTH_L3___800x1500mm_curved">#REF!</definedName>
    <definedName name="LENGTH_L3___900mm_diameter">#REF!</definedName>
    <definedName name="LENGTH_L3___Pilecaps">#REF!</definedName>
    <definedName name="LENGTH_L3__Beam__1000x800__assumed_">#REF!</definedName>
    <definedName name="LENGTH_L3__Beam__1100x800__assumed_">#REF!</definedName>
    <definedName name="LENGTH_L3__Beam__1300x800__assumed_">#REF!</definedName>
    <definedName name="LENGTH_L3__Beam__700x800__assumed_">#REF!</definedName>
    <definedName name="LENGTH_L3__Beam__800x800__assumed_">#REF!</definedName>
    <definedName name="LENGTH_L3__C1__800x800">#REF!</definedName>
    <definedName name="LENGTH_L3__C10__400x1000">#REF!</definedName>
    <definedName name="LENGTH_L3__C2__600x1200__assumed_size_as_per_plan_">#REF!</definedName>
    <definedName name="LENGTH_L3__C2__800x800">#REF!</definedName>
    <definedName name="LENGTH_L3__C3__800dia">#REF!</definedName>
    <definedName name="LENGTH_L3__C4__600x600">#REF!</definedName>
    <definedName name="LENGTH_L3__C5__400x400">#REF!</definedName>
    <definedName name="LENGTH_L3__C6__600x1200">#REF!</definedName>
    <definedName name="LENGTH_L3__C7__600x800">#REF!</definedName>
    <definedName name="LENGTH_L3__C8__550dia">#REF!</definedName>
    <definedName name="LENGTH_L3__C9__600dia">#REF!</definedName>
    <definedName name="LENGTH_L3__Column_Head__3000x3000x400">#REF!</definedName>
    <definedName name="LENGTH_L3__TW1_250">#REF!</definedName>
    <definedName name="LENGTH_L3__TW2_200">#REF!</definedName>
    <definedName name="LENGTH_L3__TW3_300">#REF!</definedName>
    <definedName name="LENGTH_L3__TW4_600">#REF!</definedName>
    <definedName name="LENGTH_L3__TW5_300">#REF!</definedName>
    <definedName name="LENGTH_L3__W1__250">#REF!</definedName>
    <definedName name="LENGTH_L3__W1__250_curved">#REF!</definedName>
    <definedName name="LENGTH_L3_Beams">#REF!</definedName>
    <definedName name="LENGTH_L3_Slab_200">#REF!</definedName>
    <definedName name="LENGTH_L3_Slab_240">#REF!</definedName>
    <definedName name="LENGTH_L3_Slab_280">#REF!</definedName>
    <definedName name="LENGTH_L30__COMFLOR_100">#REF!</definedName>
    <definedName name="LENGTH_L30__HEA_320">#REF!</definedName>
    <definedName name="LENGTH_L30__HEB_160">#REF!</definedName>
    <definedName name="LENGTH_L30__HEM_180">#REF!</definedName>
    <definedName name="LENGTH_L30__RHS_400x200x16">#REF!</definedName>
    <definedName name="LENGTH_L30__TW1_250">#REF!</definedName>
    <definedName name="LENGTH_L30__TW2_200">#REF!</definedName>
    <definedName name="LENGTH_L30__TW3_300">#REF!</definedName>
    <definedName name="LENGTH_L30__TW4_600">#REF!</definedName>
    <definedName name="LENGTH_L30_Beams">#REF!</definedName>
    <definedName name="LENGTH_L30_Slab_200">#REF!</definedName>
    <definedName name="LENGTH_L30_Slab_240">#REF!</definedName>
    <definedName name="LENGTH_L30_Slab_280">#REF!</definedName>
    <definedName name="LENGTH_L31__COMFLOR_100">#REF!</definedName>
    <definedName name="LENGTH_L31__HEA_320">#REF!</definedName>
    <definedName name="LENGTH_L31__HEB_160">#REF!</definedName>
    <definedName name="LENGTH_L31__HEM_180">#REF!</definedName>
    <definedName name="LENGTH_L31__RHS_400x200x16">#REF!</definedName>
    <definedName name="LENGTH_L31__TW1_250">#REF!</definedName>
    <definedName name="LENGTH_L31__TW2_200">#REF!</definedName>
    <definedName name="LENGTH_L31__TW3_300">#REF!</definedName>
    <definedName name="LENGTH_L31__TW4_600">#REF!</definedName>
    <definedName name="LENGTH_L31__TW5_300">#REF!</definedName>
    <definedName name="LENGTH_L31_Beams">#REF!</definedName>
    <definedName name="LENGTH_L31_Slab_200">#REF!</definedName>
    <definedName name="LENGTH_L31_Slab_240">#REF!</definedName>
    <definedName name="LENGTH_L31_Slab_280">#REF!</definedName>
    <definedName name="LENGTH_L32__RC_SLAB_500mm_THICK">#REF!</definedName>
    <definedName name="LENGTH_L33__COMFLOR_100">#REF!</definedName>
    <definedName name="LENGTH_L33__HEA_320">#REF!</definedName>
    <definedName name="LENGTH_L33__HEB_160">#REF!</definedName>
    <definedName name="LENGTH_L33__HEM_180">#REF!</definedName>
    <definedName name="LENGTH_L33__RHS_400x200x16">#REF!</definedName>
    <definedName name="LENGTH_L34__COMFLOR_100">#REF!</definedName>
    <definedName name="LENGTH_L34__HEA_320">#REF!</definedName>
    <definedName name="LENGTH_L34__HEB_160">#REF!</definedName>
    <definedName name="LENGTH_L34__HEM_180">#REF!</definedName>
    <definedName name="LENGTH_L34__RHS_400x200x16">#REF!</definedName>
    <definedName name="LENGTH_L35__COMFLOR_100">#REF!</definedName>
    <definedName name="LENGTH_L35__HEA_320">#REF!</definedName>
    <definedName name="LENGTH_L35__HEB_160">#REF!</definedName>
    <definedName name="LENGTH_L35__HEM_180">#REF!</definedName>
    <definedName name="LENGTH_L35__RHS_400x200x16">#REF!</definedName>
    <definedName name="LENGTH_L36__COMFLOR_100">#REF!</definedName>
    <definedName name="LENGTH_L36__CONC_SLAB">#REF!</definedName>
    <definedName name="LENGTH_L36__HEA_320">#REF!</definedName>
    <definedName name="LENGTH_L36__HEB_160">#REF!</definedName>
    <definedName name="LENGTH_L36__HEM_180">#REF!</definedName>
    <definedName name="LENGTH_L36__RHS_400x200x16">#REF!</definedName>
    <definedName name="LENGTH_L36__TW1_250">#REF!</definedName>
    <definedName name="LENGTH_L36__TW2_200">#REF!</definedName>
    <definedName name="LENGTH_L36__TW3_300">#REF!</definedName>
    <definedName name="LENGTH_L36__TW5_300">#REF!</definedName>
    <definedName name="LENGTH_L36_Beams">#REF!</definedName>
    <definedName name="LENGTH_L36_Slab_200">#REF!</definedName>
    <definedName name="LENGTH_L36_Slab_240">#REF!</definedName>
    <definedName name="LENGTH_L36_Slab_280">#REF!</definedName>
    <definedName name="LENGTH_L36_Slab_500">#REF!</definedName>
    <definedName name="LENGTH_L37__COMFLOR_100">#REF!</definedName>
    <definedName name="LENGTH_L37__HEA_320">#REF!</definedName>
    <definedName name="LENGTH_L37__HEB_160">#REF!</definedName>
    <definedName name="LENGTH_L37__HEM_180">#REF!</definedName>
    <definedName name="LENGTH_L37__RHS_400x200x16">#REF!</definedName>
    <definedName name="LENGTH_L37__TW1_250">#REF!</definedName>
    <definedName name="LENGTH_L37__TW2_200">#REF!</definedName>
    <definedName name="LENGTH_L37__TW3_300">#REF!</definedName>
    <definedName name="LENGTH_L37__TW5_300">#REF!</definedName>
    <definedName name="LENGTH_L37_Beams">#REF!</definedName>
    <definedName name="LENGTH_L37_Slab_200">#REF!</definedName>
    <definedName name="LENGTH_L37_Slab_350">#REF!</definedName>
    <definedName name="LENGTH_L38__Bracing_Elemnt_Passing_Lift_Over_Run">#REF!</definedName>
    <definedName name="LENGTH_L38__COMFLOR_100">#REF!</definedName>
    <definedName name="LENGTH_L38__HEA_320">#REF!</definedName>
    <definedName name="LENGTH_L38__HEB_160">#REF!</definedName>
    <definedName name="LENGTH_L38__HEM_180">#REF!</definedName>
    <definedName name="LENGTH_L38__RHS_400x200x16">#REF!</definedName>
    <definedName name="LENGTH_L38__TW1_250">#REF!</definedName>
    <definedName name="LENGTH_L38__TW2_200">#REF!</definedName>
    <definedName name="LENGTH_L38__TW3_300">#REF!</definedName>
    <definedName name="LENGTH_L38__TW5_300">#REF!</definedName>
    <definedName name="LENGTH_L38_Beams">#REF!</definedName>
    <definedName name="LENGTH_L38_Slab_200">#REF!</definedName>
    <definedName name="LENGTH_L38_Slab_350">#REF!</definedName>
    <definedName name="LENGTH_L39__2nd_Layer__HEA_320">#REF!</definedName>
    <definedName name="LENGTH_L39__2nd_Layer__HEB_160">#REF!</definedName>
    <definedName name="LENGTH_L39__2nd_Layer__HEM_180">#REF!</definedName>
    <definedName name="LENGTH_L39__2nd_Layer__RHS_400x200x16">#REF!</definedName>
    <definedName name="LENGTH_L39__Bracing_Elemnt_Passing_Lift_Over_Run">#REF!</definedName>
    <definedName name="LENGTH_L39__COMFLOR_100">#REF!</definedName>
    <definedName name="LENGTH_L39__HEA_320">#REF!</definedName>
    <definedName name="LENGTH_L39__HEB_160">#REF!</definedName>
    <definedName name="LENGTH_L39__HEM_180">#REF!</definedName>
    <definedName name="LENGTH_L39__RHS_400x200x16">#REF!</definedName>
    <definedName name="LENGTH_L4___1000x1500mm_curved">#REF!</definedName>
    <definedName name="LENGTH_L4___1500x1500x1500mm">#REF!</definedName>
    <definedName name="LENGTH_L4___600mm_diameter">#REF!</definedName>
    <definedName name="LENGTH_L4___750mm_diameter">#REF!</definedName>
    <definedName name="LENGTH_L4___800x1500mm">#REF!</definedName>
    <definedName name="LENGTH_L4___800x1500mm_curved">#REF!</definedName>
    <definedName name="LENGTH_L4__B1__800x600">#REF!</definedName>
    <definedName name="LENGTH_L4__B1__800x600_curved">#REF!</definedName>
    <definedName name="LENGTH_L4__B2__800x1000">#REF!</definedName>
    <definedName name="LENGTH_L4__B2__800x1000_curved">#REF!</definedName>
    <definedName name="LENGTH_L4__B3__800x1300">#REF!</definedName>
    <definedName name="LENGTH_L4__B3__800x1300_curved">#REF!</definedName>
    <definedName name="LENGTH_L4__B4__1500x1600_curved">#REF!</definedName>
    <definedName name="LENGTH_L4__Beam__300x600__assumed_">#REF!</definedName>
    <definedName name="LENGTH_L4__C3__800dia">#REF!</definedName>
    <definedName name="LENGTH_L4__C6__550dia__assumed_size_as_per_plan_">#REF!</definedName>
    <definedName name="LENGTH_L4__C9__600dia">#REF!</definedName>
    <definedName name="LENGTH_L4__Column_Head__4000x4000x400">#REF!</definedName>
    <definedName name="LENGTH_L4__W1__250">#REF!</definedName>
    <definedName name="LENGTH_L4__W1__250_curved">#REF!</definedName>
    <definedName name="LENGTH_L4__W2__350">#REF!</definedName>
    <definedName name="LENGTH_L4__W2__350_curved">#REF!</definedName>
    <definedName name="LENGTH_L40__2nd_Layer__RHS_400x200x16">#REF!</definedName>
    <definedName name="LENGTH_L40__Bracing_Elemnt_Passing_Lift_Over_Run">#REF!</definedName>
    <definedName name="LENGTH_L40__COMFLOR_100">#REF!</definedName>
    <definedName name="LENGTH_L40__HEB_320">#REF!</definedName>
    <definedName name="LENGTH_L40__RHS_400x200x16">#REF!</definedName>
    <definedName name="LENGTH_L40__RHS_450x450x25">#REF!</definedName>
    <definedName name="LENGTH_L40__RHS_500x300x20">#REF!</definedName>
    <definedName name="LENGTH_L40__Trussing_spanning_column_restrai">#REF!</definedName>
    <definedName name="LENGTH_L41__2nd_Layer__RHS_400x200x16">#REF!</definedName>
    <definedName name="LENGTH_L41__Bracing_Elemnt_Passing_Lift_Over_Run">#REF!</definedName>
    <definedName name="LENGTH_L41__COMFLOR_100">#REF!</definedName>
    <definedName name="LENGTH_L41__Flying_Strut">#REF!</definedName>
    <definedName name="LENGTH_L41__HEB_320">#REF!</definedName>
    <definedName name="LENGTH_L41__RHS_400x200x16">#REF!</definedName>
    <definedName name="LENGTH_L41__RHS_450x450x25">#REF!</definedName>
    <definedName name="LENGTH_L41__RHS_500x300x20">#REF!</definedName>
    <definedName name="LENGTH_L42__2nd_Layer__RHS_400x200x16">#REF!</definedName>
    <definedName name="LENGTH_L42__COMFLOR_100">#REF!</definedName>
    <definedName name="LENGTH_L42__HEB_320">#REF!</definedName>
    <definedName name="LENGTH_L42__RHS_400x420x16">#REF!</definedName>
    <definedName name="LENGTH_L42__RHS_450x450x25">#REF!</definedName>
    <definedName name="LENGTH_L42__RHS_500x300x20">#REF!</definedName>
    <definedName name="LENGTH_L43__COMFLOR_100">#REF!</definedName>
    <definedName name="LENGTH_L43__HE_320">#REF!</definedName>
    <definedName name="LENGTH_L44__COMFLOR_100">#REF!</definedName>
    <definedName name="LENGTH_L44__HEA_320">#REF!</definedName>
    <definedName name="LENGTH_L45__COMFLOR_100">#REF!</definedName>
    <definedName name="LENGTH_L46__COMFLOR_100">#REF!</definedName>
    <definedName name="LENGTH_L47__COMFLOR_100">#REF!</definedName>
    <definedName name="LENGTH_L48__RC_SLAB_350mm_THICK">#REF!</definedName>
    <definedName name="LENGTH_L49__COMFLOR_100">#REF!</definedName>
    <definedName name="LENGTH_L49__HEB_260">#REF!</definedName>
    <definedName name="LENGTH_L5___Slab_on_grade">#REF!</definedName>
    <definedName name="LENGTH_L5__B1__500x1300_curved">#REF!</definedName>
    <definedName name="LENGTH_L5__B2__800x1300">#REF!</definedName>
    <definedName name="LENGTH_L5__B2__800x1300_curved">#REF!</definedName>
    <definedName name="LENGTH_L5__B3__800x1100">#REF!</definedName>
    <definedName name="LENGTH_L5__B3__800x1100_curved">#REF!</definedName>
    <definedName name="LENGTH_L5__B4__800x1600">#REF!</definedName>
    <definedName name="LENGTH_L5__B5__400x800">#REF!</definedName>
    <definedName name="LENGTH_L5__B6__600x1250">#REF!</definedName>
    <definedName name="LENGTH_L5__B6__600x1250_curved">#REF!</definedName>
    <definedName name="LENGTH_L5__B7__800x1250">#REF!</definedName>
    <definedName name="LENGTH_L5__B7__800x1250_curved">#REF!</definedName>
    <definedName name="LENGTH_L5__B8__1400x1250_curved">#REF!</definedName>
    <definedName name="LENGTH_L5__B9__1800x1250">#REF!</definedName>
    <definedName name="LENGTH_L5__B9__1800x1250_curved">#REF!</definedName>
    <definedName name="LENGTH_L5__Beam__800x1600_curved__assumed_">#REF!</definedName>
    <definedName name="LENGTH_L50__COMFLOR_100">#REF!</definedName>
    <definedName name="LENGTH_L50__HEB_260">#REF!</definedName>
    <definedName name="LENGTH_L51__COMFLOR_100">#REF!</definedName>
    <definedName name="LENGTH_Land_Area">#REF!</definedName>
    <definedName name="LENGTH_Lettable_Area__lvl_3_">#REF!</definedName>
    <definedName name="LENGTH_Lettable_areas__lvl_2_">#REF!</definedName>
    <definedName name="LENGTH_Level_3_balcony_handrails">#REF!</definedName>
    <definedName name="LENGTH_Lift_voids__GF_">#REF!</definedName>
    <definedName name="LENGTH_Lift_voids__lvl_1_">#REF!</definedName>
    <definedName name="LENGTH_Lift_voids__lvl_2_">#REF!</definedName>
    <definedName name="LENGTH_Lift_voids__lvl_3_">#REF!</definedName>
    <definedName name="LENGTH_Lift_voids__Podium_1_">#REF!</definedName>
    <definedName name="LENGTH_Lift_Voids__Podium_2_">#REF!</definedName>
    <definedName name="LENGTH_Lift_voids__Roof_">#REF!</definedName>
    <definedName name="LENGTH_Louver_1A">#REF!</definedName>
    <definedName name="LENGTH_lvl_1__BOH_">#REF!</definedName>
    <definedName name="LENGTH_lvl_1__Car_Park_">#REF!</definedName>
    <definedName name="LENGTH_lvl_1__Externals_">#REF!</definedName>
    <definedName name="LENGTH_lvl_1__FOH_Areas_">#REF!</definedName>
    <definedName name="LENGTH_lvl_1__FOH_Circulation_">#REF!</definedName>
    <definedName name="LENGTH_lvl_1__GFA_">#REF!</definedName>
    <definedName name="LENGTH_lvl_1__GIFA_">#REF!</definedName>
    <definedName name="LENGTH_lvl_1__offices_">#REF!</definedName>
    <definedName name="LENGTH_lvl_1__Stairs_">#REF!</definedName>
    <definedName name="LENGTH_lvl_1__vertical_storage_">#REF!</definedName>
    <definedName name="LENGTH_lvl_1__Voids_">#REF!</definedName>
    <definedName name="LENGTH_lvl_1__WCs_">#REF!</definedName>
    <definedName name="LENGTH_lvl_1_BOH">#REF!</definedName>
    <definedName name="LENGTH_lvl_1_Doors_Internal_Double__FOH_">#REF!</definedName>
    <definedName name="LENGTH_lvl_1_Doors_Internal_Single__BOH_">#REF!</definedName>
    <definedName name="LENGTH_lvl_1_Doors_Internal_Single__FOH_">#REF!</definedName>
    <definedName name="LENGTH_lvl_1_External_Double_door__FOH_">#REF!</definedName>
    <definedName name="LENGTH_lvl_1_External_double_doors__FOH_">#REF!</definedName>
    <definedName name="LENGTH_lvl_1_FOH">#REF!</definedName>
    <definedName name="LENGTH_lvl_1_GFA">#REF!</definedName>
    <definedName name="LENGTH_lvl_1_GIFA">#REF!</definedName>
    <definedName name="LENGTH_lvl_1_Internal_Double_doors__BOH_">#REF!</definedName>
    <definedName name="LENGTH_lvl_1_Internal_double_doors__FOH_">#REF!</definedName>
    <definedName name="LENGTH_lvl_1_Internal_single_doors__BOH_">#REF!</definedName>
    <definedName name="LENGTH_lvl_1_Internal_single_doors__FOH_">#REF!</definedName>
    <definedName name="LENGTH_lvl_1_Internal_single_doors__Stairs_">#REF!</definedName>
    <definedName name="LENGTH_lvl_1_Offices">#REF!</definedName>
    <definedName name="LENGTH_lvl_1_Stairs">#REF!</definedName>
    <definedName name="LENGTH_lvl_1_Store">#REF!</definedName>
    <definedName name="LENGTH_lvl_1_Voids">#REF!</definedName>
    <definedName name="LENGTH_lvl_2__Apartments_">#REF!</definedName>
    <definedName name="LENGTH_lvl_2__BOH_">#REF!</definedName>
    <definedName name="LENGTH_lvl_2__FOH_Circulation_">#REF!</definedName>
    <definedName name="LENGTH_lvl_2__GFA_">#REF!</definedName>
    <definedName name="LENGTH_lvl_2__GIFA_">#REF!</definedName>
    <definedName name="LENGTH_lvl_2__Stairs_">#REF!</definedName>
    <definedName name="LENGTH_lvl_2__Voids_">#REF!</definedName>
    <definedName name="LENGTH_lvl_2_External_dble_doors__FOH_">#REF!</definedName>
    <definedName name="LENGTH_lvl_2_Internal_dble_doors__Aprt_">#REF!</definedName>
    <definedName name="LENGTH_lvl_2_Internal_double_doors__BOH_">#REF!</definedName>
    <definedName name="LENGTH_lvl_2_Internal_Single_doors__Apartments_">#REF!</definedName>
    <definedName name="LENGTH_lvl_2_Internal_Single_doors__Apartments_Entrances_">#REF!</definedName>
    <definedName name="LENGTH_lvl_2_Internal_single_doors__Aprt_">#REF!</definedName>
    <definedName name="LENGTH_lvl_2_Internal_single_doors__Aprt_Entrance_">#REF!</definedName>
    <definedName name="LENGTH_lvl_2_Internal_Single_doors__BOH_">#REF!</definedName>
    <definedName name="LENGTH_lvl_2_Internal_Sliding_doors__Apartments_">#REF!</definedName>
    <definedName name="LENGTH_lvl_2_Internal_sliding_doors__Aprt_">#REF!</definedName>
    <definedName name="LENGTH_lvl_3__Apartments_">#REF!</definedName>
    <definedName name="LENGTH_lvl_3__BOH_">#REF!</definedName>
    <definedName name="LENGTH_lvl_3__Car_Park_">#REF!</definedName>
    <definedName name="LENGTH_lvl_3__FOH_Circulation_">#REF!</definedName>
    <definedName name="LENGTH_lvl_3__GFA_">#REF!</definedName>
    <definedName name="LENGTH_lvl_3__GIFA_">#REF!</definedName>
    <definedName name="LENGTH_lvl_3__Stairs_">#REF!</definedName>
    <definedName name="LENGTH_lvl_3__voids_">#REF!</definedName>
    <definedName name="LENGTH_lvl_3_External_balcony_doors__Aprt_">#REF!</definedName>
    <definedName name="LENGTH_lvl_3_Internal_dble_doors__Aprt_">#REF!</definedName>
    <definedName name="LENGTH_lvl_3_Internal_Double_doors__BOH_">#REF!</definedName>
    <definedName name="LENGTH_lvl_3_Internal_Single_doors__Apartment_">#REF!</definedName>
    <definedName name="LENGTH_lvl_3_Internal_Single_doors__Apartment_entrances_">#REF!</definedName>
    <definedName name="LENGTH_lvl_3_Internal_single_doors__Aprt_">#REF!</definedName>
    <definedName name="LENGTH_lvl_3_Internal_single_doors__Aprt_entrance_">#REF!</definedName>
    <definedName name="LENGTH_lvl_3_Internal_Single_doors__BOH_">#REF!</definedName>
    <definedName name="LENGTH_lvl_3_Internal_Single_doors__FOH_">#REF!</definedName>
    <definedName name="LENGTH_lvl_3_Internal_Sliding_doors__Apartment_">#REF!</definedName>
    <definedName name="LENGTH_lvl_3_Internal_sliding_doors__Aprt_">#REF!</definedName>
    <definedName name="LENGTH_lvl_5__BOH_">#REF!</definedName>
    <definedName name="LENGTH_lvl_5__Externals_">#REF!</definedName>
    <definedName name="LENGTH_lvl_5__GFA_">#REF!</definedName>
    <definedName name="LENGTH_lvl_5__GIFA_">#REF!</definedName>
    <definedName name="LENGTH_lvl_5__Stairs_">#REF!</definedName>
    <definedName name="LENGTH_lvl_5__voids_">#REF!</definedName>
    <definedName name="LENGTH_lvl_5_External_Single_Door__BOH_">#REF!</definedName>
    <definedName name="LENGTH_lvl_6__BOH_">#REF!</definedName>
    <definedName name="LENGTH_lvl_6__Externals_">#REF!</definedName>
    <definedName name="LENGTH_lvl_6__FOH_amenities_">#REF!</definedName>
    <definedName name="LENGTH_lvl_6__FOH_Circulation_">#REF!</definedName>
    <definedName name="LENGTH_lvl_6__GFA_">#REF!</definedName>
    <definedName name="LENGTH_lvl_6__GIFA_">#REF!</definedName>
    <definedName name="LENGTH_lvl_6__Pool_">#REF!</definedName>
    <definedName name="LENGTH_lvl_6__Roof___Pool_deck_">#REF!</definedName>
    <definedName name="LENGTH_lvl_6__Stairs_">#REF!</definedName>
    <definedName name="LENGTH_lvl_6__Voids_">#REF!</definedName>
    <definedName name="LENGTH_lvl_6_External_double_doors__BOH_">#REF!</definedName>
    <definedName name="LENGTH_lvl_6_External_double_doors__FOH_">#REF!</definedName>
    <definedName name="LENGTH_lvl_6_External_single_doors__BOH_">#REF!</definedName>
    <definedName name="LENGTH_lvl_6_Internal_Single_doors__BOH_">#REF!</definedName>
    <definedName name="LENGTH_lvl_6_Internal_Single_doors__FOH_">#REF!</definedName>
    <definedName name="LENGTH_M01__Column_C1">#REF!</definedName>
    <definedName name="LENGTH_M01__Column_C10">#REF!</definedName>
    <definedName name="LENGTH_M01__Column_C11">#REF!</definedName>
    <definedName name="LENGTH_M01__Column_C12">#REF!</definedName>
    <definedName name="LENGTH_M01__Column_C2">#REF!</definedName>
    <definedName name="LENGTH_M01__Column_C3">#REF!</definedName>
    <definedName name="LENGTH_M01__Column_C4">#REF!</definedName>
    <definedName name="LENGTH_M01__Column_C5">#REF!</definedName>
    <definedName name="LENGTH_M01__Column_C6">#REF!</definedName>
    <definedName name="LENGTH_M01__Column_C7">#REF!</definedName>
    <definedName name="LENGTH_M01__Column_C8">#REF!</definedName>
    <definedName name="LENGTH_M01__Column_C9">#REF!</definedName>
    <definedName name="LENGTH_M01__Column_FC1">#REF!</definedName>
    <definedName name="LENGTH_M01__Column_TC1">#REF!</definedName>
    <definedName name="LENGTH_M01__Column_TC2">#REF!</definedName>
    <definedName name="LENGTH_M01__Column_TC3">#REF!</definedName>
    <definedName name="LENGTH_M01__Column_TC4">#REF!</definedName>
    <definedName name="LENGTH_M01__Column_TC5">#REF!</definedName>
    <definedName name="LENGTH_M1__TW1_250">#REF!</definedName>
    <definedName name="LENGTH_M1__TW2_200">#REF!</definedName>
    <definedName name="LENGTH_M1__TW3_300">#REF!</definedName>
    <definedName name="LENGTH_M1__TW3_400">#REF!</definedName>
    <definedName name="LENGTH_M1__TW4_500">#REF!</definedName>
    <definedName name="LENGTH_M1__TW4_600">#REF!</definedName>
    <definedName name="LENGTH_M1__TW5_300">#REF!</definedName>
    <definedName name="LENGTH_M1_Beams">#REF!</definedName>
    <definedName name="LENGTH_M1_DP">#REF!</definedName>
    <definedName name="LENGTH_M1_DP1">#REF!</definedName>
    <definedName name="LENGTH_M1_DP10">#REF!</definedName>
    <definedName name="LENGTH_M1_DP2">#REF!</definedName>
    <definedName name="LENGTH_M1_DP3">#REF!</definedName>
    <definedName name="LENGTH_M1_DP4">#REF!</definedName>
    <definedName name="LENGTH_M1_DP7">#REF!</definedName>
    <definedName name="LENGTH_M1_DP8">#REF!</definedName>
    <definedName name="LENGTH_M1_DP9">#REF!</definedName>
    <definedName name="LENGTH_M1_Ramp">#REF!</definedName>
    <definedName name="LENGTH_M1_Slab_200">#REF!</definedName>
    <definedName name="LENGTH_M1_Slab_220">#REF!</definedName>
    <definedName name="LENGTH_M1_Slab_250">#REF!</definedName>
    <definedName name="LENGTH_M1_Slab_280">#REF!</definedName>
    <definedName name="LENGTH_Mezz">#REF!</definedName>
    <definedName name="LENGTH_Mezzanine___BOH___Admin_Support">#REF!</definedName>
    <definedName name="LENGTH_Mezzanine___BOH___Administration_Offices">#REF!</definedName>
    <definedName name="LENGTH_Mezzanine___BOH___Administration_Offices_Toilet">#REF!</definedName>
    <definedName name="LENGTH_Mezzanine___BOH___Conference___Meeting">#REF!</definedName>
    <definedName name="LENGTH_Mezzanine___BOH___Event_Center_Core">#REF!</definedName>
    <definedName name="LENGTH_Mezzanine___BOH___Event_Center_Core_lift_shafts">#REF!</definedName>
    <definedName name="LENGTH_Mezzanine___BOH___Event_Center_Pantry___Service">#REF!</definedName>
    <definedName name="LENGTH_Mezzanine___BOH___Event_Center_Service">#REF!</definedName>
    <definedName name="LENGTH_Mezzanine___BOH___Finance___Accounting">#REF!</definedName>
    <definedName name="LENGTH_Mezzanine___BOH___Fire_Escape_Stairs">#REF!</definedName>
    <definedName name="LENGTH_Mezzanine___BOH___Guest_Core">#REF!</definedName>
    <definedName name="LENGTH_Mezzanine___BOH___Guest_Core_lift_shafts">#REF!</definedName>
    <definedName name="LENGTH_Mezzanine___BOH___Reservation___PABX">#REF!</definedName>
    <definedName name="LENGTH_Mezzanine___BOH___Service_Core">#REF!</definedName>
    <definedName name="LENGTH_Mezzanine___BOH___Service_Core_ducts">#REF!</definedName>
    <definedName name="LENGTH_Mezzanine___BOH___Service_Core_lift_shafts">#REF!</definedName>
    <definedName name="LENGTH_Mezzanine___BOH___Staff_Core">#REF!</definedName>
    <definedName name="LENGTH_Mezzanine___BOH___Staff_Core_lift_shafts">#REF!</definedName>
    <definedName name="LENGTH_Mezzanine___Double_Volume__Conference___Meeting_">#REF!</definedName>
    <definedName name="LENGTH_Mezzanine___Double_Volume__Lobby_Bar_">#REF!</definedName>
    <definedName name="LENGTH_Mezzanine___Double_Volume__Reception_Lobby_">#REF!</definedName>
    <definedName name="LENGTH_Mezzanine___FOH___Ball_Room">#REF!</definedName>
    <definedName name="LENGTH_Mezzanine___FOH___Ball_Room_Pre_Function">#REF!</definedName>
    <definedName name="LENGTH_Mezzanine___FOH___Circulation">#REF!</definedName>
    <definedName name="LENGTH_Mezzanine___FOH___Guestroom_Terrace">#REF!</definedName>
    <definedName name="LENGTH_Mezzanine___FOH___Guestrooms">#REF!</definedName>
    <definedName name="LENGTH_MF_Admin._Offices_area">#REF!</definedName>
    <definedName name="LENGTH_MF_BOH_Service_and_Utility_area">#REF!</definedName>
    <definedName name="LENGTH_MF_BOH_Staircase">#REF!</definedName>
    <definedName name="LENGTH_MF_Circulation_Corr._to_Admin._Offices">#REF!</definedName>
    <definedName name="LENGTH_MF_Guest_Core">#REF!</definedName>
    <definedName name="LENGTH_MF_Guestrooms">#REF!</definedName>
    <definedName name="LENGTH_MF_HGR_BOH">#REF!</definedName>
    <definedName name="LENGTH_MF_HGR_Circulation">#REF!</definedName>
    <definedName name="LENGTH_MF_HGR_Covered_Balcony">#REF!</definedName>
    <definedName name="LENGTH_MF_HGR_Fire_Staircase">#REF!</definedName>
    <definedName name="LENGTH_MF_Lift_Shaft">#REF!</definedName>
    <definedName name="LENGTH_MF_Roof_of_MEP_area">#REF!</definedName>
    <definedName name="LENGTH_MF_Services_Core">#REF!</definedName>
    <definedName name="LENGTH_MF_Voids___Dead_space">#REF!</definedName>
    <definedName name="LENGTH_Non_return_valve">#REF!</definedName>
    <definedName name="Length_of_the_cell__X_direction__m">#REF!</definedName>
    <definedName name="LENGTH_Open_Terrace___2F">#REF!</definedName>
    <definedName name="LENGTH_Open_Terrace___3F">#REF!</definedName>
    <definedName name="LENGTH_Open_Terrace___4F">#REF!</definedName>
    <definedName name="LENGTH_Parapet_capping">#REF!</definedName>
    <definedName name="LENGTH_Parapet_capping_1CRF">#REF!</definedName>
    <definedName name="LENGTH_Parapet_capping1BRF">#REF!</definedName>
    <definedName name="LENGTH_Pedestrian_Access">#REF!</definedName>
    <definedName name="LENGTH_PLATE___1F">#REF!</definedName>
    <definedName name="LENGTH_PLATE___2F">#REF!</definedName>
    <definedName name="LENGTH_PLATE___3F">#REF!</definedName>
    <definedName name="LENGTH_PLATE___4F">#REF!</definedName>
    <definedName name="LENGTH_PLATE___5F">#REF!</definedName>
    <definedName name="LENGTH_PLATE___B1">#REF!</definedName>
    <definedName name="LENGTH_PLATE___B2">#REF!</definedName>
    <definedName name="LENGTH_PLATE___GF">#REF!</definedName>
    <definedName name="LENGTH_PLATE___MF">#REF!</definedName>
    <definedName name="LENGTH_Plot_Area">#REF!</definedName>
    <definedName name="LENGTH_Pod_1_Internal_single_doors__BOH_">#REF!</definedName>
    <definedName name="LENGTH_Pod_1_Internal_single_doors__FOH_">#REF!</definedName>
    <definedName name="LENGTH_Pod_2___Internal_single_doors__BOH_">#REF!</definedName>
    <definedName name="LENGTH_Pod_2___Internal_single_doors__FOH_">#REF!</definedName>
    <definedName name="LENGTH_Pond">#REF!</definedName>
    <definedName name="LENGTH_Public_Toilets__GF_">#REF!</definedName>
    <definedName name="LENGTH_Raft___13800mm_thick_raft">#REF!</definedName>
    <definedName name="LENGTH_Rainwater_Drain">#REF!</definedName>
    <definedName name="LENGTH_Rainwater_Drain_GF">#REF!</definedName>
    <definedName name="LENGTH_Rainwater_Drain_Pipe">#REF!</definedName>
    <definedName name="LENGTH_RF__Isolation_Valve">#REF!</definedName>
    <definedName name="LENGTH_Roof__Canopies">#REF!</definedName>
    <definedName name="LENGTH_Roof__Suspened_Roof">#REF!</definedName>
    <definedName name="LENGTH_Roof_External_single_doors__FOH_">#REF!</definedName>
    <definedName name="LENGTH_Roof_Internal_Single_doors__BOH_">#REF!</definedName>
    <definedName name="LENGTH_Roof_Internal_single_doors__FOH_">#REF!</definedName>
    <definedName name="LENGTH_Roof_Terrace___3F">#REF!</definedName>
    <definedName name="LENGTH_Roof_Terrace___4F">#REF!</definedName>
    <definedName name="LENGTH_Roof_Terrace___5F">#REF!</definedName>
    <definedName name="LENGTH_RWO">#REF!</definedName>
    <definedName name="LENGTH_Sellable">#REF!</definedName>
    <definedName name="LENGTH_Shops__GF_">#REF!</definedName>
    <definedName name="LENGTH_Stairs__GF_">#REF!</definedName>
    <definedName name="LENGTH_Stairs__lvl_1_">#REF!</definedName>
    <definedName name="LENGTH_Stairs__lvl_2_">#REF!</definedName>
    <definedName name="LENGTH_Stairs__lvl_3_">#REF!</definedName>
    <definedName name="LENGTH_Stairs__Podium_1_">#REF!</definedName>
    <definedName name="LENGTH_Stairs__Podium_2_">#REF!</definedName>
    <definedName name="LENGTH_Stairs__riser___Ceramic_floor_tile_ff05">#REF!</definedName>
    <definedName name="LENGTH_Stairs__Risers_150mm___Ceramic_Floor_tile_FF05___Copy">#REF!</definedName>
    <definedName name="LENGTH_stairs__Roof_">#REF!</definedName>
    <definedName name="LENGTH_Stairs__Skirting">#REF!</definedName>
    <definedName name="LENGTH_Stairs__step_200mm___Ceramic_Floor_tile_FF05">#REF!</definedName>
    <definedName name="LENGTH_STRUT_RAFT">#REF!</definedName>
    <definedName name="LENGTH_Studio_2_burner_hob">#REF!</definedName>
    <definedName name="LENGTH_Studio_balcony">#REF!</definedName>
    <definedName name="LENGTH_Studio_bath_tub">#REF!</definedName>
    <definedName name="LENGTH_Studio_bath_tub_mixer">#REF!</definedName>
    <definedName name="LENGTH_Studio_Bathroom">#REF!</definedName>
    <definedName name="LENGTH_Studio_Bedroom">#REF!</definedName>
    <definedName name="LENGTH_Studio_kitchen_sink">#REF!</definedName>
    <definedName name="LENGTH_Studio_kitchen_sink_mixer">#REF!</definedName>
    <definedName name="LENGTH_studio_kitchen_units">#REF!</definedName>
    <definedName name="LENGTH_Studio_mirror">#REF!</definedName>
    <definedName name="LENGTH_Studio_NIA">#REF!</definedName>
    <definedName name="LENGTH_Studio_vanitys">#REF!</definedName>
    <definedName name="LENGTH_Studio_wardrobe">#REF!</definedName>
    <definedName name="LENGTH_Studio_Wash_basin">#REF!</definedName>
    <definedName name="LENGTH_Studio_Wash_basin_mixer">#REF!</definedName>
    <definedName name="LENGTH_Studio_Washing_machine">#REF!</definedName>
    <definedName name="LENGTH_Studio_WC">#REF!</definedName>
    <definedName name="LENGTH_T.C._A_01AF">#REF!</definedName>
    <definedName name="LENGTH_T.C._A_01F___U01">#REF!</definedName>
    <definedName name="LENGTH_T.C._A_01F___U02">#REF!</definedName>
    <definedName name="LENGTH_T.C._A_01F___U03">#REF!</definedName>
    <definedName name="LENGTH_T.C._A_01F___U04">#REF!</definedName>
    <definedName name="LENGTH_T.C._A_01F___U05">#REF!</definedName>
    <definedName name="LENGTH_T.C._A_01F___U06">#REF!</definedName>
    <definedName name="LENGTH_T.C._A_02F___04F___U01">#REF!</definedName>
    <definedName name="LENGTH_T.C._A_02F___04F___U02">#REF!</definedName>
    <definedName name="LENGTH_T.C._A_02F___04F___U03">#REF!</definedName>
    <definedName name="LENGTH_T.C._A_02F___04F___U04">#REF!</definedName>
    <definedName name="LENGTH_T.C._A_02F___04F___U06">#REF!</definedName>
    <definedName name="LENGTH_T.C._A_03F___U01">#REF!</definedName>
    <definedName name="LENGTH_T.C._A_03F___U02">#REF!</definedName>
    <definedName name="LENGTH_T.C._A_03F___U03">#REF!</definedName>
    <definedName name="LENGTH_T.C._A_03F___U04">#REF!</definedName>
    <definedName name="LENGTH_T.C._A_03F___U05">#REF!</definedName>
    <definedName name="LENGTH_T.C._A_03F___U06">#REF!</definedName>
    <definedName name="LENGTH_T.C._A_05F___U01">#REF!</definedName>
    <definedName name="LENGTH_T.C._A_05F___U02">#REF!</definedName>
    <definedName name="LENGTH_T.C._A_05F___U03">#REF!</definedName>
    <definedName name="LENGTH_T.C._A_05F___U04">#REF!</definedName>
    <definedName name="LENGTH_T.C._A_05F___U05">#REF!</definedName>
    <definedName name="LENGTH_T.C._A_05F___U06">#REF!</definedName>
    <definedName name="LENGTH_T.C._A_06F___U01">#REF!</definedName>
    <definedName name="LENGTH_T.C._A_06F___U02">#REF!</definedName>
    <definedName name="LENGTH_T.C._A_06F___U03">#REF!</definedName>
    <definedName name="LENGTH_T.C._A_06F___U04">#REF!</definedName>
    <definedName name="LENGTH_T.C._A_06F___U06">#REF!</definedName>
    <definedName name="LENGTH_T.C._A_07F___U01">#REF!</definedName>
    <definedName name="LENGTH_T.C._A_07F___U02">#REF!</definedName>
    <definedName name="LENGTH_T.C._A_07F___U03">#REF!</definedName>
    <definedName name="LENGTH_T.C._A_07F___U04">#REF!</definedName>
    <definedName name="LENGTH_T.C._A_07F___U05">#REF!</definedName>
    <definedName name="LENGTH_T.C._A_07F___U06">#REF!</definedName>
    <definedName name="LENGTH_T.C._A_08f___10F___U01">#REF!</definedName>
    <definedName name="LENGTH_T.C._A_08f___10F___U02">#REF!</definedName>
    <definedName name="LENGTH_T.C._A_08f___10F___U03">#REF!</definedName>
    <definedName name="LENGTH_T.C._A_08f___10F___U04">#REF!</definedName>
    <definedName name="LENGTH_T.C._A_08f___10F___U06">#REF!</definedName>
    <definedName name="LENGTH_T.C._A_09F___U01">#REF!</definedName>
    <definedName name="LENGTH_T.C._A_09F___U02">#REF!</definedName>
    <definedName name="LENGTH_T.C._A_09F___U03">#REF!</definedName>
    <definedName name="LENGTH_T.C._A_09F___U04">#REF!</definedName>
    <definedName name="LENGTH_T.C._A_09F___U05">#REF!</definedName>
    <definedName name="LENGTH_T.C._A_09F___U06">#REF!</definedName>
    <definedName name="LENGTH_T.C._A_11F___U01">#REF!</definedName>
    <definedName name="LENGTH_T.C._A_11F___U02">#REF!</definedName>
    <definedName name="LENGTH_T.C._A_11F___U03">#REF!</definedName>
    <definedName name="LENGTH_T.C._A_11F___U04">#REF!</definedName>
    <definedName name="LENGTH_T.C._A_11F___U05">#REF!</definedName>
    <definedName name="LENGTH_T.C._A_11F___U06">#REF!</definedName>
    <definedName name="LENGTH_T.C._A_12F___U01">#REF!</definedName>
    <definedName name="LENGTH_T.C._A_12F___U02">#REF!</definedName>
    <definedName name="LENGTH_T.C._A_12F___U03">#REF!</definedName>
    <definedName name="LENGTH_T.C._A_12F___U04">#REF!</definedName>
    <definedName name="LENGTH_T.C._A_12F___U06">#REF!</definedName>
    <definedName name="LENGTH_T.C._A_31F___U01">#REF!</definedName>
    <definedName name="LENGTH_T.C._A_31F___U02">#REF!</definedName>
    <definedName name="LENGTH_T.C._A_31F___U03">#REF!</definedName>
    <definedName name="LENGTH_T.C._A_31F___U04">#REF!</definedName>
    <definedName name="LENGTH_T.C._B_GF___main_entrance">#REF!</definedName>
    <definedName name="LENGTH_T.C._B_GF___near_escape_corridor">#REF!</definedName>
    <definedName name="LENGTH_T.C._B_GF___near_ramp">#REF!</definedName>
    <definedName name="LENGTH_T.C._B_GF___near_tech._area">#REF!</definedName>
    <definedName name="LENGTH_T.C._B_GF___stair_3">#REF!</definedName>
    <definedName name="LENGTH_T.U._A_01AF">#REF!</definedName>
    <definedName name="LENGTH_T.U._A_01AF___swimming_pool">#REF!</definedName>
    <definedName name="LENGTH_T.U._A_07F___U03">#REF!</definedName>
    <definedName name="LENGTH_T.U._A_07F___U04">#REF!</definedName>
    <definedName name="LENGTH_T.U._A_31F___U02">#REF!</definedName>
    <definedName name="LENGTH_T.U._A_31F___U05">#REF!</definedName>
    <definedName name="LENGTH_T.U._A_32F___U01">#REF!</definedName>
    <definedName name="LENGTH_T.U._A_32F___U02">#REF!</definedName>
    <definedName name="LENGTH_T.U._A_32F___U03">#REF!</definedName>
    <definedName name="LENGTH_T.U._A_32F___U04">#REF!</definedName>
    <definedName name="LENGTH_T.U._A_33F__">#REF!</definedName>
    <definedName name="LENGTH_T.U._A_35uRF__">#REF!</definedName>
    <definedName name="LENGTH_T.U._B_GF___external_double_volume">#REF!</definedName>
    <definedName name="LENGTH_T.U._B_GF___external_driveway">#REF!</definedName>
    <definedName name="LENGTH_T.U._B_GF___external_ramp">#REF!</definedName>
    <definedName name="LENGTH_T.U._B_GF___external_sidewalk">#REF!</definedName>
    <definedName name="LENGTH_T.U._B_GF___external_stair">#REF!</definedName>
    <definedName name="LENGTH_T.U._B_GF___external_stair___ramp">#REF!</definedName>
    <definedName name="LENGTH_T.U._B_P2F__waterfall">#REF!</definedName>
    <definedName name="LENGTH_Test_Length">#REF!</definedName>
    <definedName name="LENGTH_TH__L02__Column_500_x_1000">#REF!</definedName>
    <definedName name="LENGTH_TH__L02__Column_500_x_1100">#REF!</definedName>
    <definedName name="LENGTH_TH__L02__Column_500_x_1200">#REF!</definedName>
    <definedName name="LENGTH_TH__L02__TW1_250">#REF!</definedName>
    <definedName name="LENGTH_TH__L03__Column_500_x_1000">#REF!</definedName>
    <definedName name="LENGTH_TH__L03__Column_500_x_1100">#REF!</definedName>
    <definedName name="LENGTH_TH__L03__Column_500_x_1200">#REF!</definedName>
    <definedName name="LENGTH_TH__L03__TW1_250">#REF!</definedName>
    <definedName name="LENGTH_TH_L02_Beams">#REF!</definedName>
    <definedName name="LENGTH_TH_L02_Slab_200">#REF!</definedName>
    <definedName name="LENGTH_TH_L02_Slab_250">#REF!</definedName>
    <definedName name="LENGTH_TH_L02_Slab_300">#REF!</definedName>
    <definedName name="LENGTH_TH_L03_Beams">#REF!</definedName>
    <definedName name="LENGTH_TH_L03_Slab_250">#REF!</definedName>
    <definedName name="LENGTH_TH2_V2__Shared_Unit_1_2____1000g_Polystyrene_Sheet_to_Footing">#REF!</definedName>
    <definedName name="LENGTH_TH2_V2__Shared_Unit_1_2____200mm_thk_Suitable_Well_Graded_Compacted_Materiall_90__to_footing">#REF!</definedName>
    <definedName name="LENGTH_TH2_V2__Shared_Unit_1_2____50mm_thk_PCC_to_Footing">#REF!</definedName>
    <definedName name="LENGTH_TH2_V2__Shared_Unit_1_2____Excavation_to_Footing">#REF!</definedName>
    <definedName name="LENGTH_TH2_V2__Shared_Unit_1_2____Soil_Compaction_to_Footing">#REF!</definedName>
    <definedName name="LENGTH_TH2_V2__Shared_Unit_1_2___Concrete_to_Beams__FF">#REF!</definedName>
    <definedName name="LENGTH_TH2_V2__Shared_Unit_1_2___Concrete_to_Beams_GF">#REF!</definedName>
    <definedName name="LENGTH_TH2_V2__Shared_Unit_1_2___Concrete_to_Colum_FF">#REF!</definedName>
    <definedName name="LENGTH_TH2_V2__Shared_Unit_1_2___Concrete_to_Column_below_grade">#REF!</definedName>
    <definedName name="LENGTH_TH2_V2__Shared_Unit_1_2___Concrete_to_Column_GF">#REF!</definedName>
    <definedName name="LENGTH_TH2_V2__Shared_Unit_1_2___Concrete_to_Column_RF">#REF!</definedName>
    <definedName name="LENGTH_TH2_V2__Shared_Unit_1_2___Concrete_to_Footing">#REF!</definedName>
    <definedName name="LENGTH_TH2_V2__Shared_Unit_1_2___Concrete_to_Grade_Beam">#REF!</definedName>
    <definedName name="LENGTH_TH2_V2__Shared_Unit_1_2___Concrete_to_ST_Beams">#REF!</definedName>
    <definedName name="LENGTH_TH2_V2__Shared_Unit_1_2___Excavation_to_ST_Beam">#REF!</definedName>
    <definedName name="LENGTH_TH2_V2__Shared_Unit_1_2___Formworks_to_Sides_of_Beams_FF">#REF!</definedName>
    <definedName name="LENGTH_TH2_V2__Shared_Unit_1_2___Formworks_to_Sides_of_Beams_GF">#REF!</definedName>
    <definedName name="LENGTH_TH2_V2__Shared_Unit_1_2___Formworks_to_Sides_of_Colum___Copy">#REF!</definedName>
    <definedName name="LENGTH_TH2_V2__Shared_Unit_1_2___Formworks_to_Sides_of_Column_GF">#REF!</definedName>
    <definedName name="LENGTH_TH2_V2__Shared_Unit_1_2___Formworks_to_Sides_of_Column_RF">#REF!</definedName>
    <definedName name="LENGTH_TH2_V2__Shared_Unit_1_2___Formworks_to_Sides_of_Columns">#REF!</definedName>
    <definedName name="LENGTH_TH2_V2__Shared_Unit_1_2___Formworks_to_Sides_of_Grade_Beams">#REF!</definedName>
    <definedName name="LENGTH_TH2_V2__Shared_Unit_1_2___Formworks_to_Soffit_of_Beams_FF">#REF!</definedName>
    <definedName name="LENGTH_TH2_V2__Shared_Unit_1_2___Formworks_to_Soffit_of_Beams_GF">#REF!</definedName>
    <definedName name="LENGTH_TH2_V2__Shared_Unit_1_2___Formworks_to_Soffit_of_Grade_Beams">#REF!</definedName>
    <definedName name="LENGTH_TH2_V2__Shared_Unit_1_2___Reinforcement_to_Column">#REF!</definedName>
    <definedName name="LENGTH_TH2_V2__Shared_Unit_1_2___Reinforcement_to_Footing">#REF!</definedName>
    <definedName name="LENGTH_TH2_V2__Unit_1____1000g_polystyrene_Sheet_to_footing">#REF!</definedName>
    <definedName name="LENGTH_TH2_V2__Unit_1____200_thk._Suitable_Well_Graded_Compacted_Materials_to_Footing">#REF!</definedName>
    <definedName name="LENGTH_TH2_V2__Unit_1____50_mm_thk_PCC_to_footing">#REF!</definedName>
    <definedName name="LENGTH_TH2_V2__Unit_1____Excavation_to_Footing">#REF!</definedName>
    <definedName name="LENGTH_TH2_V2__Unit_1____Soil_Compaction_to_Footing">#REF!</definedName>
    <definedName name="LENGTH_TH2_V2__Unit_1___Compacted_Soil_95__ready_to_receive_pavers">#REF!</definedName>
    <definedName name="LENGTH_TH2_V2__Unit_1___Concrete_to_Beams_FF">#REF!</definedName>
    <definedName name="LENGTH_TH2_V2__Unit_1___Concrete_to_Beams_GF">#REF!</definedName>
    <definedName name="LENGTH_TH2_V2__Unit_1___Concrete_to_Column_below_grade">#REF!</definedName>
    <definedName name="LENGTH_TH2_V2__Unit_1___Concrete_to_Column_FF">#REF!</definedName>
    <definedName name="LENGTH_TH2_V2__Unit_1___Concrete_to_Column_GF">#REF!</definedName>
    <definedName name="LENGTH_TH2_V2__Unit_1___Concrete_to_Column_RF">#REF!</definedName>
    <definedName name="LENGTH_TH2_V2__Unit_1___Concrete_to_entry_slabs">#REF!</definedName>
    <definedName name="LENGTH_TH2_V2__Unit_1___Concrete_to_Footing">#REF!</definedName>
    <definedName name="LENGTH_TH2_V2__Unit_1___Concrete_to_Grade_Beams">#REF!</definedName>
    <definedName name="LENGTH_TH2_V2__Unit_1___Concrete_to_Grade_Slab">#REF!</definedName>
    <definedName name="LENGTH_TH2_V2__Unit_1___Concrete_to_Roof">#REF!</definedName>
    <definedName name="LENGTH_TH2_V2__Unit_1___Concrete_to_Roof_Slab_GF">#REF!</definedName>
    <definedName name="LENGTH_TH2_V2__Unit_1___Concrete_to_ST_Beams">#REF!</definedName>
    <definedName name="LENGTH_TH2_V2__Unit_1___Concrete_to_steps">#REF!</definedName>
    <definedName name="LENGTH_TH2_V2__Unit_1___Concrete_to_Suspended_Slab_GF">#REF!</definedName>
    <definedName name="LENGTH_TH2_V2__Unit_1___Concrete_to_Suspended_Slabs_FF">#REF!</definedName>
    <definedName name="LENGTH_TH2_V2__Unit_1___Concrete_to_terrace_slabs">#REF!</definedName>
    <definedName name="LENGTH_TH2_V2__Unit_1___Excavation_to_Footing">#REF!</definedName>
    <definedName name="LENGTH_TH2_V2__Unit_1___Excavation_to_ST_Beams">#REF!</definedName>
    <definedName name="LENGTH_TH2_V2__Unit_1___Formworks_to_Roof">#REF!</definedName>
    <definedName name="LENGTH_TH2_V2__Unit_1___Formworks_to_Roof_Slab_GF">#REF!</definedName>
    <definedName name="LENGTH_TH2_V2__Unit_1___Formworks_to_Sides_Beams_FF">#REF!</definedName>
    <definedName name="LENGTH_TH2_V2__Unit_1___Formworks_to_Sides_of_Beams_GF">#REF!</definedName>
    <definedName name="LENGTH_TH2_V2__Unit_1___Formworks_to_Sides_of_Column">#REF!</definedName>
    <definedName name="LENGTH_TH2_V2__Unit_1___Formworks_to_Sides_of_Column_FF___Copy">#REF!</definedName>
    <definedName name="LENGTH_TH2_V2__Unit_1___Formworks_to_Sides_of_Column_RF">#REF!</definedName>
    <definedName name="LENGTH_TH2_V2__Unit_1___Formworks_to_Sides_of_Columns_GF">#REF!</definedName>
    <definedName name="LENGTH_TH2_V2__Unit_1___Formworks_to_Sides_of_Grade_Beams">#REF!</definedName>
    <definedName name="LENGTH_TH2_V2__Unit_1___Formworks_to_Soffit_of_Beams_FF">#REF!</definedName>
    <definedName name="LENGTH_TH2_V2__Unit_1___Formworks_to_Soffit_of_Beams_GF">#REF!</definedName>
    <definedName name="LENGTH_TH2_V2__Unit_1___Formworks_to_Soffit_of_Grade_Beams">#REF!</definedName>
    <definedName name="LENGTH_TH2_V2__Unit_1___Formworks_to_Suspended_Slab__FF">#REF!</definedName>
    <definedName name="LENGTH_TH2_V2__Unit_1___Formworks_to_Suspended_Slab_GF">#REF!</definedName>
    <definedName name="LENGTH_TH2_V2__Unit_1___Reinforcement_to_Column_below_grade">#REF!</definedName>
    <definedName name="LENGTH_TH2_V2__Unit_1___Reinforcement_to_Footing">#REF!</definedName>
    <definedName name="LENGTH_TH2_V2__Unit_1___Reinforcement_to_ST_Beams">#REF!</definedName>
    <definedName name="LENGTH_TH2_V2__Unit_2____1000g_Polystyrene_to_Footing">#REF!</definedName>
    <definedName name="LENGTH_TH2_V2__Unit_2____200_mm_thk_Suitable_Well_Graded_Compacted_Materials_to_Footing">#REF!</definedName>
    <definedName name="LENGTH_TH2_V2__Unit_2____50_mm_thk_PCC_to_Footing">#REF!</definedName>
    <definedName name="LENGTH_TH2_V2__Unit_2____Excavation_to_Footing">#REF!</definedName>
    <definedName name="LENGTH_TH2_V2__Unit_2____Soil_Compaction_to_Footing">#REF!</definedName>
    <definedName name="LENGTH_TH2_V2__Unit_2___Compacted_Soil_95__ready_t_o_receive_pavers">#REF!</definedName>
    <definedName name="LENGTH_TH2_V2__Unit_2___Concrete_to_Beams_FF">#REF!</definedName>
    <definedName name="LENGTH_TH2_V2__Unit_2___Concrete_to_Beams_GF">#REF!</definedName>
    <definedName name="LENGTH_TH2_V2__Unit_2___Concrete_to_Column_below_grade">#REF!</definedName>
    <definedName name="LENGTH_TH2_V2__Unit_2___Concrete_to_Column_FF">#REF!</definedName>
    <definedName name="LENGTH_TH2_V2__Unit_2___Concrete_to_Column_RF">#REF!</definedName>
    <definedName name="LENGTH_TH2_V2__Unit_2___Concrete_to_Columns_GF">#REF!</definedName>
    <definedName name="LENGTH_TH2_V2__Unit_2___Concrete_to_entry_slabs">#REF!</definedName>
    <definedName name="LENGTH_TH2_V2__Unit_2___Concrete_to_Footing">#REF!</definedName>
    <definedName name="LENGTH_TH2_V2__UNit_2___Concrete_to_Grade_Beam">#REF!</definedName>
    <definedName name="LENGTH_TH2_V2__Unit_2___Concrete_to_Grade_Slab">#REF!</definedName>
    <definedName name="LENGTH_TH2_V2__Unit_2___Concrete_to_Roof">#REF!</definedName>
    <definedName name="LENGTH_TH2_V2__Unit_2___Concrete_to_Roof_Slab_GF">#REF!</definedName>
    <definedName name="LENGTH_TH2_V2__Unit_2___Concrete_to_ST_Beams">#REF!</definedName>
    <definedName name="LENGTH_TH2_V2__Unit_2___Concrete_to_steps">#REF!</definedName>
    <definedName name="LENGTH_TH2_V2__Unit_2___Concrete_to_Suspended_Slab__FF">#REF!</definedName>
    <definedName name="LENGTH_TH2_V2__Unit_2___Concrete_to_Suspended_Slab_GF">#REF!</definedName>
    <definedName name="LENGTH_TH2_V2__Unit_2___Concrete_to_terrace_slabs">#REF!</definedName>
    <definedName name="LENGTH_TH2_V2__Unit_2___Excavation_to_Footing">#REF!</definedName>
    <definedName name="LENGTH_TH2_V2__Unit_2___Excavation_to_ST_Beams">#REF!</definedName>
    <definedName name="LENGTH_TH2_V2__Unit_2___Formworks_to_Roof">#REF!</definedName>
    <definedName name="LENGTH_TH2_V2__Unit_2___Formworks_to_Roof_Slab_GF">#REF!</definedName>
    <definedName name="LENGTH_TH2_V2__Unit_2___Formworks_to_Sides_of_Beams_FF">#REF!</definedName>
    <definedName name="LENGTH_TH2_V2__Unit_2___Formworks_to_Sides_of_Beams_GF">#REF!</definedName>
    <definedName name="LENGTH_TH2_V2__Unit_2___Formworks_to_Sides_of_Column">#REF!</definedName>
    <definedName name="LENGTH_TH2_V2__Unit_2___Formworks_to_Sides_of_Column_FF___Copy">#REF!</definedName>
    <definedName name="LENGTH_TH2_V2__Unit_2___Formworks_to_Sides_of_Column_RF">#REF!</definedName>
    <definedName name="LENGTH_TH2_V2__Unit_2___Formworks_to_Sides_of_Columns_GF">#REF!</definedName>
    <definedName name="LENGTH_TH2_V2__UNit_2___Formworks_to_Sides_of_Grade_Beam">#REF!</definedName>
    <definedName name="LENGTH_TH2_V2__Unit_2___Formworks_to_Soffit_of_Beam_FF">#REF!</definedName>
    <definedName name="LENGTH_TH2_V2__Unit_2___Formworks_to_Soffit_of_Beams_GF">#REF!</definedName>
    <definedName name="LENGTH_TH2_V2__UNit_2___Formworks_to_Soffit_of_Grade_Beam">#REF!</definedName>
    <definedName name="LENGTH_TH2_V2__Unit_2___Formworks_to_Suspended_Slab_FF">#REF!</definedName>
    <definedName name="LENGTH_TH2_V2__Unit_2___Formworks_to_Suspended_Slab_GF">#REF!</definedName>
    <definedName name="LENGTH_TH2_V2__Unit_2___Reinforcement_to_Column_below_grade">#REF!</definedName>
    <definedName name="LENGTH_TH2_V2__Unit_2___Reinforcement_to_Footing">#REF!</definedName>
    <definedName name="LENGTH_TH2_V2__Unit_2__Reinforcement_to_ST_Beams">#REF!</definedName>
    <definedName name="LENGTH_TH2_V2__units_1___Blockworks_100mm_thick">#REF!</definedName>
    <definedName name="LENGTH_TH2_V2__units_1___Blockworks_BW_1">#REF!</definedName>
    <definedName name="LENGTH_TH2_V2__units_1___Blockworks_BW_2">#REF!</definedName>
    <definedName name="LENGTH_TH2_V2__units_1___Blockworks_BW_3">#REF!</definedName>
    <definedName name="LENGTH_TH2_V2__units_1___Blockworks_BW_3_External">#REF!</definedName>
    <definedName name="LENGTH_TH2_V2__units_1___Blockworks_BW_4">#REF!</definedName>
    <definedName name="LENGTH_TH2_V2__units_1___Ceiling_Finishes__390mm_high_BH">#REF!</definedName>
    <definedName name="LENGTH_TH2_V2__units_1___Ceiling_Finishes__450mm_high_BH">#REF!</definedName>
    <definedName name="LENGTH_TH2_V2__units_1___Ceiling_Finishes__460mm_high_BH">#REF!</definedName>
    <definedName name="LENGTH_TH2_V2__units_1___Ceiling_Finishes__490mm_high_BH">#REF!</definedName>
    <definedName name="LENGTH_TH2_V2__units_1___Ceiling_Finishes__560mm_high_BH">#REF!</definedName>
    <definedName name="LENGTH_TH2_V2__units_1___Ceiling_Finishes_Plaster_w__Paint__Moisture_">#REF!</definedName>
    <definedName name="LENGTH_TH2_V2__units_1___Ceiling_Finishes_Plaster_w__Paint_PF01">#REF!</definedName>
    <definedName name="LENGTH_TH2_V2__units_1___Ceiling_Finishes_Plasterboard_w__Paint_PF01">#REF!</definedName>
    <definedName name="LENGTH_TH2_V2__units_1___Ceiling_Finishes_Plasterboard_w__Paint_PF02">#REF!</definedName>
    <definedName name="LENGTH_TH2_V2__units_1___Floor_Finishes_Ceramic_Tiles">#REF!</definedName>
    <definedName name="LENGTH_TH2_V2__units_1___Floor_Finishes_FF01">#REF!</definedName>
    <definedName name="LENGTH_TH2_V2__units_1___Floor_Finishes_FF03">#REF!</definedName>
    <definedName name="LENGTH_TH2_V2__units_1___Floor_Finishes_Interlock">#REF!</definedName>
    <definedName name="LENGTH_TH2_V2__units_1___Floor_Finishes_Pavers">#REF!</definedName>
    <definedName name="LENGTH_TH2_V2__units_1___Floor_Finishes_Pavers_Kerbs">#REF!</definedName>
    <definedName name="LENGTH_TH2_V2__units_1___Floor_Finishes_Screed_only">#REF!</definedName>
    <definedName name="LENGTH_TH2_V2__units_1___Handrail__1100mm_high">#REF!</definedName>
    <definedName name="LENGTH_TH2_V2__units_1___Roof_Finishes_Precast_Concrete">#REF!</definedName>
    <definedName name="LENGTH_TH2_V2__units_1___Roof_Finishes_Waterproofing_w__Paint">#REF!</definedName>
    <definedName name="LENGTH_TH2_V2__units_1___Skirting_External">#REF!</definedName>
    <definedName name="LENGTH_TH2_V2__units_1___Skirting_FF01">#REF!</definedName>
    <definedName name="LENGTH_TH2_V2__units_1___Staircase_Finishes_FF05">#REF!</definedName>
    <definedName name="LENGTH_TH2_V2__units_1___Type_AL_01__1000_x_2100mm_high">#REF!</definedName>
    <definedName name="LENGTH_TH2_V2__units_1___Type_AL_02__600_x_1350mm_high">#REF!</definedName>
    <definedName name="LENGTH_TH2_V2__units_1___Type_AL_03__350_x_1350mm_high">#REF!</definedName>
    <definedName name="LENGTH_TH2_V2__units_1___Type_AL_04__800_x_1350mm_high">#REF!</definedName>
    <definedName name="LENGTH_TH2_V2__units_1___Type_D_01__1100_x_2400mm_high">#REF!</definedName>
    <definedName name="LENGTH_TH2_V2__units_1___Type_D_02__900_x_2200mm_high">#REF!</definedName>
    <definedName name="LENGTH_TH2_V2__units_1___Type_D_03__850_x_2200mm_high">#REF!</definedName>
    <definedName name="LENGTH_TH2_V2__units_1___Type_D_03__850_x_2200mm_high_Internal">#REF!</definedName>
    <definedName name="LENGTH_TH2_V2__units_1___Type_D_04__900_x_2200mm_high">#REF!</definedName>
    <definedName name="LENGTH_TH2_V2__units_1___Type_GL_01__750_x_1250mm_high">#REF!</definedName>
    <definedName name="LENGTH_TH2_V2__units_1___Type_GL_02__600_x_1250mm_high">#REF!</definedName>
    <definedName name="LENGTH_TH2_V2__units_1___Type_GL_03__2225_x_3750mm_high__corner">#REF!</definedName>
    <definedName name="LENGTH_TH2_V2__units_1___Type_GL_04__2200_x_2700mm_high">#REF!</definedName>
    <definedName name="LENGTH_TH2_V2__units_1___Type_GL_05__2700_x_2550mm_high__corner">#REF!</definedName>
    <definedName name="LENGTH_TH2_V2__units_1___Type_GL_06__1400_x_1250mm_high">#REF!</definedName>
    <definedName name="LENGTH_TH2_V2__units_1___Type_GL_16__2400_x_2400mm_high__corner">#REF!</definedName>
    <definedName name="LENGTH_TH2_V2__units_1___Type_GL_17__750_x_2550mm_high">#REF!</definedName>
    <definedName name="LENGTH_TH2_V2__units_1___Type_GL_18__750_x_2100mm_high">#REF!</definedName>
    <definedName name="LENGTH_TH2_V2__units_1___Type_GL_19__700_x_1250mm_high">#REF!</definedName>
    <definedName name="LENGTH_TH2_V2__units_1___Type_GL_20__2850_x_2400mm_high">#REF!</definedName>
    <definedName name="LENGTH_TH2_V2__units_1___Type_GL_21__1400_x_2400mm_high">#REF!</definedName>
    <definedName name="LENGTH_TH2_V2__units_1___Type_GL_22__900_x_2200mm_high">#REF!</definedName>
    <definedName name="LENGTH_TH2_V2__units_1___Type_GL_23__1900_x_2700mm_high">#REF!</definedName>
    <definedName name="LENGTH_TH2_V2__units_1___Wall_Finishes_PF03">#REF!</definedName>
    <definedName name="LENGTH_TH2_V2__units_1___Wall_Finishes_PF04">#REF!</definedName>
    <definedName name="LENGTH_TH2_V2__units_1___Wall_Finishes_Plaster_w__paint">#REF!</definedName>
    <definedName name="LENGTH_TH2_V2__units_1___Wall_Finishes_Plaster_w__paint__dark_">#REF!</definedName>
    <definedName name="LENGTH_TH2_V2__units_1___Wall_Finishes_SS">#REF!</definedName>
    <definedName name="LENGTH_TH2_V2__units_1___Wall_Finishes_WF01">#REF!</definedName>
    <definedName name="LENGTH_TH2_V2__units_1___Wall_Finishes_WF02">#REF!</definedName>
    <definedName name="LENGTH_TH2_V2__units_1___Wall_Finishes_WF03">#REF!</definedName>
    <definedName name="LENGTH_TH2_V2__units_1___Wall_Finishes_WF04">#REF!</definedName>
    <definedName name="LENGTH_TH2_V2__units_1___Wall_Finishes_WF05">#REF!</definedName>
    <definedName name="LENGTH_TH2_V2__units_1___Wall_Finishes_WF06">#REF!</definedName>
    <definedName name="LENGTH_TH2_V2__units_1___Wall_Finishes_WF07">#REF!</definedName>
    <definedName name="LENGTH_TH2_V2__units_1___Wall_Finishes_WF08">#REF!</definedName>
    <definedName name="LENGTH_TH2_V2__units_1___Wall_Insulation">#REF!</definedName>
    <definedName name="LENGTH_TH2_V2__units_1___Waterproofing_to_walls">#REF!</definedName>
    <definedName name="LENGTH_TH2_V2__units_1___Waterproofing_to_wet_areas">#REF!</definedName>
    <definedName name="LENGTH_Trees___Around_Perimeter">#REF!</definedName>
    <definedName name="LENGTH_Trees___Inside_Plot">#REF!</definedName>
    <definedName name="LENGTH_TYPICAL__ADDL_SLAB">#REF!</definedName>
    <definedName name="LENGTH_TYPICAL__HEB_100">#REF!</definedName>
    <definedName name="LENGTH_TYPICAL__HEB_160">#REF!</definedName>
    <definedName name="LENGTH_TYPICAL__L_150x150x15">#REF!</definedName>
    <definedName name="LENGTH_TYPICAL__MEP_FLOOR">#REF!</definedName>
    <definedName name="LENGTH_Unallocated_Rooms">#REF!</definedName>
    <definedName name="LENGTH_uPVC_Sewage_Pipe_1F">#REF!</definedName>
    <definedName name="LENGTH_uPVC_Sewage_Pipe_GF">#REF!</definedName>
    <definedName name="LENGTH_uPVC_Waste_Pipe_1F">#REF!</definedName>
    <definedName name="LENGTH_uPVC_Waste_Pipe_1F_collection">#REF!</definedName>
    <definedName name="LENGTH_uPVC_Waste_Pipe_GF">#REF!</definedName>
    <definedName name="LENGTH_uPVC_Waste_Pipe_GF_Collection">#REF!</definedName>
    <definedName name="Length_Vertical_Raft">#REF!</definedName>
    <definedName name="LENGTH_Water_Feature">#REF!</definedName>
    <definedName name="LENGTH_Water_Hammer_Arrestor">#REF!</definedName>
    <definedName name="LENGTH_Water_jets">#REF!</definedName>
    <definedName name="LER">#REF!</definedName>
    <definedName name="Less__Book_Value_of_Trasfered_Assets">#REF!</definedName>
    <definedName name="less_eq">#REF!</definedName>
    <definedName name="Lest">#REF!</definedName>
    <definedName name="LET" localSheetId="1">#REF!</definedName>
    <definedName name="LET">#REF!</definedName>
    <definedName name="lettera" localSheetId="1">#REF!</definedName>
    <definedName name="lettera">#REF!</definedName>
    <definedName name="level" localSheetId="1" hidden="1">{#N/A,#N/A,TRUE,"Cover";#N/A,#N/A,TRUE,"Conts";#N/A,#N/A,TRUE,"VOS";#N/A,#N/A,TRUE,"Warrington";#N/A,#N/A,TRUE,"Widnes"}</definedName>
    <definedName name="level" hidden="1">{#N/A,#N/A,TRUE,"Cover";#N/A,#N/A,TRUE,"Conts";#N/A,#N/A,TRUE,"VOS";#N/A,#N/A,TRUE,"Warrington";#N/A,#N/A,TRUE,"Widnes"}</definedName>
    <definedName name="LEVEL1">#REF!</definedName>
    <definedName name="Level2" localSheetId="1">#REF!</definedName>
    <definedName name="Level2">#REF!</definedName>
    <definedName name="level3" localSheetId="1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evel3_1" localSheetId="1" hidden="1">{#N/A,#N/A,TRUE,"Cover";#N/A,#N/A,TRUE,"Conts";#N/A,#N/A,TRUE,"VOS";#N/A,#N/A,TRUE,"Warrington";#N/A,#N/A,TRUE,"Widnes"}</definedName>
    <definedName name="level3_1" hidden="1">{#N/A,#N/A,TRUE,"Cover";#N/A,#N/A,TRUE,"Conts";#N/A,#N/A,TRUE,"VOS";#N/A,#N/A,TRUE,"Warrington";#N/A,#N/A,TRUE,"Widnes"}</definedName>
    <definedName name="Level6" hidden="1">#REF!</definedName>
    <definedName name="Levels" localSheetId="1">#REF!</definedName>
    <definedName name="Levels">#REF!</definedName>
    <definedName name="Lf" localSheetId="1">#REF!</definedName>
    <definedName name="Lf">#REF!</definedName>
    <definedName name="lg">#REF!</definedName>
    <definedName name="lg1_out">#REF!</definedName>
    <definedName name="lg2_out">#REF!</definedName>
    <definedName name="lg3_out">#REF!</definedName>
    <definedName name="lg4_out">#REF!</definedName>
    <definedName name="lgoguliu" localSheetId="1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goguliu_1" localSheetId="1" hidden="1">{#N/A,#N/A,TRUE,"Cover";#N/A,#N/A,TRUE,"Conts";#N/A,#N/A,TRUE,"VOS";#N/A,#N/A,TRUE,"Warrington";#N/A,#N/A,TRUE,"Widnes"}</definedName>
    <definedName name="lgoguliu_1" hidden="1">{#N/A,#N/A,TRUE,"Cover";#N/A,#N/A,TRUE,"Conts";#N/A,#N/A,TRUE,"VOS";#N/A,#N/A,TRUE,"Warrington";#N/A,#N/A,TRUE,"Widnes"}</definedName>
    <definedName name="lh">#REF!</definedName>
    <definedName name="LH_D">#REF!</definedName>
    <definedName name="LHHC" localSheetId="1" hidden="1">{#N/A,#N/A,TRUE,"Cover";#N/A,#N/A,TRUE,"Conts";#N/A,#N/A,TRUE,"VOS";#N/A,#N/A,TRUE,"Warrington";#N/A,#N/A,TRUE,"Widnes"}</definedName>
    <definedName name="LHHC" hidden="1">{#N/A,#N/A,TRUE,"Cover";#N/A,#N/A,TRUE,"Conts";#N/A,#N/A,TRUE,"VOS";#N/A,#N/A,TRUE,"Warrington";#N/A,#N/A,TRUE,"Widnes"}</definedName>
    <definedName name="lhiuhiu">#REF!</definedName>
    <definedName name="lhscbg">#REF!</definedName>
    <definedName name="lhscortop">#REF!</definedName>
    <definedName name="lhspl">#REF!</definedName>
    <definedName name="lhsstoneven">#REF!</definedName>
    <definedName name="lhsven1">#REF!</definedName>
    <definedName name="li" localSheetId="1" hidden="1">{"'Break down'!$A$4"}</definedName>
    <definedName name="li" hidden="1">{"'Break down'!$A$4"}</definedName>
    <definedName name="LIABILITY">#REF!</definedName>
    <definedName name="LIB" localSheetId="1">#REF!</definedName>
    <definedName name="LIB">#REF!</definedName>
    <definedName name="LIB_22">#REF!</definedName>
    <definedName name="Lib_Range">#REF!</definedName>
    <definedName name="LIBRARY">#REF!</definedName>
    <definedName name="LidStay">#REF!</definedName>
    <definedName name="Lifecycle_Input">#REF!,#REF!,#REF!,#REF!,#REF!,#REF!,#REF!,#REF!,#REF!,#REF!,#REF!,#REF!,#REF!,#REF!,#REF!</definedName>
    <definedName name="lift" localSheetId="1" hidden="1">#REF!</definedName>
    <definedName name="lift" hidden="1">#REF!</definedName>
    <definedName name="LIFT__AND__CONVEYOR__INSTALLATIONS" localSheetId="1">#REF!</definedName>
    <definedName name="LIFT__AND__CONVEYOR__INSTALLATIONS">#REF!</definedName>
    <definedName name="light" localSheetId="1" hidden="1">{#N/A,#N/A,TRUE,"Cover";#N/A,#N/A,TRUE,"Conts";#N/A,#N/A,TRUE,"VOS";#N/A,#N/A,TRUE,"Warrington";#N/A,#N/A,TRUE,"Widnes"}</definedName>
    <definedName name="light" hidden="1">{#N/A,#N/A,TRUE,"Cover";#N/A,#N/A,TRUE,"Conts";#N/A,#N/A,TRUE,"VOS";#N/A,#N/A,TRUE,"Warrington";#N/A,#N/A,TRUE,"Widnes"}</definedName>
    <definedName name="LIGHTING" localSheetId="1">#REF!</definedName>
    <definedName name="LIGHTING">#REF!</definedName>
    <definedName name="LIGHTNING_MEAS" localSheetId="1">#REF!</definedName>
    <definedName name="LIGHTNING_MEAS">#REF!</definedName>
    <definedName name="Lights">#REF!</definedName>
    <definedName name="lightscreed">#REF!</definedName>
    <definedName name="LightSpecs">#REF!</definedName>
    <definedName name="LIGNESUIVANTE" localSheetId="1">#REF!</definedName>
    <definedName name="LIGNESUIVANTE">#REF!</definedName>
    <definedName name="lihavfihihvliuh" localSheetId="1">#REF!</definedName>
    <definedName name="lihavfihihvliuh">#REF!</definedName>
    <definedName name="LILI">#REF!</definedName>
    <definedName name="limcount">1</definedName>
    <definedName name="limit.alum" localSheetId="1">#N/A</definedName>
    <definedName name="limit.alum">#REF!</definedName>
    <definedName name="limit.ei" localSheetId="1">#N/A</definedName>
    <definedName name="limit.ei">#REF!</definedName>
    <definedName name="limit.iron" localSheetId="1">#N/A</definedName>
    <definedName name="limit.iron">#REF!</definedName>
    <definedName name="Limit.msw" localSheetId="1">#N/A</definedName>
    <definedName name="Limit.msw">#REF!</definedName>
    <definedName name="limit.ret" localSheetId="1">#N/A</definedName>
    <definedName name="limit.ret">#REF!</definedName>
    <definedName name="limit.san" localSheetId="1">#N/A</definedName>
    <definedName name="limit.san">#REF!</definedName>
    <definedName name="LINE" localSheetId="1">#REF!</definedName>
    <definedName name="LINE">#REF!</definedName>
    <definedName name="LINE_SHOPS" localSheetId="1">#REF!</definedName>
    <definedName name="LINE_SHOPS">#REF!</definedName>
    <definedName name="LINE1">#REF!</definedName>
    <definedName name="lineDat">OFFSET(#REF!,0,0,COUNTA(#REF!)-1,15)</definedName>
    <definedName name="lineDat1">OFFSET(#REF!,0,0,COUNTA(#REF!)-1,2)</definedName>
    <definedName name="lineDat2">OFFSET(#REF!,0,2,COUNTA(#REF!)-1,13)</definedName>
    <definedName name="lineData">OFFSET(#REF!,0,0,COUNTA(#REF!)-1,15)</definedName>
    <definedName name="lineData1">OFFSET(#REF!,0,0,COUNTA(#REF!)-1,2)</definedName>
    <definedName name="lineData2">OFFSET(#REF!,0,2,COUNTA(#REF!)-1,13)</definedName>
    <definedName name="line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n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ner_pools" localSheetId="1">#REF!</definedName>
    <definedName name="Liner_pools">#REF!</definedName>
    <definedName name="Link" localSheetId="1">#REF!</definedName>
    <definedName name="Link">#REF!</definedName>
    <definedName name="LinkRef">#REF!</definedName>
    <definedName name="LINO" localSheetId="1">{"Book1","my ddc.xls"}</definedName>
    <definedName name="LINO">{"Book1","my ddc.xls"}</definedName>
    <definedName name="lintol">#REF!</definedName>
    <definedName name="lio" localSheetId="1" hidden="1">{"'Break down'!$A$4"}</definedName>
    <definedName name="lio" hidden="1">{"'Break down'!$A$4"}</definedName>
    <definedName name="liop" localSheetId="1">{"'Break down'!$A$4"}</definedName>
    <definedName name="liop">{"'Break down'!$A$4"}</definedName>
    <definedName name="liop_1" localSheetId="1">{"'Break down'!$A$4"}</definedName>
    <definedName name="liop_1">{"'Break down'!$A$4"}</definedName>
    <definedName name="List" localSheetId="1">#REF!</definedName>
    <definedName name="list">#REF!</definedName>
    <definedName name="list_of_accessories" localSheetId="1">#REF!</definedName>
    <definedName name="list_of_accessories">#REF!</definedName>
    <definedName name="List1">#REF!</definedName>
    <definedName name="lista">#REF!</definedName>
    <definedName name="Liste_Monüber_kost">#REF!</definedName>
    <definedName name="Liste_Plankost">#REF!</definedName>
    <definedName name="Liste1" localSheetId="1">'City Walk - Comparison'!BASIS</definedName>
    <definedName name="Liste1">[1]!Liste1</definedName>
    <definedName name="Listt" localSheetId="1">#REF!</definedName>
    <definedName name="Listt">#REF!</definedName>
    <definedName name="Listt_1">"$#REF!.$#REF!$#REF!"</definedName>
    <definedName name="LIT">#REF!</definedName>
    <definedName name="liu" localSheetId="1" hidden="1">{#N/A,#N/A,FALSE,"Header P";#N/A,#N/A,FALSE,"Summary";#N/A,#N/A,FALSE,"CONTRACT WORKS";#N/A,#N/A,FALSE,"Variations";#N/A,#N/A,FALSE,"Dwk"}</definedName>
    <definedName name="liu" hidden="1">{#N/A,#N/A,FALSE,"Header P";#N/A,#N/A,FALSE,"Summary";#N/A,#N/A,FALSE,"CONTRACT WORKS";#N/A,#N/A,FALSE,"Variations";#N/A,#N/A,FALSE,"Dwk"}</definedName>
    <definedName name="liui" localSheetId="1">"Page "&amp;IF(ISNA(MATCH(ROW(),[1]!COUNT_TH2_V2__units_1___Type_D_04__900_x_2200mm_high,1)),1,MATCH(ROW(),[1]!COUNT_TH2_V2__units_1___Type_D_04__900_x_2200mm_high,1)+1)&amp;" of " &amp; [1]!CUSTOM1_Shops__GF_ + 0*NOW()</definedName>
    <definedName name="liui">"Page "&amp;IF(ISNA(MATCH(ROW(),RowAfterpgbrk,1)),1,MATCH(ROW(),RowAfterpgbrk,1)+1)&amp;" of " &amp; TotPageCount + 0*NOW()</definedName>
    <definedName name="Liveeee" hidden="1">#REF!</definedName>
    <definedName name="LJ" localSheetId="1">#REF!</definedName>
    <definedName name="LJ">#REF!</definedName>
    <definedName name="ljahg" localSheetId="1">BlankMacro1</definedName>
    <definedName name="ljahg">BlankMacro1</definedName>
    <definedName name="LJI">#N/A</definedName>
    <definedName name="ljilja" localSheetId="1">#REF!</definedName>
    <definedName name="ljilja">#REF!</definedName>
    <definedName name="ljj">#REF!</definedName>
    <definedName name="ljk">#REF!</definedName>
    <definedName name="lk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#REF!</definedName>
    <definedName name="lkii" localSheetId="1" hidden="1">{#N/A,#N/A,TRUE,"Cover";#N/A,#N/A,TRUE,"Conts";#N/A,#N/A,TRUE,"VOS";#N/A,#N/A,TRUE,"Warrington";#N/A,#N/A,TRUE,"Widnes"}</definedName>
    <definedName name="lkii" hidden="1">{#N/A,#N/A,TRUE,"Cover";#N/A,#N/A,TRUE,"Conts";#N/A,#N/A,TRUE,"VOS";#N/A,#N/A,TRUE,"Warrington";#N/A,#N/A,TRUE,"Widnes"}</definedName>
    <definedName name="LKIO" localSheetId="1" hidden="1">{#N/A,#N/A,TRUE,"Cover";#N/A,#N/A,TRUE,"Conts";#N/A,#N/A,TRUE,"VOS";#N/A,#N/A,TRUE,"Warrington";#N/A,#N/A,TRUE,"Widnes"}</definedName>
    <definedName name="LKIO" hidden="1">{#N/A,#N/A,TRUE,"Cover";#N/A,#N/A,TRUE,"Conts";#N/A,#N/A,TRUE,"VOS";#N/A,#N/A,TRUE,"Warrington";#N/A,#N/A,TRUE,"Widnes"}</definedName>
    <definedName name="LKIOJK" localSheetId="1" hidden="1">{#N/A,#N/A,TRUE,"Cover";#N/A,#N/A,TRUE,"Conts";#N/A,#N/A,TRUE,"VOS";#N/A,#N/A,TRUE,"Warrington";#N/A,#N/A,TRUE,"Widnes"}</definedName>
    <definedName name="LKIOJK" hidden="1">{#N/A,#N/A,TRUE,"Cover";#N/A,#N/A,TRUE,"Conts";#N/A,#N/A,TRUE,"VOS";#N/A,#N/A,TRUE,"Warrington";#N/A,#N/A,TRUE,"Widnes"}</definedName>
    <definedName name="lkj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lkj">IF(ISNA(MATCH(ROW(),RowAfterpgbrk,1)),1,MATCH(ROW(),RowAfterpgbrk,1)+1)&lt;&gt;IF(ISNA(MATCH(ROW()-1,RowAfterpgbrk,1)),1,MATCH(ROW()-1,RowAfterpgbrk,1)+1)</definedName>
    <definedName name="lkjh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lkjh">IF(ISNA(MATCH(ROW(),RowAfterpgbrk,1)),1,MATCH(ROW(),RowAfterpgbrk,1)+1)&lt;&gt;IF(ISNA(MATCH(ROW()-1,RowAfterpgbrk,1)),1,MATCH(ROW()-1,RowAfterpgbrk,1)+1)</definedName>
    <definedName name="lkjhg" localSheetId="1">BlankMacro1</definedName>
    <definedName name="lkjhg">BlankMacro1</definedName>
    <definedName name="lkjhjgf" localSheetId="1">#REF!</definedName>
    <definedName name="lkjhjgf">#REF!</definedName>
    <definedName name="lkjikjoi" localSheetId="1" hidden="1">{#N/A,#N/A,TRUE,"Cover";#N/A,#N/A,TRUE,"Conts";#N/A,#N/A,TRUE,"VOS";#N/A,#N/A,TRUE,"Warrington";#N/A,#N/A,TRUE,"Widnes"}</definedName>
    <definedName name="lkjikjoi" hidden="1">{#N/A,#N/A,TRUE,"Cover";#N/A,#N/A,TRUE,"Conts";#N/A,#N/A,TRUE,"VOS";#N/A,#N/A,TRUE,"Warrington";#N/A,#N/A,TRUE,"Widnes"}</definedName>
    <definedName name="lkjikjoi_1" localSheetId="1" hidden="1">{#N/A,#N/A,TRUE,"Cover";#N/A,#N/A,TRUE,"Conts";#N/A,#N/A,TRUE,"VOS";#N/A,#N/A,TRUE,"Warrington";#N/A,#N/A,TRUE,"Widnes"}</definedName>
    <definedName name="lkjikjoi_1" hidden="1">{#N/A,#N/A,TRUE,"Cover";#N/A,#N/A,TRUE,"Conts";#N/A,#N/A,TRUE,"VOS";#N/A,#N/A,TRUE,"Warrington";#N/A,#N/A,TRUE,"Widnes"}</definedName>
    <definedName name="lkjljl" localSheetId="1" hidden="1">{#N/A,#N/A,FALSE,"혼합골재"}</definedName>
    <definedName name="lkjljl" hidden="1">{#N/A,#N/A,FALSE,"혼합골재"}</definedName>
    <definedName name="lkjoiu" localSheetId="1" hidden="1">{"'Sheet1'!$L$16"}</definedName>
    <definedName name="lkjoiu" hidden="1">{"'Sheet1'!$L$16"}</definedName>
    <definedName name="lkjr" localSheetId="1">"Page "&amp;IF(ISNA(MATCH(ROW(),[1]!COUNT_TH2_V2__units_1___Type_D_04__900_x_2200mm_high,1)),1,MATCH(ROW(),[1]!COUNT_TH2_V2__units_1___Type_D_04__900_x_2200mm_high,1)+1)&amp;" of " &amp; [1]!CUSTOM1_Shops__GF_ + 0*NOW()</definedName>
    <definedName name="lkjr">"Page "&amp;IF(ISNA(MATCH(ROW(),RowAfterpgbrk,1)),1,MATCH(ROW(),RowAfterpgbrk,1)+1)&amp;" of " &amp; TotPageCount + 0*NOW()</definedName>
    <definedName name="lkjw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lkjw">IF(ISNA(MATCH(ROW(),RowAfterpgbrk,1)),1,MATCH(ROW(),RowAfterpgbrk,1)+1)&lt;&gt;IF(ISNA(MATCH(ROW()-1,RowAfterpgbrk,1)),1,MATCH(ROW()-1,RowAfterpgbrk,1)+1)</definedName>
    <definedName name="lkkjhj" localSheetId="1">BlankMacro1</definedName>
    <definedName name="lkkjhj">BlankMacro1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o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p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1">#REF!</definedName>
    <definedName name="LL">#REF!</definedName>
    <definedName name="ll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_22">#REF!</definedName>
    <definedName name="lljj" localSheetId="1">BlankMacro1</definedName>
    <definedName name="lljj">BlankMacro1</definedName>
    <definedName name="llk" localSheetId="1">BlankMacro1</definedName>
    <definedName name="llk">BlankMacro1</definedName>
    <definedName name="llkkjj" localSheetId="1">BlankMacro1</definedName>
    <definedName name="llkkjj">BlankMacro1</definedName>
    <definedName name="LLL" localSheetId="1">#REF!</definedName>
    <definedName name="LLL">#REF!</definedName>
    <definedName name="llll" localSheetId="1">{"'Break down'!$A$4"}</definedName>
    <definedName name="llll">{"'Break down'!$A$4"}</definedName>
    <definedName name="llll_1" localSheetId="1">{"'Break down'!$A$4"}</definedName>
    <definedName name="llll_1">{"'Break down'!$A$4"}</definedName>
    <definedName name="lllljh" localSheetId="1">BlankMacro1</definedName>
    <definedName name="lllljh">BlankMacro1</definedName>
    <definedName name="lllll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" localSheetId="1">BlankMacro1</definedName>
    <definedName name="llllll">BlankMacro1</definedName>
    <definedName name="llllllllllllll" localSheetId="1">#REF!</definedName>
    <definedName name="llllllllllllll">#REF!</definedName>
    <definedName name="lllllllllllllllllllllllllllllllllllll" localSheetId="1" hidden="1">#REF!</definedName>
    <definedName name="lllllllllllllllllllllllllllllllllllll" hidden="1">#REF!</definedName>
    <definedName name="LM" localSheetId="1">#REF!</definedName>
    <definedName name="LM">#REF!</definedName>
    <definedName name="LMR">#REF!</definedName>
    <definedName name="LMR.">#REF!</definedName>
    <definedName name="LMR..">#REF!</definedName>
    <definedName name="LMR...">#REF!</definedName>
    <definedName name="LNO">#REF!</definedName>
    <definedName name="LNO.">#REF!</definedName>
    <definedName name="LNO..">#REF!</definedName>
    <definedName name="LNO...">#REF!</definedName>
    <definedName name="LOA">#REF!</definedName>
    <definedName name="Load_out_file">#N/A</definedName>
    <definedName name="Load_Type">#REF!</definedName>
    <definedName name="loaddata" localSheetId="1">#REF!</definedName>
    <definedName name="loaddata">#REF!</definedName>
    <definedName name="LOADDT">#REF!</definedName>
    <definedName name="LOADING" localSheetId="1">#REF!</definedName>
    <definedName name="LOADING">#REF!</definedName>
    <definedName name="LOADING2" localSheetId="1">#REF!</definedName>
    <definedName name="LOADING2">#REF!</definedName>
    <definedName name="Loan_A_margins" localSheetId="1">#REF!</definedName>
    <definedName name="Loan_A_margins">#REF!</definedName>
    <definedName name="Loan_Amount" localSheetId="1">#REF!</definedName>
    <definedName name="Loan_Amount">#REF!</definedName>
    <definedName name="Loan_Not_Paid">"#N/A"</definedName>
    <definedName name="Loan_Start" localSheetId="1">#REF!</definedName>
    <definedName name="Loan_Start">#REF!</definedName>
    <definedName name="Loan_Years">#REF!</definedName>
    <definedName name="Loans">#REF!</definedName>
    <definedName name="loans_adv" localSheetId="1">#REF!</definedName>
    <definedName name="loans_adv">#REF!</definedName>
    <definedName name="Loans_Anchor" localSheetId="1">#REF!</definedName>
    <definedName name="Loans_Anchor">#REF!</definedName>
    <definedName name="Lobby" localSheetId="1">#REF!</definedName>
    <definedName name="Lobby">#REF!</definedName>
    <definedName name="LOBEEP" localSheetId="1">#REF!</definedName>
    <definedName name="LOBEEP">#REF!</definedName>
    <definedName name="LOCAL" localSheetId="1">#REF!</definedName>
    <definedName name="LOCAL">#REF!</definedName>
    <definedName name="LOCAL_MYSQL_DATE_FORMAT" localSheetId="1" hidden="1">#N/A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TAFF">#REF!</definedName>
    <definedName name="LOCAL_STAFF_ENTRY">#REF!</definedName>
    <definedName name="location" localSheetId="1">#REF!</definedName>
    <definedName name="Location">#REF!</definedName>
    <definedName name="Location___0">#N/A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ation10" localSheetId="1">#REF!</definedName>
    <definedName name="location10">#REF!</definedName>
    <definedName name="location10b" localSheetId="1">#REF!</definedName>
    <definedName name="location10b">#REF!</definedName>
    <definedName name="location3" localSheetId="1">#REF!</definedName>
    <definedName name="location3">#REF!</definedName>
    <definedName name="location5">#REF!</definedName>
    <definedName name="location6">#REF!</definedName>
    <definedName name="location7">#REF!</definedName>
    <definedName name="location8">#REF!</definedName>
    <definedName name="location9">#REF!</definedName>
    <definedName name="Lodhi_Project_Updates_and_Cashflow">#REF!</definedName>
    <definedName name="Log">#REF!</definedName>
    <definedName name="LOGO">#REF!</definedName>
    <definedName name="loh">#REF!</definedName>
    <definedName name="lohjap2" localSheetId="1">BlankMacro1</definedName>
    <definedName name="lohjap2">BlankMacro1</definedName>
    <definedName name="LOI">#N/A</definedName>
    <definedName name="loiy" localSheetId="1" hidden="1">{#N/A,#N/A,TRUE,"Cover";#N/A,#N/A,TRUE,"Conts";#N/A,#N/A,TRUE,"VOS";#N/A,#N/A,TRUE,"Warrington";#N/A,#N/A,TRUE,"Widnes"}</definedName>
    <definedName name="loiy" hidden="1">{#N/A,#N/A,TRUE,"Cover";#N/A,#N/A,TRUE,"Conts";#N/A,#N/A,TRUE,"VOS";#N/A,#N/A,TRUE,"Warrington";#N/A,#N/A,TRUE,"Widnes"}</definedName>
    <definedName name="lok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ki" localSheetId="1">#N/A</definedName>
    <definedName name="loki" hidden="1">#REF!</definedName>
    <definedName name="lokiu" localSheetId="1" hidden="1">{#N/A,#N/A,FALSE,"Header P";#N/A,#N/A,FALSE,"Summary";#N/A,#N/A,FALSE,"CONTRACT WORKS";#N/A,#N/A,FALSE,"Variations";#N/A,#N/A,FALSE,"Dwk"}</definedName>
    <definedName name="lokiu" hidden="1">{#N/A,#N/A,FALSE,"Header P";#N/A,#N/A,FALSE,"Summary";#N/A,#N/A,FALSE,"CONTRACT WORKS";#N/A,#N/A,FALSE,"Variations";#N/A,#N/A,FALSE,"Dwk"}</definedName>
    <definedName name="lokmj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lokmj">IF(ISNA(MATCH(ROW(),RowAfterpgbrk,1)),1,MATCH(ROW(),RowAfterpgbrk,1)+1)&lt;&gt;IF(ISNA(MATCH(ROW()-1,RowAfterpgbrk,1)),1,MATCH(ROW()-1,RowAfterpgbrk,1)+1)</definedName>
    <definedName name="lokuht" localSheetId="1">BlankMacro1</definedName>
    <definedName name="lokuht">BlankMacro1</definedName>
    <definedName name="london" localSheetId="1">#REF!</definedName>
    <definedName name="london">#REF!</definedName>
    <definedName name="LongTermDebt">#REF!</definedName>
    <definedName name="look" localSheetId="1">#REF!</definedName>
    <definedName name="look">#REF!</definedName>
    <definedName name="LookPump" localSheetId="1">IF(VLOOKUP(#REF!,#REF!,2)="HELP","HELP",VLOOKUP(#REF!,#REF!,2))</definedName>
    <definedName name="LookPump">IF(VLOOKUP(#REF!,#REF!,2)="HELP","HELP",VLOOKUP(#REF!,#REF!,2))</definedName>
    <definedName name="LookPump1">IF(VLOOKUP(#REF!,#REF!,2)="HELP","HELP",VLOOKUP(#REF!,#REF!,2))</definedName>
    <definedName name="LookupPump" localSheetId="1">#REF!</definedName>
    <definedName name="LookupPump">#REF!</definedName>
    <definedName name="Loose_FFE_OSE" localSheetId="1">#REF!</definedName>
    <definedName name="Loose_FFE_OSE">#REF!</definedName>
    <definedName name="LOP" localSheetId="1" hidden="1">{#N/A,#N/A,TRUE,"Cover";#N/A,#N/A,TRUE,"Conts";#N/A,#N/A,TRUE,"VOS";#N/A,#N/A,TRUE,"Warrington";#N/A,#N/A,TRUE,"Widnes"}</definedName>
    <definedName name="LOP" hidden="1">{#N/A,#N/A,TRUE,"Cover";#N/A,#N/A,TRUE,"Conts";#N/A,#N/A,TRUE,"VOS";#N/A,#N/A,TRUE,"Warrington";#N/A,#N/A,TRUE,"Widnes"}</definedName>
    <definedName name="lopo" localSheetId="1" hidden="1">{#N/A,#N/A,TRUE,"Cover";#N/A,#N/A,TRUE,"Conts";#N/A,#N/A,TRUE,"VOS";#N/A,#N/A,TRUE,"Warrington";#N/A,#N/A,TRUE,"Widnes"}</definedName>
    <definedName name="lopo" hidden="1">{#N/A,#N/A,TRUE,"Cover";#N/A,#N/A,TRUE,"Conts";#N/A,#N/A,TRUE,"VOS";#N/A,#N/A,TRUE,"Warrington";#N/A,#N/A,TRUE,"Widnes"}</definedName>
    <definedName name="Lösch_Beh" localSheetId="1">#REF!,#REF!,#REF!,#REF!,#REF!,#REF!,#REF!,#REF!,#REF!,#REF!,#REF!,#REF!,#REF!,#REF!,#REF!,#REF!,#REF!,#REF!,#REF!,#REF!,#REF!,#REF!,#REF!,#REF!,#REF!,#REF!,#REF!,#REF!</definedName>
    <definedName name="Lösch_Beh">#REF!,#REF!,#REF!,#REF!,#REF!,#REF!,#REF!,#REF!,#REF!,#REF!,#REF!,#REF!,#REF!,#REF!,#REF!,#REF!,#REF!,#REF!,#REF!,#REF!,#REF!,#REF!,#REF!,#REF!,#REF!,#REF!,#REF!,#REF!</definedName>
    <definedName name="LOT">#N/A</definedName>
    <definedName name="LOUIE" localSheetId="1">#REF!</definedName>
    <definedName name="LOUIE">#REF!</definedName>
    <definedName name="loung1" localSheetId="1">#REF!</definedName>
    <definedName name="loung1">#REF!</definedName>
    <definedName name="LOUNGE">#REF!</definedName>
    <definedName name="LOUY">#N/A</definedName>
    <definedName name="LOWER" localSheetId="1">#REF!</definedName>
    <definedName name="LOWER">#REF!</definedName>
    <definedName name="LPG" localSheetId="1">#REF!</definedName>
    <definedName name="LPG">#REF!</definedName>
    <definedName name="LPO0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PO0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poi">#N/A</definedName>
    <definedName name="lpok" localSheetId="1" hidden="1">{#N/A,#N/A,TRUE,"Cover";#N/A,#N/A,TRUE,"Conts";#N/A,#N/A,TRUE,"VOS";#N/A,#N/A,TRUE,"Warrington";#N/A,#N/A,TRUE,"Widnes"}</definedName>
    <definedName name="lpok" hidden="1">{#N/A,#N/A,TRUE,"Cover";#N/A,#N/A,TRUE,"Conts";#N/A,#N/A,TRUE,"VOS";#N/A,#N/A,TRUE,"Warrington";#N/A,#N/A,TRUE,"Widnes"}</definedName>
    <definedName name="LPRM">292</definedName>
    <definedName name="LPSH">584</definedName>
    <definedName name="LQ" localSheetId="1">#REF!</definedName>
    <definedName name="LQ">#REF!</definedName>
    <definedName name="Lr" localSheetId="1">#REF!</definedName>
    <definedName name="Lr">#REF!</definedName>
    <definedName name="Lr___0">#REF!</definedName>
    <definedName name="Lr___13">#REF!</definedName>
    <definedName name="LSA1.1">#REF!</definedName>
    <definedName name="LSA1.2">#REF!</definedName>
    <definedName name="LSA2.1">#REF!</definedName>
    <definedName name="LSAB1.1">#REF!</definedName>
    <definedName name="LSAB1.2">#REF!</definedName>
    <definedName name="LSAF1.1">#REF!</definedName>
    <definedName name="LSAF2.1">#REF!</definedName>
    <definedName name="LSAG1.1">#REF!</definedName>
    <definedName name="LSAG1.2">#REF!</definedName>
    <definedName name="LSAG1.3">#REF!</definedName>
    <definedName name="LSAG2.1">#REF!</definedName>
    <definedName name="LSAG5.1">#REF!</definedName>
    <definedName name="LSAG6.1">#REF!</definedName>
    <definedName name="LSAG7.1">#REF!</definedName>
    <definedName name="LSAG8.1">#REF!</definedName>
    <definedName name="LSAH1.1">#REF!</definedName>
    <definedName name="LSAH1.2">#REF!</definedName>
    <definedName name="LSAH2.1">#REF!</definedName>
    <definedName name="LSAN1.1">#REF!</definedName>
    <definedName name="LSAN1.2">#REF!</definedName>
    <definedName name="LSB1.1">#REF!</definedName>
    <definedName name="LSB1.2">#REF!</definedName>
    <definedName name="LSB2.1">#REF!</definedName>
    <definedName name="LSD_4100" localSheetId="1">#REF!</definedName>
    <definedName name="LSD_4100">#REF!</definedName>
    <definedName name="LSE1.1">#REF!</definedName>
    <definedName name="LSE1.2">#REF!</definedName>
    <definedName name="LSE1.3">#REF!</definedName>
    <definedName name="LSE1.4">#REF!</definedName>
    <definedName name="LSE2.1">#REF!</definedName>
    <definedName name="LSE2.2">#REF!</definedName>
    <definedName name="LSE2.3">#REF!</definedName>
    <definedName name="LSE2.4">#REF!</definedName>
    <definedName name="lsest" localSheetId="1">#REF!</definedName>
    <definedName name="lsest">#REF!</definedName>
    <definedName name="LSF1.1">#REF!</definedName>
    <definedName name="LSF1.2">#REF!</definedName>
    <definedName name="LSF1.3">#REF!</definedName>
    <definedName name="LSF1.4">#REF!</definedName>
    <definedName name="LSF1.5">#REF!</definedName>
    <definedName name="LSF1.6">#REF!</definedName>
    <definedName name="LSF1.7">#REF!</definedName>
    <definedName name="LSF2.1">#REF!</definedName>
    <definedName name="LSF2.2">#REF!</definedName>
    <definedName name="LSF2.3">#REF!</definedName>
    <definedName name="LSF3.1">#REF!</definedName>
    <definedName name="LSF3.2">#REF!</definedName>
    <definedName name="LSF3.3">#REF!</definedName>
    <definedName name="LSF3.4">#REF!</definedName>
    <definedName name="LSF3.5">#REF!</definedName>
    <definedName name="LSF3.6">#REF!</definedName>
    <definedName name="LSF4.1">#REF!</definedName>
    <definedName name="LSF5.1">#REF!</definedName>
    <definedName name="LSF6.1">#REF!</definedName>
    <definedName name="LSF6.2">#REF!</definedName>
    <definedName name="LSF7.1">#REF!</definedName>
    <definedName name="LSF7.2">#REF!</definedName>
    <definedName name="LSF7.3">#REF!</definedName>
    <definedName name="LSF8.1">#REF!</definedName>
    <definedName name="LSF8.2">#REF!</definedName>
    <definedName name="LSF8.3">#REF!</definedName>
    <definedName name="LSG1.1">#REF!</definedName>
    <definedName name="LSG10.1">#REF!</definedName>
    <definedName name="LSG10.2">#REF!</definedName>
    <definedName name="LSG11.1">#REF!</definedName>
    <definedName name="LSG11.2">#REF!</definedName>
    <definedName name="LSG11.3">#REF!</definedName>
    <definedName name="LSG12.1">#REF!</definedName>
    <definedName name="LSG13.1">#REF!</definedName>
    <definedName name="LSG13.2">#REF!</definedName>
    <definedName name="LSG13.3">#REF!</definedName>
    <definedName name="LSG13.4">#REF!</definedName>
    <definedName name="LSG13.5">#REF!</definedName>
    <definedName name="LSG13.6">#REF!</definedName>
    <definedName name="LSG15.1">#REF!</definedName>
    <definedName name="LSG2.1">#REF!</definedName>
    <definedName name="LSG2.2">#REF!</definedName>
    <definedName name="LSG2.3">#REF!</definedName>
    <definedName name="LSG3.1">#REF!</definedName>
    <definedName name="LSG4.1">#REF!</definedName>
    <definedName name="LSG6.1">#REF!</definedName>
    <definedName name="LSG7.1">#REF!</definedName>
    <definedName name="LSH1.1">#REF!</definedName>
    <definedName name="LSH1.2">#REF!</definedName>
    <definedName name="LSH10.1">#REF!</definedName>
    <definedName name="LSH11.1">#REF!</definedName>
    <definedName name="LSH11.2">#REF!</definedName>
    <definedName name="LSH12.1">#REF!</definedName>
    <definedName name="LSH15.1">#REF!</definedName>
    <definedName name="LSH17.1">#REF!</definedName>
    <definedName name="LSH2.1">#REF!</definedName>
    <definedName name="LSH2.2">#REF!</definedName>
    <definedName name="LSH3.1">#REF!</definedName>
    <definedName name="LSH4.1">#REF!</definedName>
    <definedName name="LSH6.1">#REF!</definedName>
    <definedName name="LSH7.1">#REF!</definedName>
    <definedName name="LSH7.2">#REF!</definedName>
    <definedName name="LSH8.1">#REF!</definedName>
    <definedName name="LSH8.2">#REF!</definedName>
    <definedName name="lshead" localSheetId="1">#REF!</definedName>
    <definedName name="lshead">#REF!</definedName>
    <definedName name="LSM1.1">#REF!</definedName>
    <definedName name="LSM1.2">#REF!</definedName>
    <definedName name="LSM1.3">#REF!</definedName>
    <definedName name="LSM2.1">#REF!</definedName>
    <definedName name="LSM2.2">#REF!</definedName>
    <definedName name="LSM2.3">#REF!</definedName>
    <definedName name="LSM2.4">#REF!</definedName>
    <definedName name="LSM3.1">#REF!</definedName>
    <definedName name="LSM4.1">#REF!</definedName>
    <definedName name="LSM4.2">#REF!</definedName>
    <definedName name="LSM4.3">#REF!</definedName>
    <definedName name="LSM5.1">#REF!</definedName>
    <definedName name="LSM5.2">#REF!</definedName>
    <definedName name="LSM5.3">#REF!</definedName>
    <definedName name="LSNO1">#REF!</definedName>
    <definedName name="LSNO13">#REF!</definedName>
    <definedName name="LSNO14">#REF!</definedName>
    <definedName name="LSNO2">#REF!</definedName>
    <definedName name="LSNO23">#REF!</definedName>
    <definedName name="LSNO25">#REF!</definedName>
    <definedName name="LSNO3">#REF!</definedName>
    <definedName name="LSP1.1">#REF!</definedName>
    <definedName name="LSP1.2">#REF!</definedName>
    <definedName name="LSP1.3">#REF!</definedName>
    <definedName name="LSP2.1">#REF!</definedName>
    <definedName name="LSP3.1">#REF!</definedName>
    <definedName name="LSP3.2">#REF!</definedName>
    <definedName name="LSP3.3">#REF!</definedName>
    <definedName name="LSP3.4">#REF!</definedName>
    <definedName name="LSP3.5">#REF!</definedName>
    <definedName name="LSZ1.1">#REF!</definedName>
    <definedName name="LSZ1.2">#REF!</definedName>
    <definedName name="lta" localSheetId="1">BlankMacro1</definedName>
    <definedName name="lta">BlankMacro1</definedName>
    <definedName name="LTG_ALS" localSheetId="1">#REF!</definedName>
    <definedName name="LTG_ALS">#REF!</definedName>
    <definedName name="LTG_CONDUIT">#REF!</definedName>
    <definedName name="LTG_INDOOR">#REF!</definedName>
    <definedName name="LTG_OUTDOOR">#REF!</definedName>
    <definedName name="LTG_POLES">#REF!</definedName>
    <definedName name="LTG_PWR_EQUIP">#REF!</definedName>
    <definedName name="LTG_WIRE">#REF!</definedName>
    <definedName name="LTV">#REF!</definedName>
    <definedName name="lu" localSheetId="1" hidden="1">{#N/A,#N/A,FALSE,"Header P";#N/A,#N/A,FALSE,"Summary";#N/A,#N/A,FALSE,"CONTRACT WORKS";#N/A,#N/A,FALSE,"Variations";#N/A,#N/A,FALSE,"Dwk"}</definedName>
    <definedName name="lu" hidden="1">{#N/A,#N/A,FALSE,"Header P";#N/A,#N/A,FALSE,"Summary";#N/A,#N/A,FALSE,"CONTRACT WORKS";#N/A,#N/A,FALSE,"Variations";#N/A,#N/A,FALSE,"Dwk"}</definedName>
    <definedName name="lugfo" localSheetId="1">BlankMacro1</definedName>
    <definedName name="lugfo">BlankMacro1</definedName>
    <definedName name="luil" localSheetId="1">IF(ISNA(MATCH(ROW(),[1]!COUNT_TH2_V2__units_1___Type_D_04__900_x_2200mm_high,1)),1,MATCH(ROW(),[1]!COUNT_TH2_V2__units_1___Type_D_04__900_x_2200mm_high,1)+1)</definedName>
    <definedName name="luil">IF(ISNA(MATCH(ROW(),RowAfterpgbrk,1)),1,MATCH(ROW(),RowAfterpgbrk,1)+1)</definedName>
    <definedName name="LUMEN" localSheetId="1">#REF!</definedName>
    <definedName name="LUMEN">#REF!</definedName>
    <definedName name="LUMEN___0" localSheetId="1">#REF!</definedName>
    <definedName name="LUMEN___0">#REF!</definedName>
    <definedName name="LUMEN___13" localSheetId="1">#REF!</definedName>
    <definedName name="LUMEN___13">#REF!</definedName>
    <definedName name="Lump_Sum_Discount">#REF!</definedName>
    <definedName name="lunch1" localSheetId="1">#REF!</definedName>
    <definedName name="lunch1">#REF!</definedName>
    <definedName name="LUX" localSheetId="1">#REF!</definedName>
    <definedName name="LUX">#REF!</definedName>
    <definedName name="LUX___0" localSheetId="1">#REF!</definedName>
    <definedName name="LUX___0">#REF!</definedName>
    <definedName name="LUX___13" localSheetId="1">#REF!</definedName>
    <definedName name="LUX___13">#REF!</definedName>
    <definedName name="LVEL">#REF!</definedName>
    <definedName name="Lx">#REF!</definedName>
    <definedName name="Lx___0">#REF!</definedName>
    <definedName name="Lx___13">#REF!</definedName>
    <definedName name="M" localSheetId="1">#REF!</definedName>
    <definedName name="M">#REF!</definedName>
    <definedName name="m___0" localSheetId="1">#REF!</definedName>
    <definedName name="m___0">#REF!</definedName>
    <definedName name="m___0___0">"$#REF!.$#REF!$#REF!"</definedName>
    <definedName name="m___0___3">"$#REF!.$#REF!$#REF!"</definedName>
    <definedName name="m___0___4">"$#REF!.$#REF!$#REF!"</definedName>
    <definedName name="m___13">#REF!</definedName>
    <definedName name="m___2" localSheetId="1">#REF!</definedName>
    <definedName name="m___2">#REF!</definedName>
    <definedName name="m___2___0">"$#REF!.$#REF!$#REF!"</definedName>
    <definedName name="m___2___3">"$#REF!.$#REF!$#REF!"</definedName>
    <definedName name="m___3">#REF!</definedName>
    <definedName name="m___3___0">"$#REF!.$#REF!$#REF!"</definedName>
    <definedName name="m___3___3">"$#REF!.$#REF!$#REF!"</definedName>
    <definedName name="m___3___4">"$#REF!.$#REF!$#REF!"</definedName>
    <definedName name="m___4">#REF!</definedName>
    <definedName name="m___4___0">"$#REF!.$#REF!$#REF!"</definedName>
    <definedName name="m___4___3">"$#REF!.$#REF!$#REF!"</definedName>
    <definedName name="m___7">"$#REF!.$#REF!$#REF!"</definedName>
    <definedName name="m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_22">#REF!</definedName>
    <definedName name="M_25_box_Culvert" localSheetId="1">#REF!</definedName>
    <definedName name="M_25_box_Culvert">#REF!</definedName>
    <definedName name="m_acid" localSheetId="1">#REF!</definedName>
    <definedName name="m_acid">#REF!</definedName>
    <definedName name="M_Angle_Screed">#REF!</definedName>
    <definedName name="M_C_Faulkner_and_Sons_Inc">#REF!</definedName>
    <definedName name="M_Paintwork">#REF!</definedName>
    <definedName name="M_Synth_Tech.SynthéseTechnique">#N/A</definedName>
    <definedName name="m_u" localSheetId="1">#REF!</definedName>
    <definedName name="m_u">#REF!</definedName>
    <definedName name="M_UP" localSheetId="1">#REF!</definedName>
    <definedName name="M_UP">#REF!</definedName>
    <definedName name="M1x" localSheetId="1">#REF!</definedName>
    <definedName name="M1x">#REF!</definedName>
    <definedName name="M1y">#REF!</definedName>
    <definedName name="M2x">#REF!</definedName>
    <definedName name="M2y">#REF!</definedName>
    <definedName name="M4TKPOR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4TKPO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" localSheetId="1" hidden="1">{#N/A,#N/A,TRUE,"Cover";#N/A,#N/A,TRUE,"Conts";#N/A,#N/A,TRUE,"VOS";#N/A,#N/A,TRUE,"Warrington";#N/A,#N/A,TRUE,"Widnes"}</definedName>
    <definedName name="ma" hidden="1">{#N/A,#N/A,TRUE,"Cover";#N/A,#N/A,TRUE,"Conts";#N/A,#N/A,TRUE,"VOS";#N/A,#N/A,TRUE,"Warrington";#N/A,#N/A,TRUE,"Widnes"}</definedName>
    <definedName name="ma_1" localSheetId="1" hidden="1">{#N/A,#N/A,TRUE,"Cover";#N/A,#N/A,TRUE,"Conts";#N/A,#N/A,TRUE,"VOS";#N/A,#N/A,TRUE,"Warrington";#N/A,#N/A,TRUE,"Widnes"}</definedName>
    <definedName name="ma_1" hidden="1">{#N/A,#N/A,TRUE,"Cover";#N/A,#N/A,TRUE,"Conts";#N/A,#N/A,TRUE,"VOS";#N/A,#N/A,TRUE,"Warrington";#N/A,#N/A,TRUE,"Widnes"}</definedName>
    <definedName name="MA_DML">#REF!</definedName>
    <definedName name="Mac_Visitors" localSheetId="1">#REF!</definedName>
    <definedName name="Mac_Visitors">#REF!</definedName>
    <definedName name="Macc">#REF!</definedName>
    <definedName name="Macc_header">#REF!</definedName>
    <definedName name="Macc_sum">#REF!</definedName>
    <definedName name="Mace_International_Limited">#REF!</definedName>
    <definedName name="Machinary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E_EQUIPMENT">#REF!</definedName>
    <definedName name="MACHINE_EQUIPMENT_ENTRY">#REF!</definedName>
    <definedName name="macid" localSheetId="1">#REF!</definedName>
    <definedName name="macid">#REF!</definedName>
    <definedName name="Macro1" localSheetId="1">#REF!</definedName>
    <definedName name="Macro1">#REF!</definedName>
    <definedName name="Macro2" localSheetId="1">#REF!</definedName>
    <definedName name="Macro2">#REF!</definedName>
    <definedName name="MACROA" localSheetId="1">#REF!</definedName>
    <definedName name="MACROA">#REF!</definedName>
    <definedName name="MACROB">#REF!</definedName>
    <definedName name="MACROS">#REF!</definedName>
    <definedName name="Mai">#REF!</definedName>
    <definedName name="MAIL">#REF!</definedName>
    <definedName name="Mail_Docket">#REF!</definedName>
    <definedName name="maila" localSheetId="1">#REF!</definedName>
    <definedName name="maila">#REF!</definedName>
    <definedName name="MAIN" localSheetId="1">#REF!</definedName>
    <definedName name="MAIN">#REF!</definedName>
    <definedName name="Main_Cont" localSheetId="1">#REF!</definedName>
    <definedName name="Main_Cont">#REF!</definedName>
    <definedName name="Main_contractor">#REF!</definedName>
    <definedName name="maindoor">#REF!</definedName>
    <definedName name="MAINMENU" localSheetId="1">#REF!</definedName>
    <definedName name="MAINMENU">#REF!</definedName>
    <definedName name="MAINT" localSheetId="1">#REF!</definedName>
    <definedName name="MAINT">#REF!</definedName>
    <definedName name="MAJ_CON_EQP" localSheetId="1">#REF!</definedName>
    <definedName name="MAJ_CON_EQP">#REF!</definedName>
    <definedName name="major">#REF!</definedName>
    <definedName name="MAJORS">#REF!</definedName>
    <definedName name="MAK">#REF!</definedName>
    <definedName name="Makro1">#N/A</definedName>
    <definedName name="man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___0">#REF!</definedName>
    <definedName name="man___11" localSheetId="1">#REF!</definedName>
    <definedName name="man___11">#REF!</definedName>
    <definedName name="man___12" localSheetId="1">#REF!</definedName>
    <definedName name="man___12">#REF!</definedName>
    <definedName name="MAN_HRS">#REF!</definedName>
    <definedName name="MAN_LAB">#REF!</definedName>
    <definedName name="management" localSheetId="1">#REF!</definedName>
    <definedName name="management">#REF!</definedName>
    <definedName name="Management_Fee_at_Risk" localSheetId="1">#REF!</definedName>
    <definedName name="Management_Fee_at_Risk">#REF!</definedName>
    <definedName name="management_graph" localSheetId="1">#REF!</definedName>
    <definedName name="management_graph">#REF!</definedName>
    <definedName name="management_schedule">#REF!</definedName>
    <definedName name="manday" localSheetId="1">#REF!</definedName>
    <definedName name="manday">#REF!</definedName>
    <definedName name="manday1">#REF!</definedName>
    <definedName name="manday1___0">#REF!</definedName>
    <definedName name="manday1___11">#REF!</definedName>
    <definedName name="manday1___12">#REF!</definedName>
    <definedName name="MANDEEP">#REF!</definedName>
    <definedName name="MANGAF">#REF!</definedName>
    <definedName name="MANHOLE">#REF!</definedName>
    <definedName name="manhour_rate">#REF!</definedName>
    <definedName name="manhours">#REF!</definedName>
    <definedName name="manhr">#N/A</definedName>
    <definedName name="manhrmech">#N/A</definedName>
    <definedName name="MANPOURINGRATE" localSheetId="1">#REF!</definedName>
    <definedName name="MANPOURINGRATE">#REF!</definedName>
    <definedName name="Manpower" localSheetId="1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Manpower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manpower_details">#REF!</definedName>
    <definedName name="Manual_Dosing" localSheetId="1">#REF!</definedName>
    <definedName name="Manual_Dosing">#REF!</definedName>
    <definedName name="Manual_input">#REF!</definedName>
    <definedName name="MANUEL_INPUT">#REF!</definedName>
    <definedName name="Manya">#REF!</definedName>
    <definedName name="MAR">#REF!</definedName>
    <definedName name="marb">#REF!</definedName>
    <definedName name="marbella_wall">#REF!</definedName>
    <definedName name="marble" localSheetId="1">#REF!</definedName>
    <definedName name="marble">#REF!</definedName>
    <definedName name="Marble_Threshold" localSheetId="1">#REF!</definedName>
    <definedName name="Marble_Threshold">#REF!</definedName>
    <definedName name="March_11" localSheetId="1">#REF!</definedName>
    <definedName name="March_11">#REF!</definedName>
    <definedName name="march_qty">#REF!</definedName>
    <definedName name="marcou1">#REF!</definedName>
    <definedName name="Margin" localSheetId="1">#REF!</definedName>
    <definedName name="Margin">#REF!</definedName>
    <definedName name="MARK">#REF!</definedName>
    <definedName name="MARK_UP">#REF!</definedName>
    <definedName name="Market">#REF!</definedName>
    <definedName name="Market_Office">#REF!</definedName>
    <definedName name="markets">#REF!</definedName>
    <definedName name="MarketType">#REF!</definedName>
    <definedName name="MarketType_4">#REF!</definedName>
    <definedName name="MarketType_4_1">#REF!</definedName>
    <definedName name="MarketType_6">#REF!</definedName>
    <definedName name="MarketType_Text">#REF!</definedName>
    <definedName name="MarketType_Text_4">#REF!</definedName>
    <definedName name="MarketType_Text_4_1">#REF!</definedName>
    <definedName name="MarketType_Text_6">#REF!</definedName>
    <definedName name="MARKING" localSheetId="1" hidden="1">{#N/A,#N/A,FALSE,"MARCH"}</definedName>
    <definedName name="MARKING" hidden="1">{#N/A,#N/A,FALSE,"MARCH"}</definedName>
    <definedName name="markup">#REF!</definedName>
    <definedName name="markupb" localSheetId="1">#REF!</definedName>
    <definedName name="markupb">#REF!</definedName>
    <definedName name="MarkupPercent" localSheetId="1">#REF!</definedName>
    <definedName name="MarkupPercent">#REF!</definedName>
    <definedName name="MarkupPrice">#REF!</definedName>
    <definedName name="masaru">#REF!</definedName>
    <definedName name="MASON">#REF!</definedName>
    <definedName name="Masonary">#REF!</definedName>
    <definedName name="MASTERJ" localSheetId="1">#REF!</definedName>
    <definedName name="MASTERJ">#REF!</definedName>
    <definedName name="Mat" localSheetId="1">#N/A</definedName>
    <definedName name="Mat">#N/A</definedName>
    <definedName name="Mat_2" localSheetId="1">#REF!</definedName>
    <definedName name="Mat_2">#REF!</definedName>
    <definedName name="Mat_H_BK" localSheetId="1">#REF!</definedName>
    <definedName name="Mat_H_BK">#REF!</definedName>
    <definedName name="MAT_RATE_ENTRY">#REF!</definedName>
    <definedName name="MatchTbl" localSheetId="1">#REF!</definedName>
    <definedName name="MatchTbl">#REF!</definedName>
    <definedName name="Materal_H">#REF!</definedName>
    <definedName name="Material" localSheetId="1">#N/A</definedName>
    <definedName name="Material">#REF!</definedName>
    <definedName name="Material_H" localSheetId="1">#REF!</definedName>
    <definedName name="Material_H">#REF!</definedName>
    <definedName name="MATERIAL_OF_CONST">#REF!,#REF!,#REF!,#REF!</definedName>
    <definedName name="Material_rate_entry" localSheetId="1">#REF!</definedName>
    <definedName name="Material_rate_entry">#REF!</definedName>
    <definedName name="Materiale" localSheetId="1">#REF!</definedName>
    <definedName name="Materiale">#REF!</definedName>
    <definedName name="MaterialLookup">#REF!</definedName>
    <definedName name="MaterialOSTotal">#REF!</definedName>
    <definedName name="Materials">#REF!</definedName>
    <definedName name="MaterialToBeCrushed">#REF!</definedName>
    <definedName name="MaterialToBeScreened">#REF!</definedName>
    <definedName name="MATH_CHK_AFTER_ELEC">#REF!</definedName>
    <definedName name="MATH_CHK_BEFORE_ELEC">#REF!</definedName>
    <definedName name="MATH_CHK_BOX_ELEC">#REF!</definedName>
    <definedName name="MATH_CHK_DATE_ELEC">#REF!</definedName>
    <definedName name="MATH_CHK_DELTA_ELEC">#REF!</definedName>
    <definedName name="MATH_CHK_STAT_ELEC">#REF!</definedName>
    <definedName name="MATICECODE">#REF!</definedName>
    <definedName name="MATL">#N/A</definedName>
    <definedName name="MATL_DISC_AG_COND" localSheetId="1">#REF!</definedName>
    <definedName name="MATL_DISC_AG_COND">#REF!</definedName>
    <definedName name="MATL_DISC_DB">#REF!</definedName>
    <definedName name="MATL_DISC_EMB_COND">#REF!</definedName>
    <definedName name="MATL_DISC_MV">#REF!</definedName>
    <definedName name="MATL_DISC_OTHER">#REF!</definedName>
    <definedName name="MATL_DISC_TRAY">#REF!</definedName>
    <definedName name="MATL1">#N/A</definedName>
    <definedName name="matlsdim" localSheetId="1">#REF!</definedName>
    <definedName name="matlsdim">#REF!</definedName>
    <definedName name="matlssds" localSheetId="1">#REF!</definedName>
    <definedName name="matlssds">#REF!</definedName>
    <definedName name="matlssewer" localSheetId="1">#REF!</definedName>
    <definedName name="matlssewer">#REF!</definedName>
    <definedName name="MATRICE">#REF!</definedName>
    <definedName name="MATV">#REF!</definedName>
    <definedName name="maxmonth" localSheetId="1">OFFSET(#REF!,0,0,MATCH(#REF!,#REF!,0),1)</definedName>
    <definedName name="maxmonth">OFFSET(#REF!,0,0,MATCH(#REF!,#REF!,0),1)</definedName>
    <definedName name="May" localSheetId="1" hidden="1">{#N/A,#N/A,FALSE,"MARCH"}</definedName>
    <definedName name="May" hidden="1">{#N/A,#N/A,FALSE,"MARCH"}</definedName>
    <definedName name="May_1" localSheetId="1" hidden="1">{#N/A,#N/A,FALSE,"MARCH"}</definedName>
    <definedName name="May_1" hidden="1">{#N/A,#N/A,FALSE,"MARCH"}</definedName>
    <definedName name="MAY03PH2">#REF!</definedName>
    <definedName name="mayflower" localSheetId="1">#REF!</definedName>
    <definedName name="mayflower">#REF!</definedName>
    <definedName name="mayumi" localSheetId="1">#REF!</definedName>
    <definedName name="mayumi">#REF!</definedName>
    <definedName name="MB10Length">#REF!</definedName>
    <definedName name="MB11Length">#REF!</definedName>
    <definedName name="MB12Length">#REF!</definedName>
    <definedName name="MB13Length">#REF!</definedName>
    <definedName name="MB14Length">#REF!</definedName>
    <definedName name="MB1Length">#REF!</definedName>
    <definedName name="MB2Length">#REF!</definedName>
    <definedName name="MB3Length">#REF!</definedName>
    <definedName name="MB4Length">#REF!</definedName>
    <definedName name="MB5Length">#REF!</definedName>
    <definedName name="MB6Length">#REF!</definedName>
    <definedName name="MB7Length">#REF!</definedName>
    <definedName name="MB8Length">#REF!</definedName>
    <definedName name="MB9Length">#REF!</definedName>
    <definedName name="mbn" localSheetId="1" hidden="1">{#N/A,#N/A,FALSE,"Header P";#N/A,#N/A,FALSE,"Summary";#N/A,#N/A,FALSE,"CONTRACT WORKS";#N/A,#N/A,FALSE,"Variations";#N/A,#N/A,FALSE,"Dwk"}</definedName>
    <definedName name="mbn" hidden="1">{#N/A,#N/A,FALSE,"Header P";#N/A,#N/A,FALSE,"Summary";#N/A,#N/A,FALSE,"CONTRACT WORKS";#N/A,#N/A,FALSE,"Variations";#N/A,#N/A,FALSE,"Dwk"}</definedName>
    <definedName name="mbw">#REF!</definedName>
    <definedName name="MC_" localSheetId="1">#REF!</definedName>
    <definedName name="MC_">#REF!</definedName>
    <definedName name="mca" localSheetId="1" hidden="1">{"'Break down'!$A$4"}</definedName>
    <definedName name="mca" hidden="1">{"'Break down'!$A$4"}</definedName>
    <definedName name="MCBDB" localSheetId="1" hidden="1">{#N/A,#N/A,FALSE,"mpph1";#N/A,#N/A,FALSE,"mpmseb";#N/A,#N/A,FALSE,"mpph2"}</definedName>
    <definedName name="MCBDB" hidden="1">{#N/A,#N/A,FALSE,"mpph1";#N/A,#N/A,FALSE,"mpmseb";#N/A,#N/A,FALSE,"mpph2"}</definedName>
    <definedName name="mci">#REF!</definedName>
    <definedName name="MCS" localSheetId="1" hidden="1">#REF!</definedName>
    <definedName name="MCS" hidden="1">#REF!</definedName>
    <definedName name="MCS8299_A_List" localSheetId="1">#REF!</definedName>
    <definedName name="MCS8299_A_List">#REF!</definedName>
    <definedName name="mctcalc" localSheetId="1">#REF!</definedName>
    <definedName name="mctcalc">#REF!</definedName>
    <definedName name="MD">#REF!</definedName>
    <definedName name="MData">#REF!</definedName>
    <definedName name="mdfgyp" localSheetId="1">#REF!</definedName>
    <definedName name="mdfgyp">#REF!</definedName>
    <definedName name="mdflam" localSheetId="1">#REF!</definedName>
    <definedName name="mdflam">#REF!</definedName>
    <definedName name="MDFMDF" localSheetId="1">#REF!</definedName>
    <definedName name="MDFMDF">#REF!</definedName>
    <definedName name="MDFMDFQ" localSheetId="1">#REF!</definedName>
    <definedName name="MDFMDFQ">#REF!</definedName>
    <definedName name="mdfpan" localSheetId="1">#REF!</definedName>
    <definedName name="mdfpan">#REF!</definedName>
    <definedName name="mDisc" localSheetId="1">#REF!</definedName>
    <definedName name="mDisc">#REF!</definedName>
    <definedName name="mDiscCode" localSheetId="1">#REF!</definedName>
    <definedName name="mDiscCode">#REF!</definedName>
    <definedName name="mDiscEdit">#REF!</definedName>
    <definedName name="ME_Salary">#REF!</definedName>
    <definedName name="mea" localSheetId="1">#REF!</definedName>
    <definedName name="mea">#REF!</definedName>
    <definedName name="meas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C">#REF!</definedName>
    <definedName name="mech" localSheetId="1">#REF!</definedName>
    <definedName name="mech">#REF!</definedName>
    <definedName name="mech_boq">#REF!</definedName>
    <definedName name="Mech_Con">#REF!</definedName>
    <definedName name="MECH_INSTR">#REF!</definedName>
    <definedName name="MECH30_CITY">#REF!</definedName>
    <definedName name="MECH30_ESC">#REF!</definedName>
    <definedName name="MECH30_OLD_CITY">#REF!</definedName>
    <definedName name="MECH30_OLD_ESC">#REF!</definedName>
    <definedName name="MECH30_OLD_PROD">#REF!</definedName>
    <definedName name="MECH30_OLD_WAGE">#REF!</definedName>
    <definedName name="MECH30_PROD">#REF!</definedName>
    <definedName name="MECH30_WAGE">#REF!</definedName>
    <definedName name="mechanical">#REF!</definedName>
    <definedName name="MECHANICAL_INFO" localSheetId="1">#REF!,#REF!,#REF!,#REF!,#REF!,#REF!,#REF!,#REF!,#REF!,#REF!,#REF!,#REF!,#REF!,#REF!,#REF!,#REF!,#REF!,#REF!</definedName>
    <definedName name="MECHANICAL_INFO">#REF!,#REF!,#REF!,#REF!,#REF!,#REF!,#REF!,#REF!,#REF!,#REF!,#REF!,#REF!,#REF!,#REF!,#REF!,#REF!,#REF!,#REF!</definedName>
    <definedName name="MECHANICAL_SERVICES" localSheetId="1">#REF!</definedName>
    <definedName name="MECHANICAL_SERVICES">#REF!</definedName>
    <definedName name="MECHNICAL_DATA" localSheetId="1">#REF!,#REF!,#REF!,#REF!,#REF!,#REF!,#REF!,#REF!,#REF!,#REF!,#REF!</definedName>
    <definedName name="MECHNICAL_DATA">#REF!,#REF!,#REF!,#REF!,#REF!,#REF!,#REF!,#REF!,#REF!,#REF!,#REF!</definedName>
    <definedName name="meest" localSheetId="1">#REF!</definedName>
    <definedName name="meest">#REF!</definedName>
    <definedName name="Meeting">#REF!</definedName>
    <definedName name="Mega_Sign_Advertising">#REF!</definedName>
    <definedName name="mehead">#REF!</definedName>
    <definedName name="mem">#REF!</definedName>
    <definedName name="MENU">#REF!</definedName>
    <definedName name="MENUA" localSheetId="1">#REF!</definedName>
    <definedName name="MENUA">#REF!</definedName>
    <definedName name="MENUBB" localSheetId="1">#REF!</definedName>
    <definedName name="MENUBB">#REF!</definedName>
    <definedName name="MENUBBB" localSheetId="1">#REF!</definedName>
    <definedName name="MENUBBB">#REF!</definedName>
    <definedName name="MENUBBBB">#REF!</definedName>
    <definedName name="MENUC">#REF!</definedName>
    <definedName name="MENUCC">#REF!</definedName>
    <definedName name="MENUCCC">#REF!</definedName>
    <definedName name="MENUCCCC">#REF!</definedName>
    <definedName name="MENUCCCCC">#REF!</definedName>
    <definedName name="MENUP">#REF!</definedName>
    <definedName name="mep">#REF!</definedName>
    <definedName name="mep_1">0</definedName>
    <definedName name="MER">#REF!</definedName>
    <definedName name="MeraasARABIC" localSheetId="1">#REF!</definedName>
    <definedName name="MeraasARABIC">#REF!</definedName>
    <definedName name="merando" localSheetId="1">#REF!</definedName>
    <definedName name="merando">#REF!</definedName>
    <definedName name="mesh193">#REF!</definedName>
    <definedName name="METAL" localSheetId="1">#REF!</definedName>
    <definedName name="METAL">#REF!</definedName>
    <definedName name="METALGRID">#REF!</definedName>
    <definedName name="METALWORK" localSheetId="1">#REF!</definedName>
    <definedName name="METALWORK">#REF!</definedName>
    <definedName name="Method_of_Installation_1C_A">#REF!</definedName>
    <definedName name="Method_of_Installation_1C_UA">#REF!</definedName>
    <definedName name="Method_of_Installation_4C">#REF!</definedName>
    <definedName name="Method_of_Installation_BTS">#REF!</definedName>
    <definedName name="Method_of_Installation_FIRE">#REF!</definedName>
    <definedName name="metlam_pan" localSheetId="1">#REF!</definedName>
    <definedName name="metlam_pan">#REF!</definedName>
    <definedName name="metpan1" localSheetId="1">#REF!</definedName>
    <definedName name="metpan1">#REF!</definedName>
    <definedName name="MF" localSheetId="1">#REF!</definedName>
    <definedName name="MF">#REF!</definedName>
    <definedName name="MF___0" localSheetId="1">#REF!</definedName>
    <definedName name="MF___0">#REF!</definedName>
    <definedName name="MF___13" localSheetId="1">#REF!</definedName>
    <definedName name="MF___13">#REF!</definedName>
    <definedName name="mffnf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ffn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FSVMRGK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FSVMRGK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_A">#REF!</definedName>
    <definedName name="mggj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g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t_cost_summary">#REF!</definedName>
    <definedName name="MH" localSheetId="1">#REF!</definedName>
    <definedName name="MH">#REF!</definedName>
    <definedName name="MH_HH">#REF!</definedName>
    <definedName name="mha">#REF!</definedName>
    <definedName name="MHCOST">#REF!</definedName>
    <definedName name="mhdjgnxh">#REF!</definedName>
    <definedName name="mhhjyj">#N/A</definedName>
    <definedName name="MHhour">#REF!</definedName>
    <definedName name="mhjgdsfdz" localSheetId="1">#REF!</definedName>
    <definedName name="mhjgdsfdz">#REF!</definedName>
    <definedName name="mhjj" localSheetId="1" hidden="1">{"'Bill No. 7'!$A$1:$G$32"}</definedName>
    <definedName name="mhjj" hidden="1">{"'Bill No. 7'!$A$1:$G$32"}</definedName>
    <definedName name="MHRS_BL">#REF!</definedName>
    <definedName name="MHRS_CONDENSER" localSheetId="1">#REF!</definedName>
    <definedName name="MHRS_CONDENSER">#REF!</definedName>
    <definedName name="MHRS_GTG">#REF!</definedName>
    <definedName name="MHRS_STG">#REF!</definedName>
    <definedName name="mhs">#REF!</definedName>
    <definedName name="mhsealant" localSheetId="1">#REF!</definedName>
    <definedName name="mhsealant">#REF!</definedName>
    <definedName name="mhslam1" localSheetId="1">#REF!</definedName>
    <definedName name="mhslam1">#REF!</definedName>
    <definedName name="mhsven1" localSheetId="1">#REF!</definedName>
    <definedName name="mhsven1">#REF!</definedName>
    <definedName name="mhwc1" localSheetId="1">#REF!</definedName>
    <definedName name="mhwc1">#REF!</definedName>
    <definedName name="Micro">#REF!</definedName>
    <definedName name="MIDPOINT">#REF!</definedName>
    <definedName name="mihh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hh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lan">#REF!</definedName>
    <definedName name="milestone">37891</definedName>
    <definedName name="MINOR__BUILDING__WORKS" localSheetId="1">#REF!</definedName>
    <definedName name="MINOR__BUILDING__WORKS">#REF!</definedName>
    <definedName name="Minor_Building_Works">#REF!</definedName>
    <definedName name="MINOR.SEWER" localSheetId="1">#N/A</definedName>
    <definedName name="MINOR.SEWER">#REF!</definedName>
    <definedName name="MIPS">#REF!</definedName>
    <definedName name="MIPS_INDEX">#REF!</definedName>
    <definedName name="MIPS_OUT">#REF!</definedName>
    <definedName name="MIReset">#REF!,#REF!,#REF!,#REF!,#REF!,#REF!,#REF!,#REF!,#REF!,#REF!,#REF!,#REF!,#REF!,#REF!,#REF!</definedName>
    <definedName name="mirr1" localSheetId="1">#REF!</definedName>
    <definedName name="mirr1">#REF!</definedName>
    <definedName name="Mirror" localSheetId="1">#REF!</definedName>
    <definedName name="Mirror">#REF!</definedName>
    <definedName name="Mirror_pan">#REF!</definedName>
    <definedName name="MISC">#REF!</definedName>
    <definedName name="Misc_Civil">#REF!</definedName>
    <definedName name="MISC_EXPENCES">#REF!</definedName>
    <definedName name="Misc_Steel_1">#REF!</definedName>
    <definedName name="MIsc_Steel_10">#REF!</definedName>
    <definedName name="Misc_Steel_100">#REF!</definedName>
    <definedName name="MIsc_Steel_20">#REF!</definedName>
    <definedName name="Misc_Steel_30">#REF!</definedName>
    <definedName name="MIsc_Steel_40">#REF!</definedName>
    <definedName name="Misc_Steel_50">#REF!</definedName>
    <definedName name="Misc_Steel_60">#REF!</definedName>
    <definedName name="MIsc_Steel_70">#REF!</definedName>
    <definedName name="Misc_Steel_80">#REF!</definedName>
    <definedName name="Misc_Steel_90">#REF!</definedName>
    <definedName name="MISC.">#REF!</definedName>
    <definedName name="MISC._LABOURS">#REF!</definedName>
    <definedName name="Misc._Mech.">#REF!</definedName>
    <definedName name="Misc2MI">#REF!</definedName>
    <definedName name="Misc3MI">#REF!</definedName>
    <definedName name="MiscMI">#REF!</definedName>
    <definedName name="Mis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x_Occ_Check" localSheetId="1">#REF!</definedName>
    <definedName name="Mix_Occ_Check">#REF!</definedName>
    <definedName name="MixOccCheck">#REF!</definedName>
    <definedName name="mjh" localSheetId="1">IF(ISNA(MATCH(ROW(),[1]!COUNT_TH2_V2__units_1___Type_D_04__900_x_2200mm_high,1)),1,MATCH(ROW(),[1]!COUNT_TH2_V2__units_1___Type_D_04__900_x_2200mm_high,1)+1)</definedName>
    <definedName name="mjh">IF(ISNA(MATCH(ROW(),RowAfterpgbrk,1)),1,MATCH(ROW(),RowAfterpgbrk,1)+1)</definedName>
    <definedName name="mjj">#N/A</definedName>
    <definedName name="mjki" localSheetId="1" hidden="1">{#N/A,#N/A,TRUE,"Cover";#N/A,#N/A,TRUE,"Conts";#N/A,#N/A,TRUE,"VOS";#N/A,#N/A,TRUE,"Warrington";#N/A,#N/A,TRUE,"Widnes"}</definedName>
    <definedName name="mjki" hidden="1">{#N/A,#N/A,TRUE,"Cover";#N/A,#N/A,TRUE,"Conts";#N/A,#N/A,TRUE,"VOS";#N/A,#N/A,TRUE,"Warrington";#N/A,#N/A,TRUE,"Widnes"}</definedName>
    <definedName name="MJKILO" localSheetId="1" hidden="1">{#N/A,#N/A,TRUE,"Cover";#N/A,#N/A,TRUE,"Conts";#N/A,#N/A,TRUE,"VOS";#N/A,#N/A,TRUE,"Warrington";#N/A,#N/A,TRUE,"Widnes"}</definedName>
    <definedName name="MJKILO" hidden="1">{#N/A,#N/A,TRUE,"Cover";#N/A,#N/A,TRUE,"Conts";#N/A,#N/A,TRUE,"VOS";#N/A,#N/A,TRUE,"Warrington";#N/A,#N/A,TRUE,"Widnes"}</definedName>
    <definedName name="MJKL" localSheetId="1" hidden="1">{#N/A,#N/A,TRUE,"Cover";#N/A,#N/A,TRUE,"Conts";#N/A,#N/A,TRUE,"VOS";#N/A,#N/A,TRUE,"Warrington";#N/A,#N/A,TRUE,"Widnes"}</definedName>
    <definedName name="MJKL" hidden="1">{#N/A,#N/A,TRUE,"Cover";#N/A,#N/A,TRUE,"Conts";#N/A,#N/A,TRUE,"VOS";#N/A,#N/A,TRUE,"Warrington";#N/A,#N/A,TRUE,"Widnes"}</definedName>
    <definedName name="mjnh" localSheetId="1">IF(ISNA(MATCH(ROW(),[1]!COUNT_TH2_V2__units_1___Type_D_04__900_x_2200mm_high,1)),1,MATCH(ROW(),[1]!COUNT_TH2_V2__units_1___Type_D_04__900_x_2200mm_high,1)+1)</definedName>
    <definedName name="mjnh">IF(ISNA(MATCH(ROW(),RowAfterpgbrk,1)),1,MATCH(ROW(),RowAfterpgbrk,1)+1)</definedName>
    <definedName name="MJNNN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JNN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jyu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mjyu">IF(ISNA(MATCH(ROW(),RowAfterpgbrk,1)),1,MATCH(ROW(),RowAfterpgbrk,1)+1)&lt;&gt;IF(ISNA(MATCH(ROW()-1,RowAfterpgbrk,1)),1,MATCH(ROW()-1,RowAfterpgbrk,1)+1)</definedName>
    <definedName name="mk" localSheetId="1" hidden="1">#REF!</definedName>
    <definedName name="mk" hidden="1">#REF!</definedName>
    <definedName name="mkde">#N/A</definedName>
    <definedName name="MK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F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I">#REF!</definedName>
    <definedName name="mkij" localSheetId="1" hidden="1">{#N/A,#N/A,TRUE,"Cover";#N/A,#N/A,TRUE,"Conts";#N/A,#N/A,TRUE,"VOS";#N/A,#N/A,TRUE,"Warrington";#N/A,#N/A,TRUE,"Widnes"}</definedName>
    <definedName name="mkij" hidden="1">{#N/A,#N/A,TRUE,"Cover";#N/A,#N/A,TRUE,"Conts";#N/A,#N/A,TRUE,"VOS";#N/A,#N/A,TRUE,"Warrington";#N/A,#N/A,TRUE,"Widnes"}</definedName>
    <definedName name="mkjn" localSheetId="1">BlankMacro1</definedName>
    <definedName name="mkjn">BlankMacro1</definedName>
    <definedName name="mkkll" localSheetId="1" hidden="1">{#N/A,#N/A,TRUE,"Cover";#N/A,#N/A,TRUE,"Conts";#N/A,#N/A,TRUE,"VOS";#N/A,#N/A,TRUE,"Warrington";#N/A,#N/A,TRUE,"Widnes"}</definedName>
    <definedName name="mkkll" hidden="1">{#N/A,#N/A,TRUE,"Cover";#N/A,#N/A,TRUE,"Conts";#N/A,#N/A,TRUE,"VOS";#N/A,#N/A,TRUE,"Warrington";#N/A,#N/A,TRUE,"Widnes"}</definedName>
    <definedName name="mkl" localSheetId="1" hidden="1">{"'Break down'!$A$4"}</definedName>
    <definedName name="mkl" hidden="1">{"'Break down'!$A$4"}</definedName>
    <definedName name="MKLFEINS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LFEINS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L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L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nlasacsca" localSheetId="1" hidden="1">{#N/A,#N/A,FALSE,"MARCH"}</definedName>
    <definedName name="mknlasacsca" hidden="1">{#N/A,#N/A,FALSE,"MARCH"}</definedName>
    <definedName name="Mkt" localSheetId="1" hidden="1">{#N/A,#N/A,FALSE,"VARIATIONS";#N/A,#N/A,FALSE,"BUDGET";#N/A,#N/A,FALSE,"CIVIL QNTY VAR";#N/A,#N/A,FALSE,"SUMMARY";#N/A,#N/A,FALSE,"MATERIAL VAR"}</definedName>
    <definedName name="Mkt" hidden="1">{#N/A,#N/A,FALSE,"VARIATIONS";#N/A,#N/A,FALSE,"BUDGET";#N/A,#N/A,FALSE,"CIVIL QNTY VAR";#N/A,#N/A,FALSE,"SUMMARY";#N/A,#N/A,FALSE,"MATERIAL VAR"}</definedName>
    <definedName name="MLC_ref">#REF!</definedName>
    <definedName name="MLCP" localSheetId="1">#N/A</definedName>
    <definedName name="MLCP">[1]!City&amp;" "&amp;STATE</definedName>
    <definedName name="mldl" localSheetId="1" hidden="1">{#N/A,#N/A,FALSE,"VARIATIONS";#N/A,#N/A,FALSE,"BUDGET";#N/A,#N/A,FALSE,"CIVIL QNTY VAR";#N/A,#N/A,FALSE,"SUMMARY";#N/A,#N/A,FALSE,"MATERIAL VAR"}</definedName>
    <definedName name="mldl" hidden="1">{#N/A,#N/A,FALSE,"VARIATIONS";#N/A,#N/A,FALSE,"BUDGET";#N/A,#N/A,FALSE,"CIVIL QNTY VAR";#N/A,#N/A,FALSE,"SUMMARY";#N/A,#N/A,FALSE,"MATERIAL VAR"}</definedName>
    <definedName name="mlgkjgn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lgkjg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list" localSheetId="1">#REF!</definedName>
    <definedName name="Mlist">#REF!</definedName>
    <definedName name="Mlist_1">"$#REF!.$#REF!$#REF!"</definedName>
    <definedName name="mlix" localSheetId="1">#REF!</definedName>
    <definedName name="mlix">#REF!</definedName>
    <definedName name="mljit">#REF!</definedName>
    <definedName name="mlk" localSheetId="1" hidden="1">{#N/A,#N/A,TRUE,"Cover";#N/A,#N/A,TRUE,"Conts";#N/A,#N/A,TRUE,"VOS";#N/A,#N/A,TRUE,"Warrington";#N/A,#N/A,TRUE,"Widnes"}</definedName>
    <definedName name="mlk" hidden="1">{#N/A,#N/A,TRUE,"Cover";#N/A,#N/A,TRUE,"Conts";#N/A,#N/A,TRUE,"VOS";#N/A,#N/A,TRUE,"Warrington";#N/A,#N/A,TRUE,"Widnes"}</definedName>
    <definedName name="mlvhz" localSheetId="1" hidden="1">{"'Sheet1'!$L$16"}</definedName>
    <definedName name="mlvhz" hidden="1">{"'Sheet1'!$L$16"}</definedName>
    <definedName name="MM">#REF!</definedName>
    <definedName name="MM_Korean">#REF!</definedName>
    <definedName name="MM_Local.Reg">#REF!</definedName>
    <definedName name="MM_Third.Nation">#REF!</definedName>
    <definedName name="mmer" localSheetId="1">{"Book1","BoQ2.XLS"}</definedName>
    <definedName name="mmer">{"Book1","BoQ2.XLS"}</definedName>
    <definedName name="MmExcelLinker_CCECC6B2_B122_4E7D_B87B_EF168B8A9B3A">#N/A</definedName>
    <definedName name="MMKIU" localSheetId="1" hidden="1">{"'Sheet1'!$L$16"}</definedName>
    <definedName name="MMKIU" hidden="1">{"'Sheet1'!$L$16"}</definedName>
    <definedName name="MMM">#REF!</definedName>
    <definedName name="mmmm" localSheetId="1">BlankMacro1</definedName>
    <definedName name="mmmm">BlankMacro1</definedName>
    <definedName name="mmmmm" localSheetId="1">#REF!</definedName>
    <definedName name="mmmmm">#REF!</definedName>
    <definedName name="mmmmmmmmmm">#REF!</definedName>
    <definedName name="mmmmmmmmmmmmm">#REF!</definedName>
    <definedName name="MMPA15">#REF!</definedName>
    <definedName name="MN" localSheetId="1">#REF!</definedName>
    <definedName name="MN">#REF!</definedName>
    <definedName name="MNB">#REF!</definedName>
    <definedName name="mnbcvx">#REF!</definedName>
    <definedName name="mnbnbnbnbnb" hidden="1">#REF!</definedName>
    <definedName name="MNBV" localSheetId="1">#REF!</definedName>
    <definedName name="MNBV">#REF!</definedName>
    <definedName name="mnbvc" localSheetId="1">{"Book1","BoQ2.XLS"}</definedName>
    <definedName name="mnbvc">{"Book1","BoQ2.XLS"}</definedName>
    <definedName name="mngfs.oom" localSheetId="1">{#N/A,#N/A,FALSE,"Chi tiÆt"}</definedName>
    <definedName name="mngfs.oom">{#N/A,#N/A,FALSE,"Chi tiÆt"}</definedName>
    <definedName name="mnhrStruc">#N/A</definedName>
    <definedName name="mnj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JY567" localSheetId="1" hidden="1">{"'Break down'!$A$4"}</definedName>
    <definedName name="MNJY567" hidden="1">{"'Break down'!$A$4"}</definedName>
    <definedName name="MNKKLOLO" localSheetId="1" hidden="1">{#N/A,#N/A,TRUE,"Cover";#N/A,#N/A,TRUE,"Conts";#N/A,#N/A,TRUE,"VOS";#N/A,#N/A,TRUE,"Warrington";#N/A,#N/A,TRUE,"Widnes"}</definedName>
    <definedName name="MNKKLOLO" hidden="1">{#N/A,#N/A,TRUE,"Cover";#N/A,#N/A,TRUE,"Conts";#N/A,#N/A,TRUE,"VOS";#N/A,#N/A,TRUE,"Warrington";#N/A,#N/A,TRUE,"Widnes"}</definedName>
    <definedName name="MNLIJ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LI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mb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m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MNMNMNMN">#N/A</definedName>
    <definedName name="mnnbvcvgjh" localSheetId="1">BlankMacro1</definedName>
    <definedName name="mnnbvcvgjh">BlankMacro1</definedName>
    <definedName name="MNTH" localSheetId="1">#REF!</definedName>
    <definedName name="MNTH">#REF!</definedName>
    <definedName name="mNumber" localSheetId="1">#REF!</definedName>
    <definedName name="mNumber">#REF!</definedName>
    <definedName name="MO" localSheetId="1" hidden="1">#REF!</definedName>
    <definedName name="MO" hidden="1">#REF!</definedName>
    <definedName name="MOB_ADVANCE" localSheetId="1">#REF!</definedName>
    <definedName name="MOB_ADVANCE">#REF!</definedName>
    <definedName name="mobi" localSheetId="1">#REF!</definedName>
    <definedName name="mobi">#REF!</definedName>
    <definedName name="MOC_INFO" localSheetId="1">#REF!,#REF!,#REF!,#REF!</definedName>
    <definedName name="MOC_INFO">#REF!,#REF!,#REF!,#REF!</definedName>
    <definedName name="MODELE" localSheetId="1">#REF!</definedName>
    <definedName name="MODELE">#REF!</definedName>
    <definedName name="ModelLife">#REF!</definedName>
    <definedName name="Module9.DropData">#REF!</definedName>
    <definedName name="Module9.Fittings">#REF!</definedName>
    <definedName name="moduli" localSheetId="1">#REF!</definedName>
    <definedName name="moduli">#REF!</definedName>
    <definedName name="Moh" localSheetId="1">#REF!</definedName>
    <definedName name="Moh">#REF!</definedName>
    <definedName name="Mohamed_Abdul_Rahman_AlBahar" localSheetId="1">#REF!</definedName>
    <definedName name="Mohamed_Abdul_Rahman_AlBahar">#REF!</definedName>
    <definedName name="Mohamed_Al_Bahar">#REF!</definedName>
    <definedName name="Mohammed">#REF!</definedName>
    <definedName name="Mol">#REF!</definedName>
    <definedName name="Mon_Gr_E">#REF!</definedName>
    <definedName name="Mon_Ing">#REF!</definedName>
    <definedName name="Mon_Überwachung">#REF!</definedName>
    <definedName name="Monetary_Precision" localSheetId="1">#REF!</definedName>
    <definedName name="Monetary_Precision">#REF!</definedName>
    <definedName name="Mont_H_BK">#REF!</definedName>
    <definedName name="Mont_Hilfe_1">#REF!</definedName>
    <definedName name="Mont_Hilfe_2">#REF!</definedName>
    <definedName name="Montage" localSheetId="1">#REF!</definedName>
    <definedName name="Montage">#REF!</definedName>
    <definedName name="month">OFFSET(#REF!,1,0,COUNTA(#REF!)-(#REF!+2))</definedName>
    <definedName name="MONTH_CONDITION" localSheetId="1">#REF!</definedName>
    <definedName name="MONTH_CONDITION">#REF!</definedName>
    <definedName name="MONTH_DETAILS" localSheetId="1">#REF!</definedName>
    <definedName name="MONTH_DETAILS">#REF!</definedName>
    <definedName name="month_end">#REF!</definedName>
    <definedName name="month1" localSheetId="1">OFFSET(#REF!,0,0,COUNTA(#REF!),1)</definedName>
    <definedName name="month1">OFFSET(#REF!,0,0,COUNTA(#REF!),1)</definedName>
    <definedName name="monthly_changes" localSheetId="1">#REF!</definedName>
    <definedName name="monthly_changes">#REF!</definedName>
    <definedName name="Monthly_Payment">"#N/A"</definedName>
    <definedName name="monthlyboilerU2">#REF!:!$T$130</definedName>
    <definedName name="MonthlyFlag" localSheetId="1">#REF!</definedName>
    <definedName name="MonthlyFlag">#REF!</definedName>
    <definedName name="monthlyrates" localSheetId="1">#REF!</definedName>
    <definedName name="monthlyrates">#REF!</definedName>
    <definedName name="MONTHQTY" localSheetId="1">#REF!</definedName>
    <definedName name="MONTHQTY">#REF!</definedName>
    <definedName name="MONTHS">#REF!</definedName>
    <definedName name="MontlyPercentCompletion" localSheetId="1">#REF!</definedName>
    <definedName name="MontlyPercentCompletion">#REF!</definedName>
    <definedName name="mop">#REF!</definedName>
    <definedName name="morita">#REF!</definedName>
    <definedName name="mortar">#REF!</definedName>
    <definedName name="mortor" localSheetId="1">#N/A</definedName>
    <definedName name="mortor">#N/A</definedName>
    <definedName name="MOS" localSheetId="1">#REF!</definedName>
    <definedName name="MOS">#REF!</definedName>
    <definedName name="MOS_Arcylic" localSheetId="1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osaic_">#REF!</definedName>
    <definedName name="mosq" localSheetId="1">#REF!</definedName>
    <definedName name="mosq">#REF!</definedName>
    <definedName name="MOT" localSheetId="1">#REF!</definedName>
    <definedName name="MOT">#REF!</definedName>
    <definedName name="Motive" localSheetId="1" hidden="1">{"'PRODUCTIONCOST SHEET'!$B$3:$G$48"}</definedName>
    <definedName name="Motive" hidden="1">{"'PRODUCTIONCOST SHEET'!$B$3:$G$48"}</definedName>
    <definedName name="Motor_Efficiency">#REF!</definedName>
    <definedName name="Motor_Hp" localSheetId="1">#REF!</definedName>
    <definedName name="Motor_Hp">#REF!</definedName>
    <definedName name="MOTOR_HP_OFFSITE">#REF!</definedName>
    <definedName name="MOTOR_HP_PB">#REF!</definedName>
    <definedName name="MOTOR_HP_PB10">#REF!</definedName>
    <definedName name="MOTOR_HP_PB100">#REF!</definedName>
    <definedName name="MOTOR_HP_PB1000">#REF!</definedName>
    <definedName name="MOTOR_HP_PB10000">#REF!</definedName>
    <definedName name="MOTOR_HP_PB15000">#REF!</definedName>
    <definedName name="MOTOR_HP_PB200">#REF!</definedName>
    <definedName name="MOTOR_HP_PB2000">#REF!</definedName>
    <definedName name="MOTOR_HP_PB25">#REF!</definedName>
    <definedName name="MOTOR_HP_PB3000">#REF!</definedName>
    <definedName name="MOTOR_HP_PB400">#REF!</definedName>
    <definedName name="MOTOR_HP_PB4000">#REF!</definedName>
    <definedName name="MOTOR_HP_PB50">#REF!</definedName>
    <definedName name="MOTOR_HP_PB500">#REF!</definedName>
    <definedName name="MOTOR_HP_PB5000">#REF!</definedName>
    <definedName name="MOTOR_HP_PB7500">#REF!</definedName>
    <definedName name="MOTOR_HP_YARD">#REF!</definedName>
    <definedName name="MOTOR_HP_YARD10">#REF!</definedName>
    <definedName name="MOTOR_HP_YARD100">#REF!</definedName>
    <definedName name="MOTOR_HP_YARD1000">#REF!</definedName>
    <definedName name="MOTOR_HP_YARD10000">#REF!</definedName>
    <definedName name="MOTOR_HP_YARD15000">#REF!</definedName>
    <definedName name="MOTOR_HP_YARD200">#REF!</definedName>
    <definedName name="MOTOR_HP_YARD2000">#REF!</definedName>
    <definedName name="MOTOR_HP_YARD25">#REF!</definedName>
    <definedName name="MOTOR_HP_YARD3000">#REF!</definedName>
    <definedName name="MOTOR_HP_YARD400">#REF!</definedName>
    <definedName name="MOTOR_HP_YARD4000">#REF!</definedName>
    <definedName name="MOTOR_HP_YARD50">#REF!</definedName>
    <definedName name="MOTOR_HP_YARD500">#REF!</definedName>
    <definedName name="MOTOR_HP_YARD5000">#REF!</definedName>
    <definedName name="MOTOR_HP_YARD7500">#REF!</definedName>
    <definedName name="motorData">OFFSET(#REF!,0,0,COUNTA(#REF!)-1,8)</definedName>
    <definedName name="motorData1">OFFSET(#REF!,0,0,COUNTA(#REF!)-1,2)</definedName>
    <definedName name="motorData2">OFFSET(#REF!,0,2,COUNTA(#REF!)-1,6)</definedName>
    <definedName name="Mouchel_Middle_East_Ltd" localSheetId="1">#REF!</definedName>
    <definedName name="Mouchel_Middle_East_Ltd">#REF!</definedName>
    <definedName name="mouli" localSheetId="1" hidden="1">{"'Sheet1'!$A$4386:$N$4591"}</definedName>
    <definedName name="mouli" hidden="1">{"'Sheet1'!$A$4386:$N$4591"}</definedName>
    <definedName name="MP">#N/A</definedName>
    <definedName name="MPA15FDNS">#REF!</definedName>
    <definedName name="MPA25FDNS">#REF!</definedName>
    <definedName name="MPA30SS">#REF!</definedName>
    <definedName name="mpart" localSheetId="1">#REF!</definedName>
    <definedName name="mpart">#REF!</definedName>
    <definedName name="mPartNr" localSheetId="1">#REF!</definedName>
    <definedName name="mPartNr">#REF!</definedName>
    <definedName name="mPrice" localSheetId="1">#REF!</definedName>
    <definedName name="mPrice">#REF!</definedName>
    <definedName name="MQ">#REF!</definedName>
    <definedName name="mr">#REF!</definedName>
    <definedName name="mr_1">0</definedName>
    <definedName name="mr10resi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den" localSheetId="1" hidden="1">{#N/A,#N/A,TRUE,"Financials";#N/A,#N/A,TRUE,"Operating Statistics";#N/A,#N/A,TRUE,"Capex &amp; Depreciation";#N/A,#N/A,TRUE,"Debt"}</definedName>
    <definedName name="mr10residen" hidden="1">{#N/A,#N/A,TRUE,"Financials";#N/A,#N/A,TRUE,"Operating Statistics";#N/A,#N/A,TRUE,"Capex &amp; Depreciation";#N/A,#N/A,TRUE,"Debt"}</definedName>
    <definedName name="MS" localSheetId="1">#REF!</definedName>
    <definedName name="MS">#REF!</definedName>
    <definedName name="MS_1">0</definedName>
    <definedName name="MS.">#REF!</definedName>
    <definedName name="MS..">#REF!</definedName>
    <definedName name="MS...">#REF!</definedName>
    <definedName name="MS200202rev2">#REF!</definedName>
    <definedName name="ms200203rev03">#REF!</definedName>
    <definedName name="ms2002june1706">#REF!</definedName>
    <definedName name="ms2002may1706">#REF!</definedName>
    <definedName name="msb">#REF!</definedName>
    <definedName name="MSC">#REF!</definedName>
    <definedName name="msjune1807">#REF!</definedName>
    <definedName name="msjunerev">#REF!</definedName>
    <definedName name="MSP">#REF!</definedName>
    <definedName name="MSP_ADM16_STM1">#REF!</definedName>
    <definedName name="MSRKINGSI16" localSheetId="1" hidden="1">{#N/A,#N/A,FALSE,"MARCH"}</definedName>
    <definedName name="MSRKINGSI16" hidden="1">{#N/A,#N/A,FALSE,"MARCH"}</definedName>
    <definedName name="mt" localSheetId="1">#REF!</definedName>
    <definedName name="mt">#REF!</definedName>
    <definedName name="mt_1">0</definedName>
    <definedName name="mt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D_Cap_Spend">#REF!</definedName>
    <definedName name="MthEnd" localSheetId="1">#REF!</definedName>
    <definedName name="MthEnd">#REF!</definedName>
    <definedName name="MthNo" localSheetId="1">#REF!</definedName>
    <definedName name="MthNo">#REF!</definedName>
    <definedName name="MthNoInSemi" localSheetId="1">#REF!</definedName>
    <definedName name="MthNoInSemi">#REF!</definedName>
    <definedName name="MTHS_TO_DEL" localSheetId="1">#REF!</definedName>
    <definedName name="MTHS_TO_DEL">#REF!</definedName>
    <definedName name="MthSemiNo" localSheetId="1">#REF!</definedName>
    <definedName name="MthSemiNo">#REF!</definedName>
    <definedName name="MthStart" localSheetId="1">#REF!</definedName>
    <definedName name="MthStart">#REF!</definedName>
    <definedName name="MTHTRHERH">#N/A</definedName>
    <definedName name="MthYearNo" localSheetId="1">#REF!</definedName>
    <definedName name="MthYearNo">#REF!</definedName>
    <definedName name="mTotalDiscLocal" localSheetId="1">#REF!</definedName>
    <definedName name="mTotalDiscLocal">#REF!</definedName>
    <definedName name="mTotalDiscUS" localSheetId="1">#REF!</definedName>
    <definedName name="mTotalDiscUS">#REF!</definedName>
    <definedName name="mTotalDutyLocal">#REF!</definedName>
    <definedName name="mTotalDutyUS">#REF!</definedName>
    <definedName name="mTotalExtWarrLocal">#REF!</definedName>
    <definedName name="mTotalExtWarrUS">#REF!</definedName>
    <definedName name="mTotalFreightLocal">#REF!</definedName>
    <definedName name="mTotalFreightUS">#REF!</definedName>
    <definedName name="mTotalOthCostsLocal">#REF!</definedName>
    <definedName name="mTotalOthCostsUS">#REF!</definedName>
    <definedName name="mTotalXferCostLocal">#REF!</definedName>
    <definedName name="mTotalXferCostUS">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TV">#REF!</definedName>
    <definedName name="mtymt" localSheetId="1">"Page "&amp;IF(ISNA(MATCH(ROW(),[1]!COUNT_TH2_V2__units_1___Type_D_04__900_x_2200mm_high,1)),1,MATCH(ROW(),[1]!COUNT_TH2_V2__units_1___Type_D_04__900_x_2200mm_high,1)+1)&amp;" of " &amp; [1]!CUSTOM1_Shops__GF_ + 0*NOW()</definedName>
    <definedName name="mtymt">"Page "&amp;IF(ISNA(MATCH(ROW(),RowAfterpgbrk,1)),1,MATCH(ROW(),RowAfterpgbrk,1)+1)&amp;" of " &amp; TotPageCount + 0*NOW()</definedName>
    <definedName name="mType">#REF!</definedName>
    <definedName name="mu_slex" localSheetId="1">#REF!</definedName>
    <definedName name="mu_slex">#REF!</definedName>
    <definedName name="mub" localSheetId="1">#REF!</definedName>
    <definedName name="mub">#REF!</definedName>
    <definedName name="muesn">#N/A</definedName>
    <definedName name="mule" localSheetId="1">#REF!</definedName>
    <definedName name="mule">#REF!</definedName>
    <definedName name="Mulification_Factor_X">#REF!</definedName>
    <definedName name="Mult" localSheetId="1">#REF!</definedName>
    <definedName name="Mult">#REF!</definedName>
    <definedName name="Multiplier">#REF!</definedName>
    <definedName name="Multiplier1">#REF!</definedName>
    <definedName name="mum">#REF!</definedName>
    <definedName name="MUP">#REF!</definedName>
    <definedName name="MUP_1">#REF!</definedName>
    <definedName name="MURFAC">#REF!</definedName>
    <definedName name="mus" localSheetId="1">#REF!</definedName>
    <definedName name="mus">#REF!</definedName>
    <definedName name="mUSPrice" localSheetId="1">#REF!</definedName>
    <definedName name="mUSPrice">#REF!</definedName>
    <definedName name="muyju">#N/A</definedName>
    <definedName name="MvDAta">#REF!</definedName>
    <definedName name="MVNHDSS">#N/A</definedName>
    <definedName name="MWeGross" localSheetId="1">#REF!</definedName>
    <definedName name="MWeGross">#REF!</definedName>
    <definedName name="MWeNet">#REF!</definedName>
    <definedName name="mx_OTH">#REF!</definedName>
    <definedName name="mx_SDH">#REF!</definedName>
    <definedName name="mXferCost">#REF!</definedName>
    <definedName name="myarea">#REF!</definedName>
    <definedName name="MYR">#REF!</definedName>
    <definedName name="myRange">#N/A</definedName>
    <definedName name="myRange1">#N/A</definedName>
    <definedName name="MySheets">#REF!</definedName>
    <definedName name="N" localSheetId="1">#REF!</definedName>
    <definedName name="N">#REF!</definedName>
    <definedName name="n___0">#REF!</definedName>
    <definedName name="n___0___0">"$#REF!.$#REF!$#REF!"</definedName>
    <definedName name="n___0___3">"$#REF!.$#REF!$#REF!"</definedName>
    <definedName name="n___0___4">"$#REF!.$#REF!$#REF!"</definedName>
    <definedName name="N___13">#REF!</definedName>
    <definedName name="n___2" localSheetId="1">#REF!</definedName>
    <definedName name="n___2">#REF!</definedName>
    <definedName name="n___2___0">"$#REF!.$#REF!$#REF!"</definedName>
    <definedName name="n___2___3">"$#REF!.$#REF!$#REF!"</definedName>
    <definedName name="n___3">#REF!</definedName>
    <definedName name="n___3___0">"$#REF!.$#REF!$#REF!"</definedName>
    <definedName name="n___3___3">"$#REF!.$#REF!$#REF!"</definedName>
    <definedName name="n___3___4">"$#REF!.$#REF!$#REF!"</definedName>
    <definedName name="n___4">#REF!</definedName>
    <definedName name="n___4___0">"$#REF!.$#REF!$#REF!"</definedName>
    <definedName name="n___4___3">"$#REF!.$#REF!$#REF!"</definedName>
    <definedName name="n___7">"$#REF!.$#REF!$#REF!"</definedName>
    <definedName name="N_1">0</definedName>
    <definedName name="N_22">#REF!</definedName>
    <definedName name="N_ExternalWork" localSheetId="1">#REF!</definedName>
    <definedName name="N_ExternalWork">#REF!</definedName>
    <definedName name="N.">#REF!</definedName>
    <definedName name="N..">#REF!</definedName>
    <definedName name="N...">#REF!</definedName>
    <definedName name="N.250">#REF!</definedName>
    <definedName name="N.550">#REF!</definedName>
    <definedName name="N.850.1">#REF!</definedName>
    <definedName name="N.850.2">#REF!</definedName>
    <definedName name="N.8501">#REF!</definedName>
    <definedName name="N1..">#REF!</definedName>
    <definedName name="N1A">#REF!</definedName>
    <definedName name="n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chi">#REF!</definedName>
    <definedName name="Naga_Architects_designers_Planners" localSheetId="1">#REF!</definedName>
    <definedName name="Naga_Architects_designers_Planners">#REF!</definedName>
    <definedName name="nai">#REF!</definedName>
    <definedName name="NAILS">#REF!</definedName>
    <definedName name="NAILSPR">#REF!</definedName>
    <definedName name="NAILSRATE">#REF!</definedName>
    <definedName name="name">#REF!</definedName>
    <definedName name="NameofWork">#REF!</definedName>
    <definedName name="NameSave">#N/A</definedName>
    <definedName name="nanako" localSheetId="1" hidden="1">{"'Sheet1'!$L$16"}</definedName>
    <definedName name="nanako" hidden="1">{"'Sheet1'!$L$16"}</definedName>
    <definedName name="nandan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pojniorman">#REF!</definedName>
    <definedName name="NarendraKumar" localSheetId="1">#REF!</definedName>
    <definedName name="NarendraKumar">#REF!</definedName>
    <definedName name="Nariman_Point_Car_Parking_Site" localSheetId="1">#REF!</definedName>
    <definedName name="Nariman_Point_Car_Parking_Site">#REF!</definedName>
    <definedName name="nation" localSheetId="1" hidden="1">{#N/A,#N/A,TRUE,"Cover";#N/A,#N/A,TRUE,"Conts";#N/A,#N/A,TRUE,"VOS";#N/A,#N/A,TRUE,"Warrington";#N/A,#N/A,TRUE,"Widnes"}</definedName>
    <definedName name="nation" hidden="1">{#N/A,#N/A,TRUE,"Cover";#N/A,#N/A,TRUE,"Conts";#N/A,#N/A,TRUE,"VOS";#N/A,#N/A,TRUE,"Warrington";#N/A,#N/A,TRUE,"Widnes"}</definedName>
    <definedName name="National_Trading_">#REF!</definedName>
    <definedName name="NATIONALS" localSheetId="1">#REF!</definedName>
    <definedName name="NATIONALS">#REF!</definedName>
    <definedName name="nb" localSheetId="1">DATE(YEAR('City Walk - Comparison'!Loan_Start),MONTH('City Walk - Comparison'!Loan_Start)+'City Walk - Comparison'!Payment_Number,DAY('City Walk - Comparison'!Loan_Start))</definedName>
    <definedName name="nb">DATE(YEAR([1]!Loan_Start),MONTH([1]!Loan_Start)+Payment_Number,DAY([1]!Loan_Start))</definedName>
    <definedName name="nbh" localSheetId="1">#REF!</definedName>
    <definedName name="nbh">#REF!</definedName>
    <definedName name="NBHB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HB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hg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nbhg">IF(ISNA(MATCH(ROW(),RowAfterpgbrk,1)),1,MATCH(ROW(),RowAfterpgbrk,1)+1)&lt;&gt;IF(ISNA(MATCH(ROW()+1,RowAfterpgbrk,1)),1,MATCH(ROW()+1,RowAfterpgbrk,1)+1)</definedName>
    <definedName name="nbhyt" localSheetId="1" hidden="1">{"'Break down'!$A$4"}</definedName>
    <definedName name="nbhyt" hidden="1">{"'Break down'!$A$4"}</definedName>
    <definedName name="nbnbnbnb">#N/A</definedName>
    <definedName name="NBV" localSheetId="1">MATCH(0.01,[1]!End_Bal,-1)+1</definedName>
    <definedName name="NBV">MATCH(0.01,End_Bal,-1)+1</definedName>
    <definedName name="ncompier" localSheetId="1">#REF!</definedName>
    <definedName name="ncompier">#REF!</definedName>
    <definedName name="NCRStatus">#REF!</definedName>
    <definedName name="ND" localSheetId="1">#REF!</definedName>
    <definedName name="ND">#REF!</definedName>
    <definedName name="NDatabase" localSheetId="1">#REF!</definedName>
    <definedName name="NDatabase">#REF!</definedName>
    <definedName name="nddddddddf" localSheetId="1" hidden="1">{#N/A,#N/A,TRUE,"Cover";#N/A,#N/A,TRUE,"Conts";#N/A,#N/A,TRUE,"VOS";#N/A,#N/A,TRUE,"Warrington";#N/A,#N/A,TRUE,"Widnes"}</definedName>
    <definedName name="nddddddddf" hidden="1">{#N/A,#N/A,TRUE,"Cover";#N/A,#N/A,TRUE,"Conts";#N/A,#N/A,TRUE,"VOS";#N/A,#N/A,TRUE,"Warrington";#N/A,#N/A,TRUE,"Widnes"}</definedName>
    <definedName name="ndFile1Cost">#REF!</definedName>
    <definedName name="ndFile2Cost" localSheetId="1">#REF!</definedName>
    <definedName name="ndFile2Cost">#REF!</definedName>
    <definedName name="ndFile2Inst" localSheetId="1">#REF!</definedName>
    <definedName name="ndFile2Inst">#REF!</definedName>
    <definedName name="ndFile2Maint">#REF!</definedName>
    <definedName name="ndFile2Net">#REF!</definedName>
    <definedName name="ndFile3Cost">#REF!</definedName>
    <definedName name="ndFile3Inst">#REF!</definedName>
    <definedName name="ndFile3Maint">#REF!</definedName>
    <definedName name="ndFile3Net">#REF!</definedName>
    <definedName name="ndFile4Cost">#REF!</definedName>
    <definedName name="ndFile4Inst">#REF!</definedName>
    <definedName name="ndFile4Maint">#REF!</definedName>
    <definedName name="ndFile4Net">#REF!</definedName>
    <definedName name="ndfond">#REF!</definedName>
    <definedName name="NDR">#REF!</definedName>
    <definedName name="needle">#REF!</definedName>
    <definedName name="nego검토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T">#REF!</definedName>
    <definedName name="NET_1" localSheetId="1">#REF!</definedName>
    <definedName name="NET_1">#REF!</definedName>
    <definedName name="NET_ANA" localSheetId="1">#REF!</definedName>
    <definedName name="NET_ANA">#REF!</definedName>
    <definedName name="NET_ANA_1">#REF!</definedName>
    <definedName name="NET_ANA_2">#REF!</definedName>
    <definedName name="net_cash">#REF!</definedName>
    <definedName name="Net_Final_for_A__B__Extd_basement" localSheetId="1">#REF!</definedName>
    <definedName name="Net_Final_for_A__B__Extd_basement">#REF!</definedName>
    <definedName name="Net_Yield">#REF!</definedName>
    <definedName name="Net_Yield_incl_land_cost">#REF!</definedName>
    <definedName name="NetInterest" localSheetId="1">#N/A</definedName>
    <definedName name="NetInterest">InterestIncome-InterestExpense</definedName>
    <definedName name="NETT_SUBMITTED" localSheetId="1">#REF!</definedName>
    <definedName name="NETT_SUBMITTED">#REF!</definedName>
    <definedName name="NettCost">#REF!</definedName>
    <definedName name="NETTSUM">#REF!</definedName>
    <definedName name="New" localSheetId="1" hidden="1">#REF!</definedName>
    <definedName name="New" hidden="1">#REF!</definedName>
    <definedName name="NewItem" localSheetId="1">#REF!</definedName>
    <definedName name="NewItem">#REF!</definedName>
    <definedName name="NewLiquid">#REF!</definedName>
    <definedName name="NEWNA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ew">#REF!</definedName>
    <definedName name="NewPrintArea" localSheetId="1">#REF!</definedName>
    <definedName name="NewPrintArea">#REF!</definedName>
    <definedName name="NewPrintAreaMi">#REF!</definedName>
    <definedName name="NewRow">#REF!</definedName>
    <definedName name="news">#REF!</definedName>
    <definedName name="newsupply">#REF!</definedName>
    <definedName name="NEWT">#REF!</definedName>
    <definedName name="newtrial">#REF!</definedName>
    <definedName name="NewVapor">#REF!</definedName>
    <definedName name="NEWVO" localSheetId="1">#REF!</definedName>
    <definedName name="NEWVO">#REF!</definedName>
    <definedName name="NF">#REF!</definedName>
    <definedName name="nfnf">#REF!</definedName>
    <definedName name="ng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ng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NGC" localSheetId="1">#REF!</definedName>
    <definedName name="NGC">#REF!</definedName>
    <definedName name="ngh" localSheetId="1">"Page "&amp;IF(ISNA(MATCH(ROW(),[1]!COUNT_TH2_V2__units_1___Type_D_04__900_x_2200mm_high,1)),1,MATCH(ROW(),[1]!COUNT_TH2_V2__units_1___Type_D_04__900_x_2200mm_high,1)+1)&amp;" of " &amp; [1]!CUSTOM1_Shops__GF_ + 0*NOW()</definedName>
    <definedName name="ngh">"Page "&amp;IF(ISNA(MATCH(ROW(),RowAfterpgbrk,1)),1,MATCH(ROW(),RowAfterpgbrk,1)+1)&amp;" of " &amp; TotPageCount + 0*NOW()</definedName>
    <definedName name="nghbsfdz">#REF!</definedName>
    <definedName name="NGK" localSheetId="1" hidden="1">{#N/A,#N/A,FALSE,"估價單  (3)"}</definedName>
    <definedName name="NGK" hidden="1">{#N/A,#N/A,FALSE,"估價單  (3)"}</definedName>
    <definedName name="NGOC">#REF!</definedName>
    <definedName name="NH67TYG" localSheetId="1" hidden="1">{"'Break down'!$A$4"}</definedName>
    <definedName name="NH67TYG" hidden="1">{"'Break down'!$A$4"}</definedName>
    <definedName name="NHF">#N/A</definedName>
    <definedName name="NHG" localSheetId="1" hidden="1">{#N/A,#N/A,TRUE,"Cover";#N/A,#N/A,TRUE,"Conts";#N/A,#N/A,TRUE,"VOS";#N/A,#N/A,TRUE,"Warrington";#N/A,#N/A,TRUE,"Widnes"}</definedName>
    <definedName name="NHG" hidden="1">{#N/A,#N/A,TRUE,"Cover";#N/A,#N/A,TRUE,"Conts";#N/A,#N/A,TRUE,"VOS";#N/A,#N/A,TRUE,"Warrington";#N/A,#N/A,TRUE,"Widnes"}</definedName>
    <definedName name="NHNYHHJY">#N/A</definedName>
    <definedName name="Nicol">#REF!</definedName>
    <definedName name="nihar" localSheetId="1">[1]!CUSTOM1_2_bed_fridge_freezer+Extra_Payment</definedName>
    <definedName name="nihar">Scheduled_Payment+Extra_Payment</definedName>
    <definedName name="nilantha" localSheetId="1">[1]!CUSTOM1_2_bed_fridge_freezer+Extra_Payment</definedName>
    <definedName name="nilantha">Scheduled_Payment+Extra_Payment</definedName>
    <definedName name="nilot" localSheetId="1">BlankMacro1</definedName>
    <definedName name="nilot">BlankMacro1</definedName>
    <definedName name="NINE" localSheetId="1">#REF!</definedName>
    <definedName name="NINE">#REF!</definedName>
    <definedName name="NINETEEN" localSheetId="1">#REF!</definedName>
    <definedName name="NINETEEN">#REF!</definedName>
    <definedName name="NIPP">#REF!</definedName>
    <definedName name="Nischal">#REF!</definedName>
    <definedName name="Nitin" hidden="1">#REF!</definedName>
    <definedName name="nitytr" localSheetId="1">BlankMacro1</definedName>
    <definedName name="nitytr">BlankMacro1</definedName>
    <definedName name="NJ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hgjj">#N/A</definedName>
    <definedName name="njy" localSheetId="1" hidden="1">{"'Break down'!$A$4"}</definedName>
    <definedName name="njy" hidden="1">{"'Break down'!$A$4"}</definedName>
    <definedName name="njyhbtgrvfec">#REF!</definedName>
    <definedName name="NK">#REF!</definedName>
    <definedName name="nkjuh" localSheetId="1">BlankMacro1</definedName>
    <definedName name="nkjuh">BlankMacro1</definedName>
    <definedName name="nkyt" localSheetId="1" hidden="1">#REF!</definedName>
    <definedName name="nkyt" hidden="1">#REF!</definedName>
    <definedName name="NLG" localSheetId="1">#REF!</definedName>
    <definedName name="NLG">#REF!</definedName>
    <definedName name="NLST_P" localSheetId="1">#REF!</definedName>
    <definedName name="NLST_P">#REF!</definedName>
    <definedName name="nm" localSheetId="1" hidden="1">{"'Break down'!$A$4"}</definedName>
    <definedName name="nm" hidden="1">{"'Break down'!$A$4"}</definedName>
    <definedName name="nmb" localSheetId="1">BlankMacro1</definedName>
    <definedName name="nmb">BlankMacro1</definedName>
    <definedName name="NMGHE">#N/A</definedName>
    <definedName name="nmhg" localSheetId="1" hidden="1">{#N/A,#N/A,TRUE,"Cover";#N/A,#N/A,TRUE,"Conts";#N/A,#N/A,TRUE,"VOS";#N/A,#N/A,TRUE,"Warrington";#N/A,#N/A,TRUE,"Widnes"}</definedName>
    <definedName name="nmhg" hidden="1">{#N/A,#N/A,TRUE,"Cover";#N/A,#N/A,TRUE,"Conts";#N/A,#N/A,TRUE,"VOS";#N/A,#N/A,TRUE,"Warrington";#N/A,#N/A,TRUE,"Widnes"}</definedName>
    <definedName name="NMHJ675" localSheetId="1" hidden="1">{"'Break down'!$A$4"}</definedName>
    <definedName name="NMHJ675" hidden="1">{"'Break down'!$A$4"}</definedName>
    <definedName name="nmhju" localSheetId="1">IF(ISNA(MATCH(ROW(),[1]!COUNT_TH2_V2__units_1___Type_D_04__900_x_2200mm_high,1)),1,MATCH(ROW(),[1]!COUNT_TH2_V2__units_1___Type_D_04__900_x_2200mm_high,1)+1)</definedName>
    <definedName name="nmhju">IF(ISNA(MATCH(ROW(),RowAfterpgbrk,1)),1,MATCH(ROW(),RowAfterpgbrk,1)+1)</definedName>
    <definedName name="nmjh" localSheetId="1">#REF!</definedName>
    <definedName name="nmjh">#REF!</definedName>
    <definedName name="NMKL" localSheetId="1" hidden="1">{#N/A,#N/A,TRUE,"Cover";#N/A,#N/A,TRUE,"Conts";#N/A,#N/A,TRUE,"VOS";#N/A,#N/A,TRUE,"Warrington";#N/A,#N/A,TRUE,"Widnes"}</definedName>
    <definedName name="NMKL" hidden="1">{#N/A,#N/A,TRUE,"Cover";#N/A,#N/A,TRUE,"Conts";#N/A,#N/A,TRUE,"VOS";#N/A,#N/A,TRUE,"Warrington";#N/A,#N/A,TRUE,"Widnes"}</definedName>
    <definedName name="nn" localSheetId="1">#REF!</definedName>
    <definedName name="nn">#REF!</definedName>
    <definedName name="NN___0" localSheetId="1">#REF!</definedName>
    <definedName name="NN___0">#REF!</definedName>
    <definedName name="NN___13">#REF!</definedName>
    <definedName name="nngh">#N/A</definedName>
    <definedName name="nnm" localSheetId="1">#REF!</definedName>
    <definedName name="nnm">#REF!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hidden="1">#REF!</definedName>
    <definedName name="nnnnm" localSheetId="1">#REF!</definedName>
    <definedName name="nnnnm">#REF!</definedName>
    <definedName name="nnnnn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">#REF!</definedName>
    <definedName name="nnnnnnnn">#N/A</definedName>
    <definedName name="nnnnnnnnnnnnn" localSheetId="1">#REF!</definedName>
    <definedName name="nnnnnnnnnnnnn">#REF!</definedName>
    <definedName name="nnno" localSheetId="1">#REF!</definedName>
    <definedName name="nnno">#REF!</definedName>
    <definedName name="NNR">#REF!</definedName>
    <definedName name="no" localSheetId="1">#REF!</definedName>
    <definedName name="no">#REF!</definedName>
    <definedName name="No_cameraServer_Bandwidth">#REF!</definedName>
    <definedName name="No_CameraServer_Storage" localSheetId="1">#REF!</definedName>
    <definedName name="No_CameraServer_Storage">#REF!</definedName>
    <definedName name="No_of_Appendices">#REF!</definedName>
    <definedName name="No_of_Hollidays" localSheetId="1">#REF!</definedName>
    <definedName name="No_of_Hollidays">#REF!</definedName>
    <definedName name="No_of_Sections">#REF!</definedName>
    <definedName name="No_Ramadan_Days" localSheetId="1">#REF!</definedName>
    <definedName name="No_Ramadan_Days">#REF!</definedName>
    <definedName name="No_Week_Days">#REF!</definedName>
    <definedName name="No_Weekend_Days">#REF!</definedName>
    <definedName name="No.">"A1"</definedName>
    <definedName name="No0">#REF!</definedName>
    <definedName name="NOCEIL">#REF!</definedName>
    <definedName name="NOI" localSheetId="1">#REF!</definedName>
    <definedName name="NOI">#REF!</definedName>
    <definedName name="NOK">#REF!</definedName>
    <definedName name="nolanes">#REF!</definedName>
    <definedName name="nome_equipment_cost">#REF!</definedName>
    <definedName name="nome_services_provided_by_alcatel">#REF!</definedName>
    <definedName name="nome_subcontracted_services">#REF!</definedName>
    <definedName name="nome_technical_cost">#REF!</definedName>
    <definedName name="NOMSUBS">#REF!</definedName>
    <definedName name="NonConformité">#N/A</definedName>
    <definedName name="none" localSheetId="1" hidden="1">{#N/A,#N/A,FALSE,"BS-lead";#N/A,#N/A,FALSE,"BS- cladding";#N/A,#N/A,FALSE,"BS-GRC";#N/A,#N/A,FALSE,"P&amp;L-Lead";#N/A,#N/A,FALSE,"P&amp;L-Cladding";#N/A,#N/A,FALSE,"P&amp;L-GRC"}</definedName>
    <definedName name="none" hidden="1">{#N/A,#N/A,FALSE,"BS-lead";#N/A,#N/A,FALSE,"BS- cladding";#N/A,#N/A,FALSE,"BS-GRC";#N/A,#N/A,FALSE,"P&amp;L-Lead";#N/A,#N/A,FALSE,"P&amp;L-Cladding";#N/A,#N/A,FALSE,"P&amp;L-GRC"}</definedName>
    <definedName name="NONI">#REF!</definedName>
    <definedName name="nonmodular" localSheetId="1">#REF!</definedName>
    <definedName name="nonmodular">#REF!</definedName>
    <definedName name="nonmodular_4" localSheetId="1">#REF!</definedName>
    <definedName name="nonmodular_4">#REF!</definedName>
    <definedName name="nonmodular_4_1">#REF!</definedName>
    <definedName name="nonmodular_6">#REF!</definedName>
    <definedName name="nonreimb">#REF!</definedName>
    <definedName name="Nos" localSheetId="1">#REF!</definedName>
    <definedName name="Nos">#REF!</definedName>
    <definedName name="Nos.">#REF!</definedName>
    <definedName name="Notation">#REF!</definedName>
    <definedName name="notes">#REF!</definedName>
    <definedName name="NOTES_OTHER" localSheetId="1">#REF!,#REF!</definedName>
    <definedName name="NOTES_OTHER">#REF!,#REF!</definedName>
    <definedName name="Notes1" localSheetId="1">#REF!</definedName>
    <definedName name="Notes1">#REF!</definedName>
    <definedName name="Noting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Not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NOV">#REF!</definedName>
    <definedName name="NOZZLE_DATA" localSheetId="1">#REF!,#REF!,#REF!,#REF!</definedName>
    <definedName name="NOZZLE_DATA">#REF!,#REF!,#REF!,#REF!</definedName>
    <definedName name="NP_p_2006" localSheetId="1">#REF!</definedName>
    <definedName name="NP_p_2006">#REF!</definedName>
    <definedName name="Npiers" localSheetId="1">#REF!</definedName>
    <definedName name="Npiers">#REF!</definedName>
    <definedName name="npile2">#REF!</definedName>
    <definedName name="npile3">#REF!</definedName>
    <definedName name="NPVDiscRate">#REF!</definedName>
    <definedName name="nr" localSheetId="1">#REF!</definedName>
    <definedName name="nr">#REF!</definedName>
    <definedName name="NR126B">#REF!</definedName>
    <definedName name="NR126B1">#REF!</definedName>
    <definedName name="nrethwgef">#REF!</definedName>
    <definedName name="NRM">#REF!</definedName>
    <definedName name="NRMCODES">#REF!</definedName>
    <definedName name="nrtt">#N/A</definedName>
    <definedName name="NS" localSheetId="1">#REF!</definedName>
    <definedName name="NS">#REF!</definedName>
    <definedName name="NSA" localSheetId="1">#REF!</definedName>
    <definedName name="NSA">#REF!</definedName>
    <definedName name="nsc이익금">#REF!</definedName>
    <definedName name="nsdd">#REF!</definedName>
    <definedName name="nsdf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sd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spans" localSheetId="1">#REF!</definedName>
    <definedName name="Nspans">#REF!</definedName>
    <definedName name="nss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t" localSheetId="1" hidden="1">{#N/A,#N/A,FALSE,"Header P";#N/A,#N/A,FALSE,"Summary";#N/A,#N/A,FALSE,"CONTRACT WORKS";#N/A,#N/A,FALSE,"Variations";#N/A,#N/A,FALSE,"Dwk"}</definedName>
    <definedName name="nt" hidden="1">{#N/A,#N/A,FALSE,"Header P";#N/A,#N/A,FALSE,"Summary";#N/A,#N/A,FALSE,"CONTRACT WORKS";#N/A,#N/A,FALSE,"Variations";#N/A,#N/A,FALSE,"Dwk"}</definedName>
    <definedName name="ntesu">#REF!</definedName>
    <definedName name="nu" localSheetId="1" hidden="1">{"'Sheet1'!$L$16"}</definedName>
    <definedName name="nu" hidden="1">{"'Sheet1'!$L$16"}</definedName>
    <definedName name="NUBNKUH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BNKU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jnnn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jnnn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ju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ju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m_Pmt_Per_Year" localSheetId="1">#REF!</definedName>
    <definedName name="Num_Pmt_Per_Year">#REF!</definedName>
    <definedName name="Num.">#REF!</definedName>
    <definedName name="Number">#N/A</definedName>
    <definedName name="Number_of_Payments" localSheetId="1">MATCH(0.01,[1]!End_Bal,-1)+1</definedName>
    <definedName name="Number_of_Payments">MATCH(0.01,End_Bal,-1)+1</definedName>
    <definedName name="Number_Personnel">#REF!</definedName>
    <definedName name="Nur" localSheetId="1">#REF!</definedName>
    <definedName name="Nur">#REF!</definedName>
    <definedName name="nut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vsASD">"V1999-07-15"</definedName>
    <definedName name="NvsAutoDrillOk">"VN"</definedName>
    <definedName name="NvsElapsedTime">0.000326736109855119</definedName>
    <definedName name="NvsEndTime">35992.179075463</definedName>
    <definedName name="NvsInstSpec">"%,FDEPTID,V1608"</definedName>
    <definedName name="NvsLayoutType">"M3"</definedName>
    <definedName name="NvsNplSpec">"%,X,RZF.ACCOUNT.,CZF.."</definedName>
    <definedName name="NvsPanelEffdt">"V1998-01-16"</definedName>
    <definedName name="NvsPanelSetid">"VBISG"</definedName>
    <definedName name="NvsReqBU">"VWILCO"</definedName>
    <definedName name="NvsReqBUOnly">"VY"</definedName>
    <definedName name="NvsTransLed">"VN"</definedName>
    <definedName name="NvsTreeASD">"V1999-07-15"</definedName>
    <definedName name="NvsValTbl.ACCOUNT">"GL_ACCOUNT_TBL"</definedName>
    <definedName name="NvsValTbl.CURRENCY_CD">"CURRENCY_CD_TBL"</definedName>
    <definedName name="NW">#REF!</definedName>
    <definedName name="Nwebs" localSheetId="1">#REF!</definedName>
    <definedName name="Nwebs">#REF!</definedName>
    <definedName name="Nx">#REF!</definedName>
    <definedName name="Nx___0">#REF!</definedName>
    <definedName name="Nx___13">#REF!</definedName>
    <definedName name="ny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ny">IF(ISNA(MATCH(ROW(),RowAfterpgbrk,1)),1,MATCH(ROW(),RowAfterpgbrk,1)+1)&lt;&gt;IF(ISNA(MATCH(ROW()+1,RowAfterpgbrk,1)),1,MATCH(ROW()+1,RowAfterpgbrk,1)+1)</definedName>
    <definedName name="Ny___0" localSheetId="1">#REF!</definedName>
    <definedName name="Ny___0">#REF!</definedName>
    <definedName name="Ny___13" localSheetId="1">#REF!</definedName>
    <definedName name="Ny___13">#REF!</definedName>
    <definedName name="NZD" localSheetId="1">#REF!</definedName>
    <definedName name="NZD">#REF!</definedName>
    <definedName name="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">#REF!</definedName>
    <definedName name="O_5A" localSheetId="1">#REF!</definedName>
    <definedName name="O_5A">#REF!</definedName>
    <definedName name="O_5B">#REF!</definedName>
    <definedName name="O_5C">#REF!</definedName>
    <definedName name="O_5D">#REF!</definedName>
    <definedName name="O_5E">#REF!</definedName>
    <definedName name="O_5F">#REF!</definedName>
    <definedName name="O_5G">#REF!</definedName>
    <definedName name="O_5H">#REF!</definedName>
    <definedName name="O_5I">#REF!</definedName>
    <definedName name="O_5J">#REF!</definedName>
    <definedName name="O_5K">#REF!</definedName>
    <definedName name="O_5L">#REF!</definedName>
    <definedName name="O_5M">#REF!</definedName>
    <definedName name="O." localSheetId="1">#REF!</definedName>
    <definedName name="O.">#REF!</definedName>
    <definedName name="O01SF1">#REF!</definedName>
    <definedName name="o9u0piupi" localSheetId="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9u0piupi_1" localSheetId="1" hidden="1">{#N/A,#N/A,TRUE,"Cover";#N/A,#N/A,TRUE,"Conts";#N/A,#N/A,TRUE,"VOS";#N/A,#N/A,TRUE,"Warrington";#N/A,#N/A,TRUE,"Widnes"}</definedName>
    <definedName name="o9u0piupi_1" hidden="1">{#N/A,#N/A,TRUE,"Cover";#N/A,#N/A,TRUE,"Conts";#N/A,#N/A,TRUE,"VOS";#N/A,#N/A,TRUE,"Warrington";#N/A,#N/A,TRUE,"Widnes"}</definedName>
    <definedName name="oa" localSheetId="1" hidden="1">#REF!</definedName>
    <definedName name="oa" hidden="1">#REF!</definedName>
    <definedName name="obpl">#REF!</definedName>
    <definedName name="obw">#REF!</definedName>
    <definedName name="obwfdns">#REF!</definedName>
    <definedName name="Occ_Rate_Tester" localSheetId="1">#REF!</definedName>
    <definedName name="Occ_Rate_Tester">#REF!</definedName>
    <definedName name="occgraph">#REF!</definedName>
    <definedName name="OccRateTester">#REF!</definedName>
    <definedName name="occupancy">#REF!</definedName>
    <definedName name="OCT">#REF!</definedName>
    <definedName name="octf">#REF!</definedName>
    <definedName name="OD">#REF!</definedName>
    <definedName name="OD_FACTOR">#REF!</definedName>
    <definedName name="odaki">#REF!</definedName>
    <definedName name="ODC">#REF!</definedName>
    <definedName name="ODC_Allowance_Rates" localSheetId="1">#REF!</definedName>
    <definedName name="ODC_Allowance_Rates">#REF!</definedName>
    <definedName name="oDD">#N/A</definedName>
    <definedName name="off" localSheetId="1">#N/A</definedName>
    <definedName name="off">[1]!City&amp;" "&amp;STATE</definedName>
    <definedName name="office" localSheetId="1">#REF!</definedName>
    <definedName name="office">#REF!</definedName>
    <definedName name="Office_CatB">#REF!</definedName>
    <definedName name="Office_Charge_Rate" localSheetId="1">#REF!</definedName>
    <definedName name="Office_Charge_Rate">#REF!</definedName>
    <definedName name="Office_fitout">#REF!</definedName>
    <definedName name="OFFICE_FURNITURE" localSheetId="1">#REF!</definedName>
    <definedName name="OFFICE_FURNITURE">#REF!</definedName>
    <definedName name="OFFICE_STATIONERY" localSheetId="1">#REF!</definedName>
    <definedName name="OFFICE_STATIONERY">#REF!</definedName>
    <definedName name="Office_Std">#REF!</definedName>
    <definedName name="Office_Supplies_Unit_Rate" localSheetId="1">#REF!</definedName>
    <definedName name="Office_Supplies_Unit_Rate">#REF!</definedName>
    <definedName name="Office_Use">#REF!</definedName>
    <definedName name="Offices">#REF!</definedName>
    <definedName name="Offices_Cost">#REF!</definedName>
    <definedName name="Offices_Rents">#REF!</definedName>
    <definedName name="offset">1</definedName>
    <definedName name="offtop1" localSheetId="1">#REF!</definedName>
    <definedName name="offtop1">#REF!</definedName>
    <definedName name="OGFA" localSheetId="1">#REF!</definedName>
    <definedName name="OGFA">#REF!</definedName>
    <definedName name="OH" localSheetId="1">#REF!</definedName>
    <definedName name="OH">#REF!</definedName>
    <definedName name="Ohashimo" localSheetId="1">BlankMacro1</definedName>
    <definedName name="Ohashimo">BlankMacro1</definedName>
    <definedName name="ohp" localSheetId="1">#REF!</definedName>
    <definedName name="ohp">#REF!</definedName>
    <definedName name="ohs">#REF!</definedName>
    <definedName name="OHSGLASSS">#REF!</definedName>
    <definedName name="ohslam1">#REF!</definedName>
    <definedName name="OHSLAMI">#REF!</definedName>
    <definedName name="ohsven1">#REF!</definedName>
    <definedName name="OHSVENRD">#REF!</definedName>
    <definedName name="oi" localSheetId="1">#REF!</definedName>
    <definedName name="oi">#REF!</definedName>
    <definedName name="oik" localSheetId="1">BlankMacro1</definedName>
    <definedName name="oik">BlankMacro1</definedName>
    <definedName name="oil" localSheetId="1">#REF!</definedName>
    <definedName name="oil">#REF!</definedName>
    <definedName name="oimiiytnm">#REF!</definedName>
    <definedName name="OincMI">#REF!</definedName>
    <definedName name="oioyi" localSheetId="1">{#N/A,#N/A,FALSE,"Chi tiÆt"}</definedName>
    <definedName name="oioyi">{#N/A,#N/A,FALSE,"Chi tiÆt"}</definedName>
    <definedName name="oip" localSheetId="1" hidden="1">{"'Break down'!$A$4"}</definedName>
    <definedName name="oip" hidden="1">{"'Break down'!$A$4"}</definedName>
    <definedName name="oipu" localSheetId="1" hidden="1">{#N/A,#N/A,TRUE,"Cover";#N/A,#N/A,TRUE,"Conts";#N/A,#N/A,TRUE,"VOS";#N/A,#N/A,TRUE,"Warrington";#N/A,#N/A,TRUE,"Widnes"}</definedName>
    <definedName name="oipu" hidden="1">{#N/A,#N/A,TRUE,"Cover";#N/A,#N/A,TRUE,"Conts";#N/A,#N/A,TRUE,"VOS";#N/A,#N/A,TRUE,"Warrington";#N/A,#N/A,TRUE,"Widnes"}</definedName>
    <definedName name="oiu" localSheetId="1">BlankMacro1</definedName>
    <definedName name="oiu">BlankMacro1</definedName>
    <definedName name="oiuyjhtgfsd" localSheetId="1">#REF!</definedName>
    <definedName name="oiuyjhtgfsd">#REF!</definedName>
    <definedName name="oj" localSheetId="1">[1]!LongTermDebt+[1]!ShortTermDebt+[1]!CurrentPortion</definedName>
    <definedName name="oj">[1]!LongTermDebt+[1]!ShortTermDebt+[1]!CurrentPortion</definedName>
    <definedName name="ok" localSheetId="1">{"'Break down'!$A$4"}</definedName>
    <definedName name="ok">{"'Break down'!$A$4"}</definedName>
    <definedName name="OKDKDKD">#N/A</definedName>
    <definedName name="OL" localSheetId="1">#REF!</definedName>
    <definedName name="OL">#REF!</definedName>
    <definedName name="Old" localSheetId="1">#REF!</definedName>
    <definedName name="Old">#REF!</definedName>
    <definedName name="old_serial">#REF!</definedName>
    <definedName name="oldData">OFFSET(#REF!,0,0,COUNTA(#REF!)-1,7)</definedName>
    <definedName name="oldprinttotal">#REF!</definedName>
    <definedName name="OLE_LINK1">"$boq.$"</definedName>
    <definedName name="OLE_LINK2">"$boq.$"</definedName>
    <definedName name="olhm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lhm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l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">#REF!</definedName>
    <definedName name="omer" localSheetId="1">#REF!</definedName>
    <definedName name="omer">#REF!</definedName>
    <definedName name="OMI">#REF!</definedName>
    <definedName name="Omissions" localSheetId="1" hidden="1">{#N/A,#N/A,TRUE,"Cover";#N/A,#N/A,TRUE,"Conts";#N/A,#N/A,TRUE,"VOS";#N/A,#N/A,TRUE,"Warrington";#N/A,#N/A,TRUE,"Widnes"}</definedName>
    <definedName name="Omissions" hidden="1">{#N/A,#N/A,TRUE,"Cover";#N/A,#N/A,TRUE,"Conts";#N/A,#N/A,TRUE,"VOS";#N/A,#N/A,TRUE,"Warrington";#N/A,#N/A,TRUE,"Widnes"}</definedName>
    <definedName name="omnj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n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e" localSheetId="1" hidden="1">{#N/A,#N/A,FALSE,"One Pager";#N/A,#N/A,FALSE,"Technical"}</definedName>
    <definedName name="one" hidden="1">{#N/A,#N/A,FALSE,"One Pager";#N/A,#N/A,FALSE,"Technical"}</definedName>
    <definedName name="onebrick">#REF!</definedName>
    <definedName name="onehalf" localSheetId="1">#REF!</definedName>
    <definedName name="onehalf">#REF!</definedName>
    <definedName name="ONSITE">#REF!</definedName>
    <definedName name="onsiteMH">#REF!</definedName>
    <definedName name="ony" localSheetId="1">#REF!</definedName>
    <definedName name="ony">#REF!</definedName>
    <definedName name="OO">#REF!</definedName>
    <definedName name="ool">#REF!</definedName>
    <definedName name="oo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">#REF!</definedName>
    <definedName name="oooo" localSheetId="1" hidden="1">{#N/A,#N/A,TRUE,"Cover";#N/A,#N/A,TRUE,"Conts";#N/A,#N/A,TRUE,"VOS";#N/A,#N/A,TRUE,"Warrington";#N/A,#N/A,TRUE,"Widnes"}</definedName>
    <definedName name="oooo" hidden="1">{#N/A,#N/A,TRUE,"Cover";#N/A,#N/A,TRUE,"Conts";#N/A,#N/A,TRUE,"VOS";#N/A,#N/A,TRUE,"Warrington";#N/A,#N/A,TRUE,"Widnes"}</definedName>
    <definedName name="ooooooooo">#REF!</definedName>
    <definedName name="ooooooooooo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oooooo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oooooooooooo">#REF!</definedName>
    <definedName name="ooooooooooooooooo" localSheetId="1" hidden="1">{"'Break down'!$A$4"}</definedName>
    <definedName name="ooooooooooooooooo" hidden="1">{"'Break down'!$A$4"}</definedName>
    <definedName name="ooopp">#REF!</definedName>
    <definedName name="op" localSheetId="1">MATCH(0.01,[1]!End_Bal,-1)+1</definedName>
    <definedName name="OP">#REF!</definedName>
    <definedName name="Open" localSheetId="1">#REF!</definedName>
    <definedName name="Open">#REF!</definedName>
    <definedName name="OperatingStatistics">#REF!</definedName>
    <definedName name="OpexImportTable" localSheetId="1">#REF!</definedName>
    <definedName name="OpexImportTable">#REF!</definedName>
    <definedName name="opiju" localSheetId="1" hidden="1">{"'Break down'!$A$4"}</definedName>
    <definedName name="opiju" hidden="1">{"'Break down'!$A$4"}</definedName>
    <definedName name="opikj" localSheetId="1" hidden="1">{"'Break down'!$A$4"}</definedName>
    <definedName name="opikj" hidden="1">{"'Break down'!$A$4"}</definedName>
    <definedName name="opin765" localSheetId="1" hidden="1">{"'Break down'!$A$4"}</definedName>
    <definedName name="opin765" hidden="1">{"'Break down'!$A$4"}</definedName>
    <definedName name="opiu" localSheetId="1" hidden="1">{"'Break down'!$A$4"}</definedName>
    <definedName name="opiu" hidden="1">{"'Break down'!$A$4"}</definedName>
    <definedName name="oplki" localSheetId="1" hidden="1">{"'Break down'!$A$4"}</definedName>
    <definedName name="oplki" hidden="1">{"'Break down'!$A$4"}</definedName>
    <definedName name="OPLKUI" localSheetId="1" hidden="1">{#N/A,#N/A,TRUE,"Cover";#N/A,#N/A,TRUE,"Conts";#N/A,#N/A,TRUE,"VOS";#N/A,#N/A,TRUE,"Warrington";#N/A,#N/A,TRUE,"Widnes"}</definedName>
    <definedName name="OPLKUI" hidden="1">{#N/A,#N/A,TRUE,"Cover";#N/A,#N/A,TRUE,"Conts";#N/A,#N/A,TRUE,"VOS";#N/A,#N/A,TRUE,"Warrington";#N/A,#N/A,TRUE,"Widnes"}</definedName>
    <definedName name="OPO">#N/A</definedName>
    <definedName name="opogd" localSheetId="1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PS">#REF!</definedName>
    <definedName name="Ops_Input">#REF!,#REF!,#REF!,#REF!,#REF!,#REF!,#REF!,#REF!,#REF!,#REF!,#REF!,#REF!</definedName>
    <definedName name="OPSSI" localSheetId="1">#REF!</definedName>
    <definedName name="OPSSI">#REF!</definedName>
    <definedName name="Opt_Stat_month" localSheetId="1">#REF!</definedName>
    <definedName name="Opt_Stat_month">#REF!</definedName>
    <definedName name="Option">#N/A</definedName>
    <definedName name="Option1" localSheetId="1" hidden="1">#REF!</definedName>
    <definedName name="Option1" hidden="1">#REF!</definedName>
    <definedName name="OPTIONS" localSheetId="1">#REF!</definedName>
    <definedName name="OPTIONS">#REF!</definedName>
    <definedName name="optISO_Click">#N/A</definedName>
    <definedName name="optZone_Click">#N/A</definedName>
    <definedName name="OQLIB">"QUSRSYS"</definedName>
    <definedName name="OQNAM">"PRT05"</definedName>
    <definedName name="Orange">#REF!</definedName>
    <definedName name="OrderTable" localSheetId="1" hidden="1">#REF!</definedName>
    <definedName name="OrderTable" hidden="1">#REF!</definedName>
    <definedName name="ordinary_blocks">#REF!</definedName>
    <definedName name="Ordner_Nr">#REF!</definedName>
    <definedName name="orgcode" localSheetId="1">#REF!</definedName>
    <definedName name="orgcode">#REF!</definedName>
    <definedName name="Orient_Irrigation_Services_LLC" localSheetId="1">#REF!</definedName>
    <definedName name="Orient_Irrigation_Services_LLC">#REF!</definedName>
    <definedName name="OriginalPrice">#REF!</definedName>
    <definedName name="os">#REF!</definedName>
    <definedName name="OSBL_Costs">#REF!</definedName>
    <definedName name="OSBL_Mhrs">#REF!</definedName>
    <definedName name="osdnvkls" hidden="1">#REF!</definedName>
    <definedName name="oslOverheads" localSheetId="1">#REF!</definedName>
    <definedName name="oslOverheads">#REF!</definedName>
    <definedName name="OSMF_30" localSheetId="1">#REF!</definedName>
    <definedName name="OSMF_30">#REF!</definedName>
    <definedName name="OSMF_40" localSheetId="1">#REF!</definedName>
    <definedName name="OSMF_40">#REF!</definedName>
    <definedName name="OTH_DIR">#REF!</definedName>
    <definedName name="OTHER" localSheetId="1">#REF!</definedName>
    <definedName name="OTHER">#REF!</definedName>
    <definedName name="Other_1">#REF!</definedName>
    <definedName name="OTHER_PRICING">#REF!</definedName>
    <definedName name="Other_Rated">#REF!</definedName>
    <definedName name="other_schedule">#REF!</definedName>
    <definedName name="OTHER_VALVES" localSheetId="1">#REF!</definedName>
    <definedName name="OTHER_VALVES">#REF!</definedName>
    <definedName name="otherpage" localSheetId="1">IF(ISNA(MATCH(ROW(),[1]!COUNT_TH2_V2__units_1___Type_D_04__900_x_2200mm_high,1)),1,MATCH(ROW(),[1]!COUNT_TH2_V2__units_1___Type_D_04__900_x_2200mm_high,1)+1)</definedName>
    <definedName name="otherpage">IF(ISNA(MATCH(ROW(),RowAfterpgbrk,1)),1,MATCH(ROW(),RowAfterpgbrk,1)+1)</definedName>
    <definedName name="Others" localSheetId="1" hidden="1">{#N/A,#N/A,FALSE,"COVER1.XLS ";#N/A,#N/A,FALSE,"RACT1.XLS";#N/A,#N/A,FALSE,"RACT2.XLS";#N/A,#N/A,FALSE,"ECCMP";#N/A,#N/A,FALSE,"WELDER.XLS"}</definedName>
    <definedName name="Others" hidden="1">{#N/A,#N/A,FALSE,"COVER1.XLS ";#N/A,#N/A,FALSE,"RACT1.XLS";#N/A,#N/A,FALSE,"RACT2.XLS";#N/A,#N/A,FALSE,"ECCMP";#N/A,#N/A,FALSE,"WELDER.XLS"}</definedName>
    <definedName name="Out_of_Scope" localSheetId="1">#REF!</definedName>
    <definedName name="Out_of_Scope">#REF!</definedName>
    <definedName name="OUT_STATION_CHARGES" localSheetId="1">#REF!</definedName>
    <definedName name="OUT_STATION_CHARGES">#REF!</definedName>
    <definedName name="Outbuildings">#REF!</definedName>
    <definedName name="OUTDOOR_COND" localSheetId="1">#REF!</definedName>
    <definedName name="OUTDOOR_COND">#REF!</definedName>
    <definedName name="outgoing">#REF!</definedName>
    <definedName name="OutletSpecs">#REF!</definedName>
    <definedName name="Output_Total_Disk_Storage" localSheetId="1">#REF!</definedName>
    <definedName name="Output_Total_Disk_Storage">#REF!</definedName>
    <definedName name="OUTTERWALLLength" localSheetId="1">#REF!</definedName>
    <definedName name="OUTTERWALLLength">#REF!</definedName>
    <definedName name="OUUY">#N/A</definedName>
    <definedName name="ouv_Bulle">#N/A</definedName>
    <definedName name="Oven_T1">#REF!</definedName>
    <definedName name="OVER_HEADS_ENTRY">#REF!</definedName>
    <definedName name="OVER0_START" localSheetId="1">#REF!</definedName>
    <definedName name="OVER0_START">#REF!</definedName>
    <definedName name="OVERALL" localSheetId="1">#REF!</definedName>
    <definedName name="OVERALL">#REF!</definedName>
    <definedName name="Overall_Loading">#REF!</definedName>
    <definedName name="Overall_Summary_Title">#REF!</definedName>
    <definedName name="OVERALLSUM">#REF!</definedName>
    <definedName name="Overflow_Channel">#REF!</definedName>
    <definedName name="Overflow_Drains">#REF!</definedName>
    <definedName name="overhead">#REF!</definedName>
    <definedName name="overheadcost">#REF!</definedName>
    <definedName name="OVERHEADS">#REF!</definedName>
    <definedName name="overseas" localSheetId="1">#REF!</definedName>
    <definedName name="overseas">#REF!</definedName>
    <definedName name="OverseasExpenses">#REF!</definedName>
    <definedName name="Ovrl_Area" localSheetId="1">#REF!</definedName>
    <definedName name="Ovrl_Area">#REF!</definedName>
    <definedName name="OWE" localSheetId="1">#REF!</definedName>
    <definedName name="OWE">#REF!</definedName>
    <definedName name="OwnAcctNum" localSheetId="1">#REF!</definedName>
    <definedName name="OwnAcctNum">#REF!</definedName>
    <definedName name="OwnAcctNum_4" localSheetId="1">#REF!</definedName>
    <definedName name="OwnAcctNum_4">#REF!</definedName>
    <definedName name="OwnAcctNum_4_1">#REF!</definedName>
    <definedName name="OwnAcctNum_6">#REF!</definedName>
    <definedName name="OwnerPC">#REF!</definedName>
    <definedName name="Ownership" localSheetId="1" hidden="1">OFFSET([1]!Data.Top.Left,1,0)</definedName>
    <definedName name="Ownership" hidden="1">OFFSET([1]!Data.Top.Left,1,0)</definedName>
    <definedName name="OWNPLANT" localSheetId="1">#REF!</definedName>
    <definedName name="OWNPLANT">#REF!</definedName>
    <definedName name="OZONATORS">#REF!</definedName>
    <definedName name="OZUK">#REF!</definedName>
    <definedName name="OZV" localSheetId="1">#REF!</definedName>
    <definedName name="OZV">#REF!</definedName>
    <definedName name="P" localSheetId="1">#REF!</definedName>
    <definedName name="P">#REF!</definedName>
    <definedName name="p___0" localSheetId="1">#REF!</definedName>
    <definedName name="p___0">#REF!</definedName>
    <definedName name="p___13">#REF!</definedName>
    <definedName name="P_1">0</definedName>
    <definedName name="P_22">#REF!</definedName>
    <definedName name="P_5A">#REF!</definedName>
    <definedName name="P_5B">#REF!</definedName>
    <definedName name="P_5C">#REF!</definedName>
    <definedName name="P_5D">#REF!</definedName>
    <definedName name="P_5E">#REF!</definedName>
    <definedName name="P_5F">#REF!</definedName>
    <definedName name="P_5G">#REF!</definedName>
    <definedName name="P_5H">#REF!</definedName>
    <definedName name="P_5I">#REF!</definedName>
    <definedName name="P_5J">#REF!</definedName>
    <definedName name="P_5K">#REF!</definedName>
    <definedName name="P_5L">#REF!</definedName>
    <definedName name="P_5M">#REF!</definedName>
    <definedName name="p_duration">#REF!</definedName>
    <definedName name="P_L">#REF!</definedName>
    <definedName name="P_score">#REF!</definedName>
    <definedName name="P_Sum">#REF!</definedName>
    <definedName name="P_Test" localSheetId="1">#REF!</definedName>
    <definedName name="P_Test">#REF!</definedName>
    <definedName name="P1R" localSheetId="1">#REF!</definedName>
    <definedName name="P1R">#REF!</definedName>
    <definedName name="p2.003">#N/A</definedName>
    <definedName name="p2.004">#N/A</definedName>
    <definedName name="p2.005">#N/A</definedName>
    <definedName name="p2.006">#N/A</definedName>
    <definedName name="p2.007">#N/A</definedName>
    <definedName name="p2.009">#N/A</definedName>
    <definedName name="p2.011">#N/A</definedName>
    <definedName name="p2.013">#N/A</definedName>
    <definedName name="P2R" localSheetId="1">#REF!</definedName>
    <definedName name="P2R">#REF!</definedName>
    <definedName name="p3.001">#N/A</definedName>
    <definedName name="p3.002">#N/A</definedName>
    <definedName name="p3.005">#N/A</definedName>
    <definedName name="P3R" localSheetId="1">#REF!</definedName>
    <definedName name="P3R">#REF!</definedName>
    <definedName name="p4.001" localSheetId="1">#N/A</definedName>
    <definedName name="p4.001">#REF!</definedName>
    <definedName name="P4R" localSheetId="1">#REF!</definedName>
    <definedName name="P4R">#REF!</definedName>
    <definedName name="p4s" localSheetId="1">#REF!</definedName>
    <definedName name="p4s">#REF!</definedName>
    <definedName name="p4s_1">0</definedName>
    <definedName name="p5.002" localSheetId="1">#N/A</definedName>
    <definedName name="p5.002">#REF!</definedName>
    <definedName name="P5R" localSheetId="1">#REF!</definedName>
    <definedName name="P5R">#REF!</definedName>
    <definedName name="p7.004">#N/A</definedName>
    <definedName name="p7y" localSheetId="1" hidden="1">{#N/A,#N/A,TRUE,"Cover";#N/A,#N/A,TRUE,"Conts";#N/A,#N/A,TRUE,"VOS";#N/A,#N/A,TRUE,"Warrington";#N/A,#N/A,TRUE,"Widnes"}</definedName>
    <definedName name="p7y" hidden="1">{#N/A,#N/A,TRUE,"Cover";#N/A,#N/A,TRUE,"Conts";#N/A,#N/A,TRUE,"VOS";#N/A,#N/A,TRUE,"Warrington";#N/A,#N/A,TRUE,"Widnes"}</definedName>
    <definedName name="p7y_1" localSheetId="1" hidden="1">{#N/A,#N/A,TRUE,"Cover";#N/A,#N/A,TRUE,"Conts";#N/A,#N/A,TRUE,"VOS";#N/A,#N/A,TRUE,"Warrington";#N/A,#N/A,TRUE,"Widnes"}</definedName>
    <definedName name="p7y_1" hidden="1">{#N/A,#N/A,TRUE,"Cover";#N/A,#N/A,TRUE,"Conts";#N/A,#N/A,TRUE,"VOS";#N/A,#N/A,TRUE,"Warrington";#N/A,#N/A,TRUE,"Widnes"}</definedName>
    <definedName name="p8.001">#N/A</definedName>
    <definedName name="p8.002">#N/A</definedName>
    <definedName name="pa">#REF!</definedName>
    <definedName name="pa___0" localSheetId="1">#REF!</definedName>
    <definedName name="pa___0">#REF!</definedName>
    <definedName name="pa___13" localSheetId="1">#REF!</definedName>
    <definedName name="pa___13">#REF!</definedName>
    <definedName name="PA_CABLE">#REF!</definedName>
    <definedName name="PA_CONDUIT">#REF!</definedName>
    <definedName name="PA_EQUIP">#REF!</definedName>
    <definedName name="PAA" localSheetId="1">{"Book1","DOC&amp;DWG.xls"}</definedName>
    <definedName name="PAA">{"Book1","DOC&amp;DWG.xls"}</definedName>
    <definedName name="paaa" localSheetId="1">{"Book1","DOC&amp;DWG.xls"}</definedName>
    <definedName name="paaa">{"Book1","DOC&amp;DWG.xls"}</definedName>
    <definedName name="Pac">#REF!</definedName>
    <definedName name="pack_name" localSheetId="1">#REF!</definedName>
    <definedName name="pack_name">#REF!</definedName>
    <definedName name="PACKAGE" localSheetId="1">#REF!</definedName>
    <definedName name="PACKAGE">#REF!</definedName>
    <definedName name="Package_1">#REF!</definedName>
    <definedName name="Package_List">#REF!</definedName>
    <definedName name="PackageName" localSheetId="1">#REF!</definedName>
    <definedName name="PackageName">#REF!</definedName>
    <definedName name="Packages" localSheetId="1">#REF!</definedName>
    <definedName name="Packages">#REF!</definedName>
    <definedName name="packing2">#REF!</definedName>
    <definedName name="PAD" localSheetId="1">#REF!</definedName>
    <definedName name="PAD">#REF!</definedName>
    <definedName name="pafegseg" localSheetId="1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fegseg_1" localSheetId="1" hidden="1">{#N/A,#N/A,TRUE,"Cover";#N/A,#N/A,TRUE,"Conts";#N/A,#N/A,TRUE,"VOS";#N/A,#N/A,TRUE,"Warrington";#N/A,#N/A,TRUE,"Widnes"}</definedName>
    <definedName name="pafegseg_1" hidden="1">{#N/A,#N/A,TRUE,"Cover";#N/A,#N/A,TRUE,"Conts";#N/A,#N/A,TRUE,"VOS";#N/A,#N/A,TRUE,"Warrington";#N/A,#N/A,TRUE,"Widnes"}</definedName>
    <definedName name="page" localSheetId="1">#REF!</definedName>
    <definedName name="page">#REF!</definedName>
    <definedName name="PAGE_ENGR">#REF!</definedName>
    <definedName name="PAGE_SAFE">#REF!</definedName>
    <definedName name="Page_total" localSheetId="1">MAX('City Walk - Comparison'!Conc_1)</definedName>
    <definedName name="Page_total">MAX([1]!page)</definedName>
    <definedName name="page1" localSheetId="1">#REF!</definedName>
    <definedName name="page1">#REF!</definedName>
    <definedName name="page1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84">#REF!</definedName>
    <definedName name="Page185">#REF!</definedName>
    <definedName name="Page186">#REF!</definedName>
    <definedName name="Page187">#REF!</definedName>
    <definedName name="Page188">#REF!</definedName>
    <definedName name="Page189">#REF!</definedName>
    <definedName name="page19">#REF!</definedName>
    <definedName name="Page190">#REF!</definedName>
    <definedName name="Page191">#REF!</definedName>
    <definedName name="Page192">#REF!</definedName>
    <definedName name="Page193">#REF!</definedName>
    <definedName name="Page194">#REF!</definedName>
    <definedName name="Page195">#REF!</definedName>
    <definedName name="Page196">#REF!</definedName>
    <definedName name="Page197">#REF!</definedName>
    <definedName name="Page198">#REF!</definedName>
    <definedName name="Page199">#REF!</definedName>
    <definedName name="page2">#REF!</definedName>
    <definedName name="PAGE2_TOP">#REF!</definedName>
    <definedName name="page20" localSheetId="1">#REF!</definedName>
    <definedName name="page20">#REF!</definedName>
    <definedName name="Page200">#REF!</definedName>
    <definedName name="Page201">#REF!</definedName>
    <definedName name="Page202">#REF!</definedName>
    <definedName name="Page203">#REF!</definedName>
    <definedName name="Page204">#REF!</definedName>
    <definedName name="Page205">#REF!</definedName>
    <definedName name="Page206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_21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GEA">#REF!</definedName>
    <definedName name="PageA1" localSheetId="1">#REF!</definedName>
    <definedName name="PageA1">#REF!</definedName>
    <definedName name="PageA11" localSheetId="1">#REF!</definedName>
    <definedName name="PageA11">#REF!</definedName>
    <definedName name="PAGEB" localSheetId="1">#REF!</definedName>
    <definedName name="PAGEB">#REF!</definedName>
    <definedName name="PageOfPages" localSheetId="1">"Page "&amp;IF(ISNA(MATCH(ROW(),[1]!COUNT_TH2_V2__units_1___Type_D_04__900_x_2200mm_high,1)),1,MATCH(ROW(),[1]!COUNT_TH2_V2__units_1___Type_D_04__900_x_2200mm_high,1)+1)&amp;" of " &amp; [1]!CUSTOM1_Shops__GF_ + 0*NOW()</definedName>
    <definedName name="PageOfPages">"Page "&amp;IF(ISNA(MATCH(ROW(),RowAfterpgbrk,1)),1,MATCH(ROW(),RowAfterpgbrk,1)+1)&amp;" of " &amp; TotPageCount + 0*NOW()</definedName>
    <definedName name="pagep1">#REF!</definedName>
    <definedName name="pagep2" localSheetId="1">#REF!</definedName>
    <definedName name="pagep2">#REF!</definedName>
    <definedName name="pages" localSheetId="1">"Page "&amp;IF(ISNA(MATCH(ROW(),[1]!COUNT_TH2_V2__units_1___Type_D_04__900_x_2200mm_high,1)),1,MATCH(ROW(),[1]!COUNT_TH2_V2__units_1___Type_D_04__900_x_2200mm_high,1)+1)&amp;" of " &amp; [1]!CUSTOM1_Shops__GF_ + 0*NOW()</definedName>
    <definedName name="pages">"Page "&amp;IF(ISNA(MATCH(ROW(),RowAfterpgbrk,1)),1,MATCH(ROW(),RowAfterpgbrk,1)+1)&amp;" of " &amp; TotPageCount + 0*NOW()</definedName>
    <definedName name="Paint">#REF!</definedName>
    <definedName name="Paintst">#REF!</definedName>
    <definedName name="Paintstl">#REF!</definedName>
    <definedName name="Pal_Workbook_GUID" hidden="1">"8HCIDT26H4PQ5VYPC7FKU7HT"</definedName>
    <definedName name="pam">#REF!</definedName>
    <definedName name="pam_1">0</definedName>
    <definedName name="pan_lam">#REF!</definedName>
    <definedName name="PAN_SOFTBOARD">#REF!</definedName>
    <definedName name="PAN_TILES" localSheetId="1">#REF!</definedName>
    <definedName name="PAN_TILES">#REF!</definedName>
    <definedName name="pancbg">#REF!</definedName>
    <definedName name="Pane2" localSheetId="1">#REF!</definedName>
    <definedName name="Pane2">#REF!</definedName>
    <definedName name="Pane2___0">#REF!</definedName>
    <definedName name="Pane2___13">#REF!</definedName>
    <definedName name="PANELDUCO">#REF!</definedName>
    <definedName name="Panelfabric">#REF!</definedName>
    <definedName name="PANELMIRROR">#REF!</definedName>
    <definedName name="Panels" localSheetId="1">#REF!</definedName>
    <definedName name="Panels">#REF!</definedName>
    <definedName name="PANELVENEER">#REF!</definedName>
    <definedName name="PAR" localSheetId="1">#REF!</definedName>
    <definedName name="PAR">#REF!</definedName>
    <definedName name="PAR_1">#REF!</definedName>
    <definedName name="PAR_2">#REF!</definedName>
    <definedName name="PAR_3">#REF!</definedName>
    <definedName name="PAR_4">#REF!</definedName>
    <definedName name="PAR_5">#REF!</definedName>
    <definedName name="PAR_6">#REF!</definedName>
    <definedName name="PAR_7">#REF!</definedName>
    <definedName name="parapet">#REF!</definedName>
    <definedName name="PARENT">#REF!</definedName>
    <definedName name="PARENTB">#REF!</definedName>
    <definedName name="parking" localSheetId="1" hidden="1">{#N/A,#N/A,FALSE,"MARCH"}</definedName>
    <definedName name="parking" hidden="1">{#N/A,#N/A,FALSE,"MARCH"}</definedName>
    <definedName name="Parking_Cost" localSheetId="1">#REF!</definedName>
    <definedName name="Parking_Cost">#REF!</definedName>
    <definedName name="Parking_Rents">#REF!</definedName>
    <definedName name="parkingincome">#REF!</definedName>
    <definedName name="Parm_Civil_Build_01" localSheetId="1">#REF!</definedName>
    <definedName name="Parm_Civil_Build_01">#REF!</definedName>
    <definedName name="Parm_Civil_Build_02">#REF!</definedName>
    <definedName name="Parm_Civil_Build_03">#REF!</definedName>
    <definedName name="Parm_Civil_Build_04">#REF!</definedName>
    <definedName name="Parm_Civil_Build_05">#REF!</definedName>
    <definedName name="Parm_Civil_Build_06">#REF!</definedName>
    <definedName name="Parm_Civil_Build_07">#REF!</definedName>
    <definedName name="Parm_Civil_Build_08">#REF!</definedName>
    <definedName name="Parm_Civil_Build_09">#REF!</definedName>
    <definedName name="Parm_Civil_Build_10">#REF!</definedName>
    <definedName name="Parm_Civil_Build_11">#REF!</definedName>
    <definedName name="Parm_Civil_Build_12">#REF!</definedName>
    <definedName name="Parm_Civil_Build_13">#REF!</definedName>
    <definedName name="Parm_Civil_Build_14">#REF!</definedName>
    <definedName name="Parm_Civil_Build_15">#REF!</definedName>
    <definedName name="Parm_Civil_Build_16">#REF!</definedName>
    <definedName name="Parm_Civil_Build_17">#REF!</definedName>
    <definedName name="Parm_Civil_Build_18">#REF!</definedName>
    <definedName name="Parm_Civil_Build_19">#REF!</definedName>
    <definedName name="Parm_Civil_Build_20">#REF!</definedName>
    <definedName name="Parm_Civil_Build_21">#REF!</definedName>
    <definedName name="Parm_Civil_Parm_01">#REF!</definedName>
    <definedName name="Parm_Civil_Parm_02">#REF!</definedName>
    <definedName name="Parm_Civil_Parm_03">#REF!</definedName>
    <definedName name="Parm_Civil_Parm_04">#REF!</definedName>
    <definedName name="Parm_Civil_Parm_05">#REF!</definedName>
    <definedName name="Parm_Civil_Parm_06">#REF!</definedName>
    <definedName name="Parm_Civil_Parm_07">#REF!</definedName>
    <definedName name="Parm_Civil_Parm_08">#REF!</definedName>
    <definedName name="Parm_Civil_Parm_09">#REF!</definedName>
    <definedName name="Parm_Civil_Parm_10">#REF!</definedName>
    <definedName name="Parm_Civil_Parm_11">#REF!</definedName>
    <definedName name="Parm_Civil_Parm_12">#REF!</definedName>
    <definedName name="Parm_Civil_Parm_13">#REF!</definedName>
    <definedName name="Parm_Civil_Parm_14">#REF!</definedName>
    <definedName name="Parm_Civil_Parm_15">#REF!</definedName>
    <definedName name="Parm_Civil_Parm_16">#REF!</definedName>
    <definedName name="Parm_Civil_Parm_17">#REF!</definedName>
    <definedName name="Parm_Civil_Parm_18">#REF!</definedName>
    <definedName name="Parm_Civil_Site_01">#REF!</definedName>
    <definedName name="Parm_Civil_Site_02">#REF!</definedName>
    <definedName name="Parm_Civil_Site_03">#REF!</definedName>
    <definedName name="Parm_Civil_Site_04">#REF!</definedName>
    <definedName name="Parm_Civil_Site_05">#REF!</definedName>
    <definedName name="Parm_Civil_Site_06">#REF!</definedName>
    <definedName name="Parm_Civil_Site_07">#REF!</definedName>
    <definedName name="Parm_Civil_Site_08">#REF!</definedName>
    <definedName name="Parm_Civil_Site_09">#REF!</definedName>
    <definedName name="Parm_Civil_Site_10">#REF!</definedName>
    <definedName name="Parm_Civil_Site_11">#REF!</definedName>
    <definedName name="Parm_Civil_Site_12">#REF!</definedName>
    <definedName name="Parm_Civil_Site_13">#REF!</definedName>
    <definedName name="Parm_Civil_Site_14">#REF!</definedName>
    <definedName name="Parm_Civil_Site_15">#REF!</definedName>
    <definedName name="Parm_Civil_Site_16">#REF!</definedName>
    <definedName name="Parm_Civil_Site_17">#REF!</definedName>
    <definedName name="Parm_Civil_Site_18">#REF!</definedName>
    <definedName name="Parm_Civil_Site_19">#REF!</definedName>
    <definedName name="Parm_Civil_Site_20">#REF!</definedName>
    <definedName name="Parm_Civil_Site_21">#REF!</definedName>
    <definedName name="Parm_Civil_Site_22">#REF!</definedName>
    <definedName name="Parm_Civil_Site_23">#REF!</definedName>
    <definedName name="Parm_Elect_Switchgear_01">#REF!</definedName>
    <definedName name="Parm_Elect_Switchgear_02">#REF!</definedName>
    <definedName name="Parm_Elect_Switchgear_03">#REF!</definedName>
    <definedName name="Parm_Elect_Switchgear_04">#REF!</definedName>
    <definedName name="Parm_Elect_Switchgear_05">#REF!</definedName>
    <definedName name="Parm_Elect_Switchgear_06">#REF!</definedName>
    <definedName name="Parm_Elect_Switchgear_07">#REF!</definedName>
    <definedName name="Parm_Elect_Switchgear_08">#REF!</definedName>
    <definedName name="Parm_Elect_Switchgear_09">#REF!</definedName>
    <definedName name="Parm_Elect_Switchgear_10">#REF!</definedName>
    <definedName name="Parm_Elect_Switchgear_11">#REF!</definedName>
    <definedName name="Parm_Elect_Switchgear_12">#REF!</definedName>
    <definedName name="Parm_Elect_Switchgear_13">#REF!</definedName>
    <definedName name="Parm_Elect_Switchgear_14">#REF!</definedName>
    <definedName name="Parm_Elect_Switchgear_15">#REF!</definedName>
    <definedName name="Parm_Elect_Switchgear_16">#REF!</definedName>
    <definedName name="Parm_Elect_Switchgear_17">#REF!</definedName>
    <definedName name="Parm_Elect_Switchgear_18">#REF!</definedName>
    <definedName name="Parm_Elect_Switchgear_19">#REF!</definedName>
    <definedName name="Parm_Elect_Switchgear_20">#REF!</definedName>
    <definedName name="Parm_Elect_Switchgear_21">#REF!</definedName>
    <definedName name="Parm_Elect_Switchyd_01">#REF!</definedName>
    <definedName name="Parm_Elect_Switchyd_02">#REF!</definedName>
    <definedName name="Parm_Elect_Switchyd_03">#REF!</definedName>
    <definedName name="Parm_Elect_Switchyd_04">#REF!</definedName>
    <definedName name="Parm_Elect_Switchyd_05">#REF!</definedName>
    <definedName name="Parm_Elect_Switchyd_06">#REF!</definedName>
    <definedName name="Parm_Elect_Switchyd_07">#REF!</definedName>
    <definedName name="Parm_Elect_Switchyd_08">#REF!</definedName>
    <definedName name="Parm_Elect_Switchyd_09">#REF!</definedName>
    <definedName name="Parm_Elect_Switchyd_10">#REF!</definedName>
    <definedName name="Parm_Elect_Switchyd_11">#REF!</definedName>
    <definedName name="Parm_Elect_Switchyd_12">#REF!</definedName>
    <definedName name="Parm_Elect_Switchyd_13">#REF!</definedName>
    <definedName name="Parm_Elect_Switchyd_14">#REF!</definedName>
    <definedName name="Parm_Elect_Switchyd_15">#REF!</definedName>
    <definedName name="Parm_Elect_Switchyd_16">#REF!</definedName>
    <definedName name="Parm_Elect_Switchyd_17">#REF!</definedName>
    <definedName name="Parm_Elect_Switchyd_18">#REF!</definedName>
    <definedName name="Parm_Elect_Switchyd_19">#REF!</definedName>
    <definedName name="Parm_Elect_Switchyd_20">#REF!</definedName>
    <definedName name="Parm_Elect_Switchyd_21">#REF!</definedName>
    <definedName name="Parm_Elect_Transfmr_01">#REF!</definedName>
    <definedName name="Parm_Elect_Transfmr_02">#REF!</definedName>
    <definedName name="Parm_Elect_Transfmr_03">#REF!</definedName>
    <definedName name="Parm_Elect_Transfmr_04">#REF!</definedName>
    <definedName name="Parm_Elect_Transfmr_05">#REF!</definedName>
    <definedName name="Parm_Elect_Transfmr_06">#REF!</definedName>
    <definedName name="Parm_Elect_Transfmr_07">#REF!</definedName>
    <definedName name="Parm_Elect_Transfmr_08">#REF!</definedName>
    <definedName name="Parm_Elect_Transfmr_09">#REF!</definedName>
    <definedName name="Parm_Elect_Transfmr_10">#REF!</definedName>
    <definedName name="Parm_Elect_Transfmr_11">#REF!</definedName>
    <definedName name="Parm_Elect_Transfmr_12">#REF!</definedName>
    <definedName name="Parm_Elect_Transfmr_13">#REF!</definedName>
    <definedName name="Parm_Elect_Transfmr_14">#REF!</definedName>
    <definedName name="Parm_Elect_Transfmr_15">#REF!</definedName>
    <definedName name="Parm_Elect_Transfmr_16">#REF!</definedName>
    <definedName name="Parm_Elect_Transfmr_17">#REF!</definedName>
    <definedName name="Parm_Elect_Transfmr_18">#REF!</definedName>
    <definedName name="Parm_Elect_Transfmr_19">#REF!</definedName>
    <definedName name="Parm_Elect_Transfmr_20">#REF!</definedName>
    <definedName name="Parm_Elect_Transfmr_21">#REF!</definedName>
    <definedName name="Parm_Elect_Transfmr_22">#REF!</definedName>
    <definedName name="Parm_Elect_Transfmr_23">#REF!</definedName>
    <definedName name="Parm_Elect_Transfmr_24">#REF!</definedName>
    <definedName name="Parm_Elect_Transfmr_25">#REF!</definedName>
    <definedName name="Parm_Elect_Transfmr_26">#REF!</definedName>
    <definedName name="Parm_Elect_Transfmr_27">#REF!</definedName>
    <definedName name="Parm_Elect_Transfmr_28">#REF!</definedName>
    <definedName name="Parm_Elect_Transfmr_29">#REF!</definedName>
    <definedName name="Parm_Elect_Transfmr_30">#REF!</definedName>
    <definedName name="Parm_Elect_Transfmr_31">#REF!</definedName>
    <definedName name="Parm_Elect_Transfmr_32">#REF!</definedName>
    <definedName name="Parm_Elect_Transfmr_33">#REF!</definedName>
    <definedName name="Parm_Elect_Transfmr_34">#REF!</definedName>
    <definedName name="Parm_Elect_Transfmr_35">#REF!</definedName>
    <definedName name="Parm_Elect_Transfmr_36">#REF!</definedName>
    <definedName name="Parm_Elect_Transfmr_37">#REF!</definedName>
    <definedName name="Parm_Elect_Transfmr_38">#REF!</definedName>
    <definedName name="Parm_Elect_Transfmr_39">#REF!</definedName>
    <definedName name="Parm_Elect_Transfmr_40">#REF!</definedName>
    <definedName name="Parm_Elect_Transfmr_41">#REF!</definedName>
    <definedName name="Parm_Elect_Transfmr_42">#REF!</definedName>
    <definedName name="Parm_Elect_Transfmr_43">#REF!</definedName>
    <definedName name="Parm_Elect_Transfmr_44">#REF!</definedName>
    <definedName name="Parm_Elect_Transfmr_45">#REF!</definedName>
    <definedName name="Parm_Elect_Transfmr_46">#REF!</definedName>
    <definedName name="Parm_Elect_Transfmr_47">#REF!</definedName>
    <definedName name="Parm_Elect_Transfmr_48">#REF!</definedName>
    <definedName name="Parm_Elect_Transfmr_49">#REF!</definedName>
    <definedName name="Parm_Elect_Transfmr_50">#REF!</definedName>
    <definedName name="Parm_Elect_Transfmr_51">#REF!</definedName>
    <definedName name="Parm_Elect_Transfmr_52">#REF!</definedName>
    <definedName name="Parm_Elect_Transfmr_53">#REF!</definedName>
    <definedName name="Parm_Elect_Transfmr_54">#REF!</definedName>
    <definedName name="Parm_Elect_Transfmr_55">#REF!</definedName>
    <definedName name="Parm_Elect_Transfmr_56">#REF!</definedName>
    <definedName name="Parm_Elect_Transfmr_57">#REF!</definedName>
    <definedName name="Parm_Elect_Transfmr_58">#REF!</definedName>
    <definedName name="Parm_Elect_Transfmr_59">#REF!</definedName>
    <definedName name="Parm_Elect_Transfmr_60">#REF!</definedName>
    <definedName name="Parm_Elect_Transfmr_61">#REF!</definedName>
    <definedName name="Parm_Elect_Transfmr_62">#REF!</definedName>
    <definedName name="Parm_Elect_Transfmr_63">#REF!</definedName>
    <definedName name="Parm_Elect_Transfmr_64">#REF!</definedName>
    <definedName name="Parm_Elect_Transfmr_65">#REF!</definedName>
    <definedName name="Parm_Elect_Transfmr_66">#REF!</definedName>
    <definedName name="Parm_Elect_Transfmr_67">#REF!</definedName>
    <definedName name="Parm_Elect_Transm_01">#REF!</definedName>
    <definedName name="Parm_Elect_Transm_02">#REF!</definedName>
    <definedName name="Parm_Elect_Transm_03">#REF!</definedName>
    <definedName name="Parm_Elect_Transm_04">#REF!</definedName>
    <definedName name="Parm_Elect_Transm_05">#REF!</definedName>
    <definedName name="Parm_Elect_Transm_06">#REF!</definedName>
    <definedName name="Parm_Elect_Transm_07">#REF!</definedName>
    <definedName name="Parm_Elect_Transm_08">#REF!</definedName>
    <definedName name="Parm_General_01">#REF!</definedName>
    <definedName name="Parm_General_02">#REF!</definedName>
    <definedName name="Parm_General_03">#REF!</definedName>
    <definedName name="Parm_General_04">#REF!</definedName>
    <definedName name="Parm_General_05">#REF!</definedName>
    <definedName name="Parm_General_06">#REF!</definedName>
    <definedName name="Parm_General_07">#REF!</definedName>
    <definedName name="Parm_General_08">#REF!</definedName>
    <definedName name="Parm_General_09">#REF!</definedName>
    <definedName name="Parm_Guar_Envirmt_01">#REF!</definedName>
    <definedName name="Parm_Guar_Envirmt_02">#REF!</definedName>
    <definedName name="Parm_Guar_Envirmt_03">#REF!</definedName>
    <definedName name="Parm_Guar_Envirmt_04">#REF!</definedName>
    <definedName name="Parm_Guar_Envirmt_05">#REF!</definedName>
    <definedName name="Parm_Guar_Envirmt_06">#REF!</definedName>
    <definedName name="Parm_Guar_Envirmt_07">#REF!</definedName>
    <definedName name="Parm_Guar_Envirmt_08">#REF!</definedName>
    <definedName name="Parm_Guar_Envirmt_09">#REF!</definedName>
    <definedName name="Parm_Guar_Envirmt_10">#REF!</definedName>
    <definedName name="Parm_Guar_Envirmt_11">#REF!</definedName>
    <definedName name="Parm_Guar_Envirmt_12">#REF!</definedName>
    <definedName name="Parm_Guar_Perf_01">#REF!</definedName>
    <definedName name="Parm_Guar_Perf_02">#REF!</definedName>
    <definedName name="Parm_Guar_Perf_03">#REF!</definedName>
    <definedName name="Parm_Guar_Perf_04">#REF!</definedName>
    <definedName name="Parm_Guar_Perf_05">#REF!</definedName>
    <definedName name="Parm_Guar_Perf_06">#REF!</definedName>
    <definedName name="Parm_Guar_Perf_07">#REF!</definedName>
    <definedName name="Parm_Guar_Perf_08">#REF!</definedName>
    <definedName name="Parm_Guar_Perf_09">#REF!</definedName>
    <definedName name="Parm_Guar_Perf_10">#REF!</definedName>
    <definedName name="Parm_Guar_Perf_11">#REF!</definedName>
    <definedName name="Parm_Guar_Perf_Marg_01">#REF!</definedName>
    <definedName name="Parm_Guar_Perf_Marg_02">#REF!</definedName>
    <definedName name="Parm_Guar_Perf_Marg_03">#REF!</definedName>
    <definedName name="Parm_Guar_Perf_Marg_04">#REF!</definedName>
    <definedName name="Parm_Guar_Perf_Marg_05">#REF!</definedName>
    <definedName name="Parm_Guar_Perf_Marg_06">#REF!</definedName>
    <definedName name="Parm_Guar_Perf_Marg_07">#REF!</definedName>
    <definedName name="Parm_Guar_Perf_Marg_08">#REF!</definedName>
    <definedName name="Parm_Guar_Perf_Marg_09">#REF!</definedName>
    <definedName name="Parm_Guar_Perf_Marg_10">#REF!</definedName>
    <definedName name="Parm_Guar_Perf_Marg_11">#REF!</definedName>
    <definedName name="Parm_Mech_Boiler_01">#REF!</definedName>
    <definedName name="Parm_Mech_Boiler_02">#REF!</definedName>
    <definedName name="Parm_Mech_Boiler_03">#REF!</definedName>
    <definedName name="Parm_Mech_Boiler_04">#REF!</definedName>
    <definedName name="Parm_Mech_Boiler_05">#REF!</definedName>
    <definedName name="Parm_Mech_Boiler_06">#REF!</definedName>
    <definedName name="Parm_Mech_Boiler_07">#REF!</definedName>
    <definedName name="Parm_Mech_Boiler_08">#REF!</definedName>
    <definedName name="Parm_Mech_Boiler_09">#REF!</definedName>
    <definedName name="Parm_Mech_Boiler_10">#REF!</definedName>
    <definedName name="Parm_Mech_Boiler_11">#REF!</definedName>
    <definedName name="Parm_Mech_Boiler_12">#REF!</definedName>
    <definedName name="Parm_Mech_Boiler_13">#REF!</definedName>
    <definedName name="Parm_Mech_Boiler_14">#REF!</definedName>
    <definedName name="Parm_Mech_Boiler_15">#REF!</definedName>
    <definedName name="Parm_Mech_Boiler_16">#REF!</definedName>
    <definedName name="Parm_Mech_Boiler_17">#REF!</definedName>
    <definedName name="Parm_Mech_Boiler_18">#REF!</definedName>
    <definedName name="Parm_Mech_Boiler_19">#REF!</definedName>
    <definedName name="Parm_Mech_Boiler_20">#REF!</definedName>
    <definedName name="Parm_Mech_Boiler_21">#REF!</definedName>
    <definedName name="Parm_Mech_Boiler_22">#REF!</definedName>
    <definedName name="Parm_Mech_Boiler_23">#REF!</definedName>
    <definedName name="Parm_Mech_Boiler_24">#REF!</definedName>
    <definedName name="Parm_Mech_BOP_01">#REF!</definedName>
    <definedName name="Parm_Mech_BOP_02">#REF!</definedName>
    <definedName name="Parm_Mech_BOP_03">#REF!</definedName>
    <definedName name="Parm_Mech_BOP_04">#REF!</definedName>
    <definedName name="Parm_Mech_BOP_05">#REF!</definedName>
    <definedName name="Parm_Mech_BOP_06">#REF!</definedName>
    <definedName name="Parm_Mech_BOP_07">#REF!</definedName>
    <definedName name="Parm_Mech_BOP_08">#REF!</definedName>
    <definedName name="Parm_Mech_BOP_09">#REF!</definedName>
    <definedName name="Parm_Mech_BOP_10">#REF!</definedName>
    <definedName name="Parm_Mech_BOP_11">#REF!</definedName>
    <definedName name="Parm_Mech_BOP_12">#REF!</definedName>
    <definedName name="Parm_Mech_BOP_13">#REF!</definedName>
    <definedName name="Parm_Mech_BOP_14">#REF!</definedName>
    <definedName name="Parm_Mech_BOP_15">#REF!</definedName>
    <definedName name="Parm_Mech_BOP_16">#REF!</definedName>
    <definedName name="Parm_Mech_BOP_17">#REF!</definedName>
    <definedName name="Parm_Mech_BOP_18">#REF!</definedName>
    <definedName name="Parm_Mech_BOP_19">#REF!</definedName>
    <definedName name="Parm_Mech_BOP_20">#REF!</definedName>
    <definedName name="Parm_Mech_BOP_21">#REF!</definedName>
    <definedName name="Parm_Mech_BOP_22">#REF!</definedName>
    <definedName name="Parm_Mech_BOP_23">#REF!</definedName>
    <definedName name="Parm_Mech_BOP_24">#REF!</definedName>
    <definedName name="Parm_Mech_BOP_25">#REF!</definedName>
    <definedName name="Parm_Mech_BOP_26">#REF!</definedName>
    <definedName name="Parm_Mech_BOP_27">#REF!</definedName>
    <definedName name="Parm_Mech_BOP_28">#REF!</definedName>
    <definedName name="Parm_Mech_BOP_29">#REF!</definedName>
    <definedName name="Parm_Mech_BOP_30">#REF!</definedName>
    <definedName name="Parm_Mech_BOP_31">#REF!</definedName>
    <definedName name="Parm_Mech_Emissions_01">#REF!</definedName>
    <definedName name="Parm_Mech_Emissions_02">#REF!</definedName>
    <definedName name="Parm_Mech_Emissions_03">#REF!</definedName>
    <definedName name="Parm_Mech_Emissions_04">#REF!</definedName>
    <definedName name="Parm_Mech_Emissions_05">#REF!</definedName>
    <definedName name="Parm_Mech_Emissions_06">#REF!</definedName>
    <definedName name="Parm_Mech_Emissions_07">#REF!</definedName>
    <definedName name="Parm_Mech_Emissions_08">#REF!</definedName>
    <definedName name="Parm_Mech_Emissions_09">#REF!</definedName>
    <definedName name="Parm_Mech_Emissions_10">#REF!</definedName>
    <definedName name="Parm_Mech_Emissions_11">#REF!</definedName>
    <definedName name="Parm_Mech_Emissions_12">#REF!</definedName>
    <definedName name="Parm_Mech_Emissions_13">#REF!</definedName>
    <definedName name="Parm_Mech_Emissions_14">#REF!</definedName>
    <definedName name="Parm_Mech_Emissions_15">#REF!</definedName>
    <definedName name="Parm_Mech_Emissions_16">#REF!</definedName>
    <definedName name="Parm_Mech_Emissions_17">#REF!</definedName>
    <definedName name="Parm_Mech_Emissions_18">#REF!</definedName>
    <definedName name="Parm_Mech_Emissions_19">#REF!</definedName>
    <definedName name="Parm_Mech_Emissions_20">#REF!</definedName>
    <definedName name="Parm_Mech_Emissions_21">#REF!</definedName>
    <definedName name="Parm_Mech_Emissions_22">#REF!</definedName>
    <definedName name="Parm_Mech_Emissions_23">#REF!</definedName>
    <definedName name="Parm_Mech_Emissions_24">#REF!</definedName>
    <definedName name="Parm_Mech_Emissions_25">#REF!</definedName>
    <definedName name="Parm_Mech_Emissions_26">#REF!</definedName>
    <definedName name="Parm_Mech_Emissions_27">#REF!</definedName>
    <definedName name="Parm_Mech_Emissions_28">#REF!</definedName>
    <definedName name="Parm_Mech_Emissions_29">#REF!</definedName>
    <definedName name="Parm_Mech_Emissions_30">#REF!</definedName>
    <definedName name="Parm_Mech_Fuel_01">#REF!</definedName>
    <definedName name="Parm_Mech_Fuel_02">#REF!</definedName>
    <definedName name="Parm_Mech_Fuel_03">#REF!</definedName>
    <definedName name="Parm_Mech_Fuel_04">#REF!</definedName>
    <definedName name="Parm_Mech_Fuel_05">#REF!</definedName>
    <definedName name="Parm_Mech_Fuel_06">#REF!</definedName>
    <definedName name="Parm_Mech_Fuel_07">#REF!</definedName>
    <definedName name="Parm_Mech_Fuel_08">#REF!</definedName>
    <definedName name="Parm_Mech_Fuel_09">#REF!</definedName>
    <definedName name="Parm_Mech_Fuel_10">#REF!</definedName>
    <definedName name="Parm_Mech_Fuel_11">#REF!</definedName>
    <definedName name="Parm_Mech_Fuel_12">#REF!</definedName>
    <definedName name="Parm_Mech_Fuel_13">#REF!</definedName>
    <definedName name="Parm_Mech_Fuel_14">#REF!</definedName>
    <definedName name="Parm_Mech_Fuel_15">#REF!</definedName>
    <definedName name="Parm_Mech_Fuel_16">#REF!</definedName>
    <definedName name="Parm_Mech_Mtlhd_01">#REF!</definedName>
    <definedName name="Parm_Mech_Mtlhd_02">#REF!</definedName>
    <definedName name="Parm_Mech_Mtlhd_03">#REF!</definedName>
    <definedName name="Parm_Mech_Mtlhd_04">#REF!</definedName>
    <definedName name="Parm_Mech_Mtlhd_05">#REF!</definedName>
    <definedName name="Parm_Mech_Mtlhd_06">#REF!</definedName>
    <definedName name="Parm_Mech_Mtlhd_07">#REF!</definedName>
    <definedName name="Parm_Mech_Mtlhd_08">#REF!</definedName>
    <definedName name="Parm_Mech_Mtlhd_09">#REF!</definedName>
    <definedName name="Parm_Mech_Mtlhd_10">#REF!</definedName>
    <definedName name="Parm_Mech_Mtlhd_11">#REF!</definedName>
    <definedName name="Parm_Mech_Mtlhd_12">#REF!</definedName>
    <definedName name="Parm_Mech_Mtlhd_13">#REF!</definedName>
    <definedName name="Parm_Mech_Mtlhd_14">#REF!</definedName>
    <definedName name="Parm_Mech_Mtlhd_15">#REF!</definedName>
    <definedName name="Parm_Mech_Mtlhd_16">#REF!</definedName>
    <definedName name="Parm_Mech_Mtlhd_17">#REF!</definedName>
    <definedName name="Parm_Mech_STG_01">#REF!</definedName>
    <definedName name="Parm_Mech_STG_02">#REF!</definedName>
    <definedName name="Parm_Mech_STG_03">#REF!</definedName>
    <definedName name="Parm_Mech_STG_04">#REF!</definedName>
    <definedName name="Parm_Mech_STG_05">#REF!</definedName>
    <definedName name="Parm_Mech_STG_06">#REF!</definedName>
    <definedName name="Parm_Mech_STG_07">#REF!</definedName>
    <definedName name="Parm_Mech_STG_08">#REF!</definedName>
    <definedName name="Parm_Mech_STG_09">#REF!</definedName>
    <definedName name="Parm_Mech_STG_10">#REF!</definedName>
    <definedName name="Parm_Mech_STG_11">#REF!</definedName>
    <definedName name="Parm_Mech_STG_12">#REF!</definedName>
    <definedName name="Parm_Mech_STG_13">#REF!</definedName>
    <definedName name="Parm_Mech_STG_14">#REF!</definedName>
    <definedName name="Parm_Mech_STG_15">#REF!</definedName>
    <definedName name="Parm_Mech_STG_16">#REF!</definedName>
    <definedName name="Parm_Mech_STG_17">#REF!</definedName>
    <definedName name="Parm_Mech_STG_18">#REF!</definedName>
    <definedName name="Parm_Mech_STG_19">#REF!</definedName>
    <definedName name="Parm_Mech_STG_20">#REF!</definedName>
    <definedName name="Parm_Mech_STG_21">#REF!</definedName>
    <definedName name="Parm_Mech_Storage_01">#REF!</definedName>
    <definedName name="Parm_Mech_Storage_02">#REF!</definedName>
    <definedName name="Parm_Mech_Storage_03">#REF!</definedName>
    <definedName name="Parm_Mech_Storage_04">#REF!</definedName>
    <definedName name="Parm_Mech_Storage_05">#REF!</definedName>
    <definedName name="Parm_Mech_Storage_06">#REF!</definedName>
    <definedName name="Parm_Mech_Storage_07">#REF!</definedName>
    <definedName name="Parm_Mech_Storage_08">#REF!</definedName>
    <definedName name="Parm_Mech_Storage_09">#REF!</definedName>
    <definedName name="Parm_Mech_Storage_10">#REF!</definedName>
    <definedName name="Parm_Mech_Storage_11">#REF!</definedName>
    <definedName name="Parm_Plant_Design_01">#REF!</definedName>
    <definedName name="Parm_Plant_Design_02">#REF!</definedName>
    <definedName name="Parm_Plant_Design_03">#REF!</definedName>
    <definedName name="Parm_Plant_Design_04">#REF!</definedName>
    <definedName name="Parm_Plant_Design_05">#REF!</definedName>
    <definedName name="Parm_Plant_Design_06">#REF!</definedName>
    <definedName name="Parm_Plant_Design_07">#REF!</definedName>
    <definedName name="Parm_Plant_Design_08">#REF!</definedName>
    <definedName name="Parm_Plant_Design_09">#REF!</definedName>
    <definedName name="Parm_Plant_Design_10">#REF!</definedName>
    <definedName name="Parm_Plant_Design_11">#REF!</definedName>
    <definedName name="Parm_Plant_Design_12">#REF!</definedName>
    <definedName name="Parm_Plant_Design_13">#REF!</definedName>
    <definedName name="Parm_Plant_Design_14">#REF!</definedName>
    <definedName name="Parm_Plant_Design_15">#REF!</definedName>
    <definedName name="Parm_Plant_Design_16">#REF!</definedName>
    <definedName name="Parm_Plant_Design_17">#REF!</definedName>
    <definedName name="Parm_Plant_Design_18">#REF!</definedName>
    <definedName name="Parm_Plant_Design_19">#REF!</definedName>
    <definedName name="Parm_Plant_Design_20">#REF!</definedName>
    <definedName name="Parm_Plant_Design_21">#REF!</definedName>
    <definedName name="Parm_Plant_Design_22">#REF!</definedName>
    <definedName name="Parm_Plant_Design_23">#REF!</definedName>
    <definedName name="Parm_Plant_Design_24">#REF!</definedName>
    <definedName name="Parm_Plant_Design_25">#REF!</definedName>
    <definedName name="Parm_Plant_Design_26">#REF!</definedName>
    <definedName name="Parm_Plant_Design_27">#REF!</definedName>
    <definedName name="Parm_Plant_Design_28">#REF!</definedName>
    <definedName name="Parm_Plant_Design_29">#REF!</definedName>
    <definedName name="parq1">#REF!</definedName>
    <definedName name="parse" localSheetId="1" hidden="1">#REF!</definedName>
    <definedName name="parse" hidden="1">#REF!</definedName>
    <definedName name="part">#REF!</definedName>
    <definedName name="Part_200">#REF!</definedName>
    <definedName name="part_no" localSheetId="1">#REF!</definedName>
    <definedName name="part_no">#REF!</definedName>
    <definedName name="part_no_1">0</definedName>
    <definedName name="part10">#REF!</definedName>
    <definedName name="PART2">#REF!</definedName>
    <definedName name="PART3" localSheetId="1">#REF!</definedName>
    <definedName name="PART3">#REF!</definedName>
    <definedName name="PART4">#REF!</definedName>
    <definedName name="part5" localSheetId="1">#REF!</definedName>
    <definedName name="part5">#REF!</definedName>
    <definedName name="part7" localSheetId="1">#REF!</definedName>
    <definedName name="part7">#REF!</definedName>
    <definedName name="part8" localSheetId="1">#REF!</definedName>
    <definedName name="part8">#REF!</definedName>
    <definedName name="part9">#REF!</definedName>
    <definedName name="PARTIV">#REF!</definedName>
    <definedName name="Partner_first_name">#REF!</definedName>
    <definedName name="Partner_Int">#REF!</definedName>
    <definedName name="Partner_surname" localSheetId="1">#REF!</definedName>
    <definedName name="Partner_surname">#REF!</definedName>
    <definedName name="PARTNO" localSheetId="1">#REF!</definedName>
    <definedName name="PARTNO">#REF!</definedName>
    <definedName name="parts" localSheetId="1">#REF!</definedName>
    <definedName name="parts">#REF!</definedName>
    <definedName name="party">#REF!</definedName>
    <definedName name="Partysanitary" localSheetId="1">#REF!</definedName>
    <definedName name="Partysanitary">#REF!</definedName>
    <definedName name="passive" localSheetId="1" hidden="1">{#N/A,#N/A,TRUE,"Cover";#N/A,#N/A,TRUE,"Conts";#N/A,#N/A,TRUE,"VOS";#N/A,#N/A,TRUE,"Warrington";#N/A,#N/A,TRUE,"Widnes"}</definedName>
    <definedName name="passive" hidden="1">{#N/A,#N/A,TRUE,"Cover";#N/A,#N/A,TRUE,"Conts";#N/A,#N/A,TRUE,"VOS";#N/A,#N/A,TRUE,"Warrington";#N/A,#N/A,TRUE,"Widnes"}</definedName>
    <definedName name="pat">#REF!</definedName>
    <definedName name="patchdoor">#REF!</definedName>
    <definedName name="PATIO" localSheetId="1">#REF!</definedName>
    <definedName name="PATIO">#REF!</definedName>
    <definedName name="paul">50000</definedName>
    <definedName name="Pav" localSheetId="1">#REF!</definedName>
    <definedName name="Pav">#REF!</definedName>
    <definedName name="PAVE" localSheetId="1">#REF!</definedName>
    <definedName name="PAVE">#REF!</definedName>
    <definedName name="PavementMarking">#REF!</definedName>
    <definedName name="Pavings">#REF!</definedName>
    <definedName name="PAY" localSheetId="1">#REF!</definedName>
    <definedName name="PAY">#REF!</definedName>
    <definedName name="Pay_Date">#REF!</definedName>
    <definedName name="Pay_Num">#REF!</definedName>
    <definedName name="PAYCRIT">#REF!</definedName>
    <definedName name="PAYITEM">#REF!</definedName>
    <definedName name="Payment">#REF!</definedName>
    <definedName name="Payment_Date" localSheetId="1">DATE(YEAR('City Walk - Comparison'!bhjbh),MONTH('City Walk - Comparison'!bhjbh)+[1]!COUNT_FS05_1B1,DAY('City Walk - Comparison'!bhjbh))</definedName>
    <definedName name="Payment_Date">DATE(YEAR(Loan_Start),MONTH(Loan_Start)+Payment_Number,DAY(Loan_Start))</definedName>
    <definedName name="Payment_Number" localSheetId="1">ROW()-[1]!Header_Row</definedName>
    <definedName name="Payment_Number">ROW()-[1]!Header_Row</definedName>
    <definedName name="PAYMENT_SCHEDUL">#REF!</definedName>
    <definedName name="PaymentType" localSheetId="1">#REF!</definedName>
    <definedName name="PaymentType">#REF!</definedName>
    <definedName name="Paymenttype2">#REF!</definedName>
    <definedName name="PAymenttype3" localSheetId="1">#REF!</definedName>
    <definedName name="PAymenttype3">#REF!</definedName>
    <definedName name="PAYROLL">#REF!</definedName>
    <definedName name="pb">#REF!</definedName>
    <definedName name="pb___0">#REF!</definedName>
    <definedName name="pb___11">#REF!</definedName>
    <definedName name="pb___12">#REF!</definedName>
    <definedName name="pba">#REF!</definedName>
    <definedName name="pbed">#REF!</definedName>
    <definedName name="pBillXRate" localSheetId="1">#REF!</definedName>
    <definedName name="pBillXRate">#REF!</definedName>
    <definedName name="pbt">#REF!</definedName>
    <definedName name="pbv" localSheetId="1">#REF!</definedName>
    <definedName name="pbv">#REF!</definedName>
    <definedName name="Pbx" localSheetId="1">#REF!</definedName>
    <definedName name="Pbx">#REF!</definedName>
    <definedName name="Pby" localSheetId="1">#REF!</definedName>
    <definedName name="Pby">#REF!</definedName>
    <definedName name="pc" localSheetId="1">#REF!</definedName>
    <definedName name="pc">#REF!</definedName>
    <definedName name="pc_1">0</definedName>
    <definedName name="PC_9SUMR12">#REF!</definedName>
    <definedName name="PC_9SUMR16">#REF!</definedName>
    <definedName name="PC_9SUMR20">#REF!</definedName>
    <definedName name="PC_9SUMR25">#REF!</definedName>
    <definedName name="PC_9SUMR32">#REF!</definedName>
    <definedName name="PC_9SUMR40">#REF!</definedName>
    <definedName name="PC_9SUMR6">#REF!</definedName>
    <definedName name="PC_9SUMR8">#REF!</definedName>
    <definedName name="PC_9SUMT10">#REF!</definedName>
    <definedName name="PC_9SUMT12">#REF!</definedName>
    <definedName name="PC_9SUMT16">#REF!</definedName>
    <definedName name="PC_9SUMT20">#REF!</definedName>
    <definedName name="PC_9SUMT25">#REF!</definedName>
    <definedName name="PC_9SUMT32">#REF!</definedName>
    <definedName name="PC_9SUMT40">#REF!</definedName>
    <definedName name="PC_9SUMT6">#REF!</definedName>
    <definedName name="PC_9SUMTT">#REF!</definedName>
    <definedName name="PC_Hrs1">#REF!</definedName>
    <definedName name="PC_HRS2">#REF!</definedName>
    <definedName name="PC_label">#REF!</definedName>
    <definedName name="PC_PS1.1_BQ_amount">#REF!</definedName>
    <definedName name="PC_PS1.1_Description">#REF!</definedName>
    <definedName name="PC_PS1.1_Tender_amount">#REF!</definedName>
    <definedName name="PC_PS1.1_Variations">#REF!</definedName>
    <definedName name="PC_PS1.2_BQ_amount">#REF!</definedName>
    <definedName name="PC_PS1.2_Description">#REF!</definedName>
    <definedName name="PC_PS1.2_Tender_amount">#REF!</definedName>
    <definedName name="PC_PS1.2_Variations">#REF!</definedName>
    <definedName name="PC_PS1.3_BQ_amount">#REF!</definedName>
    <definedName name="PC_PS1.3_Description">#REF!</definedName>
    <definedName name="PC_PS1.3_Tender_amount">#REF!</definedName>
    <definedName name="PC_PS1.3_Variations">#REF!</definedName>
    <definedName name="PC_PS1.4_BQ_amount">#REF!</definedName>
    <definedName name="PC_PS1.4_Description">#REF!</definedName>
    <definedName name="PC_PS1.4_Tender_amount">#REF!</definedName>
    <definedName name="PC_PS1.4_Variations">#REF!</definedName>
    <definedName name="PC_PS1.5_BQ_amount">#REF!</definedName>
    <definedName name="PC_PS1.5_Description">#REF!</definedName>
    <definedName name="PC_PS1.5_Tender_amount">#REF!</definedName>
    <definedName name="PC_PS1.5_Variations">#REF!</definedName>
    <definedName name="PC_PS10.1_BQ_amount">#REF!</definedName>
    <definedName name="PC_PS10.1_Description">#REF!</definedName>
    <definedName name="PC_PS10.1_Tender_amount">#REF!</definedName>
    <definedName name="PC_PS10.2_BQ_amount">#REF!</definedName>
    <definedName name="PC_PS10.2_Description">#REF!</definedName>
    <definedName name="PC_PS10.2_Tender_amount">#REF!</definedName>
    <definedName name="PC_PS10.3_BQ_amount">#REF!</definedName>
    <definedName name="PC_PS10.3_Description">#REF!</definedName>
    <definedName name="PC_PS10.3_Tender_amount">#REF!</definedName>
    <definedName name="PC_PS10.4_BQ_amount">#REF!</definedName>
    <definedName name="PC_PS10.4_Description">#REF!</definedName>
    <definedName name="PC_PS10.4_Tender_amount">#REF!</definedName>
    <definedName name="PC_PS10.5_BQ_amount">#REF!</definedName>
    <definedName name="PC_PS10.5_Description">#REF!</definedName>
    <definedName name="PC_PS10.5_Tender_amount">#REF!</definedName>
    <definedName name="PC_PS11.1_BQ_amount">#REF!</definedName>
    <definedName name="PC_PS11.1_Description">#REF!</definedName>
    <definedName name="PC_PS11.1_Tender_amount">#REF!</definedName>
    <definedName name="PC_PS11.2_BQ_amount">#REF!</definedName>
    <definedName name="PC_PS11.2_Description">#REF!</definedName>
    <definedName name="PC_PS11.2_Tender_amount">#REF!</definedName>
    <definedName name="PC_PS11.3_BQ_amount">#REF!</definedName>
    <definedName name="PC_PS11.3_Description">#REF!</definedName>
    <definedName name="PC_PS11.3_Tender_amount">#REF!</definedName>
    <definedName name="PC_PS11.4_BQ_amount">#REF!</definedName>
    <definedName name="PC_PS11.4_Description">#REF!</definedName>
    <definedName name="PC_PS11.4_Tender_amount">#REF!</definedName>
    <definedName name="PC_PS11.5_BQ_amount">#REF!</definedName>
    <definedName name="PC_PS11.5_Description">#REF!</definedName>
    <definedName name="PC_PS11.5_Tender_amount">#REF!</definedName>
    <definedName name="PC_PS12.1_BQ_amount">#REF!</definedName>
    <definedName name="PC_PS12.1_Description">#REF!</definedName>
    <definedName name="PC_PS12.1_Tender_amount">#REF!</definedName>
    <definedName name="PC_PS12.2_BQ_amount">#REF!</definedName>
    <definedName name="PC_PS12.2_Description">#REF!</definedName>
    <definedName name="PC_PS12.2_Tender_amount">#REF!</definedName>
    <definedName name="PC_PS12.3_BQ_amount">#REF!</definedName>
    <definedName name="PC_PS12.3_Description">#REF!</definedName>
    <definedName name="PC_PS12.3_Tender_amount">#REF!</definedName>
    <definedName name="PC_PS12.4_BQ_amount">#REF!</definedName>
    <definedName name="PC_PS12.4_Description">#REF!</definedName>
    <definedName name="PC_PS12.4_Tender_amount">#REF!</definedName>
    <definedName name="PC_PS12.5_BQ_amount">#REF!</definedName>
    <definedName name="PC_PS12.5_Description">#REF!</definedName>
    <definedName name="PC_PS12.5_Tender_amount">#REF!</definedName>
    <definedName name="PC_PS13.1_BQ_amount">#REF!</definedName>
    <definedName name="PC_PS13.1_Description">#REF!</definedName>
    <definedName name="PC_PS13.1_Tender_amount">#REF!</definedName>
    <definedName name="PC_PS13.2_BQ_amount">#REF!</definedName>
    <definedName name="PC_PS13.2_Description">#REF!</definedName>
    <definedName name="PC_PS13.2_Tender_amount">#REF!</definedName>
    <definedName name="PC_PS13.3_BQ_amount">#REF!</definedName>
    <definedName name="PC_PS13.3_Description">#REF!</definedName>
    <definedName name="PC_PS13.3_Tender_amount">#REF!</definedName>
    <definedName name="PC_PS13.4_BQ_amount">#REF!</definedName>
    <definedName name="PC_PS13.4_Description">#REF!</definedName>
    <definedName name="PC_PS13.4_Tender_amount">#REF!</definedName>
    <definedName name="PC_PS13.5_BQ_amount">#REF!</definedName>
    <definedName name="PC_PS13.5_Description">#REF!</definedName>
    <definedName name="PC_PS13.5_Tender_amount">#REF!</definedName>
    <definedName name="PC_PS14.1_BQ_amount">#REF!</definedName>
    <definedName name="PC_PS14.1_Description">#REF!</definedName>
    <definedName name="PC_PS14.1_Tender_amount">#REF!</definedName>
    <definedName name="PC_PS14.2_BQ_amount">#REF!</definedName>
    <definedName name="PC_PS14.2_Description">#REF!</definedName>
    <definedName name="PC_PS14.2_Tender_amount">#REF!</definedName>
    <definedName name="PC_PS14.3_BQ_amount">#REF!</definedName>
    <definedName name="PC_PS14.3_Description">#REF!</definedName>
    <definedName name="PC_PS14.3_Tender_amount">#REF!</definedName>
    <definedName name="PC_PS14.4_BQ_amount">#REF!</definedName>
    <definedName name="PC_PS14.4_Description">#REF!</definedName>
    <definedName name="PC_PS14.4_Tender_amount">#REF!</definedName>
    <definedName name="PC_PS14.5_BQ_amount">#REF!</definedName>
    <definedName name="PC_PS14.5_Description">#REF!</definedName>
    <definedName name="PC_PS14.5_Tender_amount">#REF!</definedName>
    <definedName name="PC_PS15.1_BQ_amount">#REF!</definedName>
    <definedName name="PC_PS15.1_Description">#REF!</definedName>
    <definedName name="PC_PS15.1_Tender_amount">#REF!</definedName>
    <definedName name="PC_PS15.2_BQ_amount">#REF!</definedName>
    <definedName name="PC_PS15.2_Description">#REF!</definedName>
    <definedName name="PC_PS15.2_Tender_amount">#REF!</definedName>
    <definedName name="PC_PS15.3_BQ_amount">#REF!</definedName>
    <definedName name="PC_PS15.3_Description">#REF!</definedName>
    <definedName name="PC_PS15.3_Tender_amount">#REF!</definedName>
    <definedName name="PC_PS15.4_BQ_amount">#REF!</definedName>
    <definedName name="PC_PS15.4_Description">#REF!</definedName>
    <definedName name="PC_PS15.4_Tender_amount">#REF!</definedName>
    <definedName name="PC_PS15.5_BQ_amount">#REF!</definedName>
    <definedName name="PC_PS15.5_Description">#REF!</definedName>
    <definedName name="PC_PS15.5_Tender_amount">#REF!</definedName>
    <definedName name="PC_PS16.1_BQ_amount">#REF!</definedName>
    <definedName name="PC_PS16.1_Description">#REF!</definedName>
    <definedName name="PC_PS16.1_Tender_amount">#REF!</definedName>
    <definedName name="PC_PS16.2_BQ_amount">#REF!</definedName>
    <definedName name="PC_PS16.2_Description">#REF!</definedName>
    <definedName name="PC_PS16.2_Tender_amount">#REF!</definedName>
    <definedName name="PC_PS16.3_BQ_amount">#REF!</definedName>
    <definedName name="PC_PS16.3_Description">#REF!</definedName>
    <definedName name="PC_PS16.3_Tender_amount">#REF!</definedName>
    <definedName name="PC_PS16.4_BQ_amount">#REF!</definedName>
    <definedName name="PC_PS16.4_Description">#REF!</definedName>
    <definedName name="PC_PS16.4_Tender_amount">#REF!</definedName>
    <definedName name="PC_PS16.5_BQ_amount">#REF!</definedName>
    <definedName name="PC_PS16.5_Description">#REF!</definedName>
    <definedName name="PC_PS16.5_Tender_amount">#REF!</definedName>
    <definedName name="PC_PS17._Tender_amount">#REF!</definedName>
    <definedName name="PC_PS17.1_BQ_amount">#REF!</definedName>
    <definedName name="PC_PS17.1_Description">#REF!</definedName>
    <definedName name="PC_PS17.1_Tender_amount">#REF!</definedName>
    <definedName name="PC_PS17.2_BQ_amount">#REF!</definedName>
    <definedName name="PC_PS17.2_Description">#REF!</definedName>
    <definedName name="PC_PS17.2_Tender_amount">#REF!</definedName>
    <definedName name="PC_PS17.3_BQ_amount">#REF!</definedName>
    <definedName name="PC_PS17.3_Description">#REF!</definedName>
    <definedName name="PC_PS17.3_Tender_amount">#REF!</definedName>
    <definedName name="PC_PS17.4_BQ_amount">#REF!</definedName>
    <definedName name="PC_PS17.4_Description">#REF!</definedName>
    <definedName name="PC_PS17.4_Tender_amount">#REF!</definedName>
    <definedName name="PC_PS17.5_BQ_amount">#REF!</definedName>
    <definedName name="PC_PS17.5_Description">#REF!</definedName>
    <definedName name="PC_PS17.5_Tender_amount">#REF!</definedName>
    <definedName name="PC_PS18.1_BQ_amount">#REF!</definedName>
    <definedName name="PC_PS18.1_Description">#REF!</definedName>
    <definedName name="PC_PS18.1_Tender_amount">#REF!</definedName>
    <definedName name="PC_PS18.2_BQ_amount">#REF!</definedName>
    <definedName name="PC_PS18.2_Description">#REF!</definedName>
    <definedName name="PC_PS18.2_Tender_amount">#REF!</definedName>
    <definedName name="PC_PS18.3_BQ_amount">#REF!</definedName>
    <definedName name="PC_PS18.3_Description">#REF!</definedName>
    <definedName name="PC_PS18.3_Tender_amount">#REF!</definedName>
    <definedName name="PC_PS18.4_BQ_amount">#REF!</definedName>
    <definedName name="PC_PS18.4_Description">#REF!</definedName>
    <definedName name="PC_PS18.4_Tender_amount">#REF!</definedName>
    <definedName name="PC_PS18.5_BQ_amount">#REF!</definedName>
    <definedName name="PC_PS18.5_Description">#REF!</definedName>
    <definedName name="PC_PS18.5_Tender_amount">#REF!</definedName>
    <definedName name="PC_PS19.1_BQ_amount">#REF!</definedName>
    <definedName name="PC_PS19.1_Description">#REF!</definedName>
    <definedName name="PC_PS19.1_Tender_amount">#REF!</definedName>
    <definedName name="PC_PS19.2_BQ_amount">#REF!</definedName>
    <definedName name="PC_PS19.2_Description">#REF!</definedName>
    <definedName name="PC_PS19.2_Tender_amount">#REF!</definedName>
    <definedName name="PC_PS19.3_BQ_amount">#REF!</definedName>
    <definedName name="PC_PS19.3_Description">#REF!</definedName>
    <definedName name="PC_PS19.3_Tender_amount">#REF!</definedName>
    <definedName name="PC_PS19.4_BQ_amount">#REF!</definedName>
    <definedName name="PC_PS19.4_Description">#REF!</definedName>
    <definedName name="PC_PS19.4_Tender_amount">#REF!</definedName>
    <definedName name="PC_PS19.5_BQ_amount">#REF!</definedName>
    <definedName name="PC_PS19.5_Description">#REF!</definedName>
    <definedName name="PC_PS19.5_Tender_amount">#REF!</definedName>
    <definedName name="PC_PS2.1_BQ_amount">#REF!</definedName>
    <definedName name="PC_PS2.1_Description">#REF!</definedName>
    <definedName name="PC_PS2.1_Tender_amount">#REF!</definedName>
    <definedName name="PC_PS2.2_BQ_amount">#REF!</definedName>
    <definedName name="PC_PS2.2_Description">#REF!</definedName>
    <definedName name="PC_PS2.2_Tender_amount">#REF!</definedName>
    <definedName name="PC_PS2.3_BQ_amount">#REF!</definedName>
    <definedName name="PC_PS2.3_Description">#REF!</definedName>
    <definedName name="PC_PS2.3_Tender_amount">#REF!</definedName>
    <definedName name="PC_PS2.4_BQ_amount">#REF!</definedName>
    <definedName name="PC_PS2.4_Description">#REF!</definedName>
    <definedName name="PC_PS2.4_Tender_amount">#REF!</definedName>
    <definedName name="PC_PS2.5_BQ_amount">#REF!</definedName>
    <definedName name="PC_PS2.5_Description">#REF!</definedName>
    <definedName name="PC_PS2.5_Tender_amount">#REF!</definedName>
    <definedName name="PC_PS20.1_BQ_amount">#REF!</definedName>
    <definedName name="PC_PS20.1_Description">#REF!</definedName>
    <definedName name="PC_PS20.1_Tender_amount">#REF!</definedName>
    <definedName name="PC_PS20.2_BQ_amount">#REF!</definedName>
    <definedName name="PC_PS20.2_Description">#REF!</definedName>
    <definedName name="PC_PS20.2_Tender_amount">#REF!</definedName>
    <definedName name="PC_PS20.3_BQ_amount">#REF!</definedName>
    <definedName name="PC_PS20.3_Description">#REF!</definedName>
    <definedName name="PC_PS20.3_Tender_amount">#REF!</definedName>
    <definedName name="PC_PS20.4_BQ_amount">#REF!</definedName>
    <definedName name="PC_PS20.4_Description">#REF!</definedName>
    <definedName name="PC_PS20.4_Tender_amount">#REF!</definedName>
    <definedName name="PC_PS20.5_BQ_amount">#REF!</definedName>
    <definedName name="PC_PS20.5_Description">#REF!</definedName>
    <definedName name="PC_PS20.5_Tender_amount">#REF!</definedName>
    <definedName name="PC_PS21.1_BQ_amount">#REF!</definedName>
    <definedName name="PC_PS21.1_Description">#REF!</definedName>
    <definedName name="PC_PS21.1_Tender_amount">#REF!</definedName>
    <definedName name="PC_PS21.2_BQ_amount">#REF!</definedName>
    <definedName name="PC_PS21.2_Description">#REF!</definedName>
    <definedName name="PC_PS21.2_Tender_amount">#REF!</definedName>
    <definedName name="PC_PS21.3_BQ_amount">#REF!</definedName>
    <definedName name="PC_PS21.3_Description">#REF!</definedName>
    <definedName name="PC_PS21.3_Tender_amount">#REF!</definedName>
    <definedName name="PC_PS21.4_BQ_amount">#REF!</definedName>
    <definedName name="PC_PS21.4_Description">#REF!</definedName>
    <definedName name="PC_PS21.4_Tender_amount">#REF!</definedName>
    <definedName name="PC_PS21.5_BQ_amount">#REF!</definedName>
    <definedName name="PC_PS21.5_Description">#REF!</definedName>
    <definedName name="PC_PS21.5_Tender_amount">#REF!</definedName>
    <definedName name="PC_PS22.1_BQ_amount">#REF!</definedName>
    <definedName name="PC_PS22.1_Description">#REF!</definedName>
    <definedName name="PC_PS22.1_Tender_amount">#REF!</definedName>
    <definedName name="PC_PS22.2_BQ_amount">#REF!</definedName>
    <definedName name="PC_PS22.2_Description">#REF!</definedName>
    <definedName name="PC_PS22.2_Tender_amount">#REF!</definedName>
    <definedName name="PC_PS22.3_BQ_amount">#REF!</definedName>
    <definedName name="PC_PS22.3_Description">#REF!</definedName>
    <definedName name="PC_PS22.3_Tender_amount">#REF!</definedName>
    <definedName name="PC_PS22.4_BQ_amount">#REF!</definedName>
    <definedName name="PC_PS22.4_Description">#REF!</definedName>
    <definedName name="PC_PS22.4_Tender_amount">#REF!</definedName>
    <definedName name="PC_PS22.5_BQ_amount">#REF!</definedName>
    <definedName name="PC_PS22.5_Description">#REF!</definedName>
    <definedName name="PC_PS22.5_Tender_amount">#REF!</definedName>
    <definedName name="PC_PS23.1_BQ_amount">#REF!</definedName>
    <definedName name="PC_PS23.1_Description">#REF!</definedName>
    <definedName name="PC_PS23.1_Tender_amount">#REF!</definedName>
    <definedName name="PC_PS23.2_BQ_amount">#REF!</definedName>
    <definedName name="PC_PS23.2_Description">#REF!</definedName>
    <definedName name="PC_PS23.2_Tender_amount">#REF!</definedName>
    <definedName name="PC_PS23.3_BQ_amount">#REF!</definedName>
    <definedName name="PC_PS23.3_Description">#REF!</definedName>
    <definedName name="PC_PS23.3_Tender_amount">#REF!</definedName>
    <definedName name="PC_PS23.4_BQ_amount">#REF!</definedName>
    <definedName name="PC_PS23.4_Description">#REF!</definedName>
    <definedName name="PC_PS23.4_Tender_amount">#REF!</definedName>
    <definedName name="PC_PS23.5_BQ_amount">#REF!</definedName>
    <definedName name="PC_PS23.5_Description">#REF!</definedName>
    <definedName name="PC_PS23.5_Tender_amount">#REF!</definedName>
    <definedName name="PC_PS24.1_BQ_amount">#REF!</definedName>
    <definedName name="PC_PS24.1_Description">#REF!</definedName>
    <definedName name="PC_PS24.1_Tender_amount">#REF!</definedName>
    <definedName name="PC_PS24.2_BQ_amount">#REF!</definedName>
    <definedName name="PC_PS24.2_Description">#REF!</definedName>
    <definedName name="PC_PS24.2_Tender_amount">#REF!</definedName>
    <definedName name="PC_PS24.3_BQ_amount">#REF!</definedName>
    <definedName name="PC_PS24.3_Description">#REF!</definedName>
    <definedName name="PC_PS24.3_Tender_amount">#REF!</definedName>
    <definedName name="PC_PS24.4_BQ_amount">#REF!</definedName>
    <definedName name="PC_PS24.4_Description">#REF!</definedName>
    <definedName name="PC_PS24.4_Tender_amount">#REF!</definedName>
    <definedName name="PC_PS24.5_BQ_amount">#REF!</definedName>
    <definedName name="PC_PS24.5_Description">#REF!</definedName>
    <definedName name="PC_PS24.5_Tender_amount">#REF!</definedName>
    <definedName name="PC_PS25.1_BQ_amount">#REF!</definedName>
    <definedName name="PC_PS25.1_Description">#REF!</definedName>
    <definedName name="PC_PS25.1_Tender_amount">#REF!</definedName>
    <definedName name="PC_PS25.2_BQ_amount">#REF!</definedName>
    <definedName name="PC_PS25.2_Description">#REF!</definedName>
    <definedName name="PC_PS25.2_Tender_amount">#REF!</definedName>
    <definedName name="PC_PS25.3_BQ_amount">#REF!</definedName>
    <definedName name="PC_PS25.3_Description">#REF!</definedName>
    <definedName name="PC_PS25.3_Tender_amount">#REF!</definedName>
    <definedName name="PC_PS25.4_BQ_amount">#REF!</definedName>
    <definedName name="PC_PS25.4_Description">#REF!</definedName>
    <definedName name="PC_PS25.4_Tender_amount">#REF!</definedName>
    <definedName name="PC_PS25.5_BQ_amount">#REF!</definedName>
    <definedName name="PC_PS25.5_Description">#REF!</definedName>
    <definedName name="PC_PS25.5_Tender_amount">#REF!</definedName>
    <definedName name="PC_PS26.1_BQ_amount">#REF!</definedName>
    <definedName name="PC_PS26.1_Tender_amount">#REF!</definedName>
    <definedName name="PC_PS26.2_BQ_amount">#REF!</definedName>
    <definedName name="PC_PS26.2_Tender_amount">#REF!</definedName>
    <definedName name="PC_PS26.3_BQ_amount">#REF!</definedName>
    <definedName name="PC_PS26.3_Tender_amount">#REF!</definedName>
    <definedName name="PC_PS26.4_BQ_amount">#REF!</definedName>
    <definedName name="PC_PS26.4_Tender_amount">#REF!</definedName>
    <definedName name="PC_PS26.5_Tender_amount">#REF!</definedName>
    <definedName name="PC_PS27.1_BQ_amount">#REF!</definedName>
    <definedName name="PC_PS27.1_Tender_amount">#REF!</definedName>
    <definedName name="PC_PS27.2_BQ_amount">#REF!</definedName>
    <definedName name="PC_PS27.2_Tender_amount">#REF!</definedName>
    <definedName name="PC_PS27.3_BQ_amount">#REF!</definedName>
    <definedName name="PC_PS27.3_Tender_amount">#REF!</definedName>
    <definedName name="PC_PS27.4_BQ_amount">#REF!</definedName>
    <definedName name="PC_PS27.4_Tender_amount">#REF!</definedName>
    <definedName name="PC_PS27.5_BQ_amount">#REF!</definedName>
    <definedName name="PC_PS27.5_Tender_amount">#REF!</definedName>
    <definedName name="PC_PS28.1_BQ_amount">#REF!</definedName>
    <definedName name="PC_PS28.1_Tender_amount">#REF!</definedName>
    <definedName name="PC_PS28.2_BQ_amount">#REF!</definedName>
    <definedName name="PC_PS28.2_Tender_amount">#REF!</definedName>
    <definedName name="PC_PS28.3_BQ_amount">#REF!</definedName>
    <definedName name="PC_PS28.3_Tender_amount">#REF!</definedName>
    <definedName name="PC_PS28.4_BQ_amount">#REF!</definedName>
    <definedName name="PC_PS28.4_Tender_amount">#REF!</definedName>
    <definedName name="PC_PS28.5_BQ_amount">#REF!</definedName>
    <definedName name="PC_PS28.5_Tender_amount">#REF!</definedName>
    <definedName name="PC_PS29.1_BQ_amount">#REF!</definedName>
    <definedName name="PC_PS29.1_Tender_amount">#REF!</definedName>
    <definedName name="PC_PS29.2_BQ_amount">#REF!</definedName>
    <definedName name="PC_PS29.2_Tender_amount">#REF!</definedName>
    <definedName name="PC_PS29.3_BQ_amount">#REF!</definedName>
    <definedName name="PC_PS29.3_Tender_amount">#REF!</definedName>
    <definedName name="PC_PS29.4_BQ_amount">#REF!</definedName>
    <definedName name="PC_PS29.4_Tender_amount">#REF!</definedName>
    <definedName name="PC_PS29.5_BQ_amount">#REF!</definedName>
    <definedName name="PC_PS29.5_Tender_amount">#REF!</definedName>
    <definedName name="PC_PS3.1_BQ_amount">#REF!</definedName>
    <definedName name="PC_PS3.1_Description">#REF!</definedName>
    <definedName name="PC_PS3.1_Tender_amount">#REF!</definedName>
    <definedName name="PC_PS3.2_BQ_amount">#REF!</definedName>
    <definedName name="PC_PS3.2_Description">#REF!</definedName>
    <definedName name="PC_PS3.2_Tender_amount">#REF!</definedName>
    <definedName name="PC_PS3.3_BQ_amount">#REF!</definedName>
    <definedName name="PC_PS3.3_Description">#REF!</definedName>
    <definedName name="PC_PS3.3_Tender_amount">#REF!</definedName>
    <definedName name="PC_PS3.4_BQ_amount">#REF!</definedName>
    <definedName name="PC_PS3.4_Description">#REF!</definedName>
    <definedName name="PC_PS3.4_Tender_amount">#REF!</definedName>
    <definedName name="PC_PS3.5_BQ_amount">#REF!</definedName>
    <definedName name="PC_PS3.5_Description">#REF!</definedName>
    <definedName name="PC_PS3.5_Tender_amount">#REF!</definedName>
    <definedName name="PC_PS30.1_BQ_amount">#REF!</definedName>
    <definedName name="PC_PS30.1_Tender_amount">#REF!</definedName>
    <definedName name="PC_PS30.2_BQ_amount">#REF!</definedName>
    <definedName name="PC_PS30.2_Tender_amount">#REF!</definedName>
    <definedName name="PC_PS30.3_BQ_amount">#REF!</definedName>
    <definedName name="PC_PS30.3_Tender_amount">#REF!</definedName>
    <definedName name="PC_PS30.4_BQ_amount">#REF!</definedName>
    <definedName name="PC_PS30.4_Tender_amount">#REF!</definedName>
    <definedName name="PC_PS30.5_BQ_amount">#REF!</definedName>
    <definedName name="PC_PS30.5_Tender_amount">#REF!</definedName>
    <definedName name="PC_PS31.1_BQ_amount">#REF!</definedName>
    <definedName name="PC_PS31.1_Tender_amount">#REF!</definedName>
    <definedName name="PC_PS31.2_BQ_amount">#REF!</definedName>
    <definedName name="PC_PS31.2_Tender_amount">#REF!</definedName>
    <definedName name="PC_PS31.3_BQ_amount">#REF!</definedName>
    <definedName name="PC_PS31.3_Tender_amount">#REF!</definedName>
    <definedName name="PC_PS31.4_BQ_amount">#REF!</definedName>
    <definedName name="PC_PS31.4_Tender_amount">#REF!</definedName>
    <definedName name="PC_PS31.5_BQ_amount">#REF!</definedName>
    <definedName name="PC_PS31.5_Tender_amount">#REF!</definedName>
    <definedName name="PC_PS32.1_BQ_amount">#REF!</definedName>
    <definedName name="PC_PS32.1_Tender_amount">#REF!</definedName>
    <definedName name="PC_PS32.2_BQ_amount">#REF!</definedName>
    <definedName name="PC_PS32.2_Tender_amount">#REF!</definedName>
    <definedName name="PC_PS32.3_BQ_amount">#REF!</definedName>
    <definedName name="PC_PS32.3_Tender_amount">#REF!</definedName>
    <definedName name="PC_PS32.4_BQ_amount">#REF!</definedName>
    <definedName name="PC_PS32.4_Tender_amount">#REF!</definedName>
    <definedName name="PC_PS32.5_BQ_amount">#REF!</definedName>
    <definedName name="PC_PS32.5_Tender_amount">#REF!</definedName>
    <definedName name="PC_PS33.1_BQ_amount">#REF!</definedName>
    <definedName name="PC_PS33.1_Tender_amount">#REF!</definedName>
    <definedName name="PC_PS33.2_BQ_amount">#REF!</definedName>
    <definedName name="PC_PS33.2_Tender_amount">#REF!</definedName>
    <definedName name="PC_PS33.3_BQ_amount">#REF!</definedName>
    <definedName name="PC_PS33.3_Tender_amount">#REF!</definedName>
    <definedName name="PC_PS33.4_BQ_amount">#REF!</definedName>
    <definedName name="PC_PS33.4_Tender_amount">#REF!</definedName>
    <definedName name="PC_PS33.5_BQ_amount">#REF!</definedName>
    <definedName name="PC_PS33.5_Tender_amount">#REF!</definedName>
    <definedName name="PC_PS34.1_BQ_amount">#REF!</definedName>
    <definedName name="PC_PS34.1_Tender_amount">#REF!</definedName>
    <definedName name="PC_PS34.2_BQ_amount">#REF!</definedName>
    <definedName name="PC_PS34.2_Tender_amount">#REF!</definedName>
    <definedName name="PC_PS34.3_BQ_amount">#REF!</definedName>
    <definedName name="PC_PS34.3_Tender_amount">#REF!</definedName>
    <definedName name="PC_PS34.4_BQ_amount">#REF!</definedName>
    <definedName name="PC_PS34.4_Tender_amount">#REF!</definedName>
    <definedName name="PC_PS34.5_BQ_amount">#REF!</definedName>
    <definedName name="PC_PS34.5_Tender_amount">#REF!</definedName>
    <definedName name="PC_PS35.1_BQ_amount">#REF!</definedName>
    <definedName name="PC_PS35.1_Tender_amount">#REF!</definedName>
    <definedName name="PC_PS35.2_BQ_amount">#REF!</definedName>
    <definedName name="PC_PS35.2_Tender_amount">#REF!</definedName>
    <definedName name="PC_PS35.3_BQ_amount">#REF!</definedName>
    <definedName name="PC_PS35.3_Tender_amount">#REF!</definedName>
    <definedName name="PC_PS35.4_BQ_amount">#REF!</definedName>
    <definedName name="PC_PS35.4_Tender_amount">#REF!</definedName>
    <definedName name="PC_PS35.5_BQ_amount">#REF!</definedName>
    <definedName name="PC_PS35.5_Tender_amount">#REF!</definedName>
    <definedName name="PC_PS36.1_BQ_amount">#REF!</definedName>
    <definedName name="PC_PS36.1_Tender_amount">#REF!</definedName>
    <definedName name="PC_PS36.2_BQ_amount">#REF!</definedName>
    <definedName name="PC_PS36.2_Tender_amount">#REF!</definedName>
    <definedName name="PC_PS36.3_BQ_amount">#REF!</definedName>
    <definedName name="PC_PS36.3_Tender_amount">#REF!</definedName>
    <definedName name="PC_PS36.4_BQ_amount">#REF!</definedName>
    <definedName name="PC_PS36.4_Tender_amount">#REF!</definedName>
    <definedName name="PC_PS36.5_BQ_amount">#REF!</definedName>
    <definedName name="PC_PS36.5_Tender_amount">#REF!</definedName>
    <definedName name="PC_PS37.1_BQ_amount">#REF!</definedName>
    <definedName name="PC_PS37.1_Tender_amount">#REF!</definedName>
    <definedName name="PC_PS37.2_BQ_amount">#REF!</definedName>
    <definedName name="PC_PS37.2_Tender_amount">#REF!</definedName>
    <definedName name="PC_PS37.3_BQ_amount">#REF!</definedName>
    <definedName name="PC_PS37.3_Tender_amount">#REF!</definedName>
    <definedName name="PC_PS37.4_BQ_amount">#REF!</definedName>
    <definedName name="PC_PS37.4_Tender_amount">#REF!</definedName>
    <definedName name="PC_PS37.5_BQ_amount">#REF!</definedName>
    <definedName name="PC_PS37.5_Tender_amount">#REF!</definedName>
    <definedName name="PC_PS38.1_BQ_amount">#REF!</definedName>
    <definedName name="PC_PS38.1_Tender_amount">#REF!</definedName>
    <definedName name="PC_PS38.2_BQ_amount">#REF!</definedName>
    <definedName name="PC_PS38.2_Tender_amount">#REF!</definedName>
    <definedName name="PC_PS38.3_BQ_amount">#REF!</definedName>
    <definedName name="PC_PS38.3_Tender_amount">#REF!</definedName>
    <definedName name="PC_PS38.4_BQ_amount">#REF!</definedName>
    <definedName name="PC_PS38.4_Tender_amount">#REF!</definedName>
    <definedName name="PC_PS38.5_BQ_amount">#REF!</definedName>
    <definedName name="PC_PS38.5_Tender_amount">#REF!</definedName>
    <definedName name="PC_PS39.1_BQ_amount">#REF!</definedName>
    <definedName name="PC_PS39.1_Tender_amount">#REF!</definedName>
    <definedName name="PC_PS39.2_BQ_amount">#REF!</definedName>
    <definedName name="PC_PS39.2_Tender_amount">#REF!</definedName>
    <definedName name="PC_PS39.3_BQ_amount">#REF!</definedName>
    <definedName name="PC_PS39.3_Tender_amount">#REF!</definedName>
    <definedName name="PC_PS39.4_BQ_amount">#REF!</definedName>
    <definedName name="PC_PS39.4_Tender_amount">#REF!</definedName>
    <definedName name="PC_PS39.5_BQ_amount">#REF!</definedName>
    <definedName name="PC_PS39.5_Tender_amount">#REF!</definedName>
    <definedName name="PC_PS4.1_BQ_amount">#REF!</definedName>
    <definedName name="PC_PS4.1_Description">#REF!</definedName>
    <definedName name="PC_PS4.1_Tender_amount">#REF!</definedName>
    <definedName name="PC_PS4.2_BQ_amount">#REF!</definedName>
    <definedName name="PC_PS4.2_Description">#REF!</definedName>
    <definedName name="PC_PS4.2_Tender_amount">#REF!</definedName>
    <definedName name="PC_PS4.3_BQ_amount">#REF!</definedName>
    <definedName name="PC_PS4.3_Description">#REF!</definedName>
    <definedName name="PC_PS4.3_Tender_amount">#REF!</definedName>
    <definedName name="PC_PS4.4_BQ_amount">#REF!</definedName>
    <definedName name="PC_PS4.4_Description">#REF!</definedName>
    <definedName name="PC_PS4.4_Tender_amount">#REF!</definedName>
    <definedName name="PC_PS4.5_BQ_amount">#REF!</definedName>
    <definedName name="PC_PS4.5_Description">#REF!</definedName>
    <definedName name="PC_PS4.5_Tender_amount">#REF!</definedName>
    <definedName name="PC_PS40.1_BQ_amount">#REF!</definedName>
    <definedName name="PC_PS40.1_Tender_amount">#REF!</definedName>
    <definedName name="PC_PS40.2_BQ_amount">#REF!</definedName>
    <definedName name="PC_PS40.2_Tender_amount">#REF!</definedName>
    <definedName name="PC_PS40.3_BQ_amount">#REF!</definedName>
    <definedName name="PC_PS40.3_Tender_amount">#REF!</definedName>
    <definedName name="PC_PS40.4_BQ_amount">#REF!</definedName>
    <definedName name="PC_PS40.4_Tender_amount">#REF!</definedName>
    <definedName name="PC_PS40.5_BQ_amount">#REF!</definedName>
    <definedName name="PC_PS40.5_Tender_amount">#REF!</definedName>
    <definedName name="PC_PS5.1_BQ_amount">#REF!</definedName>
    <definedName name="PC_PS5.1_Description">#REF!</definedName>
    <definedName name="PC_PS5.1_Tender_amount">#REF!</definedName>
    <definedName name="PC_PS5.2_BQ_amount">#REF!</definedName>
    <definedName name="PC_PS5.2_Description">#REF!</definedName>
    <definedName name="PC_PS5.2_Tender_amount">#REF!</definedName>
    <definedName name="PC_PS5.3_BQ_amount">#REF!</definedName>
    <definedName name="PC_PS5.3_Description">#REF!</definedName>
    <definedName name="PC_PS5.3_Tender_amount">#REF!</definedName>
    <definedName name="PC_PS5.4_BQ_amount">#REF!</definedName>
    <definedName name="PC_PS5.4_Description">#REF!</definedName>
    <definedName name="PC_PS5.4_Tender_amount">#REF!</definedName>
    <definedName name="PC_PS5.5_BQ_amount">#REF!</definedName>
    <definedName name="PC_PS5.5_Description">#REF!</definedName>
    <definedName name="PC_PS5.5_Tender_amount">#REF!</definedName>
    <definedName name="PC_PS6.1_BQ_amount">#REF!</definedName>
    <definedName name="PC_PS6.1_Description">#REF!</definedName>
    <definedName name="PC_PS6.1_Tender_amount">#REF!</definedName>
    <definedName name="PC_PS6.2_BQ_amount">#REF!</definedName>
    <definedName name="PC_PS6.2_Description">#REF!</definedName>
    <definedName name="PC_PS6.2_Tender_amount">#REF!</definedName>
    <definedName name="PC_PS6.3_BQ_amount">#REF!</definedName>
    <definedName name="PC_PS6.3_Description">#REF!</definedName>
    <definedName name="PC_PS6.3_Tender_amount">#REF!</definedName>
    <definedName name="PC_PS6.4_BQ_amount">#REF!</definedName>
    <definedName name="PC_PS6.4_Description">#REF!</definedName>
    <definedName name="PC_PS6.4_Tender_amount">#REF!</definedName>
    <definedName name="PC_PS6.5_BQ_amount">#REF!</definedName>
    <definedName name="PC_PS6.5_Description">#REF!</definedName>
    <definedName name="PC_PS6.5_Tender_amount">#REF!</definedName>
    <definedName name="PC_PS7.1_BQ_amount">#REF!</definedName>
    <definedName name="PC_PS7.1_Description">#REF!</definedName>
    <definedName name="PC_PS7.1_Tender_amount">#REF!</definedName>
    <definedName name="PC_PS7.2_BQ_amount">#REF!</definedName>
    <definedName name="PC_PS7.2_Description">#REF!</definedName>
    <definedName name="PC_PS7.2_Tender_amount">#REF!</definedName>
    <definedName name="PC_PS7.3_BQ_amount">#REF!</definedName>
    <definedName name="PC_PS7.3_Description">#REF!</definedName>
    <definedName name="PC_PS7.3_Tender_amount">#REF!</definedName>
    <definedName name="PC_PS7.4_BQ_amount">#REF!</definedName>
    <definedName name="PC_PS7.4_Description">#REF!</definedName>
    <definedName name="PC_PS7.4_Tender_amount">#REF!</definedName>
    <definedName name="PC_PS7.5_BQ_amount">#REF!</definedName>
    <definedName name="PC_PS7.5_Description">#REF!</definedName>
    <definedName name="PC_PS7.5_Tender_amount">#REF!</definedName>
    <definedName name="PC_PS8.1_BQ_amount">#REF!</definedName>
    <definedName name="PC_PS8.1_Description">#REF!</definedName>
    <definedName name="PC_PS8.1_Tender_amount">#REF!</definedName>
    <definedName name="PC_PS8.2_BQ_amount">#REF!</definedName>
    <definedName name="PC_PS8.2_Description">#REF!</definedName>
    <definedName name="PC_PS8.2_Tender_amount">#REF!</definedName>
    <definedName name="PC_PS8.3_BQ_amount">#REF!</definedName>
    <definedName name="PC_PS8.3_Description">#REF!</definedName>
    <definedName name="PC_PS8.3_Tender_amount">#REF!</definedName>
    <definedName name="PC_PS8.4_BQ_amount">#REF!</definedName>
    <definedName name="PC_PS8.4_Description">#REF!</definedName>
    <definedName name="PC_PS8.4_Tender_amount">#REF!</definedName>
    <definedName name="PC_PS8.5_BQ_amount">#REF!</definedName>
    <definedName name="PC_PS8.5_Description">#REF!</definedName>
    <definedName name="PC_PS8.5_Tender_amount">#REF!</definedName>
    <definedName name="PC_PS9.1_BQ_amount">#REF!</definedName>
    <definedName name="PC_PS9.1_Description">#REF!</definedName>
    <definedName name="PC_PS9.1_Tender_amount">#REF!</definedName>
    <definedName name="PC_PS9.2_BQ_amount">#REF!</definedName>
    <definedName name="PC_PS9.2_Description">#REF!</definedName>
    <definedName name="PC_PS9.2_Tender_amount">#REF!</definedName>
    <definedName name="PC_PS9.3_BQ_amount">#REF!</definedName>
    <definedName name="PC_PS9.3_Description">#REF!</definedName>
    <definedName name="PC_PS9.3_Tender_amount">#REF!</definedName>
    <definedName name="PC_PS9.4_BQ_amount">#REF!</definedName>
    <definedName name="PC_PS9.4_Description">#REF!</definedName>
    <definedName name="PC_PS9.4_Tender_amount">#REF!</definedName>
    <definedName name="PC_PS9.5_BQ_amount">#REF!</definedName>
    <definedName name="PC_PS9.5_Description">#REF!</definedName>
    <definedName name="PC_PS9.5_Tender_amount">#REF!</definedName>
    <definedName name="PC_Sums" localSheetId="1">#REF!</definedName>
    <definedName name="PC_Sums">#REF!</definedName>
    <definedName name="pc_surf_treat" localSheetId="1">#REF!</definedName>
    <definedName name="pc_surf_treat">#REF!</definedName>
    <definedName name="PC1_Ant_Exp">#REF!</definedName>
    <definedName name="PC1_BQ_amount">#REF!</definedName>
    <definedName name="PC1_Description">#REF!</definedName>
    <definedName name="PC1_Tender_amount">#REF!</definedName>
    <definedName name="PC1_Variations">#REF!</definedName>
    <definedName name="PC10_Ant_Exp">#REF!</definedName>
    <definedName name="PC10_BQ_amount">#REF!</definedName>
    <definedName name="PC10_Description">#REF!</definedName>
    <definedName name="PC10_Tender_amount">#REF!</definedName>
    <definedName name="PC10_Variations">#REF!</definedName>
    <definedName name="PC11_Ant_Exp">#REF!</definedName>
    <definedName name="PC11_BQ_amount">#REF!</definedName>
    <definedName name="PC11_Description">#REF!</definedName>
    <definedName name="PC11_Tender_amount">#REF!</definedName>
    <definedName name="PC11_Variations">#REF!</definedName>
    <definedName name="PC12_Ant_Exp">#REF!</definedName>
    <definedName name="PC12_BQ_amount">#REF!</definedName>
    <definedName name="PC12_Description">#REF!</definedName>
    <definedName name="PC12_Tender_amount">#REF!</definedName>
    <definedName name="PC12_Variations">#REF!</definedName>
    <definedName name="PC13_Ant_Exp">#REF!</definedName>
    <definedName name="PC13_BQ_amount">#REF!</definedName>
    <definedName name="PC13_Description">#REF!</definedName>
    <definedName name="PC13_Tender_amount">#REF!</definedName>
    <definedName name="PC13_Variations">#REF!</definedName>
    <definedName name="PC14_Ant_Exp">#REF!</definedName>
    <definedName name="PC14_BQ_amount">#REF!</definedName>
    <definedName name="PC14_Description">#REF!</definedName>
    <definedName name="PC14_Tender_amount">#REF!</definedName>
    <definedName name="PC14_Variations">#REF!</definedName>
    <definedName name="PC15_Ant_Exp">#REF!</definedName>
    <definedName name="PC15_BQ_amount">#REF!</definedName>
    <definedName name="PC15_Description">#REF!</definedName>
    <definedName name="PC15_Tender_amount">#REF!</definedName>
    <definedName name="PC15_Variations">#REF!</definedName>
    <definedName name="PC16_Ant_Exp">#REF!</definedName>
    <definedName name="PC16_BQ_amount">#REF!</definedName>
    <definedName name="PC16_Description">#REF!</definedName>
    <definedName name="PC16_Tender_amount">#REF!</definedName>
    <definedName name="PC16_Variations">#REF!</definedName>
    <definedName name="PC17_Ant_Exp">#REF!</definedName>
    <definedName name="PC17_BQ_amount">#REF!</definedName>
    <definedName name="PC17_Description">#REF!</definedName>
    <definedName name="PC17_Tender_amount">#REF!</definedName>
    <definedName name="PC17_Variations">#REF!</definedName>
    <definedName name="PC18_Ant_Exp">#REF!</definedName>
    <definedName name="PC18_BQ_amount">#REF!</definedName>
    <definedName name="PC18_Description">#REF!</definedName>
    <definedName name="PC18_Tender_amount">#REF!</definedName>
    <definedName name="PC18_Variations">#REF!</definedName>
    <definedName name="PC19_Ant_Exp">#REF!</definedName>
    <definedName name="PC19_BQ_amount">#REF!</definedName>
    <definedName name="PC19_Description">#REF!</definedName>
    <definedName name="PC19_Tender_amount">#REF!</definedName>
    <definedName name="PC19_Variations">#REF!</definedName>
    <definedName name="PC2_Ant_Exp">#REF!</definedName>
    <definedName name="PC2_BQ_amount">#REF!</definedName>
    <definedName name="PC2_Description">#REF!</definedName>
    <definedName name="PC2_Tender_amount">#REF!</definedName>
    <definedName name="PC2_Variations">#REF!</definedName>
    <definedName name="PC20_Ant_Exp">#REF!</definedName>
    <definedName name="PC20_BQ_amount">#REF!</definedName>
    <definedName name="PC20_Description">#REF!</definedName>
    <definedName name="PC20_Tender_amount">#REF!</definedName>
    <definedName name="PC20_Variations">#REF!</definedName>
    <definedName name="PC21_Ant_Exp">#REF!</definedName>
    <definedName name="PC21_BQ_amount">#REF!</definedName>
    <definedName name="PC21_Description">#REF!</definedName>
    <definedName name="PC21_Tender_amount">#REF!</definedName>
    <definedName name="PC21_Variations">#REF!</definedName>
    <definedName name="PC22_Ant_Exp">#REF!</definedName>
    <definedName name="PC22_BQ_amount">#REF!</definedName>
    <definedName name="PC22_Description">#REF!</definedName>
    <definedName name="PC22_Tender_amount">#REF!</definedName>
    <definedName name="PC22_Variations">#REF!</definedName>
    <definedName name="PC23_Ant_Exp">#REF!</definedName>
    <definedName name="PC23_BQ_amount">#REF!</definedName>
    <definedName name="PC23_Description">#REF!</definedName>
    <definedName name="PC23_Tender_amount">#REF!</definedName>
    <definedName name="PC23_Variations">#REF!</definedName>
    <definedName name="PC24_Ant_Exp">#REF!</definedName>
    <definedName name="PC24_BQ_amount">#REF!</definedName>
    <definedName name="PC24_Description">#REF!</definedName>
    <definedName name="PC24_Tender_amount">#REF!</definedName>
    <definedName name="PC24_Variations">#REF!</definedName>
    <definedName name="PC25_Ant_Exp">#REF!</definedName>
    <definedName name="PC25_BQ_amount">#REF!</definedName>
    <definedName name="PC25_Description">#REF!</definedName>
    <definedName name="PC25_Tender_amount">#REF!</definedName>
    <definedName name="PC25_Variations">#REF!</definedName>
    <definedName name="PC26_BQ_amount">#REF!</definedName>
    <definedName name="PC26_Description">#REF!</definedName>
    <definedName name="PC26_Tender_amount">#REF!</definedName>
    <definedName name="PC27_BQ_amount">#REF!</definedName>
    <definedName name="PC27_Description">#REF!</definedName>
    <definedName name="PC27_Tender_amount">#REF!</definedName>
    <definedName name="PC28_BQ_amount">#REF!</definedName>
    <definedName name="PC28_Description">#REF!</definedName>
    <definedName name="PC28_Tender_amount">#REF!</definedName>
    <definedName name="PC29_BQ_amount">#REF!</definedName>
    <definedName name="PC29_Description">#REF!</definedName>
    <definedName name="PC29_Tender_amount">#REF!</definedName>
    <definedName name="PC3_Ant_Exp">#REF!</definedName>
    <definedName name="PC3_BQ_amount">#REF!</definedName>
    <definedName name="PC3_Description">#REF!</definedName>
    <definedName name="PC3_Tender_amount">#REF!</definedName>
    <definedName name="PC3_Variations">#REF!</definedName>
    <definedName name="PC30_BQ_amount">#REF!</definedName>
    <definedName name="PC30_Description">#REF!</definedName>
    <definedName name="PC30_Tender_amount">#REF!</definedName>
    <definedName name="PC31_BQ_amount">#REF!</definedName>
    <definedName name="PC31_Description">#REF!</definedName>
    <definedName name="PC31_Tender_amount">#REF!</definedName>
    <definedName name="PC32_BQ_amount">#REF!</definedName>
    <definedName name="PC32_Description">#REF!</definedName>
    <definedName name="PC32_Tender_amount">#REF!</definedName>
    <definedName name="PC33_BQ_amount">#REF!</definedName>
    <definedName name="PC33_Description">#REF!</definedName>
    <definedName name="PC33_Tender_amount">#REF!</definedName>
    <definedName name="PC34_BQ_amount">#REF!</definedName>
    <definedName name="PC34_Description">#REF!</definedName>
    <definedName name="PC34_Tender_amount">#REF!</definedName>
    <definedName name="PC35_BQ_amount">#REF!</definedName>
    <definedName name="PC35_Description">#REF!</definedName>
    <definedName name="PC35_Tender_amount">#REF!</definedName>
    <definedName name="PC36_BQ_amount">#REF!</definedName>
    <definedName name="PC36_Description">#REF!</definedName>
    <definedName name="PC36_Tender_amount">#REF!</definedName>
    <definedName name="PC37_BQ_amount">#REF!</definedName>
    <definedName name="PC37_Description">#REF!</definedName>
    <definedName name="PC37_Tender_amount">#REF!</definedName>
    <definedName name="PC38_BQ_amount">#REF!</definedName>
    <definedName name="PC38_Description">#REF!</definedName>
    <definedName name="PC38_Tender_amount">#REF!</definedName>
    <definedName name="PC39_BQ_amount">#REF!</definedName>
    <definedName name="PC39_Description">#REF!</definedName>
    <definedName name="PC39_Tender_amount">#REF!</definedName>
    <definedName name="PC4_Ant_Exp">#REF!</definedName>
    <definedName name="PC4_BQ_amount">#REF!</definedName>
    <definedName name="PC4_Description">#REF!</definedName>
    <definedName name="PC4_Tender_amount">#REF!</definedName>
    <definedName name="PC4_Variations">#REF!</definedName>
    <definedName name="PC40_BQ_amount">#REF!</definedName>
    <definedName name="PC40_Description">#REF!</definedName>
    <definedName name="PC40_Tender_amount">#REF!</definedName>
    <definedName name="PC5_Ant_Exp">#REF!</definedName>
    <definedName name="PC5_BQ_amount">#REF!</definedName>
    <definedName name="PC5_Description">#REF!</definedName>
    <definedName name="PC5_Tender_amount">#REF!</definedName>
    <definedName name="PC5_Variations">#REF!</definedName>
    <definedName name="PC6_Ant_Exp">#REF!</definedName>
    <definedName name="PC6_BQ_amount">#REF!</definedName>
    <definedName name="PC6_Description">#REF!</definedName>
    <definedName name="PC6_Tender_amount">#REF!</definedName>
    <definedName name="PC6_Variations">#REF!</definedName>
    <definedName name="PC7_Ant_Exp">#REF!</definedName>
    <definedName name="PC7_BQ_amount">#REF!</definedName>
    <definedName name="PC7_Description">#REF!</definedName>
    <definedName name="PC7_Tender_amount">#REF!</definedName>
    <definedName name="PC7_Variations">#REF!</definedName>
    <definedName name="PC8_Ant_Exp">#REF!</definedName>
    <definedName name="PC8_BQ_amount">#REF!</definedName>
    <definedName name="PC8_Description">#REF!</definedName>
    <definedName name="PC8_Tender_amount">#REF!</definedName>
    <definedName name="PC8_Variations">#REF!</definedName>
    <definedName name="PC9_Ant_Exp">#REF!</definedName>
    <definedName name="PC9_BQ_amount">#REF!</definedName>
    <definedName name="PC9_Description">#REF!</definedName>
    <definedName name="PC9_Tender_amount">#REF!</definedName>
    <definedName name="PC9_Variations">#REF!</definedName>
    <definedName name="PCC" localSheetId="1">#REF!</definedName>
    <definedName name="PCC">#REF!</definedName>
    <definedName name="pccut">#REF!</definedName>
    <definedName name="PCDAT">"05/11/2003"</definedName>
    <definedName name="PCDT2">"20031105"</definedName>
    <definedName name="PCforecastfinal">#REF!</definedName>
    <definedName name="PCOL">#REF!</definedName>
    <definedName name="PContMI">#REF!</definedName>
    <definedName name="PCT" localSheetId="1">#REF!</definedName>
    <definedName name="PCT">#REF!</definedName>
    <definedName name="PCTIM">"16:25:19"</definedName>
    <definedName name="pCurrency">#REF!</definedName>
    <definedName name="pCustomDoc" localSheetId="1">#REF!</definedName>
    <definedName name="pCustomDoc">#REF!</definedName>
    <definedName name="pCustomHW" localSheetId="1">#REF!</definedName>
    <definedName name="pCustomHW">#REF!</definedName>
    <definedName name="pCustomSW">#REF!</definedName>
    <definedName name="pdf">#REF!</definedName>
    <definedName name="pDiscA">#REF!</definedName>
    <definedName name="pDiscB">#REF!</definedName>
    <definedName name="pDiscC">#REF!</definedName>
    <definedName name="pDiscD">#REF!</definedName>
    <definedName name="pDiscE">#REF!</definedName>
    <definedName name="pDiscF">#REF!</definedName>
    <definedName name="pDocDiscProfile">#REF!</definedName>
    <definedName name="pdvol">#REF!</definedName>
    <definedName name="PD점검구관련" localSheetId="1" hidden="1">{#N/A,#N/A,FALSE,"물량산출"}</definedName>
    <definedName name="PD점검구관련" hidden="1">{#N/A,#N/A,FALSE,"물량산출"}</definedName>
    <definedName name="PE">#REF!</definedName>
    <definedName name="PEA" localSheetId="1">#REF!</definedName>
    <definedName name="PEA">#REF!</definedName>
    <definedName name="PEB" localSheetId="1">#REF!</definedName>
    <definedName name="PEB">#REF!</definedName>
    <definedName name="PEC">#REF!</definedName>
    <definedName name="PECT">#REF!</definedName>
    <definedName name="ped">#REF!</definedName>
    <definedName name="PEDESTAL" localSheetId="1">#REF!</definedName>
    <definedName name="PEDESTAL">#REF!</definedName>
    <definedName name="PELAB" localSheetId="1">#REF!</definedName>
    <definedName name="PELAB">#REF!</definedName>
    <definedName name="PELABX" localSheetId="1">#REF!</definedName>
    <definedName name="PELABX">#REF!</definedName>
    <definedName name="PELABZ">#REF!</definedName>
    <definedName name="PEMAT">#REF!</definedName>
    <definedName name="PEMATX">#REF!</definedName>
    <definedName name="PEMATZ">#REF!</definedName>
    <definedName name="penlam1">#REF!</definedName>
    <definedName name="penven1">#REF!</definedName>
    <definedName name="PEPLANT" localSheetId="1">#REF!</definedName>
    <definedName name="PEPLANT">#REF!</definedName>
    <definedName name="PEPLANTX" localSheetId="1">#REF!</definedName>
    <definedName name="PEPLANTX">#REF!</definedName>
    <definedName name="PEPLANTZ" localSheetId="1">#REF!</definedName>
    <definedName name="PEPLANTZ">#REF!</definedName>
    <definedName name="PER" localSheetId="1">#REF!</definedName>
    <definedName name="PER">#REF!</definedName>
    <definedName name="per_abp" localSheetId="1">#REF!</definedName>
    <definedName name="per_abp">#REF!</definedName>
    <definedName name="per_sos" localSheetId="1">#REF!</definedName>
    <definedName name="per_sos">#REF!</definedName>
    <definedName name="perbolag" localSheetId="1" hidden="1">{#N/A,#N/A,FALSE,"intag";#N/A,#N/A,FALSE,"budg";#N/A,#N/A,FALSE,"samtl"}</definedName>
    <definedName name="perbolag" hidden="1">{#N/A,#N/A,FALSE,"intag";#N/A,#N/A,FALSE,"budg";#N/A,#N/A,FALSE,"samtl"}</definedName>
    <definedName name="perbolagneu" localSheetId="1" hidden="1">{#N/A,#N/A,FALSE,"intag";#N/A,#N/A,FALSE,"budg";#N/A,#N/A,FALSE,"samtl"}</definedName>
    <definedName name="perbolagneu" hidden="1">{#N/A,#N/A,FALSE,"intag";#N/A,#N/A,FALSE,"budg";#N/A,#N/A,FALSE,"samtl"}</definedName>
    <definedName name="perbox" localSheetId="1">#REF!</definedName>
    <definedName name="perbox">#REF!</definedName>
    <definedName name="Percent_Depreciated">#REF!</definedName>
    <definedName name="Percent_prev_thismonth" localSheetId="1">#REF!,#REF!,#REF!,#REF!,#REF!,#REF!,#REF!,#REF!,#REF!,#REF!,#REF!,#REF!,#REF!,#REF!,#REF!,#REF!</definedName>
    <definedName name="Percent_prev_thismonth">#REF!,#REF!,#REF!,#REF!,#REF!,#REF!,#REF!,#REF!,#REF!,#REF!,#REF!,#REF!,#REF!,#REF!,#REF!,#REF!</definedName>
    <definedName name="Percent_Text" localSheetId="1">#REF!</definedName>
    <definedName name="Percent_Text">#REF!</definedName>
    <definedName name="Percent_Value" localSheetId="1">#REF!</definedName>
    <definedName name="Percent_Value">#REF!</definedName>
    <definedName name="percentage">#REF!</definedName>
    <definedName name="PercentComplete" localSheetId="1">[1]!COUNT_IA_01F_AC_U00___garbage_rm.*[1]!COUNT_IA_02F_AA_U02___living_dining</definedName>
    <definedName name="PercentComplete">PercentCompleteBeyond*PeriodInPlan</definedName>
    <definedName name="PercentCompleteBeyond" localSheetId="1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F_MAN_G">#REF!</definedName>
    <definedName name="Perfect_Machinery_Equipment_Trading_Hire_LLC">#REF!</definedName>
    <definedName name="PERFORM_DATA" localSheetId="1">#REF!,#REF!,#REF!</definedName>
    <definedName name="PERFORM_DATA">#REF!,#REF!,#REF!</definedName>
    <definedName name="performance" localSheetId="1">#REF!</definedName>
    <definedName name="performance">#REF!</definedName>
    <definedName name="PERFORMANCEB" localSheetId="1">#REF!</definedName>
    <definedName name="PERFORMANCEB">#REF!</definedName>
    <definedName name="PERGOLAS">#REF!</definedName>
    <definedName name="Pergolas_Suites">#REF!</definedName>
    <definedName name="periimported">#REF!</definedName>
    <definedName name="Perimeter">#REF!</definedName>
    <definedName name="Period">#REF!</definedName>
    <definedName name="Period_Const">#REF!</definedName>
    <definedName name="Period_Excav">#REF!</definedName>
    <definedName name="period_selected">#REF!</definedName>
    <definedName name="Period_Struc">#REF!</definedName>
    <definedName name="PeriodInActual" localSheetId="1">#REF!=MEDIAN(#REF!,#REF!,#REF!+#REF!-1)</definedName>
    <definedName name="PeriodInActual">#REF!=MEDIAN(#REF!,#REF!,#REF!+#REF!-1)</definedName>
    <definedName name="PeriodInPlan" localSheetId="1">#REF!=MEDIAN(#REF!,#REF!,#REF!+#REF!-1)</definedName>
    <definedName name="PeriodInPlan">#REF!=MEDIAN(#REF!,#REF!,#REF!+#REF!-1)</definedName>
    <definedName name="PESUB">#REF!</definedName>
    <definedName name="PESUBX">#REF!</definedName>
    <definedName name="PESUBZ">#REF!</definedName>
    <definedName name="pete">#REF!</definedName>
    <definedName name="pExtWarr" localSheetId="1">#REF!</definedName>
    <definedName name="pExtWarr">#REF!</definedName>
    <definedName name="pExtWarrRate" localSheetId="1">#REF!</definedName>
    <definedName name="pExtWarrRate">#REF!</definedName>
    <definedName name="pf10_a" localSheetId="1">#REF!</definedName>
    <definedName name="pf10_a">#REF!</definedName>
    <definedName name="pf10_B">#REF!</definedName>
    <definedName name="pf10_C">#REF!</definedName>
    <definedName name="pfh">#REF!</definedName>
    <definedName name="pFreight" localSheetId="1">#REF!</definedName>
    <definedName name="pFreight">#REF!</definedName>
    <definedName name="PFSR">#REF!</definedName>
    <definedName name="pg">#REF!</definedName>
    <definedName name="PG___0">#REF!</definedName>
    <definedName name="PG___0___0">"$#REF!.$#REF!$#REF!:$#REF!$#REF!"</definedName>
    <definedName name="PG___0___3">"$#REF!.$#REF!$#REF!:$#REF!$#REF!"</definedName>
    <definedName name="PG___0___4">"$#REF!.$#REF!$#REF!:$#REF!$#REF!"</definedName>
    <definedName name="PG___2">#REF!</definedName>
    <definedName name="PG___2___0">"$#REF!.$#REF!$#REF!:$#REF!$#REF!"</definedName>
    <definedName name="PG___2___3">"$#REF!.$#REF!$#REF!:$#REF!$#REF!"</definedName>
    <definedName name="PG___3">#REF!</definedName>
    <definedName name="PG___3___0">"$#REF!.$#REF!$#REF!:$#REF!$#REF!"</definedName>
    <definedName name="PG___3___3">"$#REF!.$#REF!$#REF!:$#REF!$#REF!"</definedName>
    <definedName name="PG___3___4">"$#REF!.$#REF!$#REF!:$#REF!$#REF!"</definedName>
    <definedName name="PG___4">#REF!</definedName>
    <definedName name="PG___4___0">"$#REF!.$#REF!$#REF!:$#REF!$#REF!"</definedName>
    <definedName name="PG___4___3">"$#REF!.$#REF!$#REF!:$#REF!$#REF!"</definedName>
    <definedName name="PG___7">"$#REF!.$#REF!$#REF!:$#REF!$#REF!"</definedName>
    <definedName name="pg_1">0</definedName>
    <definedName name="PGA">#REF!</definedName>
    <definedName name="PGB" localSheetId="1">#REF!</definedName>
    <definedName name="PGB">#REF!</definedName>
    <definedName name="PGC">#REF!</definedName>
    <definedName name="pGenXRate">#REF!</definedName>
    <definedName name="PGFA">#REF!</definedName>
    <definedName name="PGLAB">#REF!</definedName>
    <definedName name="PGLABA">#REF!</definedName>
    <definedName name="PGLabt">#REF!</definedName>
    <definedName name="PGLABX">#REF!</definedName>
    <definedName name="PGLABZ">#N/A</definedName>
    <definedName name="pGlobalDiscProfile" localSheetId="1">#REF!</definedName>
    <definedName name="pGlobalDiscProfile">#REF!</definedName>
    <definedName name="PGMAT">#N/A</definedName>
    <definedName name="PGMATX" localSheetId="1">#REF!</definedName>
    <definedName name="PGMATX">#REF!</definedName>
    <definedName name="PGMATZ">#N/A</definedName>
    <definedName name="pgone" localSheetId="1">#REF!</definedName>
    <definedName name="pgone">#REF!</definedName>
    <definedName name="PGPLANT" localSheetId="1">#REF!</definedName>
    <definedName name="PGPLANT">#REF!</definedName>
    <definedName name="PGPLANTA" localSheetId="1">#REF!</definedName>
    <definedName name="PGPLANTA">#REF!</definedName>
    <definedName name="PGPLANTX">#REF!</definedName>
    <definedName name="PGPLANTZ">#N/A</definedName>
    <definedName name="PGSUB" localSheetId="1">#REF!</definedName>
    <definedName name="PGSUB">#REF!</definedName>
    <definedName name="PGSUBX" localSheetId="1">#REF!</definedName>
    <definedName name="PGSUBX">#REF!</definedName>
    <definedName name="PGSUBZ" localSheetId="1">#REF!</definedName>
    <definedName name="PGSUBZ">#REF!</definedName>
    <definedName name="pgtwo">#REF!</definedName>
    <definedName name="pH">#REF!</definedName>
    <definedName name="pH___0">#REF!</definedName>
    <definedName name="pH___13">#REF!</definedName>
    <definedName name="ph5a">#REF!</definedName>
    <definedName name="ph5b">#REF!</definedName>
    <definedName name="PhaseCode" localSheetId="1">#REF!</definedName>
    <definedName name="PhaseCode">#REF!</definedName>
    <definedName name="phncon" localSheetId="1">#REF!</definedName>
    <definedName name="phncon">#REF!</definedName>
    <definedName name="Phone" localSheetId="1">#REF!</definedName>
    <definedName name="Phone">#REF!</definedName>
    <definedName name="PHSE">#REF!</definedName>
    <definedName name="pHWDiscProfile">#REF!</definedName>
    <definedName name="Physical_Depreciation">#REF!</definedName>
    <definedName name="PHYSICAL_PROPS" localSheetId="1">#REF!,#REF!,#REF!,#REF!,#REF!</definedName>
    <definedName name="PHYSICAL_PROPS">#REF!,#REF!,#REF!,#REF!,#REF!</definedName>
    <definedName name="pi" localSheetId="1" hidden="1">{"'Break down'!$A$4"}</definedName>
    <definedName name="pi" hidden="1">{"'Break down'!$A$4"}</definedName>
    <definedName name="Picture4">#REF!</definedName>
    <definedName name="PIDe2" localSheetId="1">BlankMacro1</definedName>
    <definedName name="PIDe2">BlankMacro1</definedName>
    <definedName name="pier2" localSheetId="1">#REF!</definedName>
    <definedName name="pier2">#REF!</definedName>
    <definedName name="pierpiles">#REF!</definedName>
    <definedName name="piervol1">#REF!</definedName>
    <definedName name="piervol2">#REF!</definedName>
    <definedName name="piet">#REF!</definedName>
    <definedName name="pietro">#REF!</definedName>
    <definedName name="PIL">#REF!</definedName>
    <definedName name="Pile_cut">#REF!</definedName>
    <definedName name="Pile_tab">#REF!</definedName>
    <definedName name="PILE1000">#REF!</definedName>
    <definedName name="PILE400">#REF!</definedName>
    <definedName name="PILECAP">#REF!</definedName>
    <definedName name="Pilecaps">#REF!</definedName>
    <definedName name="piledia1">#REF!</definedName>
    <definedName name="piledia2">#REF!</definedName>
    <definedName name="piledia3">#REF!</definedName>
    <definedName name="pileinraftCount">#REF!</definedName>
    <definedName name="Piles">#REF!</definedName>
    <definedName name="Piletipele">#REF!</definedName>
    <definedName name="Piling">#REF!</definedName>
    <definedName name="pim" localSheetId="1">#REF!</definedName>
    <definedName name="pim">#REF!</definedName>
    <definedName name="pInstallation" localSheetId="1">#REF!</definedName>
    <definedName name="pInstallation">#REF!</definedName>
    <definedName name="PIP" localSheetId="1">BlankMacro1</definedName>
    <definedName name="PIP">BlankMacro1</definedName>
    <definedName name="PIPE" localSheetId="1">#REF!</definedName>
    <definedName name="PIPE">#REF!</definedName>
    <definedName name="PIPE_CLASS">#REF!</definedName>
    <definedName name="PIPE_RACK_TRAY">#REF!</definedName>
    <definedName name="PIPE2" localSheetId="1">BlankMacro1</definedName>
    <definedName name="PIPE2">BlankMacro1</definedName>
    <definedName name="PIPE20" localSheetId="1">BlankMacro1</definedName>
    <definedName name="PIPE20">BlankMacro1</definedName>
    <definedName name="PIPE50_CITY" localSheetId="1">#REF!</definedName>
    <definedName name="PIPE50_CITY">#REF!</definedName>
    <definedName name="PIPE50_ESC">#REF!</definedName>
    <definedName name="PIPE50_OLD_CITY">#REF!</definedName>
    <definedName name="PIPE50_OLD_ESC">#REF!</definedName>
    <definedName name="PIPE50_OLD_PROD">#REF!</definedName>
    <definedName name="PIPE50_OLD_WAGE">#REF!</definedName>
    <definedName name="PIPE50_PROD">#REF!</definedName>
    <definedName name="PIPE50_WAGE">#REF!</definedName>
    <definedName name="PipeCulverts">#REF!</definedName>
    <definedName name="PipeData">#REF!</definedName>
    <definedName name="PipeDate1">#REF!</definedName>
    <definedName name="PIPES">#REF!</definedName>
    <definedName name="PIPPO" localSheetId="1">#REF!</definedName>
    <definedName name="PIPPO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itale">#REF!</definedName>
    <definedName name="pitches">#REF!</definedName>
    <definedName name="piutfnms">#REF!</definedName>
    <definedName name="PIVOT">#REF!</definedName>
    <definedName name="PivotData">#REF!</definedName>
    <definedName name="PivotL">#REF!</definedName>
    <definedName name="PivotM">#REF!</definedName>
    <definedName name="PK">#REF!</definedName>
    <definedName name="Pkg_col">#REF!</definedName>
    <definedName name="pkml" localSheetId="1" hidden="1">{#N/A,#N/A,TRUE,"Cover";#N/A,#N/A,TRUE,"Conts";#N/A,#N/A,TRUE,"VOS";#N/A,#N/A,TRUE,"Warrington";#N/A,#N/A,TRUE,"Widnes"}</definedName>
    <definedName name="pkml" hidden="1">{#N/A,#N/A,TRUE,"Cover";#N/A,#N/A,TRUE,"Conts";#N/A,#N/A,TRUE,"VOS";#N/A,#N/A,TRUE,"Warrington";#N/A,#N/A,TRUE,"Widnes"}</definedName>
    <definedName name="pkml_1" localSheetId="1" hidden="1">{#N/A,#N/A,TRUE,"Cover";#N/A,#N/A,TRUE,"Conts";#N/A,#N/A,TRUE,"VOS";#N/A,#N/A,TRUE,"Warrington";#N/A,#N/A,TRUE,"Widnes"}</definedName>
    <definedName name="pkml_1" hidden="1">{#N/A,#N/A,TRUE,"Cover";#N/A,#N/A,TRUE,"Conts";#N/A,#N/A,TRUE,"VOS";#N/A,#N/A,TRUE,"Warrington";#N/A,#N/A,TRUE,"Widnes"}</definedName>
    <definedName name="pko" localSheetId="1" hidden="1">{"'Break down'!$A$4"}</definedName>
    <definedName name="pko" hidden="1">{"'Break down'!$A$4"}</definedName>
    <definedName name="PKS_Partner">#REF!</definedName>
    <definedName name="PKS_Team_Int">#REF!</definedName>
    <definedName name="PKW">#REF!</definedName>
    <definedName name="pl" localSheetId="1">#REF!</definedName>
    <definedName name="pl">#REF!</definedName>
    <definedName name="pl_1">0</definedName>
    <definedName name="pl4a">#REF!</definedName>
    <definedName name="pl4a_1">0</definedName>
    <definedName name="Plan" localSheetId="1">'City Walk - Comparison'!PeriodInPlan*(#REF!&gt;0)</definedName>
    <definedName name="Plan">PeriodInPlan*(#REF!&gt;0)</definedName>
    <definedName name="Plan_H_BK" localSheetId="1">#REF!</definedName>
    <definedName name="Plan_H_BK">#REF!</definedName>
    <definedName name="Plan_Kost_H" localSheetId="1">#REF!</definedName>
    <definedName name="Plan_Kost_H">#REF!</definedName>
    <definedName name="Plan_kost_Ltg" localSheetId="1">#REF!</definedName>
    <definedName name="Plan_kost_Ltg">#REF!</definedName>
    <definedName name="Plan_Kost_WVF" localSheetId="1">#REF!</definedName>
    <definedName name="Plan_Kost_WVF">#REF!</definedName>
    <definedName name="Plan_ZI_AD" localSheetId="1">#REF!</definedName>
    <definedName name="Plan_ZI_AD">#REF!</definedName>
    <definedName name="Planalaque">#REF!</definedName>
    <definedName name="PLANBARPROG">#REF!</definedName>
    <definedName name="planHistOps" localSheetId="1">OFFSET(#REF!,0,0,1,cMthRef)</definedName>
    <definedName name="planHistOps">OFFSET(#REF!,0,0,1,cMthRef)</definedName>
    <definedName name="planHistStaff" localSheetId="1">OFFSET(#REF!,0,0,1,cMthRef)</definedName>
    <definedName name="planHistStaff">OFFSET(#REF!,0,0,1,cMthRef)</definedName>
    <definedName name="Planning2Total" localSheetId="1">#REF!</definedName>
    <definedName name="Planning2Total">#REF!</definedName>
    <definedName name="PlanningTotal">#REF!</definedName>
    <definedName name="PLANT">#REF!</definedName>
    <definedName name="Plant_equipment_material">#REF!</definedName>
    <definedName name="plant_no">#REF!</definedName>
    <definedName name="PLANT_ROOM" localSheetId="1">#REF!</definedName>
    <definedName name="PLANT_ROOM">#REF!</definedName>
    <definedName name="PlantName">#REF!</definedName>
    <definedName name="PlantPPH">#REF!</definedName>
    <definedName name="Plantroom">#REF!</definedName>
    <definedName name="Plantroom_Plumbing">#REF!</definedName>
    <definedName name="plants">#REF!</definedName>
    <definedName name="PLANTS___MACHINERY">#REF!</definedName>
    <definedName name="PlantType">#REF!</definedName>
    <definedName name="PLANTX">#REF!</definedName>
    <definedName name="Planung">#REF!</definedName>
    <definedName name="PLAST">#REF!</definedName>
    <definedName name="PLASTCZRPR">#REF!</definedName>
    <definedName name="PLASTCZRRATE">#REF!</definedName>
    <definedName name="PLASTER">#REF!</definedName>
    <definedName name="plastering">#REF!</definedName>
    <definedName name="PLASTICISER">#REF!</definedName>
    <definedName name="PLAT" localSheetId="1" hidden="1">{#N/A,#N/A,TRUE,"Cover";#N/A,#N/A,TRUE,"Conts";#N/A,#N/A,TRUE,"VOS";#N/A,#N/A,TRUE,"Warrington";#N/A,#N/A,TRUE,"Widnes"}</definedName>
    <definedName name="PLAT" hidden="1">{#N/A,#N/A,TRUE,"Cover";#N/A,#N/A,TRUE,"Conts";#N/A,#N/A,TRUE,"VOS";#N/A,#N/A,TRUE,"Warrington";#N/A,#N/A,TRUE,"Widnes"}</definedName>
    <definedName name="PLAT_1" localSheetId="1" hidden="1">{#N/A,#N/A,TRUE,"Cover";#N/A,#N/A,TRUE,"Conts";#N/A,#N/A,TRUE,"VOS";#N/A,#N/A,TRUE,"Warrington";#N/A,#N/A,TRUE,"Widnes"}</definedName>
    <definedName name="PLAT_1" hidden="1">{#N/A,#N/A,TRUE,"Cover";#N/A,#N/A,TRUE,"Conts";#N/A,#N/A,TRUE,"VOS";#N/A,#N/A,TRUE,"Warrington";#N/A,#N/A,TRUE,"Widnes"}</definedName>
    <definedName name="PLATFORM" localSheetId="1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ATFORM_1" localSheetId="1" hidden="1">{#N/A,#N/A,TRUE,"Cover";#N/A,#N/A,TRUE,"Conts";#N/A,#N/A,TRUE,"VOS";#N/A,#N/A,TRUE,"Warrington";#N/A,#N/A,TRUE,"Widnes"}</definedName>
    <definedName name="PLATFORM_1" hidden="1">{#N/A,#N/A,TRUE,"Cover";#N/A,#N/A,TRUE,"Conts";#N/A,#N/A,TRUE,"VOS";#N/A,#N/A,TRUE,"Warrington";#N/A,#N/A,TRUE,"Widnes"}</definedName>
    <definedName name="plbeams" localSheetId="1">#REF!</definedName>
    <definedName name="plbeams">#REF!</definedName>
    <definedName name="pLevel">#REF!</definedName>
    <definedName name="PLFN">#REF!</definedName>
    <definedName name="PLGrouping">#REF!</definedName>
    <definedName name="pli" localSheetId="1">#REF!</definedName>
    <definedName name="pli">#REF!</definedName>
    <definedName name="plied" localSheetId="1">#REF!</definedName>
    <definedName name="plied">#REF!</definedName>
    <definedName name="plink">"\\192.168.0.4\DOCUMENTATION\GENERAL\INCOMING\"&amp;#REF!&amp;"\"&amp;#REF!&amp;"\"&amp;#REF!&amp;"\"&amp;#REF!&amp;".pdf"</definedName>
    <definedName name="plm" localSheetId="1">BlankMacro1</definedName>
    <definedName name="plm">BlankMacro1</definedName>
    <definedName name="plmoknijn" localSheetId="1" hidden="1">#REF!</definedName>
    <definedName name="plmoknijn" hidden="1">#REF!</definedName>
    <definedName name="plo" localSheetId="1" hidden="1">{#N/A,#N/A,TRUE,"Cover";#N/A,#N/A,TRUE,"Conts";#N/A,#N/A,TRUE,"VOS";#N/A,#N/A,TRUE,"Warrington";#N/A,#N/A,TRUE,"Widnes"}</definedName>
    <definedName name="plo" hidden="1">{#N/A,#N/A,TRUE,"Cover";#N/A,#N/A,TRUE,"Conts";#N/A,#N/A,TRUE,"VOS";#N/A,#N/A,TRUE,"Warrington";#N/A,#N/A,TRUE,"Widnes"}</definedName>
    <definedName name="plo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oid" localSheetId="1">#REF!</definedName>
    <definedName name="ploid">#REF!</definedName>
    <definedName name="plok" localSheetId="1">IF(ISNA(MATCH(ROW(),[1]!COUNT_TH2_V2__units_1___Type_D_04__900_x_2200mm_high,1)),1,MATCH(ROW(),[1]!COUNT_TH2_V2__units_1___Type_D_04__900_x_2200mm_high,1)+1)</definedName>
    <definedName name="plok">IF(ISNA(MATCH(ROW(),RowAfterpgbrk,1)),1,MATCH(ROW(),RowAfterpgbrk,1)+1)</definedName>
    <definedName name="plst" localSheetId="1">#REF!</definedName>
    <definedName name="plst">#REF!</definedName>
    <definedName name="plst_1">0</definedName>
    <definedName name="plts">#REF!</definedName>
    <definedName name="PLUG">#REF!</definedName>
    <definedName name="PLUMBING">#REF!</definedName>
    <definedName name="Plumbing_External">#REF!</definedName>
    <definedName name="Plumbing_Internal">#REF!</definedName>
    <definedName name="PLUTO">#REF!</definedName>
    <definedName name="PLYWOODPR">#REF!</definedName>
    <definedName name="PLYWOODRATE">#REF!</definedName>
    <definedName name="PM" localSheetId="1">#REF!</definedName>
    <definedName name="PM">#REF!</definedName>
    <definedName name="PM_Hrs" localSheetId="1">#REF!</definedName>
    <definedName name="PM_Hrs">#REF!</definedName>
    <definedName name="PM_PERCENTAGE">#REF!</definedName>
    <definedName name="PM_Rev">#REF!</definedName>
    <definedName name="pmc">#REF!</definedName>
    <definedName name="pmt">#REF!</definedName>
    <definedName name="pMulFactor">#REF!</definedName>
    <definedName name="pMulFactorHW">#REF!</definedName>
    <definedName name="pMulFactorSW">#REF!</definedName>
    <definedName name="pn">#REF!</definedName>
    <definedName name="pni" localSheetId="1" hidden="1">{"'Break down'!$A$4"}</definedName>
    <definedName name="pni" hidden="1">{"'Break down'!$A$4"}</definedName>
    <definedName name="pnu">#REF!</definedName>
    <definedName name="PO" localSheetId="1" hidden="1">{"'Break down'!$A$4"}</definedName>
    <definedName name="PO" hidden="1">{"'Break down'!$A$4"}</definedName>
    <definedName name="po_4">#REF!</definedName>
    <definedName name="po_4_1">#REF!</definedName>
    <definedName name="po_6">#REF!</definedName>
    <definedName name="PO_B01">#REF!</definedName>
    <definedName name="PO_B02">#REF!</definedName>
    <definedName name="PO_B03">#REF!</definedName>
    <definedName name="PO_HRS">#REF!</definedName>
    <definedName name="PO_L00" localSheetId="1">#REF!</definedName>
    <definedName name="PO_L00">#REF!</definedName>
    <definedName name="PO_L01">#REF!</definedName>
    <definedName name="PO_M01">#REF!</definedName>
    <definedName name="poc">#REF!</definedName>
    <definedName name="podareas" localSheetId="1">#REF!</definedName>
    <definedName name="podareas">#REF!</definedName>
    <definedName name="Podium">#REF!</definedName>
    <definedName name="poi" localSheetId="1">#REF!</definedName>
    <definedName name="poi">#REF!</definedName>
    <definedName name="point1">#REF!</definedName>
    <definedName name="POIU" localSheetId="1" hidden="1">{#N/A,#N/A,TRUE,"Cover";#N/A,#N/A,TRUE,"Conts";#N/A,#N/A,TRUE,"VOS";#N/A,#N/A,TRUE,"Warrington";#N/A,#N/A,TRUE,"Widnes"}</definedName>
    <definedName name="POIU" hidden="1">{#N/A,#N/A,TRUE,"Cover";#N/A,#N/A,TRUE,"Conts";#N/A,#N/A,TRUE,"VOS";#N/A,#N/A,TRUE,"Warrington";#N/A,#N/A,TRUE,"Widnes"}</definedName>
    <definedName name="poiujn" localSheetId="1" hidden="1">{#N/A,#N/A,TRUE,"Cover";#N/A,#N/A,TRUE,"Conts";#N/A,#N/A,TRUE,"VOS";#N/A,#N/A,TRUE,"Warrington";#N/A,#N/A,TRUE,"Widnes"}</definedName>
    <definedName name="poiujn" hidden="1">{#N/A,#N/A,TRUE,"Cover";#N/A,#N/A,TRUE,"Conts";#N/A,#N/A,TRUE,"VOS";#N/A,#N/A,TRUE,"Warrington";#N/A,#N/A,TRUE,"Widnes"}</definedName>
    <definedName name="poiuyt" localSheetId="1">#REF!</definedName>
    <definedName name="poiuyt">#REF!</definedName>
    <definedName name="poiuytr" localSheetId="1">#REF!</definedName>
    <definedName name="poiuytr">#REF!</definedName>
    <definedName name="Pojacanje">#N/A</definedName>
    <definedName name="pojacavac">#REF!</definedName>
    <definedName name="pojboijioljn" localSheetId="1" hidden="1">{#N/A,#N/A,TRUE,"Cover";#N/A,#N/A,TRUE,"Conts";#N/A,#N/A,TRUE,"VOS";#N/A,#N/A,TRUE,"Warrington";#N/A,#N/A,TRUE,"Widnes"}</definedName>
    <definedName name="pojboijioljn" hidden="1">{#N/A,#N/A,TRUE,"Cover";#N/A,#N/A,TRUE,"Conts";#N/A,#N/A,TRUE,"VOS";#N/A,#N/A,TRUE,"Warrington";#N/A,#N/A,TRUE,"Widnes"}</definedName>
    <definedName name="pojboijioljn_1" localSheetId="1" hidden="1">{#N/A,#N/A,TRUE,"Cover";#N/A,#N/A,TRUE,"Conts";#N/A,#N/A,TRUE,"VOS";#N/A,#N/A,TRUE,"Warrington";#N/A,#N/A,TRUE,"Widnes"}</definedName>
    <definedName name="pojboijioljn_1" hidden="1">{#N/A,#N/A,TRUE,"Cover";#N/A,#N/A,TRUE,"Conts";#N/A,#N/A,TRUE,"VOS";#N/A,#N/A,TRUE,"Warrington";#N/A,#N/A,TRUE,"Widnes"}</definedName>
    <definedName name="pol" localSheetId="1" hidden="1">{"'Break down'!$A$4"}</definedName>
    <definedName name="pol" hidden="1">{"'Break down'!$A$4"}</definedName>
    <definedName name="poli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poli">IF(ISNA(MATCH(ROW(),RowAfterpgbrk,1)),1,MATCH(ROW(),RowAfterpgbrk,1)+1)&lt;&gt;IF(ISNA(MATCH(ROW()+1,RowAfterpgbrk,1)),1,MATCH(ROW()+1,RowAfterpgbrk,1)+1)</definedName>
    <definedName name="polik" localSheetId="1" hidden="1">{#N/A,#N/A,FALSE,"Header P";#N/A,#N/A,FALSE,"Summary";#N/A,#N/A,FALSE,"CONTRACT WORKS";#N/A,#N/A,FALSE,"Variations";#N/A,#N/A,FALSE,"Dwk"}</definedName>
    <definedName name="polik" hidden="1">{#N/A,#N/A,FALSE,"Header P";#N/A,#N/A,FALSE,"Summary";#N/A,#N/A,FALSE,"CONTRACT WORKS";#N/A,#N/A,FALSE,"Variations";#N/A,#N/A,FALSE,"Dwk"}</definedName>
    <definedName name="polm" localSheetId="1" hidden="1">{"'Break down'!$A$4"}</definedName>
    <definedName name="polm" hidden="1">{"'Break down'!$A$4"}</definedName>
    <definedName name="polysheet">#REF!</definedName>
    <definedName name="Pon">#REF!</definedName>
    <definedName name="POO">#N/A</definedName>
    <definedName name="POOJA" localSheetId="1">#REF!</definedName>
    <definedName name="POOJA">#REF!</definedName>
    <definedName name="POOL_EQUIPMENT" localSheetId="1">#REF!</definedName>
    <definedName name="POOL_EQUIPMENT">#REF!</definedName>
    <definedName name="poopo">#REF!</definedName>
    <definedName name="POP">#REF!</definedName>
    <definedName name="POP0">#REF!</definedName>
    <definedName name="popi" localSheetId="1">BlankMacro1</definedName>
    <definedName name="popi">BlankMacro1</definedName>
    <definedName name="POPQ2">#REF!</definedName>
    <definedName name="Port_Load">#REF!</definedName>
    <definedName name="pos" localSheetId="1">#REF!</definedName>
    <definedName name="pos">#REF!</definedName>
    <definedName name="Post_contract_inflation" localSheetId="1">#REF!</definedName>
    <definedName name="Post_contract_inflation">#REF!</definedName>
    <definedName name="postt">#REF!</definedName>
    <definedName name="postt_1">0</definedName>
    <definedName name="PostTen">#REF!</definedName>
    <definedName name="pOtherCosts" localSheetId="1">#REF!</definedName>
    <definedName name="pOtherCosts">#REF!</definedName>
    <definedName name="POTROSNJA" localSheetId="1">#REF!,#REF!</definedName>
    <definedName name="POTROSNJA">#REF!,#REF!</definedName>
    <definedName name="pound" localSheetId="1">#REF!</definedName>
    <definedName name="pound">#REF!</definedName>
    <definedName name="POURINGRATE">#REF!</definedName>
    <definedName name="POURPRMAN">#REF!</definedName>
    <definedName name="POURPRPUMP">#REF!</definedName>
    <definedName name="POURSKILLED">#REF!</definedName>
    <definedName name="povs">#REF!</definedName>
    <definedName name="pow">#REF!</definedName>
    <definedName name="Power_Access_Electromechanical_Works">#REF!</definedName>
    <definedName name="Power_Factor">#REF!</definedName>
    <definedName name="POWER_Sales" localSheetId="1">#REF!</definedName>
    <definedName name="POWER_Sales">#REF!</definedName>
    <definedName name="powerf" localSheetId="1">#REF!</definedName>
    <definedName name="powerf">#REF!</definedName>
    <definedName name="powerfh" localSheetId="1">#REF!</definedName>
    <definedName name="powerfh">#REF!</definedName>
    <definedName name="powerfhd">#REF!</definedName>
    <definedName name="powerstation">#REF!</definedName>
    <definedName name="pp">#REF!</definedName>
    <definedName name="PP_JED">#REF!</definedName>
    <definedName name="ppl" localSheetId="1" hidden="1">{#N/A,#N/A,FALSE,"gc (2)"}</definedName>
    <definedName name="ppl" hidden="1">{#N/A,#N/A,FALSE,"gc (2)"}</definedName>
    <definedName name="ppo" localSheetId="1" hidden="1">{"'Break down'!$A$4"}</definedName>
    <definedName name="ppo" hidden="1">{"'Break down'!$A$4"}</definedName>
    <definedName name="ppok" localSheetId="1" hidden="1">{#N/A,#N/A,TRUE,"Cover";#N/A,#N/A,TRUE,"Conts";#N/A,#N/A,TRUE,"VOS";#N/A,#N/A,TRUE,"Warrington";#N/A,#N/A,TRUE,"Widnes"}</definedName>
    <definedName name="ppok" hidden="1">{#N/A,#N/A,TRUE,"Cover";#N/A,#N/A,TRUE,"Conts";#N/A,#N/A,TRUE,"VOS";#N/A,#N/A,TRUE,"Warrington";#N/A,#N/A,TRUE,"Widnes"}</definedName>
    <definedName name="ppok_1" localSheetId="1" hidden="1">{#N/A,#N/A,TRUE,"Cover";#N/A,#N/A,TRUE,"Conts";#N/A,#N/A,TRUE,"VOS";#N/A,#N/A,TRUE,"Warrington";#N/A,#N/A,TRUE,"Widnes"}</definedName>
    <definedName name="ppok_1" hidden="1">{#N/A,#N/A,TRUE,"Cover";#N/A,#N/A,TRUE,"Conts";#N/A,#N/A,TRUE,"VOS";#N/A,#N/A,TRUE,"Warrington";#N/A,#N/A,TRUE,"Widnes"}</definedName>
    <definedName name="PPP" localSheetId="1">#REF!</definedName>
    <definedName name="PPP">#REF!</definedName>
    <definedName name="pppp" localSheetId="1" hidden="1">{#N/A,#N/A,TRUE,"Cover";#N/A,#N/A,TRUE,"Conts";#N/A,#N/A,TRUE,"VOS";#N/A,#N/A,TRUE,"Warrington";#N/A,#N/A,TRUE,"Widnes"}</definedName>
    <definedName name="pppp" hidden="1">{#N/A,#N/A,TRUE,"Cover";#N/A,#N/A,TRUE,"Conts";#N/A,#N/A,TRUE,"VOS";#N/A,#N/A,TRUE,"Warrington";#N/A,#N/A,TRUE,"Widnes"}</definedName>
    <definedName name="ppppp" localSheetId="1">"Page "&amp;IF(ISNA(MATCH(ROW(),[1]!COUNT_TH2_V2__units_1___Type_D_04__900_x_2200mm_high,1)),1,MATCH(ROW(),[1]!COUNT_TH2_V2__units_1___Type_D_04__900_x_2200mm_high,1)+1)&amp;" of " &amp; [1]!CUSTOM1_Shops__GF_ + 0*NOW()</definedName>
    <definedName name="ppppp">"Page "&amp;IF(ISNA(MATCH(ROW(),RowAfterpgbrk,1)),1,MATCH(ROW(),RowAfterpgbrk,1)+1)&amp;" of " &amp; TotPageCount + 0*NOW()</definedName>
    <definedName name="PPPPPPPPP">#N/A</definedName>
    <definedName name="pppppppppp">#REF!</definedName>
    <definedName name="ppppppppppppp" localSheetId="1" hidden="1">{#N/A,#N/A,TRUE,"Cover Memo";"Facility Estimate",#N/A,TRUE,"Change Summary";"Facility Estimate",#N/A,TRUE,"Estimate Summary";"Facility Estimate",#N/A,TRUE,"Dept. Summary";"Facility Estimate",#N/A,TRUE,"DOW Detail"}</definedName>
    <definedName name="ppppppppppppp" hidden="1">{#N/A,#N/A,TRUE,"Cover Memo";"Facility Estimate",#N/A,TRUE,"Change Summary";"Facility Estimate",#N/A,TRUE,"Estimate Summary";"Facility Estimate",#N/A,TRUE,"Dept. Summary";"Facility Estimate",#N/A,TRUE,"DOW Detail"}</definedName>
    <definedName name="ppppppppppppppp">#REF!</definedName>
    <definedName name="ppwea" localSheetId="1">#REF!</definedName>
    <definedName name="ppwea">#REF!</definedName>
    <definedName name="pq" localSheetId="1">#REF!</definedName>
    <definedName name="pq">#REF!</definedName>
    <definedName name="PQ_label">#REF!</definedName>
    <definedName name="PQ1_BQ_Amount">#REF!</definedName>
    <definedName name="PQ1_Description">#REF!</definedName>
    <definedName name="PQ10_BQ_Amount">#REF!</definedName>
    <definedName name="PQ10_Description">#REF!</definedName>
    <definedName name="PQ11_BQ_Amount">#REF!</definedName>
    <definedName name="PQ11_Description">#REF!</definedName>
    <definedName name="PQ12_BQ_Amount">#REF!</definedName>
    <definedName name="PQ12_Description">#REF!</definedName>
    <definedName name="PQ13_BQ_Amount">#REF!</definedName>
    <definedName name="PQ13_Description">#REF!</definedName>
    <definedName name="PQ14_BQ_Amount">#REF!</definedName>
    <definedName name="PQ14_Description">#REF!</definedName>
    <definedName name="PQ15_BQ_Amount">#REF!</definedName>
    <definedName name="PQ15_Description">#REF!</definedName>
    <definedName name="PQ16_BQ_Amount">#REF!</definedName>
    <definedName name="PQ16_Description">#REF!</definedName>
    <definedName name="PQ17_BQ_Amount">#REF!</definedName>
    <definedName name="PQ17_Description">#REF!</definedName>
    <definedName name="PQ18_BQ_Amount">#REF!</definedName>
    <definedName name="PQ18_Description">#REF!</definedName>
    <definedName name="PQ19_BQ_Amount">#REF!</definedName>
    <definedName name="PQ19_Description">#REF!</definedName>
    <definedName name="PQ2_BQ_Amount">#REF!</definedName>
    <definedName name="PQ2_Description">#REF!</definedName>
    <definedName name="PQ20_BQ_Amount">#REF!</definedName>
    <definedName name="PQ20_Description">#REF!</definedName>
    <definedName name="PQ3_BQ_Amount">#REF!</definedName>
    <definedName name="PQ3_Description">#REF!</definedName>
    <definedName name="PQ4_BQ_Amount">#REF!</definedName>
    <definedName name="PQ4_Description">#REF!</definedName>
    <definedName name="PQ5_BQ_Amount">#REF!</definedName>
    <definedName name="PQ5_Description">#REF!</definedName>
    <definedName name="PQ6_BQ_Amount">#REF!</definedName>
    <definedName name="PQ6_Description">#REF!</definedName>
    <definedName name="PQ7_BQ_Amount">#REF!</definedName>
    <definedName name="PQ7_Description">#REF!</definedName>
    <definedName name="PQ8_BQ_Amount">#REF!</definedName>
    <definedName name="PQ8_Description">#REF!</definedName>
    <definedName name="PQ9_BQ_Amount">#REF!</definedName>
    <definedName name="PQ9_Description">#REF!</definedName>
    <definedName name="PR" localSheetId="1">#REF!</definedName>
    <definedName name="PR">#REF!</definedName>
    <definedName name="PR_Food_Beverage">#REF!</definedName>
    <definedName name="PR_Gen_Administrative">#REF!</definedName>
    <definedName name="PRA">#REF!</definedName>
    <definedName name="PRASAD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nth">#REF!</definedName>
    <definedName name="pratap" localSheetId="1" hidden="1">{"'Sheet1'!$A$4386:$N$4591"}</definedName>
    <definedName name="pratap" hidden="1">{"'Sheet1'!$A$4386:$N$4591"}</definedName>
    <definedName name="prd">#REF!</definedName>
    <definedName name="PRE">#REF!</definedName>
    <definedName name="Pre_tender_inflation">#REF!</definedName>
    <definedName name="PRE_TRACED_TUBE">#REF!</definedName>
    <definedName name="Precast">#REF!</definedName>
    <definedName name="Prefab">#REF!</definedName>
    <definedName name="Prefab_Buildings" localSheetId="1">#REF!</definedName>
    <definedName name="Prefab_Buildings">#REF!</definedName>
    <definedName name="preisst" localSheetId="1">[1]!COUNT_IA_32F_AA_U05___BR2_t_b</definedName>
    <definedName name="preisst">[1]!preisst</definedName>
    <definedName name="PRELIM" localSheetId="1">#REF!</definedName>
    <definedName name="PRELIM">#REF!</definedName>
    <definedName name="Preliminaries">#REF!</definedName>
    <definedName name="Preliminaries_percentage">#REF!</definedName>
    <definedName name="prelimn">#REF!</definedName>
    <definedName name="prelimnarie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nari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>#REF!</definedName>
    <definedName name="Prelims_Percentage_or_Detailed">#REF!</definedName>
    <definedName name="prelimsretail" localSheetId="1">#REF!</definedName>
    <definedName name="prelimsretail">#REF!</definedName>
    <definedName name="Prelm_Exp" localSheetId="1">#REF!</definedName>
    <definedName name="Prelm_Exp">#REF!</definedName>
    <definedName name="prepared.by" hidden="1">#REF!</definedName>
    <definedName name="prepplat">#REF!</definedName>
    <definedName name="PREST" localSheetId="1">#REF!</definedName>
    <definedName name="PREST">#REF!</definedName>
    <definedName name="PRESTV">#REF!</definedName>
    <definedName name="prev_variation_amt">#REF!</definedName>
    <definedName name="PrevFrom_13">NA()</definedName>
    <definedName name="PREVIOUS" localSheetId="1">#REF!</definedName>
    <definedName name="PREVIOUS">#REF!</definedName>
    <definedName name="PrevThru_13">NA()</definedName>
    <definedName name="PrevYears" localSheetId="1">#REF!</definedName>
    <definedName name="PrevYears">#REF!</definedName>
    <definedName name="PRFOOT" localSheetId="1">#REF!</definedName>
    <definedName name="PRFOOT">#REF!</definedName>
    <definedName name="price" localSheetId="1">#REF!</definedName>
    <definedName name="price">#REF!</definedName>
    <definedName name="Price_Acoust._Ceil">#REF!</definedName>
    <definedName name="Price_Block" localSheetId="1">#REF!</definedName>
    <definedName name="Price_Block">#REF!</definedName>
    <definedName name="Price_Brick" localSheetId="1">#REF!</definedName>
    <definedName name="Price_Brick">#REF!</definedName>
    <definedName name="Price_Conc_4000">#REF!</definedName>
    <definedName name="Price_Conc_5000">#REF!</definedName>
    <definedName name="Price_Conc_6000">#REF!</definedName>
    <definedName name="Price_Form_Beam">#REF!</definedName>
    <definedName name="Price_Form_Colmn">#REF!</definedName>
    <definedName name="Price_Form_Core">#REF!</definedName>
    <definedName name="Price_Form_Slab">#REF!</definedName>
    <definedName name="Price_Form_Wall">#REF!</definedName>
    <definedName name="Price_Gyp._Ceil">#REF!</definedName>
    <definedName name="Price_Gyp.W_Both">#REF!</definedName>
    <definedName name="Price_Gyp.W_One">#REF!</definedName>
    <definedName name="price_list">#REF!</definedName>
    <definedName name="Price_menu">#REF!</definedName>
    <definedName name="Price_Paint_Emulsn">#REF!</definedName>
    <definedName name="Price_Plaster_Ceil">#REF!</definedName>
    <definedName name="Price_Plaster_Ext" localSheetId="1">#REF!</definedName>
    <definedName name="Price_Plaster_Ext">#REF!</definedName>
    <definedName name="Price_Plaster_Floor" localSheetId="1">#REF!</definedName>
    <definedName name="Price_Plaster_Floor">#REF!</definedName>
    <definedName name="Price_Plaster_Wall">#REF!</definedName>
    <definedName name="Price_Rebar_High">#REF!</definedName>
    <definedName name="Price_Rebar_Mild">#REF!</definedName>
    <definedName name="Price_Stl.Door_D">#REF!</definedName>
    <definedName name="Price_Stl.Door_S">#REF!</definedName>
    <definedName name="Price_Stone_Floor">#REF!</definedName>
    <definedName name="Price_Stone_Wall">#REF!</definedName>
    <definedName name="Price_Wd.Door_D" localSheetId="1">#REF!</definedName>
    <definedName name="Price_Wd.Door_D">#REF!</definedName>
    <definedName name="Price_Wd.Door_S" localSheetId="1">#REF!</definedName>
    <definedName name="Price_Wd.Door_S">#REF!</definedName>
    <definedName name="PRICE1" localSheetId="1">#REF!</definedName>
    <definedName name="PRICE1">#REF!</definedName>
    <definedName name="PRICE10">#REF!</definedName>
    <definedName name="PRICE2">#REF!</definedName>
    <definedName name="PRICE3">#REF!</definedName>
    <definedName name="PRICE4">#REF!</definedName>
    <definedName name="PRICE5">#REF!</definedName>
    <definedName name="PRICE6">#REF!</definedName>
    <definedName name="PRICE7">#REF!</definedName>
    <definedName name="PRICE8">#REF!</definedName>
    <definedName name="PRICE9">#REF!</definedName>
    <definedName name="PRICED">#REF!</definedName>
    <definedName name="PRICEItem">#REF!</definedName>
    <definedName name="PRICEKDescr">#REF!</definedName>
    <definedName name="PRICEKValue">#REF!</definedName>
    <definedName name="Prices">#REF!</definedName>
    <definedName name="PRICESItem">#REF!</definedName>
    <definedName name="PRICESKa">#REF!</definedName>
    <definedName name="PRICESKb">#REF!</definedName>
    <definedName name="PRICESUnitOfferedPrice">#REF!</definedName>
    <definedName name="PRICEUnitPrice">#REF!</definedName>
    <definedName name="Prilms" localSheetId="1" hidden="1">{#N/A,#N/A,FALSE,"MARCH"}</definedName>
    <definedName name="Prilms" hidden="1">{#N/A,#N/A,FALSE,"MARCH"}</definedName>
    <definedName name="Prilms1" localSheetId="1" hidden="1">{#N/A,#N/A,FALSE,"MARCH"}</definedName>
    <definedName name="Prilms1" hidden="1">{#N/A,#N/A,FALSE,"MARCH"}</definedName>
    <definedName name="PRIME">#REF!</definedName>
    <definedName name="PrimeAddress" localSheetId="1">#REF!</definedName>
    <definedName name="PrimeAddress">#REF!</definedName>
    <definedName name="PrimeAddress_4" localSheetId="1">#REF!</definedName>
    <definedName name="PrimeAddress_4">#REF!</definedName>
    <definedName name="PrimeAddress_4_1">#REF!</definedName>
    <definedName name="PrimeAddress_6">#REF!</definedName>
    <definedName name="PrimeCity">#REF!</definedName>
    <definedName name="PrimeCity_4">#REF!</definedName>
    <definedName name="PrimeCity_4_1">#REF!</definedName>
    <definedName name="PrimeCity_6">#REF!</definedName>
    <definedName name="PrimeCoat">#REF!</definedName>
    <definedName name="PrimeName">#REF!</definedName>
    <definedName name="PrimeName_4">#REF!</definedName>
    <definedName name="PrimeName_4_1">#REF!</definedName>
    <definedName name="PrimeName_6">#REF!</definedName>
    <definedName name="PrimePostal">#REF!</definedName>
    <definedName name="PrimePostal_4">#REF!</definedName>
    <definedName name="PrimePostal_4_1">#REF!</definedName>
    <definedName name="PrimePostal_6">#REF!</definedName>
    <definedName name="PrimePrio">#REF!</definedName>
    <definedName name="PrimePrio_4">#REF!</definedName>
    <definedName name="PrimePrio_4_1">#REF!</definedName>
    <definedName name="PrimePrio_6">#REF!</definedName>
    <definedName name="PrimePrio_Text">#REF!</definedName>
    <definedName name="PrimePrio_Text_4">#REF!</definedName>
    <definedName name="PrimePrio_Text_4_1">#REF!</definedName>
    <definedName name="PrimePrio_Text_6">#REF!</definedName>
    <definedName name="PrimeState">#REF!</definedName>
    <definedName name="PrimeState_4">#REF!</definedName>
    <definedName name="PrimeState_4_1">#REF!</definedName>
    <definedName name="PrimeState_6">#REF!</definedName>
    <definedName name="pRIMSCH">#REF!</definedName>
    <definedName name="Princ">#REF!</definedName>
    <definedName name="Principal">#REF!</definedName>
    <definedName name="PRINT">#REF!</definedName>
    <definedName name="PRINT_1">#REF!</definedName>
    <definedName name="_xlnm.Print_Area" localSheetId="1">'City Walk - Comparison'!$B$1:$S$116</definedName>
    <definedName name="_xlnm.Print_Area">#REF!</definedName>
    <definedName name="Print_Area_et" localSheetId="1">#REF!</definedName>
    <definedName name="Print_Area_et">#REF!</definedName>
    <definedName name="PRINT_area_M" localSheetId="1">#REF!</definedName>
    <definedName name="PRINT_area_M">#REF!</definedName>
    <definedName name="PRINT_AREA_MI">#REF!</definedName>
    <definedName name="PRINT_AREA_MI___0">#REF!</definedName>
    <definedName name="Print_Area_MI_1">"#REF!"</definedName>
    <definedName name="Print_Area_MI_12">"$#REF!.$A$2:$M$487"</definedName>
    <definedName name="Print_Area_MI_15">#REF!</definedName>
    <definedName name="Print_Area_MI_18">"$#REF!.$A$1:$N$465"</definedName>
    <definedName name="Print_Area_MI_2" localSheetId="1">#REF!</definedName>
    <definedName name="Print_Area_MI_2">#REF!</definedName>
    <definedName name="Print_Area_MI_3">"#REF!"</definedName>
    <definedName name="Print_Area_MI_38">"$#REF!.$A$2:$L$37"</definedName>
    <definedName name="Print_Area_MI_4">"#REF!"</definedName>
    <definedName name="PRINT_AREA_MI_4_1">#REF!</definedName>
    <definedName name="Print_Area_MI_5">"$#REF!.$A$2:$M$487"</definedName>
    <definedName name="Print_Area_MI_6">"$#REF!.$A$2:$M$487"</definedName>
    <definedName name="Print_Area_MI_7">"$#REF!.$A$2:$M$487"</definedName>
    <definedName name="Print_Area_MI_8">"$#REF!.$A$2:$M$487"</definedName>
    <definedName name="PRINT_AREA_MI1" localSheetId="1">#REF!</definedName>
    <definedName name="PRINT_AREA_MI1">#REF!</definedName>
    <definedName name="PRINT_AREA_MI1_1">0</definedName>
    <definedName name="Print_Area_Reset" localSheetId="1">OFFSET('City Walk - Comparison'!Full_Print,0,0,'City Walk - Comparison'!AREA_3.1__External_Walls)</definedName>
    <definedName name="Print_Area_Reset">OFFSET(Full_Print,0,0,Last_Row)</definedName>
    <definedName name="Print_Area_V" localSheetId="1">#REF!</definedName>
    <definedName name="Print_Area_V">#REF!</definedName>
    <definedName name="Print_Area2" localSheetId="1">#REF!</definedName>
    <definedName name="Print_Area2">#REF!</definedName>
    <definedName name="Print_Areas" localSheetId="1">#REF!</definedName>
    <definedName name="Print_Areas">#REF!</definedName>
    <definedName name="print_chart">#REF!</definedName>
    <definedName name="print_chart_1">0</definedName>
    <definedName name="PRINT_ENGR">#REF!</definedName>
    <definedName name="PRINT_ENGR_1">0</definedName>
    <definedName name="print_input">#REF!</definedName>
    <definedName name="print_input_1">0</definedName>
    <definedName name="Print_Range">#REF!</definedName>
    <definedName name="Print_Sect10">#REF!</definedName>
    <definedName name="Print_Sect2">#REF!</definedName>
    <definedName name="PRINT_TITLE">#REF!</definedName>
    <definedName name="PRINT_TITLE_1">0</definedName>
    <definedName name="_xlnm.Print_Titles" localSheetId="1">'City Walk - Comparison'!$1:$9</definedName>
    <definedName name="_xlnm.Print_Titles">#REF!</definedName>
    <definedName name="Print_Titles_MI" localSheetId="1">#REF!</definedName>
    <definedName name="Print_Titles_MI">#REF!</definedName>
    <definedName name="Print_Titles_MI___0">#REF!</definedName>
    <definedName name="Print_Titles_MI___0_1">0</definedName>
    <definedName name="Print_Titles_MI___18">#REF!</definedName>
    <definedName name="Print_Titles_MI___18_1">0</definedName>
    <definedName name="Print_Titles_MI_1">0</definedName>
    <definedName name="Print_Titles_WI">#REF!</definedName>
    <definedName name="PRINT1">#REF!</definedName>
    <definedName name="PRINT2">#REF!</definedName>
    <definedName name="PRINTA">#REF!</definedName>
    <definedName name="PRINTA_E">#REF!</definedName>
    <definedName name="PRINTA_S">#REF!</definedName>
    <definedName name="printarea1">#REF!</definedName>
    <definedName name="printarea1_1">0</definedName>
    <definedName name="printarea2">#REF!</definedName>
    <definedName name="printarea2_1">0</definedName>
    <definedName name="PRINTB">#REF!</definedName>
    <definedName name="PRINTC">#REF!</definedName>
    <definedName name="PRINTD">#REF!</definedName>
    <definedName name="PRINTE">#REF!</definedName>
    <definedName name="PrintKeyStatistics" localSheetId="1">[1]!COUNT_L1_Slab_240</definedName>
    <definedName name="PrintKeyStatistics">[1]!PrintKeyStatistics</definedName>
    <definedName name="PRINTS" localSheetId="1">#REF!</definedName>
    <definedName name="PRINTS">#REF!</definedName>
    <definedName name="PrintTotal">#REF!</definedName>
    <definedName name="prio">#N/A</definedName>
    <definedName name="PRIOR">" 5"</definedName>
    <definedName name="PriorityValues">#REF!</definedName>
    <definedName name="Prix_Vente_Mini" localSheetId="1">#REF!</definedName>
    <definedName name="Prix_Vente_Mini">#REF!</definedName>
    <definedName name="Prj_1" localSheetId="1">#REF!</definedName>
    <definedName name="Prj_1">#REF!</definedName>
    <definedName name="PRJ_ELBK_CST_EDITBY">#REF!</definedName>
    <definedName name="PRJ_ELBK_CST_EDITDATE">#REF!</definedName>
    <definedName name="PRJ_ELEQ_CST_EDITBY">#REF!</definedName>
    <definedName name="PRJ_ELEQ_CST_EDITDATE">#REF!</definedName>
    <definedName name="PRJ_INSTR_CST_EDITBY">#REF!</definedName>
    <definedName name="PRJ_INSTR_CST_EDITDATE">#REF!</definedName>
    <definedName name="Prj_name">#REF!</definedName>
    <definedName name="Prj_Office">#REF!</definedName>
    <definedName name="Prj_title">#REF!</definedName>
    <definedName name="Prj_Ttl" localSheetId="1">#REF!</definedName>
    <definedName name="Prj_Ttl">#REF!</definedName>
    <definedName name="pro" localSheetId="1">#REF!</definedName>
    <definedName name="pro">#REF!</definedName>
    <definedName name="Pro_Acoustic">#REF!</definedName>
    <definedName name="pro_title">#REF!</definedName>
    <definedName name="proc_eng">#REF!</definedName>
    <definedName name="Proc_Form">#REF!</definedName>
    <definedName name="Proc_Hrs" localSheetId="1">#REF!</definedName>
    <definedName name="Proc_Hrs">#REF!</definedName>
    <definedName name="Proc_Rev">#REF!</definedName>
    <definedName name="PROCESS_ACT">#REF!</definedName>
    <definedName name="PROCESS_ACT_1">0</definedName>
    <definedName name="PROCESS_DATA" localSheetId="1">#REF!,#REF!,#REF!,#REF!,#REF!</definedName>
    <definedName name="PROCESS_DATA">#REF!,#REF!,#REF!,#REF!,#REF!</definedName>
    <definedName name="PROCESS_INFO" localSheetId="1">#REF!,#REF!,#REF!,#REF!,#REF!,#REF!,#REF!</definedName>
    <definedName name="PROCESS_INFO">#REF!,#REF!,#REF!,#REF!,#REF!,#REF!,#REF!</definedName>
    <definedName name="PROCESS_PLAN" localSheetId="1">#REF!</definedName>
    <definedName name="PROCESS_PLAN">#REF!</definedName>
    <definedName name="PROCESS_PLAN_1">0</definedName>
    <definedName name="PROD" localSheetId="1">#REF!</definedName>
    <definedName name="PROD">#REF!</definedName>
    <definedName name="PROD_4">#REF!</definedName>
    <definedName name="PROD_4_1">#REF!</definedName>
    <definedName name="PROD_6">#REF!</definedName>
    <definedName name="prod_build.">#REF!</definedName>
    <definedName name="ProdCode1">#REF!</definedName>
    <definedName name="ProdCode1_4">#REF!</definedName>
    <definedName name="ProdCode1_4_1">#REF!</definedName>
    <definedName name="ProdCode1_6">#REF!</definedName>
    <definedName name="ProdCode1_Text">#REF!</definedName>
    <definedName name="ProdCode1_Text_4">#REF!</definedName>
    <definedName name="ProdCode1_Text_4_1">#REF!</definedName>
    <definedName name="ProdCode1_Text_6">#REF!</definedName>
    <definedName name="ProdCode2">#REF!</definedName>
    <definedName name="ProdCode2_4">#REF!</definedName>
    <definedName name="ProdCode2_4_1">#REF!</definedName>
    <definedName name="ProdCode2_6">#REF!</definedName>
    <definedName name="ProdCode2_Text">#REF!</definedName>
    <definedName name="ProdCode2_Text_4">#REF!</definedName>
    <definedName name="ProdCode2_Text_4_1">#REF!</definedName>
    <definedName name="ProdCode2_Text_6">#REF!</definedName>
    <definedName name="ProdCode3">#REF!</definedName>
    <definedName name="ProdCode3_4">#REF!</definedName>
    <definedName name="ProdCode3_4_1">#REF!</definedName>
    <definedName name="ProdCode3_6">#REF!</definedName>
    <definedName name="ProdCode3_Text">#REF!</definedName>
    <definedName name="ProdCode3_Text_4">#REF!</definedName>
    <definedName name="ProdCode3_Text_4_1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4_1">#REF!</definedName>
    <definedName name="ProdCode4_6">#REF!</definedName>
    <definedName name="ProdCode4_Text">#REF!</definedName>
    <definedName name="ProdCode4_Text_4">#REF!</definedName>
    <definedName name="ProdCode4_Text_4_1">#REF!</definedName>
    <definedName name="ProdCode4_Text_6">#REF!</definedName>
    <definedName name="ProdCode5">#REF!</definedName>
    <definedName name="ProdCode5_4">#REF!</definedName>
    <definedName name="ProdCode5_4_1">#REF!</definedName>
    <definedName name="ProdCode5_6">#REF!</definedName>
    <definedName name="ProdCode5_Text">#REF!</definedName>
    <definedName name="ProdCode5_Text_4">#REF!</definedName>
    <definedName name="ProdCode5_Text_4_1">#REF!</definedName>
    <definedName name="ProdCode5_Text_6">#REF!</definedName>
    <definedName name="ProdForm" hidden="1">#REF!</definedName>
    <definedName name="ProdPct1">#REF!</definedName>
    <definedName name="ProdPct1_4">#REF!</definedName>
    <definedName name="ProdPct1_4_1">#REF!</definedName>
    <definedName name="ProdPct1_6">#REF!</definedName>
    <definedName name="ProdPct2">#REF!</definedName>
    <definedName name="ProdPct2_4">#REF!</definedName>
    <definedName name="ProdPct2_4_1">#REF!</definedName>
    <definedName name="ProdPct2_6">#REF!</definedName>
    <definedName name="ProdPct3">#REF!</definedName>
    <definedName name="ProdPct3_4">#REF!</definedName>
    <definedName name="ProdPct3_4_1">#REF!</definedName>
    <definedName name="ProdPct3_6">#REF!</definedName>
    <definedName name="ProdPct4">#REF!</definedName>
    <definedName name="ProdPct4_4">#REF!</definedName>
    <definedName name="ProdPct4_4_1">#REF!</definedName>
    <definedName name="ProdPct4_6">#REF!</definedName>
    <definedName name="ProdPct5">#REF!</definedName>
    <definedName name="ProdPct5_4">#REF!</definedName>
    <definedName name="ProdPct5_4_1">#REF!</definedName>
    <definedName name="ProdPct5_6">#REF!</definedName>
    <definedName name="Product" hidden="1">#REF!</definedName>
    <definedName name="Prof">#REF!</definedName>
    <definedName name="Prof_fees">#REF!</definedName>
    <definedName name="Prof_fees_12">"$#REF!.$F$31"</definedName>
    <definedName name="Prof_fees_18">"$#REF!.$F$36"</definedName>
    <definedName name="Prof_fees_2">"$#REF!.$F$31"</definedName>
    <definedName name="Prof_fees_38">"$#REF!.$F$34"</definedName>
    <definedName name="Prof_fees_4">"$#REF!.$F$31"</definedName>
    <definedName name="Prof_fees_5">"$#REF!.$F$31"</definedName>
    <definedName name="Prof_fees_6">"$#REF!.$F$31"</definedName>
    <definedName name="Prof_fees_7">"$#REF!.$F$31"</definedName>
    <definedName name="Prof_fees_8">"$#REF!.$F$31"</definedName>
    <definedName name="Prof_fees1">#REF!</definedName>
    <definedName name="profit" localSheetId="1" hidden="1">{#N/A,"Good",TRUE,"Sheet1";#N/A,"Normal",TRUE,"Sheet1";#N/A,"Bad",TRUE,"Sheet1"}</definedName>
    <definedName name="profit" hidden="1">{#N/A,"Good",TRUE,"Sheet1";#N/A,"Normal",TRUE,"Sheet1";#N/A,"Bad",TRUE,"Sheet1"}</definedName>
    <definedName name="Profit_for_the_year">#REF!</definedName>
    <definedName name="Prog_plan_cum">#REF!</definedName>
    <definedName name="PROG1">#REF!</definedName>
    <definedName name="PROGDATE" localSheetId="1">#REF!</definedName>
    <definedName name="PROGDATE">#REF!</definedName>
    <definedName name="progra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amme">#REF!</definedName>
    <definedName name="progress">#REF!</definedName>
    <definedName name="progress_summary" localSheetId="1">#REF!</definedName>
    <definedName name="progress_summary">#REF!</definedName>
    <definedName name="Progstatus">#REF!</definedName>
    <definedName name="PROJ" localSheetId="1">#REF!</definedName>
    <definedName name="PROJ">#REF!</definedName>
    <definedName name="Proj_Betrag">#REF!</definedName>
    <definedName name="Proj_Client_Company">#REF!</definedName>
    <definedName name="Proj_Ing">#REF!</definedName>
    <definedName name="proj_name">#REF!</definedName>
    <definedName name="proj_no">#REF!</definedName>
    <definedName name="Proj_Nr">#REF!</definedName>
    <definedName name="PROJ_OFF_HRS">#REF!</definedName>
    <definedName name="PROJ_OFF_LAB">#REF!</definedName>
    <definedName name="Proj_review_meeting">#N/A</definedName>
    <definedName name="ProjAddress1" localSheetId="1">#REF!</definedName>
    <definedName name="ProjAddress1">#REF!</definedName>
    <definedName name="ProjAddress1_4" localSheetId="1">#REF!</definedName>
    <definedName name="ProjAddress1_4">#REF!</definedName>
    <definedName name="ProjAddress1_4_1" localSheetId="1">#REF!</definedName>
    <definedName name="ProjAddress1_4_1">#REF!</definedName>
    <definedName name="ProjAddress1_6">#REF!</definedName>
    <definedName name="ProjAddress2">#REF!</definedName>
    <definedName name="ProjAddress2_4">#REF!</definedName>
    <definedName name="ProjAddress2_4_1">#REF!</definedName>
    <definedName name="ProjAddress2_6">#REF!</definedName>
    <definedName name="ProjCity">#REF!</definedName>
    <definedName name="ProjCity_4">#REF!</definedName>
    <definedName name="ProjCity_4_1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4_1">#REF!</definedName>
    <definedName name="ProjCountry_6">#REF!</definedName>
    <definedName name="ProjCounty">#REF!</definedName>
    <definedName name="ProjCounty_4">#REF!</definedName>
    <definedName name="ProjCounty_4_1">#REF!</definedName>
    <definedName name="ProjCounty_6">#REF!</definedName>
    <definedName name="projcum" localSheetId="1">OFFSET(#REF!,0,0,COUNTA(#REF!),1)</definedName>
    <definedName name="projcum">OFFSET(#REF!,0,0,COUNTA(#REF!),1)</definedName>
    <definedName name="projcum1">OFFSET(#REF!,0,0,COUNTA(#REF!),1)</definedName>
    <definedName name="ProjDay" localSheetId="1">#REF!</definedName>
    <definedName name="ProjDay">#REF!</definedName>
    <definedName name="Project">#REF!</definedName>
    <definedName name="Project_Add_1">#REF!</definedName>
    <definedName name="Project_Add_2">#REF!</definedName>
    <definedName name="Project_Add_3">#REF!</definedName>
    <definedName name="Project_Cost" localSheetId="1">#REF!</definedName>
    <definedName name="Project_Cost">#REF!</definedName>
    <definedName name="PROJECT_Description">#REF!</definedName>
    <definedName name="PROJECT_Description1">#REF!</definedName>
    <definedName name="PROJECT_Description2">#REF!</definedName>
    <definedName name="Project_footer">#N/A</definedName>
    <definedName name="PROJECT_LOCATION" localSheetId="1">#REF!</definedName>
    <definedName name="PROJECT_LOCATION">#REF!</definedName>
    <definedName name="Project_manager_company" localSheetId="1">#REF!</definedName>
    <definedName name="Project_manager_company">#REF!</definedName>
    <definedName name="Project_manager_firm" localSheetId="1">#REF!</definedName>
    <definedName name="Project_manager_firm">#REF!</definedName>
    <definedName name="Project_Name">#REF!</definedName>
    <definedName name="PROJECT_NR" localSheetId="1">#REF!</definedName>
    <definedName name="PROJECT_NR">#REF!</definedName>
    <definedName name="Project_number">#REF!</definedName>
    <definedName name="PROJECT_REF" localSheetId="1">#REF!</definedName>
    <definedName name="PROJECT_REF">#REF!</definedName>
    <definedName name="Project_Subtitle" localSheetId="1">#REF!</definedName>
    <definedName name="Project_Subtitle">#REF!</definedName>
    <definedName name="Project_Term">#REF!</definedName>
    <definedName name="PROJECT_TYPE" localSheetId="1">#REF!</definedName>
    <definedName name="PROJECT_TYPE">#REF!</definedName>
    <definedName name="ProjectCode_10">NA()</definedName>
    <definedName name="Projected" localSheetId="1" hidden="1">{"'Break down'!$A$4"}</definedName>
    <definedName name="Projected" hidden="1">{"'Break down'!$A$4"}</definedName>
    <definedName name="Projectend">#REF!</definedName>
    <definedName name="projections" localSheetId="1">#REF!</definedName>
    <definedName name="projections">#REF!</definedName>
    <definedName name="ProjectLocation" localSheetId="1">#REF!</definedName>
    <definedName name="ProjectLocation">#REF!</definedName>
    <definedName name="ProjectNumber" localSheetId="1">#REF!</definedName>
    <definedName name="ProjectNumber">#REF!</definedName>
    <definedName name="projectod">0</definedName>
    <definedName name="Projects">#REF!</definedName>
    <definedName name="Projects1">#REF!</definedName>
    <definedName name="ProjectSubtitle" localSheetId="1">#REF!</definedName>
    <definedName name="ProjectSubtitle">#REF!</definedName>
    <definedName name="ProjectTitle" localSheetId="1">#REF!</definedName>
    <definedName name="ProjectTitle">#REF!</definedName>
    <definedName name="Projekt_Nr" localSheetId="1">#REF!</definedName>
    <definedName name="Projekt_Nr">#REF!</definedName>
    <definedName name="Projektart">#REF!</definedName>
    <definedName name="Projektbetrag" localSheetId="1">#REF!</definedName>
    <definedName name="Projektbetrag">#REF!</definedName>
    <definedName name="ProjMonth">#REF!</definedName>
    <definedName name="projmonthly" localSheetId="1">OFFSET(#REF!,0,0,COUNTA(#REF!),1)</definedName>
    <definedName name="projmonthly">OFFSET(#REF!,0,0,COUNTA(#REF!),1)</definedName>
    <definedName name="projmonthly1">OFFSET(#REF!,0,0,COUNTA(#REF!),1)</definedName>
    <definedName name="projmonthmax" localSheetId="1">OFFSET(#REF!,0,0,MATCH(#REF!,#REF!,0),1)</definedName>
    <definedName name="projmonthmax">OFFSET(#REF!,0,0,MATCH(#REF!,#REF!,0),1)</definedName>
    <definedName name="ProjName" localSheetId="1">#REF!</definedName>
    <definedName name="ProjName">#REF!</definedName>
    <definedName name="ProjName_4" localSheetId="1">#REF!</definedName>
    <definedName name="ProjName_4">#REF!</definedName>
    <definedName name="ProjName_4_1" localSheetId="1">#REF!</definedName>
    <definedName name="ProjName_4_1">#REF!</definedName>
    <definedName name="ProjName_6">#REF!</definedName>
    <definedName name="ProjNum">#REF!</definedName>
    <definedName name="ProjNum_4">#REF!</definedName>
    <definedName name="ProjNum_4_1">#REF!</definedName>
    <definedName name="ProjNum_6">#REF!</definedName>
    <definedName name="ProjPostal">#REF!</definedName>
    <definedName name="ProjPostal_4">#REF!</definedName>
    <definedName name="ProjPostal_4_1">#REF!</definedName>
    <definedName name="ProjPostal_6">#REF!</definedName>
    <definedName name="ProjState">#REF!</definedName>
    <definedName name="ProjState_4">#REF!</definedName>
    <definedName name="ProjState_4_1">#REF!</definedName>
    <definedName name="ProjState_6">#REF!</definedName>
    <definedName name="projsupply">#REF!</definedName>
    <definedName name="ProjYear">#REF!</definedName>
    <definedName name="ProMI">#REF!</definedName>
    <definedName name="Proname" localSheetId="1">#REF!</definedName>
    <definedName name="Proname">#REF!</definedName>
    <definedName name="PROOF">#REF!</definedName>
    <definedName name="proofslab">#REF!</definedName>
    <definedName name="Property_Name">#REF!</definedName>
    <definedName name="PROPFLOW">#REF!</definedName>
    <definedName name="Proportion">#REF!</definedName>
    <definedName name="PROPOSAL" localSheetId="1">#REF!</definedName>
    <definedName name="PROPOSAL">#REF!</definedName>
    <definedName name="proposed" localSheetId="1">#REF!</definedName>
    <definedName name="proposed">#REF!</definedName>
    <definedName name="Propsiteanalysis" localSheetId="1">#REF!</definedName>
    <definedName name="Propsiteanalysis">#REF!</definedName>
    <definedName name="PropStat">#REF!</definedName>
    <definedName name="ProRataTable">#REF!</definedName>
    <definedName name="PROT" localSheetId="1">#REF!</definedName>
    <definedName name="PROT">#REF!</definedName>
    <definedName name="Protection" localSheetId="1">#REF!</definedName>
    <definedName name="Protection">#REF!</definedName>
    <definedName name="PROTECTIVE__INSTALLATIONS" localSheetId="1">#REF!</definedName>
    <definedName name="PROTECTIVE__INSTALLATIONS">#REF!</definedName>
    <definedName name="Prov_quants">#REF!</definedName>
    <definedName name="Prov_Sum_Total">#REF!</definedName>
    <definedName name="prov_sums" localSheetId="1">#REF!</definedName>
    <definedName name="prov_sums">#REF!</definedName>
    <definedName name="Provforecastfinal" localSheetId="1">#REF!</definedName>
    <definedName name="Provforecastfinal">#REF!</definedName>
    <definedName name="Provisional_Quant_14">#REF!</definedName>
    <definedName name="Provisional_Sum_13">#REF!</definedName>
    <definedName name="Proz_Mat_2">#REF!</definedName>
    <definedName name="Proz_Mon_Ing1">#REF!</definedName>
    <definedName name="Proz_Mon_Ing2">#REF!</definedName>
    <definedName name="PRR" localSheetId="1">#REF!</definedName>
    <definedName name="PRR">#REF!</definedName>
    <definedName name="PRWMAY07" localSheetId="1">#REF!</definedName>
    <definedName name="PRWMAY07">#REF!</definedName>
    <definedName name="PRWSEP05" localSheetId="1">#REF!</definedName>
    <definedName name="PRWSEP05">#REF!</definedName>
    <definedName name="Prz_Staz">#REF!</definedName>
    <definedName name="ps">#REF!</definedName>
    <definedName name="PS___0">#REF!</definedName>
    <definedName name="PS___13">#REF!</definedName>
    <definedName name="ps_1">0</definedName>
    <definedName name="ps_app">#REF!</definedName>
    <definedName name="ps_est">#REF!</definedName>
    <definedName name="PS_Int">#REF!</definedName>
    <definedName name="PS_label">#REF!</definedName>
    <definedName name="ps_max" localSheetId="1">#REF!</definedName>
    <definedName name="ps_max">#REF!</definedName>
    <definedName name="ps_paid" localSheetId="1">#REF!</definedName>
    <definedName name="ps_paid">#REF!</definedName>
    <definedName name="ps_quo" localSheetId="1">#REF!</definedName>
    <definedName name="ps_quo">#REF!</definedName>
    <definedName name="ps_rec">#REF!</definedName>
    <definedName name="PS1_BQ_Amount">#REF!</definedName>
    <definedName name="PS1_Description">#REF!</definedName>
    <definedName name="PS1_Variations">#REF!</definedName>
    <definedName name="PS10_BQ_Amount">#REF!</definedName>
    <definedName name="PS10_Description">#REF!</definedName>
    <definedName name="PS10_Variations">#REF!</definedName>
    <definedName name="PS100_BQ_Amount">#REF!</definedName>
    <definedName name="PS100_Description">#REF!</definedName>
    <definedName name="PS11_BQ_Amount">#REF!</definedName>
    <definedName name="PS11_Description">#REF!</definedName>
    <definedName name="PS11_Variations">#REF!</definedName>
    <definedName name="PS12_BQ_Amount">#REF!</definedName>
    <definedName name="PS12_Description">#REF!</definedName>
    <definedName name="PS12_Variations">#REF!</definedName>
    <definedName name="PS13_BQ_Amount">#REF!</definedName>
    <definedName name="PS13_Description">#REF!</definedName>
    <definedName name="PS13_Variations">#REF!</definedName>
    <definedName name="PS14_BQ_Amount">#REF!</definedName>
    <definedName name="PS14_Description">#REF!</definedName>
    <definedName name="PS14_Variations">#REF!</definedName>
    <definedName name="PS15_BQ_Amount">#REF!</definedName>
    <definedName name="PS15_Description">#REF!</definedName>
    <definedName name="PS15_Variations">#REF!</definedName>
    <definedName name="PS16_BQ_Amount">#REF!</definedName>
    <definedName name="PS16_Description">#REF!</definedName>
    <definedName name="PS16_Variations">#REF!</definedName>
    <definedName name="PS17_BQ_Amount">#REF!</definedName>
    <definedName name="PS17_Description">#REF!</definedName>
    <definedName name="PS17_Variations">#REF!</definedName>
    <definedName name="PS18_BQ_Amount">#REF!</definedName>
    <definedName name="PS18_Description">#REF!</definedName>
    <definedName name="PS18_Variations">#REF!</definedName>
    <definedName name="PS19_BQ_Amount">#REF!</definedName>
    <definedName name="PS19_Description">#REF!</definedName>
    <definedName name="PS19_Variations">#REF!</definedName>
    <definedName name="PS2_BQ_Amount">#REF!</definedName>
    <definedName name="PS2_Description">#REF!</definedName>
    <definedName name="PS2_Variations">#REF!</definedName>
    <definedName name="PS20_BQ_Amount">#REF!</definedName>
    <definedName name="PS20_Description">#REF!</definedName>
    <definedName name="PS20_Variations">#REF!</definedName>
    <definedName name="PS21_BQ_Amount">#REF!</definedName>
    <definedName name="PS21_Description">#REF!</definedName>
    <definedName name="PS21_Variations">#REF!</definedName>
    <definedName name="PS22_BQ_Amount">#REF!</definedName>
    <definedName name="PS22_Description">#REF!</definedName>
    <definedName name="PS22_Variations">#REF!</definedName>
    <definedName name="PS23_BQ_Amount">#REF!</definedName>
    <definedName name="PS23_Description">#REF!</definedName>
    <definedName name="PS23_Variations">#REF!</definedName>
    <definedName name="PS24_BQ_Amount">#REF!</definedName>
    <definedName name="PS24_Description">#REF!</definedName>
    <definedName name="PS24_Variations">#REF!</definedName>
    <definedName name="PS25_BQ_Amount">#REF!</definedName>
    <definedName name="PS25_Description">#REF!</definedName>
    <definedName name="PS25_Variations">#REF!</definedName>
    <definedName name="PS26_BQ_Amount">#REF!</definedName>
    <definedName name="PS26_Description">#REF!</definedName>
    <definedName name="PS26_Variations">#REF!</definedName>
    <definedName name="PS27_BQ_Amount">#REF!</definedName>
    <definedName name="PS27_Description">#REF!</definedName>
    <definedName name="PS27_Variations">#REF!</definedName>
    <definedName name="PS28_BQ_Amount">#REF!</definedName>
    <definedName name="PS28_Description">#REF!</definedName>
    <definedName name="PS28_Variations">#REF!</definedName>
    <definedName name="PS29_BQ_Amount">#REF!</definedName>
    <definedName name="PS29_Description">#REF!</definedName>
    <definedName name="PS29_Variations">#REF!</definedName>
    <definedName name="PS3_BQ_Amount">#REF!</definedName>
    <definedName name="PS3_Description">#REF!</definedName>
    <definedName name="PS3_Variations">#REF!</definedName>
    <definedName name="PS30_BQ_Amount">#REF!</definedName>
    <definedName name="PS30_Description">#REF!</definedName>
    <definedName name="PS30_Variations">#REF!</definedName>
    <definedName name="PS31_BQ_Amount">#REF!</definedName>
    <definedName name="PS31_Description">#REF!</definedName>
    <definedName name="PS31_Variations">#REF!</definedName>
    <definedName name="PS32_BQ_Amount">#REF!</definedName>
    <definedName name="PS32_Description">#REF!</definedName>
    <definedName name="PS32_Variations">#REF!</definedName>
    <definedName name="PS33_BQ_Amount">#REF!</definedName>
    <definedName name="PS33_Description">#REF!</definedName>
    <definedName name="PS33_Variations">#REF!</definedName>
    <definedName name="PS34_BQ_Amount">#REF!</definedName>
    <definedName name="PS34_Description">#REF!</definedName>
    <definedName name="PS34_Variations">#REF!</definedName>
    <definedName name="PS35_BQ_Amount">#REF!</definedName>
    <definedName name="PS35_Description">#REF!</definedName>
    <definedName name="PS35_Variations">#REF!</definedName>
    <definedName name="PS36_BQ_Amount">#REF!</definedName>
    <definedName name="PS36_Description">#REF!</definedName>
    <definedName name="PS36_Variations">#REF!</definedName>
    <definedName name="PS37_BQ_Amount">#REF!</definedName>
    <definedName name="PS37_Description">#REF!</definedName>
    <definedName name="PS37_Variations">#REF!</definedName>
    <definedName name="PS38_BQ_Amount">#REF!</definedName>
    <definedName name="PS38_Description">#REF!</definedName>
    <definedName name="PS38_Variations">#REF!</definedName>
    <definedName name="PS39_BQ_Amount">#REF!</definedName>
    <definedName name="PS39_Description">#REF!</definedName>
    <definedName name="PS39_Variations">#REF!</definedName>
    <definedName name="PS4_BQ_Amount">#REF!</definedName>
    <definedName name="PS4_Description">#REF!</definedName>
    <definedName name="PS4_Variations">#REF!</definedName>
    <definedName name="PS40_BQ_Amount">#REF!</definedName>
    <definedName name="PS40_Description">#REF!</definedName>
    <definedName name="PS40_Variations">#REF!</definedName>
    <definedName name="PS41_BQ_Amount">#REF!</definedName>
    <definedName name="PS41_Description">#REF!</definedName>
    <definedName name="PS41_Variations">#REF!</definedName>
    <definedName name="PS42_BQ_Amount">#REF!</definedName>
    <definedName name="PS42_Description">#REF!</definedName>
    <definedName name="PS42_Variations">#REF!</definedName>
    <definedName name="PS43_BQ_Amount">#REF!</definedName>
    <definedName name="PS43_Description">#REF!</definedName>
    <definedName name="PS43_Variations">#REF!</definedName>
    <definedName name="PS44_BQ_Amount">#REF!</definedName>
    <definedName name="PS44_Description">#REF!</definedName>
    <definedName name="PS44_Variations">#REF!</definedName>
    <definedName name="PS45_BQ_Amount">#REF!</definedName>
    <definedName name="PS45_Description">#REF!</definedName>
    <definedName name="PS45_Variations">#REF!</definedName>
    <definedName name="PS46_BQ_Amount">#REF!</definedName>
    <definedName name="PS46_Description">#REF!</definedName>
    <definedName name="PS46_Variations">#REF!</definedName>
    <definedName name="PS47_BQ_Amount">#REF!</definedName>
    <definedName name="PS47_Description">#REF!</definedName>
    <definedName name="PS47_Variations">#REF!</definedName>
    <definedName name="PS48_BQ_Amount">#REF!</definedName>
    <definedName name="PS48_Description">#REF!</definedName>
    <definedName name="PS48_Variations">#REF!</definedName>
    <definedName name="PS49_BQ_Amount">#REF!</definedName>
    <definedName name="PS49_Description">#REF!</definedName>
    <definedName name="PS49_Variations">#REF!</definedName>
    <definedName name="PS5_BQ_Amount">#REF!</definedName>
    <definedName name="PS5_Description">#REF!</definedName>
    <definedName name="PS5_Variations">#REF!</definedName>
    <definedName name="PS50_BQ_Amount">#REF!</definedName>
    <definedName name="PS50_Description">#REF!</definedName>
    <definedName name="PS50_Variations">#REF!</definedName>
    <definedName name="PS51_BQ_Amount">#REF!</definedName>
    <definedName name="PS51_Description">#REF!</definedName>
    <definedName name="PS51_Variations">#REF!</definedName>
    <definedName name="PS52_BQ_Amount">#REF!</definedName>
    <definedName name="PS52_Description">#REF!</definedName>
    <definedName name="PS52_Variations">#REF!</definedName>
    <definedName name="PS53_BQ_Amount">#REF!</definedName>
    <definedName name="PS53_Description">#REF!</definedName>
    <definedName name="PS53_Variations">#REF!</definedName>
    <definedName name="PS54_BQ_Amount">#REF!</definedName>
    <definedName name="PS54_Description">#REF!</definedName>
    <definedName name="PS54_Variations">#REF!</definedName>
    <definedName name="PS55_BQ_Amount">#REF!</definedName>
    <definedName name="PS55_Description">#REF!</definedName>
    <definedName name="PS55_Variations">#REF!</definedName>
    <definedName name="PS56_BQ_Amount">#REF!</definedName>
    <definedName name="PS56_Description">#REF!</definedName>
    <definedName name="PS56_Variations">#REF!</definedName>
    <definedName name="PS57_BQ_Amount">#REF!</definedName>
    <definedName name="PS57_Description">#REF!</definedName>
    <definedName name="PS57_Variations">#REF!</definedName>
    <definedName name="PS58_BQ_Amount">#REF!</definedName>
    <definedName name="PS58_Description">#REF!</definedName>
    <definedName name="PS58_Variations">#REF!</definedName>
    <definedName name="PS59_BQ_Amount">#REF!</definedName>
    <definedName name="PS59_Description">#REF!</definedName>
    <definedName name="PS59_Variations">#REF!</definedName>
    <definedName name="PS6_BQ_Amount">#REF!</definedName>
    <definedName name="PS6_Description">#REF!</definedName>
    <definedName name="PS6_Variations">#REF!</definedName>
    <definedName name="PS60_BQ_Amount">#REF!</definedName>
    <definedName name="PS60_Description">#REF!</definedName>
    <definedName name="PS60_Variations">#REF!</definedName>
    <definedName name="PS61_BQ_Amount">#REF!</definedName>
    <definedName name="PS61_Description">#REF!</definedName>
    <definedName name="PS61_Variations">#REF!</definedName>
    <definedName name="PS62_BQ_Amount">#REF!</definedName>
    <definedName name="PS62_Description">#REF!</definedName>
    <definedName name="PS62_Variations">#REF!</definedName>
    <definedName name="PS63_BQ_Amount">#REF!</definedName>
    <definedName name="PS63_Description">#REF!</definedName>
    <definedName name="PS63_Variations">#REF!</definedName>
    <definedName name="PS64_BQ_Amount">#REF!</definedName>
    <definedName name="PS64_Description">#REF!</definedName>
    <definedName name="PS64_Variations">#REF!</definedName>
    <definedName name="PS65_BQ_Amount">#REF!</definedName>
    <definedName name="PS65_Description">#REF!</definedName>
    <definedName name="PS65_Variations">#REF!</definedName>
    <definedName name="PS66_BQ_Amount">#REF!</definedName>
    <definedName name="PS66_Description">#REF!</definedName>
    <definedName name="PS66_Variations">#REF!</definedName>
    <definedName name="PS67_BQ_Amount">#REF!</definedName>
    <definedName name="PS67_Description">#REF!</definedName>
    <definedName name="PS67_Variations">#REF!</definedName>
    <definedName name="PS68_BQ_Amount">#REF!</definedName>
    <definedName name="PS68_Description">#REF!</definedName>
    <definedName name="PS68_Variations">#REF!</definedName>
    <definedName name="PS69_BQ_Amount">#REF!</definedName>
    <definedName name="PS69_Description">#REF!</definedName>
    <definedName name="PS69_Variations">#REF!</definedName>
    <definedName name="PS7_BQ_Amount">#REF!</definedName>
    <definedName name="PS7_Description">#REF!</definedName>
    <definedName name="PS7_Variations">#REF!</definedName>
    <definedName name="PS70_BQ_Amount">#REF!</definedName>
    <definedName name="PS70_Description">#REF!</definedName>
    <definedName name="PS70_Variations">#REF!</definedName>
    <definedName name="PS71_BQ_Amount">#REF!</definedName>
    <definedName name="PS71_Description">#REF!</definedName>
    <definedName name="PS71_Variations">#REF!</definedName>
    <definedName name="PS72_BQ_Amount">#REF!</definedName>
    <definedName name="PS72_Description">#REF!</definedName>
    <definedName name="PS72_Variations">#REF!</definedName>
    <definedName name="PS73_BQ_Amount">#REF!</definedName>
    <definedName name="PS73_Description">#REF!</definedName>
    <definedName name="PS73_Variations">#REF!</definedName>
    <definedName name="PS74_BQ_Amount">#REF!</definedName>
    <definedName name="PS74_Description">#REF!</definedName>
    <definedName name="PS74_Variations">#REF!</definedName>
    <definedName name="PS75_BQ_Amount">#REF!</definedName>
    <definedName name="PS75_Description">#REF!</definedName>
    <definedName name="PS75_Variations">#REF!</definedName>
    <definedName name="PS76_BQ_Amount">#REF!</definedName>
    <definedName name="PS76_Description">#REF!</definedName>
    <definedName name="PS76_Variations">#REF!</definedName>
    <definedName name="PS77_BQ_Amount">#REF!</definedName>
    <definedName name="PS77_Description">#REF!</definedName>
    <definedName name="PS77_Variations">#REF!</definedName>
    <definedName name="PS78_BQ_Amount">#REF!</definedName>
    <definedName name="PS78_Description">#REF!</definedName>
    <definedName name="PS78_Variations">#REF!</definedName>
    <definedName name="PS79_BQ_Amount">#REF!</definedName>
    <definedName name="PS79_Description">#REF!</definedName>
    <definedName name="PS79_Variations">#REF!</definedName>
    <definedName name="PS8_BQ_Amount">#REF!</definedName>
    <definedName name="PS8_Description">#REF!</definedName>
    <definedName name="PS8_Variations">#REF!</definedName>
    <definedName name="PS80_BQ_Amount">#REF!</definedName>
    <definedName name="PS80_Description">#REF!</definedName>
    <definedName name="PS80_Variations">#REF!</definedName>
    <definedName name="PS81_BQ_Amount">#REF!</definedName>
    <definedName name="PS81_Description">#REF!</definedName>
    <definedName name="PS82_BQ_Amount">#REF!</definedName>
    <definedName name="PS82_Description">#REF!</definedName>
    <definedName name="PS83_BQ_Amount">#REF!</definedName>
    <definedName name="PS83_Description">#REF!</definedName>
    <definedName name="PS84_BQ_Amount">#REF!</definedName>
    <definedName name="PS84_Description">#REF!</definedName>
    <definedName name="PS85_BQ_Amount">#REF!</definedName>
    <definedName name="PS85_Description">#REF!</definedName>
    <definedName name="PS86_BQ_Amount">#REF!</definedName>
    <definedName name="PS86_Description">#REF!</definedName>
    <definedName name="PS87_BQ_Amount">#REF!</definedName>
    <definedName name="PS87_Description">#REF!</definedName>
    <definedName name="PS88_BQ_Amount">#REF!</definedName>
    <definedName name="PS88_Description">#REF!</definedName>
    <definedName name="PS89_BQ_Amount">#REF!</definedName>
    <definedName name="PS89_Description">#REF!</definedName>
    <definedName name="PS9_BQ_Amount">#REF!</definedName>
    <definedName name="PS9_Description">#REF!</definedName>
    <definedName name="PS9_Variations">#REF!</definedName>
    <definedName name="PS90_BQ_Amount">#REF!</definedName>
    <definedName name="PS90_Description">#REF!</definedName>
    <definedName name="PS91_BQ_Amount">#REF!</definedName>
    <definedName name="PS91_Description">#REF!</definedName>
    <definedName name="PS92_BQ_Amount">#REF!</definedName>
    <definedName name="PS92_Description">#REF!</definedName>
    <definedName name="PS93_BQ_Amount">#REF!</definedName>
    <definedName name="PS93_Description">#REF!</definedName>
    <definedName name="PS94_BQ_Amount">#REF!</definedName>
    <definedName name="PS94_Description">#REF!</definedName>
    <definedName name="PS95_BQ_Amount">#REF!</definedName>
    <definedName name="PS95_Description">#REF!</definedName>
    <definedName name="PS96_BQ_Amount">#REF!</definedName>
    <definedName name="PS96_Description">#REF!</definedName>
    <definedName name="PS97_BQ_Amount">#REF!</definedName>
    <definedName name="PS97_Description">#REF!</definedName>
    <definedName name="PS98_BQ_Amount">#REF!</definedName>
    <definedName name="PS98_Description">#REF!</definedName>
    <definedName name="PS99_BQ_Amount">#REF!</definedName>
    <definedName name="PS99_Description">#REF!</definedName>
    <definedName name="PSABillingMethod" localSheetId="1">#REF!</definedName>
    <definedName name="PSABillingMethod">#REF!</definedName>
    <definedName name="PSABillingMethod_4" localSheetId="1">#REF!</definedName>
    <definedName name="PSABillingMethod_4">#REF!</definedName>
    <definedName name="PSABillingMethod_4_1" localSheetId="1">#REF!</definedName>
    <definedName name="PSABillingMethod_4_1">#REF!</definedName>
    <definedName name="PSABillingMethod_6">#REF!</definedName>
    <definedName name="pSchedule">#REF!</definedName>
    <definedName name="psi_this_month">#REF!</definedName>
    <definedName name="PSP_Gr_D">#REF!</definedName>
    <definedName name="PSP_Gr_E">#REF!</definedName>
    <definedName name="PSP_Gr_G">#REF!</definedName>
    <definedName name="pss" localSheetId="1">#REF!</definedName>
    <definedName name="pss">#REF!</definedName>
    <definedName name="PSUM" localSheetId="1">#REF!</definedName>
    <definedName name="PSUM">#REF!</definedName>
    <definedName name="pSWDiscProfile" localSheetId="1">#REF!</definedName>
    <definedName name="pSWDiscProfile">#REF!</definedName>
    <definedName name="pswyry" localSheetId="1" hidden="1">{#N/A,#N/A,TRUE,"Cover";#N/A,#N/A,TRUE,"Conts";#N/A,#N/A,TRUE,"VOS";#N/A,#N/A,TRUE,"Warrington";#N/A,#N/A,TRUE,"Widnes"}</definedName>
    <definedName name="pswyry" hidden="1">{#N/A,#N/A,TRUE,"Cover";#N/A,#N/A,TRUE,"Conts";#N/A,#N/A,TRUE,"VOS";#N/A,#N/A,TRUE,"Warrington";#N/A,#N/A,TRUE,"Widnes"}</definedName>
    <definedName name="pswyry_1" localSheetId="1" hidden="1">{#N/A,#N/A,TRUE,"Cover";#N/A,#N/A,TRUE,"Conts";#N/A,#N/A,TRUE,"VOS";#N/A,#N/A,TRUE,"Warrington";#N/A,#N/A,TRUE,"Widnes"}</definedName>
    <definedName name="pswyry_1" hidden="1">{#N/A,#N/A,TRUE,"Cover";#N/A,#N/A,TRUE,"Conts";#N/A,#N/A,TRUE,"VOS";#N/A,#N/A,TRUE,"Warrington";#N/A,#N/A,TRUE,"Widnes"}</definedName>
    <definedName name="PT" localSheetId="1">BlankMacro1</definedName>
    <definedName name="PT">BlankMacro1</definedName>
    <definedName name="PTIS" localSheetId="1">#REF!</definedName>
    <definedName name="PTIS">#REF!</definedName>
    <definedName name="PTy" localSheetId="1">BlankMacro1</definedName>
    <definedName name="PTy">BlankMacro1</definedName>
    <definedName name="PUB_FileID" hidden="1">"L10003363.xls"</definedName>
    <definedName name="PUB_UserID" hidden="1">"MAYERX"</definedName>
    <definedName name="PUMP" localSheetId="1">#REF!</definedName>
    <definedName name="PUMP">#REF!</definedName>
    <definedName name="Pump_Strainers">#REF!</definedName>
    <definedName name="Pumps_Bronze_body">#REF!</definedName>
    <definedName name="Pumps_CI_body">#REF!</definedName>
    <definedName name="Pumps_Plastic">#REF!</definedName>
    <definedName name="PumpSpecs" localSheetId="1">#REF!</definedName>
    <definedName name="PumpSpecs">#REF!</definedName>
    <definedName name="punto" localSheetId="1">#REF!</definedName>
    <definedName name="punto">#REF!</definedName>
    <definedName name="Pur" localSheetId="1">#REF!</definedName>
    <definedName name="Pur">#REF!</definedName>
    <definedName name="puss">#REF!</definedName>
    <definedName name="puy" localSheetId="1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puy_1" localSheetId="1" hidden="1">{#N/A,#N/A,TRUE,"Cover";#N/A,#N/A,TRUE,"Conts";#N/A,#N/A,TRUE,"VOS";#N/A,#N/A,TRUE,"Warrington";#N/A,#N/A,TRUE,"Widnes"}</definedName>
    <definedName name="puy_1" hidden="1">{#N/A,#N/A,TRUE,"Cover";#N/A,#N/A,TRUE,"Conts";#N/A,#N/A,TRUE,"VOS";#N/A,#N/A,TRUE,"Warrington";#N/A,#N/A,TRUE,"Widnes"}</definedName>
    <definedName name="Puz">#REF!</definedName>
    <definedName name="Pv_min" localSheetId="1">#REF!</definedName>
    <definedName name="Pv_min">#REF!</definedName>
    <definedName name="pvaext">#REF!</definedName>
    <definedName name="PVatTotIRR" localSheetId="1">#REF!</definedName>
    <definedName name="PVatTotIRR">#REF!</definedName>
    <definedName name="PVC_FLEXIBLE_PIPE">#REF!</definedName>
    <definedName name="PVC_PIPE">#REF!</definedName>
    <definedName name="PVCCONEPR">#REF!</definedName>
    <definedName name="PVCCONERATE">#REF!</definedName>
    <definedName name="PVCTUBEPR">#REF!</definedName>
    <definedName name="PVCTUBERATE">#REF!</definedName>
    <definedName name="Pvmin">#REF!</definedName>
    <definedName name="PWR_BLK_TRAY">#REF!</definedName>
    <definedName name="PxO">#REF!</definedName>
    <definedName name="Q" localSheetId="1">#REF!</definedName>
    <definedName name="Q">#REF!</definedName>
    <definedName name="Q_1">0</definedName>
    <definedName name="Q_22" localSheetId="1">#REF!</definedName>
    <definedName name="Q_22">#REF!</definedName>
    <definedName name="Q_START">#REF!</definedName>
    <definedName name="q10f2">#REF!</definedName>
    <definedName name="q10fl2">#REF!</definedName>
    <definedName name="q10fr2">#REF!</definedName>
    <definedName name="q10rs2">#REF!</definedName>
    <definedName name="q12f2">#REF!</definedName>
    <definedName name="q12fl2">#REF!</definedName>
    <definedName name="q12fr2">#REF!</definedName>
    <definedName name="q12rs2">#REF!</definedName>
    <definedName name="q2q2" localSheetId="1" hidden="1">{#N/A,#N/A,FALSE,"MARCH"}</definedName>
    <definedName name="q2q2" hidden="1">{#N/A,#N/A,FALSE,"MARCH"}</definedName>
    <definedName name="q3tqtq" localSheetId="1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3tqtq_1" localSheetId="1" hidden="1">{#N/A,#N/A,TRUE,"Cover";#N/A,#N/A,TRUE,"Conts";#N/A,#N/A,TRUE,"VOS";#N/A,#N/A,TRUE,"Warrington";#N/A,#N/A,TRUE,"Widnes"}</definedName>
    <definedName name="q3tqtq_1" hidden="1">{#N/A,#N/A,TRUE,"Cover";#N/A,#N/A,TRUE,"Conts";#N/A,#N/A,TRUE,"VOS";#N/A,#N/A,TRUE,"Warrington";#N/A,#N/A,TRUE,"Widnes"}</definedName>
    <definedName name="q5ttyr" localSheetId="1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5ttyr_1" localSheetId="1" hidden="1">{#N/A,#N/A,TRUE,"Cover";#N/A,#N/A,TRUE,"Conts";#N/A,#N/A,TRUE,"VOS";#N/A,#N/A,TRUE,"Warrington";#N/A,#N/A,TRUE,"Widnes"}</definedName>
    <definedName name="q5ttyr_1" hidden="1">{#N/A,#N/A,TRUE,"Cover";#N/A,#N/A,TRUE,"Conts";#N/A,#N/A,TRUE,"VOS";#N/A,#N/A,TRUE,"Warrington";#N/A,#N/A,TRUE,"Widnes"}</definedName>
    <definedName name="QA">#REF!</definedName>
    <definedName name="qa_graph">#REF!</definedName>
    <definedName name="qa_schedule">#REF!</definedName>
    <definedName name="qap" localSheetId="1" hidden="1">{"'Typical Costs Estimates'!$C$158:$H$161"}</definedName>
    <definedName name="qap" hidden="1">{"'Typical Costs Estimates'!$C$158:$H$161"}</definedName>
    <definedName name="qar">#REF!</definedName>
    <definedName name="qasw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qasw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qax">#REF!</definedName>
    <definedName name="qb" localSheetId="1">#REF!</definedName>
    <definedName name="qb">#REF!</definedName>
    <definedName name="qbeam21" localSheetId="1">#REF!</definedName>
    <definedName name="qbeam21">#REF!</definedName>
    <definedName name="qbeam22">#REF!</definedName>
    <definedName name="Qbemass2">#REF!</definedName>
    <definedName name="Qc">#REF!</definedName>
    <definedName name="Qc___0">#REF!</definedName>
    <definedName name="Qc___13">#REF!</definedName>
    <definedName name="QD">#REF!</definedName>
    <definedName name="qe" localSheetId="1">{"'Break down'!$A$4"}</definedName>
    <definedName name="qe">{"'Break down'!$A$4"}</definedName>
    <definedName name="qe_1" localSheetId="1">{"'Break down'!$A$4"}</definedName>
    <definedName name="qe_1">{"'Break down'!$A$4"}</definedName>
    <definedName name="QEDQ">#REF!</definedName>
    <definedName name="qewr" hidden="1">#REF!</definedName>
    <definedName name="qewrvqertb" localSheetId="1">#REF!</definedName>
    <definedName name="qewrvqertb">#REF!</definedName>
    <definedName name="Qf" localSheetId="1">#REF!</definedName>
    <definedName name="Qf">#REF!</definedName>
    <definedName name="Qf___0" localSheetId="1">#REF!</definedName>
    <definedName name="Qf___0">#REF!</definedName>
    <definedName name="Qf___13">#REF!</definedName>
    <definedName name="qfnm21">#REF!</definedName>
    <definedName name="qfnm22">#REF!</definedName>
    <definedName name="qfnm23">#REF!</definedName>
    <definedName name="qfnm24">#REF!</definedName>
    <definedName name="qfwt21">#REF!</definedName>
    <definedName name="qfwt22">#REF!</definedName>
    <definedName name="qfwt23">#REF!</definedName>
    <definedName name="qg">#REF!</definedName>
    <definedName name="Qgbmass2">#REF!</definedName>
    <definedName name="qhandrail2">#REF!</definedName>
    <definedName name="Qi">#REF!</definedName>
    <definedName name="Qi___0">#REF!</definedName>
    <definedName name="Qi___13">#REF!</definedName>
    <definedName name="Qinsu1">#REF!</definedName>
    <definedName name="Qinsu2">#REF!</definedName>
    <definedName name="Qinsu3">#REF!</definedName>
    <definedName name="Qinsu4">#REF!</definedName>
    <definedName name="Ql">#REF!</definedName>
    <definedName name="Ql___0">#REF!</definedName>
    <definedName name="Ql___13">#REF!</definedName>
    <definedName name="Qlist">#REF!</definedName>
    <definedName name="qmi" localSheetId="1" hidden="1">{#N/A,#N/A,TRUE,"Cover";#N/A,#N/A,TRUE,"Conts";#N/A,#N/A,TRUE,"VOS";#N/A,#N/A,TRUE,"Warrington";#N/A,#N/A,TRUE,"Widnes"}</definedName>
    <definedName name="qmi" hidden="1">{#N/A,#N/A,TRUE,"Cover";#N/A,#N/A,TRUE,"Conts";#N/A,#N/A,TRUE,"VOS";#N/A,#N/A,TRUE,"Warrington";#N/A,#N/A,TRUE,"Widnes"}</definedName>
    <definedName name="qor" hidden="1">#REF!</definedName>
    <definedName name="qplastceil2" localSheetId="1">#REF!</definedName>
    <definedName name="qplastceil2">#REF!</definedName>
    <definedName name="qq" localSheetId="1">{"'Break down'!$A$4"}</definedName>
    <definedName name="qq">{"'Break down'!$A$4"}</definedName>
    <definedName name="qq_1" localSheetId="1">{"'Break down'!$A$4"}</definedName>
    <definedName name="qq_1">{"'Break down'!$A$4"}</definedName>
    <definedName name="qqp" localSheetId="1">BlankMacro1</definedName>
    <definedName name="qqp">BlankMacro1</definedName>
    <definedName name="qqpp" localSheetId="1">BlankMacro1</definedName>
    <definedName name="qqpp">BlankMacro1</definedName>
    <definedName name="qqq" localSheetId="1" hidden="1">{#N/A,#N/A,TRUE,"Cover";#N/A,#N/A,TRUE,"Conts";#N/A,#N/A,TRUE,"VOS";#N/A,#N/A,TRUE,"Warrington";#N/A,#N/A,TRUE,"Widnes"}</definedName>
    <definedName name="qqq" hidden="1">{#N/A,#N/A,TRUE,"Cover";#N/A,#N/A,TRUE,"Conts";#N/A,#N/A,TRUE,"VOS";#N/A,#N/A,TRUE,"Warrington";#N/A,#N/A,TRUE,"Widnes"}</definedName>
    <definedName name="qqqq" localSheetId="1">"Page "&amp;IF(ISNA(MATCH(ROW(),[1]!COUNT_TH2_V2__units_1___Type_D_04__900_x_2200mm_high,1)),1,MATCH(ROW(),[1]!COUNT_TH2_V2__units_1___Type_D_04__900_x_2200mm_high,1)+1)&amp;" of " &amp; [1]!CUSTOM1_Shops__GF_ + 0*NOW()</definedName>
    <definedName name="qqqq">"Page "&amp;IF(ISNA(MATCH(ROW(),RowAfterpgbrk,1)),1,MATCH(ROW(),RowAfterpgbrk,1)+1)&amp;" of " &amp; TotPageCount + 0*NOW()</definedName>
    <definedName name="qqqqqqq">#N/A</definedName>
    <definedName name="qqqqqqqq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qqqqqqqq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qqqqqqqqqqqqqqqq">#REF!</definedName>
    <definedName name="qqqqqqqqqqqqqqqqqqqqqqqww" hidden="1">#REF!</definedName>
    <definedName name="qr" localSheetId="1" hidden="1">{#N/A,#N/A,TRUE,"Cover";#N/A,#N/A,TRUE,"Conts";#N/A,#N/A,TRUE,"VOS";#N/A,#N/A,TRUE,"Warrington";#N/A,#N/A,TRUE,"Widnes"}</definedName>
    <definedName name="qr" hidden="1">{#N/A,#N/A,TRUE,"Cover";#N/A,#N/A,TRUE,"Conts";#N/A,#N/A,TRUE,"VOS";#N/A,#N/A,TRUE,"Warrington";#N/A,#N/A,TRUE,"Widnes"}</definedName>
    <definedName name="qr_1" localSheetId="1" hidden="1">{#N/A,#N/A,TRUE,"Cover";#N/A,#N/A,TRUE,"Conts";#N/A,#N/A,TRUE,"VOS";#N/A,#N/A,TRUE,"Warrington";#N/A,#N/A,TRUE,"Widnes"}</definedName>
    <definedName name="qr_1" hidden="1">{#N/A,#N/A,TRUE,"Cover";#N/A,#N/A,TRUE,"Conts";#N/A,#N/A,TRUE,"VOS";#N/A,#N/A,TRUE,"Warrington";#N/A,#N/A,TRUE,"Widnes"}</definedName>
    <definedName name="QR.">#REF!</definedName>
    <definedName name="QREWTYUIOYJHGFV">#REF!</definedName>
    <definedName name="QRREREREWRQRQRRRRRR">#N/A</definedName>
    <definedName name="qrt" localSheetId="1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rt_1" localSheetId="1" hidden="1">{#N/A,#N/A,TRUE,"Cover";#N/A,#N/A,TRUE,"Conts";#N/A,#N/A,TRUE,"VOS";#N/A,#N/A,TRUE,"Warrington";#N/A,#N/A,TRUE,"Widnes"}</definedName>
    <definedName name="qrt_1" hidden="1">{#N/A,#N/A,TRUE,"Cover";#N/A,#N/A,TRUE,"Conts";#N/A,#N/A,TRUE,"VOS";#N/A,#N/A,TRUE,"Warrington";#N/A,#N/A,TRUE,"Widnes"}</definedName>
    <definedName name="QS">#REF!</definedName>
    <definedName name="QS_1">0</definedName>
    <definedName name="QS_firm">#REF!</definedName>
    <definedName name="QS_Name">#REF!</definedName>
    <definedName name="qsatg" localSheetId="1">#REF!</definedName>
    <definedName name="qsatg">#REF!</definedName>
    <definedName name="QSD\D">#N/A</definedName>
    <definedName name="qsdewr" localSheetId="1" hidden="1">#REF!</definedName>
    <definedName name="qsdewr" hidden="1">#REF!</definedName>
    <definedName name="qshutter2" localSheetId="1">#REF!</definedName>
    <definedName name="qshutter2">#REF!</definedName>
    <definedName name="qslab21" localSheetId="1">#REF!</definedName>
    <definedName name="qslab21">#REF!</definedName>
    <definedName name="qslab22" localSheetId="1">#REF!</definedName>
    <definedName name="qslab22">#REF!</definedName>
    <definedName name="QSname">#REF!</definedName>
    <definedName name="Qspan">#REF!</definedName>
    <definedName name="QT">#REF!</definedName>
    <definedName name="Qta_PV">#REF!</definedName>
    <definedName name="qto" localSheetId="1">BlankMacro1</definedName>
    <definedName name="qto">BlankMacro1</definedName>
    <definedName name="qtr" localSheetId="1">#REF!</definedName>
    <definedName name="qtr">#REF!</definedName>
    <definedName name="qttt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t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tyry" localSheetId="1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tyry_1" localSheetId="1" hidden="1">{#N/A,#N/A,TRUE,"Cover";#N/A,#N/A,TRUE,"Conts";#N/A,#N/A,TRUE,"VOS";#N/A,#N/A,TRUE,"Warrington";#N/A,#N/A,TRUE,"Widnes"}</definedName>
    <definedName name="qttyry_1" hidden="1">{#N/A,#N/A,TRUE,"Cover";#N/A,#N/A,TRUE,"Conts";#N/A,#N/A,TRUE,"VOS";#N/A,#N/A,TRUE,"Warrington";#N/A,#N/A,TRUE,"Widnes"}</definedName>
    <definedName name="QTY">#N/A</definedName>
    <definedName name="Qty_ACEB" localSheetId="1">#REF!</definedName>
    <definedName name="Qty_ACEB">#REF!</definedName>
    <definedName name="Qty_as_on">#REF!</definedName>
    <definedName name="Qty_as_on_apr">#REF!</definedName>
    <definedName name="Qty_Ceiling">#REF!</definedName>
    <definedName name="Qty_Cntl_Valves">#N/A</definedName>
    <definedName name="Qty_Conc" localSheetId="1">#REF!</definedName>
    <definedName name="Qty_Conc">#REF!</definedName>
    <definedName name="QTY_DISC_MV">#REF!</definedName>
    <definedName name="Qty_Door.Window">#REF!</definedName>
    <definedName name="Qty_Excavation" localSheetId="1">#REF!</definedName>
    <definedName name="Qty_Excavation">#REF!</definedName>
    <definedName name="Qty_Form" localSheetId="1">#REF!</definedName>
    <definedName name="Qty_Form">#REF!</definedName>
    <definedName name="QTY_MARGIN">#REF!</definedName>
    <definedName name="QTY_MARGIN2">#REF!</definedName>
    <definedName name="Qty_Masonry" localSheetId="1">#REF!</definedName>
    <definedName name="Qty_Masonry">#REF!</definedName>
    <definedName name="Qty_Painting" localSheetId="1">#REF!</definedName>
    <definedName name="Qty_Painting">#REF!</definedName>
    <definedName name="Qty_Plastering">#REF!</definedName>
    <definedName name="Qty_Rebar">#REF!</definedName>
    <definedName name="Qty_Stone">#REF!</definedName>
    <definedName name="Qty_Wall">#REF!</definedName>
    <definedName name="Qty." localSheetId="1">#REF!</definedName>
    <definedName name="Qty.">#REF!</definedName>
    <definedName name="QtyB01">#REF!</definedName>
    <definedName name="QtyB02" localSheetId="1">#REF!</definedName>
    <definedName name="QtyB02">#REF!</definedName>
    <definedName name="QtyB05" localSheetId="1">#REF!</definedName>
    <definedName name="QtyB05">#REF!</definedName>
    <definedName name="QtyB06" localSheetId="1">#REF!</definedName>
    <definedName name="QtyB06">#REF!</definedName>
    <definedName name="QtyB07">#REF!</definedName>
    <definedName name="qtyhytrh" localSheetId="1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hytrh_1" localSheetId="1" hidden="1">{#N/A,#N/A,TRUE,"Cover";#N/A,#N/A,TRUE,"Conts";#N/A,#N/A,TRUE,"VOS";#N/A,#N/A,TRUE,"Warrington";#N/A,#N/A,TRUE,"Widnes"}</definedName>
    <definedName name="qtyhytrh_1" hidden="1">{#N/A,#N/A,TRUE,"Cover";#N/A,#N/A,TRUE,"Conts";#N/A,#N/A,TRUE,"VOS";#N/A,#N/A,TRUE,"Warrington";#N/A,#N/A,TRUE,"Widnes"}</definedName>
    <definedName name="qtyu" localSheetId="1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u_1" localSheetId="1" hidden="1">{#N/A,#N/A,TRUE,"Cover";#N/A,#N/A,TRUE,"Conts";#N/A,#N/A,TRUE,"VOS";#N/A,#N/A,TRUE,"Warrington";#N/A,#N/A,TRUE,"Widnes"}</definedName>
    <definedName name="qtyu_1" hidden="1">{#N/A,#N/A,TRUE,"Cover";#N/A,#N/A,TRUE,"Conts";#N/A,#N/A,TRUE,"VOS";#N/A,#N/A,TRUE,"Warrington";#N/A,#N/A,TRUE,"Widnes"}</definedName>
    <definedName name="qtyyut" localSheetId="1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ut_1" localSheetId="1" hidden="1">{#N/A,#N/A,TRUE,"Cover";#N/A,#N/A,TRUE,"Conts";#N/A,#N/A,TRUE,"VOS";#N/A,#N/A,TRUE,"Warrington";#N/A,#N/A,TRUE,"Widnes"}</definedName>
    <definedName name="qtyyut_1" hidden="1">{#N/A,#N/A,TRUE,"Cover";#N/A,#N/A,TRUE,"Conts";#N/A,#N/A,TRUE,"VOS";#N/A,#N/A,TRUE,"Warrington";#N/A,#N/A,TRUE,"Widnes"}</definedName>
    <definedName name="qtyyyhh" localSheetId="1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tyyyhh_1" localSheetId="1" hidden="1">{#N/A,#N/A,TRUE,"Cover";#N/A,#N/A,TRUE,"Conts";#N/A,#N/A,TRUE,"VOS";#N/A,#N/A,TRUE,"Warrington";#N/A,#N/A,TRUE,"Widnes"}</definedName>
    <definedName name="qtyyyhh_1" hidden="1">{#N/A,#N/A,TRUE,"Cover";#N/A,#N/A,TRUE,"Conts";#N/A,#N/A,TRUE,"VOS";#N/A,#N/A,TRUE,"Warrington";#N/A,#N/A,TRUE,"Widnes"}</definedName>
    <definedName name="qua">#REF!</definedName>
    <definedName name="Quality" localSheetId="1">#REF!</definedName>
    <definedName name="Quality">#REF!</definedName>
    <definedName name="QUANTITIESItem" localSheetId="1">#REF!</definedName>
    <definedName name="QUANTITIESItem">#REF!</definedName>
    <definedName name="QUANTITIESRoute1" localSheetId="1">#REF!</definedName>
    <definedName name="QUANTITIESRoute1">#REF!</definedName>
    <definedName name="QUANTITIESSites" localSheetId="1">#REF!</definedName>
    <definedName name="QUANTITIESSites">#REF!</definedName>
    <definedName name="QUANTITIESUnitPrice">#REF!</definedName>
    <definedName name="Quantity">#REF!</definedName>
    <definedName name="quar">#REF!</definedName>
    <definedName name="quarterly_report">#REF!</definedName>
    <definedName name="QUARTZ">#REF!</definedName>
    <definedName name="queen">#REF!</definedName>
    <definedName name="Query1" localSheetId="1">#REF!</definedName>
    <definedName name="Query1">#REF!</definedName>
    <definedName name="Quest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Quest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questions" localSheetId="1">#REF!</definedName>
    <definedName name="questions">#REF!</definedName>
    <definedName name="QUIT">#REF!</definedName>
    <definedName name="Quotation">#REF!</definedName>
    <definedName name="QuotationPrice" localSheetId="1">#REF!</definedName>
    <definedName name="QuotationPrice">#REF!</definedName>
    <definedName name="QuotationPricePC">#REF!</definedName>
    <definedName name="qura">#REF!</definedName>
    <definedName name="qury" localSheetId="1" hidden="1">{"'Break down'!$A$4"}</definedName>
    <definedName name="qury" hidden="1">{"'Break down'!$A$4"}</definedName>
    <definedName name="qw" localSheetId="1" hidden="1">{#N/A,#N/A,TRUE,"Cover";#N/A,#N/A,TRUE,"Conts";#N/A,#N/A,TRUE,"VOS";#N/A,#N/A,TRUE,"Warrington";#N/A,#N/A,TRUE,"Widnes"}</definedName>
    <definedName name="qw" hidden="1">{#N/A,#N/A,TRUE,"Cover";#N/A,#N/A,TRUE,"Conts";#N/A,#N/A,TRUE,"VOS";#N/A,#N/A,TRUE,"Warrington";#N/A,#N/A,TRUE,"Widnes"}</definedName>
    <definedName name="qwall21">#REF!</definedName>
    <definedName name="qwall22" localSheetId="1">#REF!</definedName>
    <definedName name="qwall22">#REF!</definedName>
    <definedName name="qwas" localSheetId="1" hidden="1">{#N/A,#N/A,TRUE,"Cover";#N/A,#N/A,TRUE,"Conts";#N/A,#N/A,TRUE,"VOS";#N/A,#N/A,TRUE,"Warrington";#N/A,#N/A,TRUE,"Widnes"}</definedName>
    <definedName name="qwas" hidden="1">{#N/A,#N/A,TRUE,"Cover";#N/A,#N/A,TRUE,"Conts";#N/A,#N/A,TRUE,"VOS";#N/A,#N/A,TRUE,"Warrington";#N/A,#N/A,TRUE,"Widnes"}</definedName>
    <definedName name="qw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">#REF!</definedName>
    <definedName name="qwecfg" localSheetId="1">#REF!</definedName>
    <definedName name="qwecfg">#REF!</definedName>
    <definedName name="qwed" localSheetId="1">"Page "&amp;IF(ISNA(MATCH(ROW(),[1]!COUNT_TH2_V2__units_1___Type_D_04__900_x_2200mm_high,1)),1,MATCH(ROW(),[1]!COUNT_TH2_V2__units_1___Type_D_04__900_x_2200mm_high,1)+1)&amp;" of " &amp; [1]!CUSTOM1_Shops__GF_ + 0*NOW()</definedName>
    <definedName name="qwed">"Page "&amp;IF(ISNA(MATCH(ROW(),RowAfterpgbrk,1)),1,MATCH(ROW(),RowAfterpgbrk,1)+1)&amp;" of " &amp; TotPageCount + 0*NOW()</definedName>
    <definedName name="QWEFRG" localSheetId="1" hidden="1">{#N/A,#N/A,FALSE,"MARCH"}</definedName>
    <definedName name="QWEFRG" hidden="1">{#N/A,#N/A,FALSE,"MARCH"}</definedName>
    <definedName name="qweqw">#REF!</definedName>
    <definedName name="qwer" localSheetId="1" hidden="1">{#N/A,#N/A,FALSE,"Header P";#N/A,#N/A,FALSE,"Summary";#N/A,#N/A,FALSE,"CONTRACT WORKS";#N/A,#N/A,FALSE,"Variations";#N/A,#N/A,FALSE,"Dwk"}</definedName>
    <definedName name="qwer" hidden="1">{#N/A,#N/A,FALSE,"Header P";#N/A,#N/A,FALSE,"Summary";#N/A,#N/A,FALSE,"CONTRACT WORKS";#N/A,#N/A,FALSE,"Variations";#N/A,#N/A,FALSE,"Dwk"}</definedName>
    <definedName name="qwerff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qwerff">IF(ISNA(MATCH(ROW(),RowAfterpgbrk,1)),1,MATCH(ROW(),RowAfterpgbrk,1)+1)&lt;&gt;IF(ISNA(MATCH(ROW()+1,RowAfterpgbrk,1)),1,MATCH(ROW()+1,RowAfterpgbrk,1)+1)</definedName>
    <definedName name="qwerty" localSheetId="1">#REF!</definedName>
    <definedName name="qwerty">#REF!</definedName>
    <definedName name="qwertyuiop" localSheetId="1">#REF!</definedName>
    <definedName name="qwertyuiop">#REF!</definedName>
    <definedName name="qwqq" localSheetId="1" hidden="1">{#N/A,#N/A,TRUE,"Cover";#N/A,#N/A,TRUE,"Conts";#N/A,#N/A,TRUE,"VOS";#N/A,#N/A,TRUE,"Warrington";#N/A,#N/A,TRUE,"Widnes"}</definedName>
    <definedName name="qwqq" hidden="1">{#N/A,#N/A,TRUE,"Cover";#N/A,#N/A,TRUE,"Conts";#N/A,#N/A,TRUE,"VOS";#N/A,#N/A,TRUE,"Warrington";#N/A,#N/A,TRUE,"Widnes"}</definedName>
    <definedName name="qwrt" localSheetId="1">#REF!</definedName>
    <definedName name="qwrt">#REF!</definedName>
    <definedName name="qwsade" localSheetId="1" hidden="1">#REF!</definedName>
    <definedName name="qwsade" hidden="1">#REF!</definedName>
    <definedName name="qwuo" localSheetId="1">BlankMacro1</definedName>
    <definedName name="qwuo">BlankMacro1</definedName>
    <definedName name="QWVM" localSheetId="1" hidden="1">{#N/A,#N/A,TRUE,"Cover";#N/A,#N/A,TRUE,"Conts";#N/A,#N/A,TRUE,"VOS";#N/A,#N/A,TRUE,"Warrington";#N/A,#N/A,TRUE,"Widnes"}</definedName>
    <definedName name="QWVM" hidden="1">{#N/A,#N/A,TRUE,"Cover";#N/A,#N/A,TRUE,"Conts";#N/A,#N/A,TRUE,"VOS";#N/A,#N/A,TRUE,"Warrington";#N/A,#N/A,TRUE,"Widnes"}</definedName>
    <definedName name="qwwe" localSheetId="1" hidden="1">{#N/A,#N/A,FALSE,"MARCH"}</definedName>
    <definedName name="qwwe" hidden="1">{#N/A,#N/A,FALSE,"MARCH"}</definedName>
    <definedName name="qxcn" localSheetId="1" hidden="1">{#N/A,#N/A,TRUE,"Cover";#N/A,#N/A,TRUE,"Conts";#N/A,#N/A,TRUE,"VOS";#N/A,#N/A,TRUE,"Warrington";#N/A,#N/A,TRUE,"Widnes"}</definedName>
    <definedName name="qxcn" hidden="1">{#N/A,#N/A,TRUE,"Cover";#N/A,#N/A,TRUE,"Conts";#N/A,#N/A,TRUE,"VOS";#N/A,#N/A,TRUE,"Warrington";#N/A,#N/A,TRUE,"Widnes"}</definedName>
    <definedName name="QY">#REF!</definedName>
    <definedName name="qzqzqz10" localSheetId="1">#REF!</definedName>
    <definedName name="qzqzqz10">#REF!</definedName>
    <definedName name="qzqzqz11" localSheetId="1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r_">#REF!</definedName>
    <definedName name="R_5A">#REF!</definedName>
    <definedName name="R_5B">#REF!</definedName>
    <definedName name="R_5c">#REF!</definedName>
    <definedName name="R_5D">#REF!</definedName>
    <definedName name="R_5E">#REF!</definedName>
    <definedName name="R_5F">#REF!</definedName>
    <definedName name="R_5G">#REF!</definedName>
    <definedName name="R_5H">#REF!</definedName>
    <definedName name="R_5I">#REF!</definedName>
    <definedName name="R_5J">#REF!</definedName>
    <definedName name="R_5K">#REF!</definedName>
    <definedName name="R_5L">#REF!</definedName>
    <definedName name="R_5M">#REF!</definedName>
    <definedName name="R_BTS">#REF!</definedName>
    <definedName name="R_Code">#REF!</definedName>
    <definedName name="R_DATA" localSheetId="1">#REF!</definedName>
    <definedName name="R_DATA">#REF!</definedName>
    <definedName name="R_Factor">#REF!</definedName>
    <definedName name="R_MC_PVC">#REF!</definedName>
    <definedName name="R_MC_XLPE">#REF!</definedName>
    <definedName name="R_SC_PVC">#REF!</definedName>
    <definedName name="ra" localSheetId="1">#N/A</definedName>
    <definedName name="ra">#N/A</definedName>
    <definedName name="raaa" localSheetId="1" hidden="1">{"'Sheet1'!$A$4386:$N$4591"}</definedName>
    <definedName name="raaa" hidden="1">{"'Sheet1'!$A$4386:$N$4591"}</definedName>
    <definedName name="Race">#REF!</definedName>
    <definedName name="RADAR">#REF!</definedName>
    <definedName name="raft" localSheetId="1">#REF!</definedName>
    <definedName name="raft">#REF!</definedName>
    <definedName name="Raft_Edge_A_2000">#REF!</definedName>
    <definedName name="Raft_Edge_A_2000_1">0</definedName>
    <definedName name="Raft_Edge_A_2500">#REF!</definedName>
    <definedName name="Raft_Edge_A_2500_1">0</definedName>
    <definedName name="Raft_Edge_L_2000">#REF!</definedName>
    <definedName name="Raft_Edge_L_2000_1">0</definedName>
    <definedName name="Raft_Edge_L_2500">#REF!</definedName>
    <definedName name="Raft_Edge_L_2500_1">0</definedName>
    <definedName name="RAFTArea">#REF!</definedName>
    <definedName name="RAFTPerimeter">#REF!</definedName>
    <definedName name="raftrevision">#REF!</definedName>
    <definedName name="raftsoffitr">#REF!</definedName>
    <definedName name="rafy" hidden="1">#REF!</definedName>
    <definedName name="Rail">#REF!</definedName>
    <definedName name="railway" localSheetId="1" hidden="1">{"'Sheet1'!$A$4386:$N$4591"}</definedName>
    <definedName name="railway" hidden="1">{"'Sheet1'!$A$4386:$N$4591"}</definedName>
    <definedName name="Rainbow_Diesel_Trading_">#REF!</definedName>
    <definedName name="Raj" localSheetId="1" hidden="1">{"'Sheet1'!$A$4386:$N$4591"}</definedName>
    <definedName name="raj">#REF!</definedName>
    <definedName name="raja">#REF!</definedName>
    <definedName name="RAJESH">#REF!</definedName>
    <definedName name="RAJITH">#REF!</definedName>
    <definedName name="rajk">#REF!</definedName>
    <definedName name="Raman">#REF!</definedName>
    <definedName name="Ramesh">#REF!</definedName>
    <definedName name="range">#REF!</definedName>
    <definedName name="range1" localSheetId="1">#REF!</definedName>
    <definedName name="range1">#REF!</definedName>
    <definedName name="RANGE2">#REF!</definedName>
    <definedName name="RANGE6">NA()</definedName>
    <definedName name="RANJAHANA">#REF!</definedName>
    <definedName name="RAO" localSheetId="1">#REF!</definedName>
    <definedName name="RAO">#REF!</definedName>
    <definedName name="RAPS" localSheetId="1">#REF!</definedName>
    <definedName name="RAPS">#REF!</definedName>
    <definedName name="rasgg" localSheetId="1" hidden="1">{#N/A,#N/A,TRUE,"Cover";#N/A,#N/A,TRUE,"Conts";#N/A,#N/A,TRUE,"VOS";#N/A,#N/A,TRUE,"Warrington";#N/A,#N/A,TRUE,"Widnes"}</definedName>
    <definedName name="rasgg" hidden="1">{#N/A,#N/A,TRUE,"Cover";#N/A,#N/A,TRUE,"Conts";#N/A,#N/A,TRUE,"VOS";#N/A,#N/A,TRUE,"Warrington";#N/A,#N/A,TRUE,"Widnes"}</definedName>
    <definedName name="rasgg_1" localSheetId="1" hidden="1">{#N/A,#N/A,TRUE,"Cover";#N/A,#N/A,TRUE,"Conts";#N/A,#N/A,TRUE,"VOS";#N/A,#N/A,TRUE,"Warrington";#N/A,#N/A,TRUE,"Widnes"}</definedName>
    <definedName name="rasgg_1" hidden="1">{#N/A,#N/A,TRUE,"Cover";#N/A,#N/A,TRUE,"Conts";#N/A,#N/A,TRUE,"VOS";#N/A,#N/A,TRUE,"Warrington";#N/A,#N/A,TRUE,"Widnes"}</definedName>
    <definedName name="RASH">#REF!</definedName>
    <definedName name="Rashid" localSheetId="1">#REF!</definedName>
    <definedName name="Rashid">#REF!</definedName>
    <definedName name="rate" localSheetId="1">[1]!COUNT_Stairs__Skirting = [1]!Address</definedName>
    <definedName name="rate">#N/A</definedName>
    <definedName name="rate_1">0</definedName>
    <definedName name="rate_22" localSheetId="1">#REF!</definedName>
    <definedName name="rate_22">#REF!</definedName>
    <definedName name="Rate_Code">#REF!</definedName>
    <definedName name="Rate1" localSheetId="1">#REF!</definedName>
    <definedName name="Rate1">#REF!</definedName>
    <definedName name="RateB02" localSheetId="1">#REF!</definedName>
    <definedName name="RateB02">#REF!</definedName>
    <definedName name="RateB05" localSheetId="1">#REF!</definedName>
    <definedName name="RateB05">#REF!</definedName>
    <definedName name="RateB06">#REF!</definedName>
    <definedName name="RateB07">#REF!</definedName>
    <definedName name="RateBEF">0.02479</definedName>
    <definedName name="RATES">#REF!</definedName>
    <definedName name="RATES__ADJUSTMENT__AREA" localSheetId="1">#REF!</definedName>
    <definedName name="RATES__ADJUSTMENT__AREA">#REF!</definedName>
    <definedName name="RATES_AU" localSheetId="1">#REF!</definedName>
    <definedName name="RATES_AU">#REF!</definedName>
    <definedName name="RATES_FR" localSheetId="1">#REF!</definedName>
    <definedName name="RATES_FR">#REF!</definedName>
    <definedName name="RATES_HK">#REF!</definedName>
    <definedName name="RATES_SP">#REF!</definedName>
    <definedName name="RATES1">#REF!</definedName>
    <definedName name="RATES2">#REF!</definedName>
    <definedName name="RATES3">#REF!</definedName>
    <definedName name="RatesNew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RatesNew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RATIO" localSheetId="1">#REF!</definedName>
    <definedName name="RATIO">#REF!</definedName>
    <definedName name="ratio1" localSheetId="1">#REF!</definedName>
    <definedName name="ratio1">#REF!</definedName>
    <definedName name="ratio2">#REF!</definedName>
    <definedName name="Ratios">#REF!</definedName>
    <definedName name="rav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w_data" localSheetId="1">#REF!</definedName>
    <definedName name="raw_data">#REF!</definedName>
    <definedName name="rbw" localSheetId="1" hidden="1">{#N/A,#N/A,TRUE,"Cover";#N/A,#N/A,TRUE,"Conts";#N/A,#N/A,TRUE,"VOS";#N/A,#N/A,TRUE,"Warrington";#N/A,#N/A,TRUE,"Widnes"}</definedName>
    <definedName name="rbw" hidden="1">{#N/A,#N/A,TRUE,"Cover";#N/A,#N/A,TRUE,"Conts";#N/A,#N/A,TRUE,"VOS";#N/A,#N/A,TRUE,"Warrington";#N/A,#N/A,TRUE,"Widnes"}</definedName>
    <definedName name="RBX2B6">#REF!</definedName>
    <definedName name="RC_" localSheetId="1">#REF!</definedName>
    <definedName name="RC_">#REF!</definedName>
    <definedName name="Rc_Costs">#REF!</definedName>
    <definedName name="RC_Mhrs">#REF!</definedName>
    <definedName name="RCArea" hidden="1">#REF!</definedName>
    <definedName name="Rcbl">#REF!</definedName>
    <definedName name="RCC" localSheetId="1">#REF!</definedName>
    <definedName name="RCC">#REF!</definedName>
    <definedName name="RCC_LINTOL">#REF!</definedName>
    <definedName name="rcc_slab">#REF!</definedName>
    <definedName name="rccslab1">#REF!</definedName>
    <definedName name="RCD">#REF!</definedName>
    <definedName name="RCE">OFFSET(#REF!,1,0,COUNTA(#REF!)-(#REF!+2))</definedName>
    <definedName name="rClient">#REF!</definedName>
    <definedName name="RCP" localSheetId="1">#REF!</definedName>
    <definedName name="RCP">#REF!</definedName>
    <definedName name="RCPView">#REF!</definedName>
    <definedName name="RCS">#REF!</definedName>
    <definedName name="RCVFINAL" localSheetId="1">#REF!</definedName>
    <definedName name="RCVFINAL">#REF!</definedName>
    <definedName name="rcwbgl">#REF!</definedName>
    <definedName name="rcwbgl2">#REF!</definedName>
    <definedName name="RCYadav">#REF!</definedName>
    <definedName name="RCYadav12345">#REF!</definedName>
    <definedName name="rd" localSheetId="1" hidden="1">{#N/A,#N/A,FALSE,"One Pager";#N/A,#N/A,FALSE,"Technical"}</definedName>
    <definedName name="rd" hidden="1">{#N/A,#N/A,FALSE,"One Pager";#N/A,#N/A,FALSE,"Technical"}</definedName>
    <definedName name="RD_Int">#REF!</definedName>
    <definedName name="rDate">#REF!</definedName>
    <definedName name="rdegsegrg" localSheetId="1" hidden="1">{#N/A,#N/A,TRUE,"Cover";#N/A,#N/A,TRUE,"Conts";#N/A,#N/A,TRUE,"VOS";#N/A,#N/A,TRUE,"Warrington";#N/A,#N/A,TRUE,"Widnes"}</definedName>
    <definedName name="rdegsegrg" hidden="1">{#N/A,#N/A,TRUE,"Cover";#N/A,#N/A,TRUE,"Conts";#N/A,#N/A,TRUE,"VOS";#N/A,#N/A,TRUE,"Warrington";#N/A,#N/A,TRUE,"Widnes"}</definedName>
    <definedName name="rdegsegrg_1" localSheetId="1" hidden="1">{#N/A,#N/A,TRUE,"Cover";#N/A,#N/A,TRUE,"Conts";#N/A,#N/A,TRUE,"VOS";#N/A,#N/A,TRUE,"Warrington";#N/A,#N/A,TRUE,"Widnes"}</definedName>
    <definedName name="rdegsegrg_1" hidden="1">{#N/A,#N/A,TRUE,"Cover";#N/A,#N/A,TRUE,"Conts";#N/A,#N/A,TRUE,"VOS";#N/A,#N/A,TRUE,"Warrington";#N/A,#N/A,TRUE,"Widnes"}</definedName>
    <definedName name="rDesc">#REF!</definedName>
    <definedName name="Rdet">#REF!</definedName>
    <definedName name="RDN" localSheetId="1" hidden="1">{#N/A,#N/A,FALSE,"COVER.XLS";#N/A,#N/A,FALSE,"RACT1.XLS";#N/A,#N/A,FALSE,"RACT2.XLS";#N/A,#N/A,FALSE,"ECCMP";#N/A,#N/A,FALSE,"WELDER.XLS"}</definedName>
    <definedName name="RDN" hidden="1">{#N/A,#N/A,FALSE,"COVER.XLS";#N/A,#N/A,FALSE,"RACT1.XLS";#N/A,#N/A,FALSE,"RACT2.XLS";#N/A,#N/A,FALSE,"ECCMP";#N/A,#N/A,FALSE,"WELDER.XLS"}</definedName>
    <definedName name="r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___0">#REF!</definedName>
    <definedName name="Re___13" localSheetId="1">#REF!</definedName>
    <definedName name="Re___13">#REF!</definedName>
    <definedName name="RE_SIZE">#REF!</definedName>
    <definedName name="READ" hidden="1">FALSE</definedName>
    <definedName name="reb_40">#N/A</definedName>
    <definedName name="reb_60">#N/A</definedName>
    <definedName name="reb40_new">#N/A</definedName>
    <definedName name="rebar" localSheetId="1">#REF!</definedName>
    <definedName name="rebar">#REF!</definedName>
    <definedName name="rebar_1">0</definedName>
    <definedName name="rebar_10mm" localSheetId="1">#REF!</definedName>
    <definedName name="rebar_10mm">#REF!</definedName>
    <definedName name="rebar_12mm">#REF!</definedName>
    <definedName name="Rebar_16mm">#REF!</definedName>
    <definedName name="rebar_8mm">#REF!</definedName>
    <definedName name="rebar_high">#REF!</definedName>
    <definedName name="rebar_mild">#REF!</definedName>
    <definedName name="Rebar_Qty._for_Bottom_L">#REF!</definedName>
    <definedName name="Rebar_unitprice">#REF!</definedName>
    <definedName name="RebarQty">#N/A</definedName>
    <definedName name="RebarQty1">#N/A</definedName>
    <definedName name="Rebars" localSheetId="1">#REF!</definedName>
    <definedName name="Rebars">#REF!</definedName>
    <definedName name="rec" localSheetId="1">#REF!</definedName>
    <definedName name="rec">#REF!</definedName>
    <definedName name="Rec_No.">#REF!</definedName>
    <definedName name="RECAP" localSheetId="1">#REF!</definedName>
    <definedName name="RECAP">#REF!</definedName>
    <definedName name="recap_description" localSheetId="1">#REF!</definedName>
    <definedName name="recap_description">#REF!</definedName>
    <definedName name="recap_impression" localSheetId="1">#REF!</definedName>
    <definedName name="recap_impression">#REF!</definedName>
    <definedName name="recap_total">#REF!</definedName>
    <definedName name="RECEPT">#REF!</definedName>
    <definedName name="Recom" localSheetId="1" hidden="1">{"'Break down'!$A$4"}</definedName>
    <definedName name="Recom" hidden="1">{"'Break down'!$A$4"}</definedName>
    <definedName name="RecomFacilities">#REF!</definedName>
    <definedName name="RECON">#REF!</definedName>
    <definedName name="recon.steel" localSheetId="1">#N/A</definedName>
    <definedName name="recon.steel">[1]!City&amp;" "&amp;STATE</definedName>
    <definedName name="reconcile">#REF!</definedName>
    <definedName name="Reconciliation">#N/A</definedName>
    <definedName name="_xlnm.Recorder" localSheetId="1">#REF!</definedName>
    <definedName name="_xlnm.Recorder">#REF!</definedName>
    <definedName name="RECOUT">#N/A</definedName>
    <definedName name="recptab1">#REF!</definedName>
    <definedName name="rect_4_415" localSheetId="1">#REF!</definedName>
    <definedName name="rect_4_415">#REF!</definedName>
    <definedName name="RED" localSheetId="1">#REF!</definedName>
    <definedName name="RED">#REF!</definedName>
    <definedName name="Redesign_Villa_Pavillion">#REF!</definedName>
    <definedName name="redgreenqa">#REF!</definedName>
    <definedName name="reduce">#REF!</definedName>
    <definedName name="REE" localSheetId="1">DATE(YEAR('City Walk - Comparison'!bhjbh),MONTH('City Walk - Comparison'!bhjbh)+[1]!COUNT_FS05_1B1,DAY('City Walk - Comparison'!bhjbh))</definedName>
    <definedName name="REE">DATE(YEAR(Loan_Start),MONTH(Loan_Start)+Payment_Number,DAY(Loan_Start))</definedName>
    <definedName name="REEEEET">#N/A</definedName>
    <definedName name="reerere">#N/A</definedName>
    <definedName name="reerreererererre">#N/A</definedName>
    <definedName name="REERWEE">#N/A</definedName>
    <definedName name="reeyte" localSheetId="1" hidden="1">{#N/A,#N/A,FALSE,"배수1"}</definedName>
    <definedName name="reeyte" hidden="1">{#N/A,#N/A,FALSE,"배수1"}</definedName>
    <definedName name="ref" localSheetId="1" hidden="1">{"'Break down'!$A$4"}</definedName>
    <definedName name="ref" hidden="1">{"'Break down'!$A$4"}</definedName>
    <definedName name="REF_A35_DISC38165049">#REF!</definedName>
    <definedName name="REF_A35_DISC38329114">#REF!</definedName>
    <definedName name="REF_A35_DISC52742333">#REF!</definedName>
    <definedName name="REF_A37_DISC38165049">#REF!</definedName>
    <definedName name="REF_A37_DISC38329114">#REF!</definedName>
    <definedName name="REF_A37_DISC52742333">#REF!</definedName>
    <definedName name="REF_A40_DISC38165049">#REF!</definedName>
    <definedName name="REF_A40_DISC38329114">#REF!</definedName>
    <definedName name="REF_A40_DISC52742333">#REF!</definedName>
    <definedName name="REF_B_DISC38165049">#REF!</definedName>
    <definedName name="REF_B_DISC38329114">#REF!</definedName>
    <definedName name="REF_B_DISC52742333">#REF!</definedName>
    <definedName name="REF_C40_DISC38165049">#REF!</definedName>
    <definedName name="REF_C40_DISC38329114">#REF!</definedName>
    <definedName name="REF_C40_DISC52742333">#REF!</definedName>
    <definedName name="REF_D_DISC44204101">#REF!</definedName>
    <definedName name="REF_D_DISC45340465">#REF!</definedName>
    <definedName name="refin">#REF!</definedName>
    <definedName name="Refin1_result">#REF!</definedName>
    <definedName name="Refin2_result">#REF!</definedName>
    <definedName name="Refin3_result">#REF!</definedName>
    <definedName name="RefMWeGross" localSheetId="1">#REF!</definedName>
    <definedName name="RefMWeGross">#REF!</definedName>
    <definedName name="RefPlant">#REF!</definedName>
    <definedName name="RefPlantBasis">#REF!</definedName>
    <definedName name="RefPlantDate">#REF!</definedName>
    <definedName name="RefPlantPPH">#REF!</definedName>
    <definedName name="REFRESH">#REF!</definedName>
    <definedName name="refs">#REF!</definedName>
    <definedName name="REFS1">#REF!</definedName>
    <definedName name="reg" localSheetId="1">#REF!</definedName>
    <definedName name="reg">#REF!</definedName>
    <definedName name="rege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ion" localSheetId="1">#REF!</definedName>
    <definedName name="region">#REF!</definedName>
    <definedName name="REGULAR_STAFF">#REF!</definedName>
    <definedName name="REGULAR_STAFF_ENTRY">#REF!</definedName>
    <definedName name="reiko" localSheetId="1">BlankMacro1</definedName>
    <definedName name="reiko">BlankMacro1</definedName>
    <definedName name="reimb" localSheetId="1">#REF!</definedName>
    <definedName name="reimb">#REF!</definedName>
    <definedName name="rein" localSheetId="1">#REF!</definedName>
    <definedName name="rein">#REF!</definedName>
    <definedName name="ReinforcementSteel">#REF!</definedName>
    <definedName name="REJECTED">#REF!</definedName>
    <definedName name="rel">#REF!</definedName>
    <definedName name="Rel.1.00" localSheetId="1">#REF!,#REF!,#REF!,#REF!,#REF!,#REF!,#REF!,#REF!,#REF!,#REF!,#REF!,#REF!,#REF!,#REF!</definedName>
    <definedName name="Rel.1.00">#REF!,#REF!,#REF!,#REF!,#REF!,#REF!,#REF!,#REF!,#REF!,#REF!,#REF!,#REF!,#REF!,#REF!</definedName>
    <definedName name="Rel.2.00" localSheetId="1">#REF!,#REF!,#REF!,#REF!,#REF!,#REF!,#REF!,#REF!,#REF!,#REF!,#REF!,#REF!,#REF!,#REF!,#REF!,#REF!,#REF!,#REF!</definedName>
    <definedName name="Rel.2.00">#REF!,#REF!,#REF!,#REF!,#REF!,#REF!,#REF!,#REF!,#REF!,#REF!,#REF!,#REF!,#REF!,#REF!,#REF!,#REF!,#REF!,#REF!</definedName>
    <definedName name="relam">#REF!</definedName>
    <definedName name="relamdoor">#REF!</definedName>
    <definedName name="related" localSheetId="1">#REF!</definedName>
    <definedName name="related">#REF!</definedName>
    <definedName name="Release">#N/A</definedName>
    <definedName name="Reliable_Transport_by_Heavy_and_Light_Trucks_LLC" localSheetId="1">#REF!</definedName>
    <definedName name="Reliable_Transport_by_Heavy_and_Light_Trucks_LLC">#REF!</definedName>
    <definedName name="RELKK" localSheetId="1">#REF!</definedName>
    <definedName name="RELKK">#REF!</definedName>
    <definedName name="Relocation_Allowance">#REF!</definedName>
    <definedName name="REM1___0" localSheetId="1">#REF!</definedName>
    <definedName name="REM1___0">#REF!</definedName>
    <definedName name="REM1___0___0">"$#REF!.$#REF!$#REF!"</definedName>
    <definedName name="REM1___0___3">"$#REF!.$#REF!$#REF!"</definedName>
    <definedName name="REM1___0___4">"$#REF!.$#REF!$#REF!"</definedName>
    <definedName name="REM1___2">#REF!</definedName>
    <definedName name="REM1___2___0">"$#REF!.$#REF!$#REF!"</definedName>
    <definedName name="REM1___2___3">"$#REF!.$#REF!$#REF!"</definedName>
    <definedName name="REM1___3">#REF!</definedName>
    <definedName name="REM1___3___0">"$#REF!.$#REF!$#REF!"</definedName>
    <definedName name="REM1___3___3">"$#REF!.$#REF!$#REF!"</definedName>
    <definedName name="REM1___3___4">"$#REF!.$#REF!$#REF!"</definedName>
    <definedName name="REM1___4">#REF!</definedName>
    <definedName name="REM1___4___0">"$#REF!.$#REF!$#REF!"</definedName>
    <definedName name="REM1___4___3">"$#REF!.$#REF!$#REF!"</definedName>
    <definedName name="REM1___7">"$#REF!.$#REF!$#REF!"</definedName>
    <definedName name="REM2___0">#REF!</definedName>
    <definedName name="REM2___0___0">"$#REF!.$#REF!$#REF!"</definedName>
    <definedName name="REM2___0___3">"$#REF!.$#REF!$#REF!"</definedName>
    <definedName name="REM2___0___4">"$#REF!.$#REF!$#REF!"</definedName>
    <definedName name="REM2___2">#REF!</definedName>
    <definedName name="REM2___2___0">"$#REF!.$#REF!$#REF!"</definedName>
    <definedName name="REM2___2___3">"$#REF!.$#REF!$#REF!"</definedName>
    <definedName name="REM2___3">#REF!</definedName>
    <definedName name="REM2___3___0">"$#REF!.$#REF!$#REF!"</definedName>
    <definedName name="REM2___3___3">"$#REF!.$#REF!$#REF!"</definedName>
    <definedName name="REM2___3___4">"$#REF!.$#REF!$#REF!"</definedName>
    <definedName name="REM2___4">#REF!</definedName>
    <definedName name="REM2___4___0">"$#REF!.$#REF!$#REF!"</definedName>
    <definedName name="REM2___4___3">"$#REF!.$#REF!$#REF!"</definedName>
    <definedName name="REM2___7">"$#REF!.$#REF!$#REF!"</definedName>
    <definedName name="remaining_contingency">#REF!</definedName>
    <definedName name="Remarks">#REF!</definedName>
    <definedName name="REMOVALROAD" localSheetId="1" hidden="1">{#N/A,#N/A,FALSE,"MARCH"}</definedName>
    <definedName name="REMOVALROAD" hidden="1">{#N/A,#N/A,FALSE,"MARCH"}</definedName>
    <definedName name="REMOVE" localSheetId="1">#N/A</definedName>
    <definedName name="REMOVE">#N/A</definedName>
    <definedName name="REN" localSheetId="1" hidden="1">{"'Break down'!$A$4"}</definedName>
    <definedName name="REN" hidden="1">{"'Break down'!$A$4"}</definedName>
    <definedName name="rend">0.75</definedName>
    <definedName name="RENE">#REF!</definedName>
    <definedName name="Renewables">#REF!</definedName>
    <definedName name="Renovation_works">#REF!</definedName>
    <definedName name="rentadv" localSheetId="1">#REF!</definedName>
    <definedName name="rentadv">#REF!</definedName>
    <definedName name="Rental">#REF!</definedName>
    <definedName name="rentals">#REF!</definedName>
    <definedName name="RentMI">#REF!</definedName>
    <definedName name="RentRate">#REF!</definedName>
    <definedName name="RENTWRT" localSheetId="1">IF(ISNA(MATCH(ROW(),[1]!COUNT_TH2_V2__units_1___Type_D_04__900_x_2200mm_high,1)),1,MATCH(ROW(),[1]!COUNT_TH2_V2__units_1___Type_D_04__900_x_2200mm_high,1)+1)</definedName>
    <definedName name="RENTWRT">IF(ISNA(MATCH(ROW(),RowAfterpgbrk,1)),1,MATCH(ROW(),RowAfterpgbrk,1)+1)</definedName>
    <definedName name="REOTLAST" localSheetId="1">#REF!</definedName>
    <definedName name="REOTLAST">#REF!</definedName>
    <definedName name="repairs" localSheetId="1">#REF!</definedName>
    <definedName name="repairs">#REF!</definedName>
    <definedName name="Repairs_to_existing_services" localSheetId="1">#REF!</definedName>
    <definedName name="Repairs_to_existing_services">#REF!</definedName>
    <definedName name="RepData">#REF!</definedName>
    <definedName name="repeat" localSheetId="1">#REF!</definedName>
    <definedName name="repeat">#REF!</definedName>
    <definedName name="Report" localSheetId="1">#REF!</definedName>
    <definedName name="Report">#REF!</definedName>
    <definedName name="Report_Date">#REF!</definedName>
    <definedName name="Report_Ends" localSheetId="1">#REF!</definedName>
    <definedName name="Report_Ends">#REF!</definedName>
    <definedName name="Report_Name">#REF!</definedName>
    <definedName name="Report_No">#REF!</definedName>
    <definedName name="Report_No." localSheetId="1">#REF!</definedName>
    <definedName name="Report_No.">#REF!</definedName>
    <definedName name="Report_Subtitle">#REF!</definedName>
    <definedName name="Report_type" localSheetId="1">#REF!</definedName>
    <definedName name="Report_type">#REF!</definedName>
    <definedName name="reportno">#REF!</definedName>
    <definedName name="REPRO_COUNTER_700DEEP">#REF!</definedName>
    <definedName name="Rept_Date">#REF!</definedName>
    <definedName name="request">#REF!</definedName>
    <definedName name="required" localSheetId="1">#REF!</definedName>
    <definedName name="required">#REF!</definedName>
    <definedName name="requiredRangeForFilters" localSheetId="1">#REF!</definedName>
    <definedName name="requiredRangeForFilters">#REF!</definedName>
    <definedName name="rer" localSheetId="1" hidden="1">{#N/A,#N/A,TRUE,"Cover";#N/A,#N/A,TRUE,"Conts";#N/A,#N/A,TRUE,"VOS";#N/A,#N/A,TRUE,"Warrington";#N/A,#N/A,TRUE,"Widnes"}</definedName>
    <definedName name="rer" hidden="1">{#N/A,#N/A,TRUE,"Cover";#N/A,#N/A,TRUE,"Conts";#N/A,#N/A,TRUE,"VOS";#N/A,#N/A,TRUE,"Warrington";#N/A,#N/A,TRUE,"Widnes"}</definedName>
    <definedName name="rer_1" localSheetId="1" hidden="1">{#N/A,#N/A,TRUE,"Cover";#N/A,#N/A,TRUE,"Conts";#N/A,#N/A,TRUE,"VOS";#N/A,#N/A,TRUE,"Warrington";#N/A,#N/A,TRUE,"Widnes"}</definedName>
    <definedName name="rer_1" hidden="1">{#N/A,#N/A,TRUE,"Cover";#N/A,#N/A,TRUE,"Conts";#N/A,#N/A,TRUE,"VOS";#N/A,#N/A,TRUE,"Warrington";#N/A,#N/A,TRUE,"Widnes"}</definedName>
    <definedName name="rerereere">#N/A</definedName>
    <definedName name="rererer">#N/A</definedName>
    <definedName name="rererere">#N/A</definedName>
    <definedName name="RERERERERERE">#N/A</definedName>
    <definedName name="RERERERQRQR">#N/A</definedName>
    <definedName name="rerererrerere" localSheetId="1" hidden="1">{#N/A,#N/A,FALSE,"Pro-forma claim";#N/A,#N/A,FALSE,"Summary sheet";#N/A,#N/A,FALSE,"SITE INSTRUCTIONS";#N/A,#N/A,FALSE,"DAY WORKS CIVILS";#N/A,#N/A,FALSE,"DAY WORKS STEEL"}</definedName>
    <definedName name="rerererrerere" hidden="1">{#N/A,#N/A,FALSE,"Pro-forma claim";#N/A,#N/A,FALSE,"Summary sheet";#N/A,#N/A,FALSE,"SITE INSTRUCTIONS";#N/A,#N/A,FALSE,"DAY WORKS CIVILS";#N/A,#N/A,FALSE,"DAY WORKS STEEL"}</definedName>
    <definedName name="RERRGHH">#N/A</definedName>
    <definedName name="rerte" localSheetId="1" hidden="1">{#N/A,#N/A,FALSE,"VARIATIONS";#N/A,#N/A,FALSE,"BUDGET";#N/A,#N/A,FALSE,"CIVIL QNTY VAR";#N/A,#N/A,FALSE,"SUMMARY";#N/A,#N/A,FALSE,"MATERIAL VAR"}</definedName>
    <definedName name="rerte" hidden="1">{#N/A,#N/A,FALSE,"VARIATIONS";#N/A,#N/A,FALSE,"BUDGET";#N/A,#N/A,FALSE,"CIVIL QNTY VAR";#N/A,#N/A,FALSE,"SUMMARY";#N/A,#N/A,FALSE,"MATERIAL VAR"}</definedName>
    <definedName name="RES" localSheetId="1">#REF!</definedName>
    <definedName name="RES">#REF!</definedName>
    <definedName name="res_sum" localSheetId="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i">#REF!</definedName>
    <definedName name="Residual_difference" localSheetId="1">#REF!</definedName>
    <definedName name="Residual_difference">#REF!</definedName>
    <definedName name="Resource">#REF!</definedName>
    <definedName name="RESP" localSheetId="1">#REF!</definedName>
    <definedName name="RESP">#REF!</definedName>
    <definedName name="response">#REF!</definedName>
    <definedName name="rEstimator">#REF!</definedName>
    <definedName name="results" localSheetId="1">#REF!</definedName>
    <definedName name="results">#REF!</definedName>
    <definedName name="ret">#REF!</definedName>
    <definedName name="ret_to_mainmenue">#N/A</definedName>
    <definedName name="ret.kitc" localSheetId="1">#N/A</definedName>
    <definedName name="ret.kitc">#REF!</definedName>
    <definedName name="Retail" localSheetId="1">#REF!</definedName>
    <definedName name="Retail">#REF!</definedName>
    <definedName name="Retail_Cost" localSheetId="1">#REF!</definedName>
    <definedName name="Retail_Cost">#REF!</definedName>
    <definedName name="Retail_Rents">#REF!</definedName>
    <definedName name="Retail_type">#REF!</definedName>
    <definedName name="RetaingWallLength" localSheetId="1">#REF!</definedName>
    <definedName name="RetaingWallLength">#REF!</definedName>
    <definedName name="Retainingfooting" localSheetId="1">#REF!</definedName>
    <definedName name="Retainingfooting">#REF!</definedName>
    <definedName name="retd" localSheetId="1">{"Book1","BoQ2.XLS"}</definedName>
    <definedName name="retd">{"Book1","BoQ2.XLS"}</definedName>
    <definedName name="reten_1">#REF!</definedName>
    <definedName name="reten_2">#REF!</definedName>
    <definedName name="reten_3">#REF!</definedName>
    <definedName name="Retention_Percent" localSheetId="1">#REF!</definedName>
    <definedName name="Retention_Percent">#REF!</definedName>
    <definedName name="Retention_percent1" localSheetId="1">#REF!</definedName>
    <definedName name="Retention_percent1">#REF!</definedName>
    <definedName name="Retention_percentage1">#REF!</definedName>
    <definedName name="Retention_period1">#REF!</definedName>
    <definedName name="retert" localSheetId="1" hidden="1">{#N/A,#N/A,FALSE,"조골재"}</definedName>
    <definedName name="retert" hidden="1">{#N/A,#N/A,FALSE,"조골재"}</definedName>
    <definedName name="retetet" localSheetId="1" hidden="1">{#N/A,#N/A,FALSE,"CAM-G7";#N/A,#N/A,FALSE,"SPL";#N/A,#N/A,FALSE,"butt-in G7";#N/A,#N/A,FALSE,"dia-in G7";#N/A,#N/A,FALSE,"추가-STA G7"}</definedName>
    <definedName name="retetet" hidden="1">{#N/A,#N/A,FALSE,"CAM-G7";#N/A,#N/A,FALSE,"SPL";#N/A,#N/A,FALSE,"butt-in G7";#N/A,#N/A,FALSE,"dia-in G7";#N/A,#N/A,FALSE,"추가-STA G7"}</definedName>
    <definedName name="retewt" localSheetId="1" hidden="1">{#N/A,#N/A,FALSE,"CAM-G7";#N/A,#N/A,FALSE,"SPL";#N/A,#N/A,FALSE,"butt-in G7";#N/A,#N/A,FALSE,"dia-in G7";#N/A,#N/A,FALSE,"추가-STA G7"}</definedName>
    <definedName name="retewt" hidden="1">{#N/A,#N/A,FALSE,"CAM-G7";#N/A,#N/A,FALSE,"SPL";#N/A,#N/A,FALSE,"butt-in G7";#N/A,#N/A,FALSE,"dia-in G7";#N/A,#N/A,FALSE,"추가-STA G7"}</definedName>
    <definedName name="Retn.acmv" localSheetId="1">#N/A</definedName>
    <definedName name="Retn.acmv">#REF!</definedName>
    <definedName name="Retn.alum" localSheetId="1">#N/A</definedName>
    <definedName name="Retn.alum">#REF!</definedName>
    <definedName name="return" localSheetId="1">#REF!</definedName>
    <definedName name="return">#REF!</definedName>
    <definedName name="Return_on_Equity" localSheetId="1">#REF!</definedName>
    <definedName name="Return_on_Equity">#REF!</definedName>
    <definedName name="retyui7">#REF!</definedName>
    <definedName name="reu" localSheetId="1" hidden="1">{#N/A,#N/A,FALSE,"gc (2)"}</definedName>
    <definedName name="reu" hidden="1">{#N/A,#N/A,FALSE,"gc (2)"}</definedName>
    <definedName name="reundo" localSheetId="1" hidden="1">{#N/A,#N/A,TRUE,"Cover";#N/A,#N/A,TRUE,"Conts";#N/A,#N/A,TRUE,"VOS";#N/A,#N/A,TRUE,"Warrington";#N/A,#N/A,TRUE,"Widnes"}</definedName>
    <definedName name="reundo" hidden="1">{#N/A,#N/A,TRUE,"Cover";#N/A,#N/A,TRUE,"Conts";#N/A,#N/A,TRUE,"VOS";#N/A,#N/A,TRUE,"Warrington";#N/A,#N/A,TRUE,"Widnes"}</definedName>
    <definedName name="Rev" localSheetId="1">#REF!</definedName>
    <definedName name="Rev">#REF!</definedName>
    <definedName name="Rev_No">#REF!</definedName>
    <definedName name="RevDate">#REF!</definedName>
    <definedName name="REVISED">#REF!</definedName>
    <definedName name="Revision">#REF!</definedName>
    <definedName name="REVISION_DATA" localSheetId="1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rew" localSheetId="1">{#N/A,#N/A,FALSE,"Chi tiÆt"}</definedName>
    <definedName name="rew">{#N/A,#N/A,FALSE,"Chi tiÆt"}</definedName>
    <definedName name="rewr3r">#REF!</definedName>
    <definedName name="rewr4wwe">#N/A</definedName>
    <definedName name="rewrewr">#REF!</definedName>
    <definedName name="rewtrg">#N/A</definedName>
    <definedName name="rewy5e" localSheetId="1">BlankMacro1</definedName>
    <definedName name="rewy5e">BlankMacro1</definedName>
    <definedName name="reya" localSheetId="1" hidden="1">{"office ltcg",#N/A,FALSE,"gain01";"IT LTCG",#N/A,FALSE,"gain01"}</definedName>
    <definedName name="reya" hidden="1">{"office ltcg",#N/A,FALSE,"gain01";"IT LTCG",#N/A,FALSE,"gain01"}</definedName>
    <definedName name="reytryert" localSheetId="1" hidden="1">{#N/A,#N/A,FALSE,"단가표지"}</definedName>
    <definedName name="reytryert" hidden="1">{#N/A,#N/A,FALSE,"단가표지"}</definedName>
    <definedName name="reyyrteyw" localSheetId="1" hidden="1">{#N/A,#N/A,FALSE,"2~8번"}</definedName>
    <definedName name="reyyrteyw" hidden="1">{#N/A,#N/A,FALSE,"2~8번"}</definedName>
    <definedName name="RFCList">#REF!</definedName>
    <definedName name="RFEFERFGE" localSheetId="1">[1]!CUSTOM1_2_bed_fridge_freezer+Extra_Payment</definedName>
    <definedName name="RFEFERFGE">Scheduled_Payment+Extra_Payment</definedName>
    <definedName name="rfer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fe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FEW">#N/A</definedName>
    <definedName name="RFG" localSheetId="1">{"'Revised (2)'!$A$1:$K$76"}</definedName>
    <definedName name="RFG">{"'Revised (2)'!$A$1:$K$76"}</definedName>
    <definedName name="rfgvdfbhd">#N/A</definedName>
    <definedName name="Rform_unitprice" localSheetId="1">#REF!</definedName>
    <definedName name="Rform_unitprice">#REF!</definedName>
    <definedName name="RFP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swef">#N/A</definedName>
    <definedName name="rft" localSheetId="1" hidden="1">{#N/A,#N/A,FALSE,"MARCH"}</definedName>
    <definedName name="rft" hidden="1">{#N/A,#N/A,FALSE,"MARCH"}</definedName>
    <definedName name="Rfwk">#REF!</definedName>
    <definedName name="RG" localSheetId="1">#REF!</definedName>
    <definedName name="RG">#REF!</definedName>
    <definedName name="rgasdgasdsdg" localSheetId="1">#REF!</definedName>
    <definedName name="rgasdgasdsdg">#REF!</definedName>
    <definedName name="rge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fr">#REF!</definedName>
    <definedName name="rghhythy" localSheetId="1" hidden="1">{#N/A,#N/A,TRUE,"Cover";#N/A,#N/A,TRUE,"Conts";#N/A,#N/A,TRUE,"VOS";#N/A,#N/A,TRUE,"Warrington";#N/A,#N/A,TRUE,"Widnes"}</definedName>
    <definedName name="rghhythy" hidden="1">{#N/A,#N/A,TRUE,"Cover";#N/A,#N/A,TRUE,"Conts";#N/A,#N/A,TRUE,"VOS";#N/A,#N/A,TRUE,"Warrington";#N/A,#N/A,TRUE,"Widnes"}</definedName>
    <definedName name="rghhythy_1" localSheetId="1" hidden="1">{#N/A,#N/A,TRUE,"Cover";#N/A,#N/A,TRUE,"Conts";#N/A,#N/A,TRUE,"VOS";#N/A,#N/A,TRUE,"Warrington";#N/A,#N/A,TRUE,"Widnes"}</definedName>
    <definedName name="rghhythy_1" hidden="1">{#N/A,#N/A,TRUE,"Cover";#N/A,#N/A,TRUE,"Conts";#N/A,#N/A,TRUE,"VOS";#N/A,#N/A,TRUE,"Warrington";#N/A,#N/A,TRUE,"Widnes"}</definedName>
    <definedName name="rghsret" localSheetId="1" hidden="1">{#N/A,#N/A,FALSE,"VARIATIONS";#N/A,#N/A,FALSE,"BUDGET";#N/A,#N/A,FALSE,"CIVIL QNTY VAR";#N/A,#N/A,FALSE,"SUMMARY";#N/A,#N/A,FALSE,"MATERIAL VAR"}</definedName>
    <definedName name="rghsret" hidden="1">{#N/A,#N/A,FALSE,"VARIATIONS";#N/A,#N/A,FALSE,"BUDGET";#N/A,#N/A,FALSE,"CIVIL QNTY VAR";#N/A,#N/A,FALSE,"SUMMARY";#N/A,#N/A,FALSE,"MATERIAL VAR"}</definedName>
    <definedName name="rgrtae" localSheetId="1" hidden="1">{#N/A,#N/A,FALSE,"VARIATIONS";#N/A,#N/A,FALSE,"BUDGET";#N/A,#N/A,FALSE,"CIVIL QNTY VAR";#N/A,#N/A,FALSE,"SUMMARY";#N/A,#N/A,FALSE,"MATERIAL VAR"}</definedName>
    <definedName name="rgrtae" hidden="1">{#N/A,#N/A,FALSE,"VARIATIONS";#N/A,#N/A,FALSE,"BUDGET";#N/A,#N/A,FALSE,"CIVIL QNTY VAR";#N/A,#N/A,FALSE,"SUMMARY";#N/A,#N/A,FALSE,"MATERIAL VAR"}</definedName>
    <definedName name="rgrtg">#N/A</definedName>
    <definedName name="RH" localSheetId="1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ht" localSheetId="1">"Page "&amp;IF(ISNA(MATCH(ROW(),[1]!COUNT_TH2_V2__units_1___Type_D_04__900_x_2200mm_high,1)),1,MATCH(ROW(),[1]!COUNT_TH2_V2__units_1___Type_D_04__900_x_2200mm_high,1)+1)&amp;" of " &amp; [1]!CUSTOM1_Shops__GF_ + 0*NOW()</definedName>
    <definedName name="rht">"Page "&amp;IF(ISNA(MATCH(ROW(),RowAfterpgbrk,1)),1,MATCH(ROW(),RowAfterpgbrk,1)+1)&amp;" of " &amp; TotPageCount + 0*NOW()</definedName>
    <definedName name="rhyuyi" localSheetId="1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hyuyi_1" localSheetId="1" hidden="1">{#N/A,#N/A,TRUE,"Cover";#N/A,#N/A,TRUE,"Conts";#N/A,#N/A,TRUE,"VOS";#N/A,#N/A,TRUE,"Warrington";#N/A,#N/A,TRUE,"Widnes"}</definedName>
    <definedName name="rhyuyi_1" hidden="1">{#N/A,#N/A,TRUE,"Cover";#N/A,#N/A,TRUE,"Conts";#N/A,#N/A,TRUE,"VOS";#N/A,#N/A,TRUE,"Warrington";#N/A,#N/A,TRUE,"Widnes"}</definedName>
    <definedName name="RIBA_stages">#REF!</definedName>
    <definedName name="RICC" localSheetId="1">#REF!</definedName>
    <definedName name="RICC">#REF!</definedName>
    <definedName name="RICCValue" localSheetId="1">#REF!</definedName>
    <definedName name="RICCValue">#REF!</definedName>
    <definedName name="RID">#REF!</definedName>
    <definedName name="rig">#REF!</definedName>
    <definedName name="rim4_4">#REF!</definedName>
    <definedName name="rim4_4_1">#REF!</definedName>
    <definedName name="rim4_6">#REF!</definedName>
    <definedName name="ripal" localSheetId="1" hidden="1">{#N/A,#N/A,FALSE,"gc (2)"}</definedName>
    <definedName name="ripal" hidden="1">{#N/A,#N/A,FALSE,"gc (2)"}</definedName>
    <definedName name="riser">#REF!</definedName>
    <definedName name="risk">#REF!</definedName>
    <definedName name="RiskAfterRecalcMacro">"FailureLoop"</definedName>
    <definedName name="RiskAfterSimMacro" hidden="1">""</definedName>
    <definedName name="RiskAutoStopPercChange">1.5</definedName>
    <definedName name="RiskBeforeRecalcMacro" hidden="1">""</definedName>
    <definedName name="RiskBeforeSimMacro">"Initialise_Model"</definedName>
    <definedName name="RiskCollectDistributionSamples">2</definedName>
    <definedName name="RiskCorrelationSheet">#REF!</definedName>
    <definedName name="RiskExcelReportsGoInNewWorkbook">TRUE</definedName>
    <definedName name="RiskExcelReportsToGenerate">33</definedName>
    <definedName name="RiskFixedSeed">1</definedName>
    <definedName name="RiskGenerateExcelReportsAtEndOfSimulation">FALSE</definedName>
    <definedName name="RiskHasSettings">TRUE</definedName>
    <definedName name="RiskLevel">#REF!</definedName>
    <definedName name="RiskMinimizeOnStart">FALSE</definedName>
    <definedName name="RiskMonitorConvergence">TRUE</definedName>
    <definedName name="RiskMultipleCPUSupportEnabled" hidden="1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 localSheetId="1">#REF!</definedName>
    <definedName name="Risks">#REF!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iu" localSheetId="1">BlankMacro1</definedName>
    <definedName name="riu">BlankMacro1</definedName>
    <definedName name="RJJRJR" localSheetId="1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RKR">#REF!</definedName>
    <definedName name="RKRKRKRK" localSheetId="1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l">#REF!</definedName>
    <definedName name="Rl___0" localSheetId="1">#REF!</definedName>
    <definedName name="Rl___0">#REF!</definedName>
    <definedName name="Rl___13" localSheetId="1">#REF!</definedName>
    <definedName name="Rl___13">#REF!</definedName>
    <definedName name="rLocation">#REF!</definedName>
    <definedName name="rlp" localSheetId="1">#REF!</definedName>
    <definedName name="rlp">#REF!</definedName>
    <definedName name="RLPS" localSheetId="1">#REF!</definedName>
    <definedName name="RLPS">#REF!</definedName>
    <definedName name="RM" localSheetId="1">#REF!</definedName>
    <definedName name="RM">#REF!</definedName>
    <definedName name="RMB" localSheetId="1">#REF!</definedName>
    <definedName name="RMB">#REF!</definedName>
    <definedName name="RMC">#N/A</definedName>
    <definedName name="RMC_2500">#N/A</definedName>
    <definedName name="RMC_3000">#N/A</definedName>
    <definedName name="RMCJUNE">#N/A</definedName>
    <definedName name="RME">OFFSET(#REF!,1,0,COUNTA(#REF!)-(#REF!+2))</definedName>
    <definedName name="RMJM" localSheetId="1">#REF!</definedName>
    <definedName name="RMJM">#REF!</definedName>
    <definedName name="rmpa15">#REF!</definedName>
    <definedName name="rmpa3">#REF!</definedName>
    <definedName name="RMPA30">#REF!</definedName>
    <definedName name="RMPADM">#REF!</definedName>
    <definedName name="RND">0</definedName>
    <definedName name="rng7670_RSP" localSheetId="1">#REF!</definedName>
    <definedName name="rng7670_RSP">#REF!</definedName>
    <definedName name="RNR">#REF!</definedName>
    <definedName name="Road" localSheetId="1">#N/A</definedName>
    <definedName name="Road">[1]!City&amp;" "&amp;STATE</definedName>
    <definedName name="ROAD_MARKINGS_Road_Markings_List" localSheetId="1">#REF!</definedName>
    <definedName name="ROAD_MARKINGS_Road_Markings_List">#REF!</definedName>
    <definedName name="ROAD16" localSheetId="1" hidden="1">{#N/A,#N/A,FALSE,"MARCH"}</definedName>
    <definedName name="ROAD16" hidden="1">{#N/A,#N/A,FALSE,"MARCH"}</definedName>
    <definedName name="roadcamp" localSheetId="1" hidden="1">{#N/A,#N/A,FALSE,"MARCH"}</definedName>
    <definedName name="roadcamp" hidden="1">{#N/A,#N/A,FALSE,"MARCH"}</definedName>
    <definedName name="ROADS">#REF!</definedName>
    <definedName name="Roads___Footpaths">#REF!</definedName>
    <definedName name="Roads_Paths_Pavings" localSheetId="1">#REF!</definedName>
    <definedName name="Roads_Paths_Pavings">#REF!</definedName>
    <definedName name="ROADSI16" localSheetId="1" hidden="1">{#N/A,#N/A,FALSE,"MARCH"}</definedName>
    <definedName name="ROADSI16" hidden="1">{#N/A,#N/A,FALSE,"MARCH"}</definedName>
    <definedName name="ROADWAY_FIXT" localSheetId="1">#REF!</definedName>
    <definedName name="ROADWAY_FIXT">#REF!</definedName>
    <definedName name="Robert_Bird_Group_Pty_Ltd" localSheetId="1">#REF!</definedName>
    <definedName name="Robert_Bird_Group_Pty_Ltd">#REF!</definedName>
    <definedName name="robot">#REF!</definedName>
    <definedName name="roc">#REF!</definedName>
    <definedName name="rock">#REF!</definedName>
    <definedName name="Rohr_Ing">#REF!</definedName>
    <definedName name="ROI" localSheetId="1">#REF!</definedName>
    <definedName name="ROI">#REF!</definedName>
    <definedName name="rollers">#REF!</definedName>
    <definedName name="rollshut1">#REF!</definedName>
    <definedName name="Rom">#REF!</definedName>
    <definedName name="RONE">"ARRAY(I7:T7)"</definedName>
    <definedName name="Roof" localSheetId="1">#REF!</definedName>
    <definedName name="Roof">#REF!</definedName>
    <definedName name="ROOF_BEAM" localSheetId="1">#REF!</definedName>
    <definedName name="ROOF_BEAM">#REF!</definedName>
    <definedName name="Roof_Sheet_Spec" localSheetId="1">#REF!</definedName>
    <definedName name="Roof_Sheet_Spec">#REF!</definedName>
    <definedName name="RorR">#REF!</definedName>
    <definedName name="rosid" localSheetId="1">#REF!</definedName>
    <definedName name="rosid">#REF!</definedName>
    <definedName name="rou" localSheetId="1" hidden="1">{"'Break down'!$A$4"}</definedName>
    <definedName name="rou" hidden="1">{"'Break down'!$A$4"}</definedName>
    <definedName name="ROW_ENGR">#REF!</definedName>
    <definedName name="Royalties">15%</definedName>
    <definedName name="rpppp" localSheetId="1" hidden="1">{"'Break down'!$A$4"}</definedName>
    <definedName name="rpppp" hidden="1">{"'Break down'!$A$4"}</definedName>
    <definedName name="rProjectNo">#REF!</definedName>
    <definedName name="RPS" localSheetId="1">#REF!</definedName>
    <definedName name="RPS">#REF!</definedName>
    <definedName name="rq2rtyer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q2rty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qwtg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qwt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ft">#REF!</definedName>
    <definedName name="RRJRJ">#REF!</definedName>
    <definedName name="rrr" localSheetId="1">DATE(YEAR('City Walk - Comparison'!bhjbh),MONTH('City Walk - Comparison'!bhjbh)+[1]!COUNT_FS05_1B1,DAY('City Walk - Comparison'!bhjbh))</definedName>
    <definedName name="rrr">DATE(YEAR(Loan_Start),MONTH(Loan_Start)+Payment_Number,DAY(Loan_Start))</definedName>
    <definedName name="rrrr" localSheetId="1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_1" localSheetId="1" hidden="1">{#N/A,#N/A,TRUE,"Cover";#N/A,#N/A,TRUE,"Conts";#N/A,#N/A,TRUE,"VOS";#N/A,#N/A,TRUE,"Warrington";#N/A,#N/A,TRUE,"Widnes"}</definedName>
    <definedName name="rrrr_1" hidden="1">{#N/A,#N/A,TRUE,"Cover";#N/A,#N/A,TRUE,"Conts";#N/A,#N/A,TRUE,"VOS";#N/A,#N/A,TRUE,"Warrington";#N/A,#N/A,TRUE,"Widnes"}</definedName>
    <definedName name="rrrrr" localSheetId="1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">#REF!</definedName>
    <definedName name="rrrrrrr" localSheetId="1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_1" localSheetId="1" hidden="1">{#N/A,#N/A,TRUE,"Cover";#N/A,#N/A,TRUE,"Conts";#N/A,#N/A,TRUE,"VOS";#N/A,#N/A,TRUE,"Warrington";#N/A,#N/A,TRUE,"Widnes"}</definedName>
    <definedName name="rrrrrrr_1" hidden="1">{#N/A,#N/A,TRUE,"Cover";#N/A,#N/A,TRUE,"Conts";#N/A,#N/A,TRUE,"VOS";#N/A,#N/A,TRUE,"Warrington";#N/A,#N/A,TRUE,"Widnes"}</definedName>
    <definedName name="rrrrrrrrr" localSheetId="1">DATE(YEAR('City Walk - Comparison'!bhjbh),MONTH('City Walk - Comparison'!bhjbh)+[1]!COUNT_FS05_1B1,DAY('City Walk - Comparison'!bhjbh))</definedName>
    <definedName name="rrrrrrrrr">DATE(YEAR(Loan_Start),MONTH(Loan_Start)+Payment_Number,DAY(Loan_Start))</definedName>
    <definedName name="rrrrrrrrrr" localSheetId="1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rrrrrrrrr">#REF!</definedName>
    <definedName name="rrrrrrrrrrrrrrrrrrrr" localSheetId="1">#REF!</definedName>
    <definedName name="rrrrrrrrrrrrrrrrrrrr">#REF!</definedName>
    <definedName name="rrrrrrrrrrrrrrrrrrrrrrrrrrrrrrrrrrrr" localSheetId="1" hidden="1">#REF!</definedName>
    <definedName name="rrrrrrrrrrrrrrrrrrrrrrrrrrrrrrrrrrrr" hidden="1">#REF!</definedName>
    <definedName name="rrrrrrrrrrrrrrrrrrrrrrrrrrrrrrrrrrrrrrrrt" localSheetId="1" hidden="1">#REF!</definedName>
    <definedName name="rrrrrrrrrrrrrrrrrrrrrrrrrrrrrrrrrrrrrrrrt" hidden="1">#REF!</definedName>
    <definedName name="rrttt" localSheetId="1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s" localSheetId="1">#REF!</definedName>
    <definedName name="Rs">#REF!</definedName>
    <definedName name="Rs___0" localSheetId="1">#REF!</definedName>
    <definedName name="Rs___0">#REF!</definedName>
    <definedName name="Rs___13" localSheetId="1">#REF!</definedName>
    <definedName name="Rs___13">#REF!</definedName>
    <definedName name="rs_bsf" localSheetId="1">#REF!</definedName>
    <definedName name="rs_bsf">#REF!</definedName>
    <definedName name="rs16k_base">#REF!</definedName>
    <definedName name="rs16k_cm">#REF!</definedName>
    <definedName name="rs16k_cm_nbr">#REF!</definedName>
    <definedName name="rs16k_msp">#REF!</definedName>
    <definedName name="rs16k_pup">#REF!</definedName>
    <definedName name="rs16k_reup">#REF!</definedName>
    <definedName name="rs16k_slot_nbrs">#REF!</definedName>
    <definedName name="rs1k_base">#REF!</definedName>
    <definedName name="rs1k_slot_nbrs">#REF!</definedName>
    <definedName name="rs38k_base">#REF!</definedName>
    <definedName name="rs38k_cm">#REF!</definedName>
    <definedName name="rs38k_cm_nbr">#REF!</definedName>
    <definedName name="rs38k_msp">#REF!</definedName>
    <definedName name="rs38k_pup">#REF!</definedName>
    <definedName name="rs38k_pwr">#REF!</definedName>
    <definedName name="rs38k_reup">#REF!</definedName>
    <definedName name="rs38k_slot_nbrs">#REF!</definedName>
    <definedName name="rs3k_base">#REF!</definedName>
    <definedName name="rs3k_msp">#REF!</definedName>
    <definedName name="rs3k_pup">#REF!</definedName>
    <definedName name="rs3k_reup">#REF!</definedName>
    <definedName name="rs3k_slot_nbrs">#REF!</definedName>
    <definedName name="rs86k_base">#REF!</definedName>
    <definedName name="rs86k_cm">#REF!</definedName>
    <definedName name="rs86k_cm_nbr">#REF!</definedName>
    <definedName name="rs86k_pwr">#REF!</definedName>
    <definedName name="rs86k_slot_nbrs">#REF!</definedName>
    <definedName name="rs8k_base">#REF!</definedName>
    <definedName name="rs8k_cm">#REF!</definedName>
    <definedName name="rs8k_cm_nbr">#REF!</definedName>
    <definedName name="rs8k_msp">#REF!</definedName>
    <definedName name="rs8k_pup">#REF!</definedName>
    <definedName name="rs8k_reup">#REF!</definedName>
    <definedName name="rs8k_slot_nbrs">#REF!</definedName>
    <definedName name="Rse">#REF!</definedName>
    <definedName name="Rse___0">#REF!</definedName>
    <definedName name="Rse___13">#REF!</definedName>
    <definedName name="Rsrt6">#REF!</definedName>
    <definedName name="rsy" localSheetId="1">BlankMacro1</definedName>
    <definedName name="rsy">BlankMacro1</definedName>
    <definedName name="rt" localSheetId="1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A">#REF!</definedName>
    <definedName name="rter" localSheetId="1" hidden="1">{#N/A,#N/A,FALSE,"물량산출"}</definedName>
    <definedName name="rter" hidden="1">{#N/A,#N/A,FALSE,"물량산출"}</definedName>
    <definedName name="rtf4wefff" localSheetId="1">[1]!CUSTOM1_2_bed_fridge_freezer+Extra_Payment</definedName>
    <definedName name="rtf4wefff">Scheduled_Payment+Extra_Payment</definedName>
    <definedName name="RTFJI9">#N/A</definedName>
    <definedName name="rtg" localSheetId="1">"Page "&amp;IF(ISNA(MATCH(ROW(),[1]!COUNT_TH2_V2__units_1___Type_D_04__900_x_2200mm_high,1)),1,MATCH(ROW(),[1]!COUNT_TH2_V2__units_1___Type_D_04__900_x_2200mm_high,1)+1)&amp;" of " &amp; [1]!CUSTOM1_Shops__GF_ + 0*NOW()</definedName>
    <definedName name="rtg">"Page "&amp;IF(ISNA(MATCH(ROW(),RowAfterpgbrk,1)),1,MATCH(ROW(),RowAfterpgbrk,1)+1)&amp;" of " &amp; TotPageCount + 0*NOW()</definedName>
    <definedName name="rtgeg">#N/A</definedName>
    <definedName name="rtgw" localSheetId="1">"Page "&amp;IF(ISNA(MATCH(ROW(),[1]!COUNT_TH2_V2__units_1___Type_D_04__900_x_2200mm_high,1)),1,MATCH(ROW(),[1]!COUNT_TH2_V2__units_1___Type_D_04__900_x_2200mm_high,1)+1)&amp;" of " &amp; [1]!CUSTOM1_Shops__GF_ + 0*NOW()</definedName>
    <definedName name="rtgw">"Page "&amp;IF(ISNA(MATCH(ROW(),RowAfterpgbrk,1)),1,MATCH(ROW(),RowAfterpgbrk,1)+1)&amp;" of " &amp; TotPageCount + 0*NOW()</definedName>
    <definedName name="rthrt" localSheetId="1">IF(ISNA(MATCH(ROW(),[1]!COUNT_TH2_V2__units_1___Type_D_04__900_x_2200mm_high,1)),1,MATCH(ROW(),[1]!COUNT_TH2_V2__units_1___Type_D_04__900_x_2200mm_high,1)+1)</definedName>
    <definedName name="rthrt">IF(ISNA(MATCH(ROW(),RowAfterpgbrk,1)),1,MATCH(ROW(),RowAfterpgbrk,1)+1)</definedName>
    <definedName name="rthsrhs" localSheetId="1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hsrhs_1" localSheetId="1" hidden="1">{#N/A,#N/A,TRUE,"Cover";#N/A,#N/A,TRUE,"Conts";#N/A,#N/A,TRUE,"VOS";#N/A,#N/A,TRUE,"Warrington";#N/A,#N/A,TRUE,"Widnes"}</definedName>
    <definedName name="rthsrhs_1" hidden="1">{#N/A,#N/A,TRUE,"Cover";#N/A,#N/A,TRUE,"Conts";#N/A,#N/A,TRUE,"VOS";#N/A,#N/A,TRUE,"Warrington";#N/A,#N/A,TRUE,"Widnes"}</definedName>
    <definedName name="RTKL_Dubai_Branch">#REF!</definedName>
    <definedName name="rtp" localSheetId="1" hidden="1">{"'Break down'!$A$4"}</definedName>
    <definedName name="rtp" hidden="1">{"'Break down'!$A$4"}</definedName>
    <definedName name="rtpqwp" localSheetId="1" hidden="1">{"'Break down'!$A$4"}</definedName>
    <definedName name="rtpqwp" hidden="1">{"'Break down'!$A$4"}</definedName>
    <definedName name="rtr" localSheetId="1">{"'Break down'!$A$4"}</definedName>
    <definedName name="rtr">{"'Break down'!$A$4"}</definedName>
    <definedName name="rtr_1" localSheetId="1">{"'Break down'!$A$4"}</definedName>
    <definedName name="rtr_1">{"'Break down'!$A$4"}</definedName>
    <definedName name="RTRGJHJ" localSheetId="1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GJHJ_1" localSheetId="1" hidden="1">{#N/A,#N/A,TRUE,"Cover";#N/A,#N/A,TRUE,"Conts";#N/A,#N/A,TRUE,"VOS";#N/A,#N/A,TRUE,"Warrington";#N/A,#N/A,TRUE,"Widnes"}</definedName>
    <definedName name="RTRGJHJ_1" hidden="1">{#N/A,#N/A,TRUE,"Cover";#N/A,#N/A,TRUE,"Conts";#N/A,#N/A,TRUE,"VOS";#N/A,#N/A,TRUE,"Warrington";#N/A,#N/A,TRUE,"Widnes"}</definedName>
    <definedName name="RTRTR">#N/A</definedName>
    <definedName name="RTRTRTR">#N/A</definedName>
    <definedName name="rtryj" localSheetId="1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ryj_1" localSheetId="1" hidden="1">{#N/A,#N/A,TRUE,"Cover";#N/A,#N/A,TRUE,"Conts";#N/A,#N/A,TRUE,"VOS";#N/A,#N/A,TRUE,"Warrington";#N/A,#N/A,TRUE,"Widnes"}</definedName>
    <definedName name="rtryj_1" hidden="1">{#N/A,#N/A,TRUE,"Cover";#N/A,#N/A,TRUE,"Conts";#N/A,#N/A,TRUE,"VOS";#N/A,#N/A,TRUE,"Warrington";#N/A,#N/A,TRUE,"Widnes"}</definedName>
    <definedName name="RTSV" localSheetId="1">"Page "&amp;IF(ISNA(MATCH(ROW(),[1]!COUNT_TH2_V2__units_1___Type_D_04__900_x_2200mm_high,1)),1,MATCH(ROW(),[1]!COUNT_TH2_V2__units_1___Type_D_04__900_x_2200mm_high,1)+1)&amp;" of " &amp; [1]!CUSTOM1_Shops__GF_ + 0*NOW()</definedName>
    <definedName name="RTSV">"Page "&amp;IF(ISNA(MATCH(ROW(),RowAfterpgbrk,1)),1,MATCH(ROW(),RowAfterpgbrk,1)+1)&amp;" of " &amp; TotPageCount + 0*NOW()</definedName>
    <definedName name="rtt" localSheetId="1">'City Walk - Comparison'!PeriodInPlan*(#REF!&gt;0)</definedName>
    <definedName name="rtt">PeriodInPlan*(#REF!&gt;0)</definedName>
    <definedName name="rttgss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tgss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TRTRTR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U_add_Cell" localSheetId="1">250*[1]!E2D</definedName>
    <definedName name="RTU_add_Cell">250*E2D</definedName>
    <definedName name="RTU200Cells" localSheetId="1">35000*[1]!E2D</definedName>
    <definedName name="RTU200Cells">35000*E2D</definedName>
    <definedName name="rturudu" localSheetId="1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urudu_1" localSheetId="1" hidden="1">{#N/A,#N/A,TRUE,"Cover";#N/A,#N/A,TRUE,"Conts";#N/A,#N/A,TRUE,"VOS";#N/A,#N/A,TRUE,"Warrington";#N/A,#N/A,TRUE,"Widnes"}</definedName>
    <definedName name="rturudu_1" hidden="1">{#N/A,#N/A,TRUE,"Cover";#N/A,#N/A,TRUE,"Conts";#N/A,#N/A,TRUE,"VOS";#N/A,#N/A,TRUE,"Warrington";#N/A,#N/A,TRUE,"Widnes"}</definedName>
    <definedName name="rtwt" localSheetId="1" hidden="1">{#N/A,#N/A,FALSE,"물량산출"}</definedName>
    <definedName name="rtwt" hidden="1">{#N/A,#N/A,FALSE,"물량산출"}</definedName>
    <definedName name="rty">#REF!</definedName>
    <definedName name="rtyr4" localSheetId="1" hidden="1">{#N/A,#N/A,FALSE,"혼합골재"}</definedName>
    <definedName name="rtyr4" hidden="1">{#N/A,#N/A,FALSE,"혼합골재"}</definedName>
    <definedName name="rtyrty" localSheetId="1">#REF!</definedName>
    <definedName name="rtyrty">#REF!</definedName>
    <definedName name="rtysh" localSheetId="1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tysh_1" localSheetId="1" hidden="1">{#N/A,#N/A,TRUE,"Cover";#N/A,#N/A,TRUE,"Conts";#N/A,#N/A,TRUE,"VOS";#N/A,#N/A,TRUE,"Warrington";#N/A,#N/A,TRUE,"Widnes"}</definedName>
    <definedName name="rtysh_1" hidden="1">{#N/A,#N/A,TRUE,"Cover";#N/A,#N/A,TRUE,"Conts";#N/A,#N/A,TRUE,"VOS";#N/A,#N/A,TRUE,"Warrington";#N/A,#N/A,TRUE,"Widnes"}</definedName>
    <definedName name="rtytryery" localSheetId="1" hidden="1">{#N/A,#N/A,FALSE,"구조2"}</definedName>
    <definedName name="rtytryery" hidden="1">{#N/A,#N/A,FALSE,"구조2"}</definedName>
    <definedName name="RTYU">#N/A</definedName>
    <definedName name="rtyujn" localSheetId="1" hidden="1">{#N/A,#N/A,TRUE,"Cover";#N/A,#N/A,TRUE,"Conts";#N/A,#N/A,TRUE,"VOS";#N/A,#N/A,TRUE,"Warrington";#N/A,#N/A,TRUE,"Widnes"}</definedName>
    <definedName name="rtyujn" hidden="1">{#N/A,#N/A,TRUE,"Cover";#N/A,#N/A,TRUE,"Conts";#N/A,#N/A,TRUE,"VOS";#N/A,#N/A,TRUE,"Warrington";#N/A,#N/A,TRUE,"Widnes"}</definedName>
    <definedName name="RUB">#REF!</definedName>
    <definedName name="Rubr_" localSheetId="1">#REF!</definedName>
    <definedName name="Rubr_">#REF!</definedName>
    <definedName name="ruchir">#REF!</definedName>
    <definedName name="rule" hidden="1">#REF!</definedName>
    <definedName name="run" localSheetId="1" hidden="1">{#N/A,#N/A,TRUE,"Cover";#N/A,#N/A,TRUE,"Conts";#N/A,#N/A,TRUE,"VOS";#N/A,#N/A,TRUE,"Warrington";#N/A,#N/A,TRUE,"Widnes"}</definedName>
    <definedName name="run" hidden="1">{#N/A,#N/A,TRUE,"Cover";#N/A,#N/A,TRUE,"Conts";#N/A,#N/A,TRUE,"VOS";#N/A,#N/A,TRUE,"Warrington";#N/A,#N/A,TRUE,"Widnes"}</definedName>
    <definedName name="RUNNING">#REF!</definedName>
    <definedName name="RUT" localSheetId="1">#REF!</definedName>
    <definedName name="RUT">#REF!</definedName>
    <definedName name="RVOLAST">#REF!</definedName>
    <definedName name="RVOLST1">#REF!</definedName>
    <definedName name="RWE">#N/A</definedName>
    <definedName name="rwe4tfw" localSheetId="1">[1]!CUSTOM1_2_bed_fridge_freezer+Extra_Payment</definedName>
    <definedName name="rwe4tfw">Scheduled_Payment+Extra_Payment</definedName>
    <definedName name="rwere" localSheetId="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F" localSheetId="1" hidden="1">{"'Sheet1'!$A$4386:$N$4591"}</definedName>
    <definedName name="RWF" hidden="1">{"'Sheet1'!$A$4386:$N$4591"}</definedName>
    <definedName name="rWorkWeek">#REF!</definedName>
    <definedName name="rwt" localSheetId="1" hidden="1">{#N/A,#N/A,TRUE,"Cover";#N/A,#N/A,TRUE,"Conts";#N/A,#N/A,TRUE,"VOS";#N/A,#N/A,TRUE,"Warrington";#N/A,#N/A,TRUE,"Widnes"}</definedName>
    <definedName name="rwt" hidden="1">{#N/A,#N/A,TRUE,"Cover";#N/A,#N/A,TRUE,"Conts";#N/A,#N/A,TRUE,"VOS";#N/A,#N/A,TRUE,"Warrington";#N/A,#N/A,TRUE,"Widnes"}</definedName>
    <definedName name="rwt_1" localSheetId="1" hidden="1">{#N/A,#N/A,TRUE,"Cover";#N/A,#N/A,TRUE,"Conts";#N/A,#N/A,TRUE,"VOS";#N/A,#N/A,TRUE,"Warrington";#N/A,#N/A,TRUE,"Widnes"}</definedName>
    <definedName name="rwt_1" hidden="1">{#N/A,#N/A,TRUE,"Cover";#N/A,#N/A,TRUE,"Conts";#N/A,#N/A,TRUE,"VOS";#N/A,#N/A,TRUE,"Warrington";#N/A,#N/A,TRUE,"Widnes"}</definedName>
    <definedName name="Rwvu.CapersView." hidden="1">#REF!</definedName>
    <definedName name="Rwvu.Japan_Capers_Ed_Pub." hidden="1">#REF!</definedName>
    <definedName name="Rwvu.KJP_CC." hidden="1">#REF!</definedName>
    <definedName name="rwyet" localSheetId="1">#REF!</definedName>
    <definedName name="rwyet">#REF!</definedName>
    <definedName name="ryad" localSheetId="1" hidden="1">{"'VO'!$P$64:$S$69"}</definedName>
    <definedName name="ryad" hidden="1">{"'VO'!$P$64:$S$69"}</definedName>
    <definedName name="ryeru" localSheetId="1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eru_1" localSheetId="1" hidden="1">{#N/A,#N/A,TRUE,"Cover";#N/A,#N/A,TRUE,"Conts";#N/A,#N/A,TRUE,"VOS";#N/A,#N/A,TRUE,"Warrington";#N/A,#N/A,TRUE,"Widnes"}</definedName>
    <definedName name="ryeru_1" hidden="1">{#N/A,#N/A,TRUE,"Cover";#N/A,#N/A,TRUE,"Conts";#N/A,#N/A,TRUE,"VOS";#N/A,#N/A,TRUE,"Warrington";#N/A,#N/A,TRUE,"Widnes"}</definedName>
    <definedName name="ryjujkg" localSheetId="1" hidden="1">{"'Break down'!$A$4"}</definedName>
    <definedName name="ryjujkg" hidden="1">{"'Break down'!$A$4"}</definedName>
    <definedName name="ryrt" localSheetId="1" hidden="1">{#N/A,#N/A,FALSE,"VARIATIONS";#N/A,#N/A,FALSE,"BUDGET";#N/A,#N/A,FALSE,"CIVIL QNTY VAR";#N/A,#N/A,FALSE,"SUMMARY";#N/A,#N/A,FALSE,"MATERIAL VAR"}</definedName>
    <definedName name="ryrt" hidden="1">{#N/A,#N/A,FALSE,"VARIATIONS";#N/A,#N/A,FALSE,"BUDGET";#N/A,#N/A,FALSE,"CIVIL QNTY VAR";#N/A,#N/A,FALSE,"SUMMARY";#N/A,#N/A,FALSE,"MATERIAL VAR"}</definedName>
    <definedName name="rysrt" localSheetId="1" hidden="1">{#N/A,#N/A,FALSE,"VARIATIONS";#N/A,#N/A,FALSE,"BUDGET";#N/A,#N/A,FALSE,"CIVIL QNTY VAR";#N/A,#N/A,FALSE,"SUMMARY";#N/A,#N/A,FALSE,"MATERIAL VAR"}</definedName>
    <definedName name="rysrt" hidden="1">{#N/A,#N/A,FALSE,"VARIATIONS";#N/A,#N/A,FALSE,"BUDGET";#N/A,#N/A,FALSE,"CIVIL QNTY VAR";#N/A,#N/A,FALSE,"SUMMARY";#N/A,#N/A,FALSE,"MATERIAL VAR"}</definedName>
    <definedName name="rysrtryftry" localSheetId="1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rysrtryftry_1" localSheetId="1" hidden="1">{#N/A,#N/A,TRUE,"Cover";#N/A,#N/A,TRUE,"Conts";#N/A,#N/A,TRUE,"VOS";#N/A,#N/A,TRUE,"Warrington";#N/A,#N/A,TRUE,"Widnes"}</definedName>
    <definedName name="rysrtryftry_1" hidden="1">{#N/A,#N/A,TRUE,"Cover";#N/A,#N/A,TRUE,"Conts";#N/A,#N/A,TRUE,"VOS";#N/A,#N/A,TRUE,"Warrington";#N/A,#N/A,TRUE,"Widnes"}</definedName>
    <definedName name="ryt" localSheetId="1">BlankMacro1</definedName>
    <definedName name="ryt">BlankMacro1</definedName>
    <definedName name="S" localSheetId="1">#REF!</definedName>
    <definedName name="S">#REF!</definedName>
    <definedName name="S_1">#REF!</definedName>
    <definedName name="S_22">#REF!</definedName>
    <definedName name="S_Adjust_Data">#REF!</definedName>
    <definedName name="S_AJE_Tot_Data">#REF!</definedName>
    <definedName name="s_curve">#REF!</definedName>
    <definedName name="S_CY_End_Data" localSheetId="1">#REF!</definedName>
    <definedName name="S_CY_End_Data">#REF!</definedName>
    <definedName name="S_F" localSheetId="1">#REF!</definedName>
    <definedName name="S_F">#REF!</definedName>
    <definedName name="S_PY_End_Data" localSheetId="1">#REF!</definedName>
    <definedName name="S_PY_End_Data">#REF!</definedName>
    <definedName name="S_RJE_Tot_Data">#REF!</definedName>
    <definedName name="S_score">#REF!</definedName>
    <definedName name="S0" localSheetId="1">#REF!</definedName>
    <definedName name="S0">#REF!</definedName>
    <definedName name="s1_">#REF!</definedName>
    <definedName name="s11Area">#REF!</definedName>
    <definedName name="s11Perimeter">#REF!</definedName>
    <definedName name="s1234560">#REF!</definedName>
    <definedName name="s2_">#REF!</definedName>
    <definedName name="Sa">#REF!</definedName>
    <definedName name="saa">#REF!</definedName>
    <definedName name="SAASSASASASA">#N/A</definedName>
    <definedName name="sabi" localSheetId="1">#REF!</definedName>
    <definedName name="sabi">#REF!</definedName>
    <definedName name="SAD" localSheetId="1">#REF!</definedName>
    <definedName name="SAD">#REF!</definedName>
    <definedName name="sadas" localSheetId="1" hidden="1">{"'PRODUCTIONCOST SHEET'!$B$3:$G$48"}</definedName>
    <definedName name="sadas" hidden="1">{"'PRODUCTIONCOST SHEET'!$B$3:$G$48"}</definedName>
    <definedName name="sadasd" localSheetId="1" hidden="1">{"Prelim_Summary",#N/A,FALSE,"Summary"}</definedName>
    <definedName name="sadasd" hidden="1">{"Prelim_Summary",#N/A,FALSE,"Summary"}</definedName>
    <definedName name="sadasdad">#REF!</definedName>
    <definedName name="sadas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da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df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sadf">IF(ISNA(MATCH(ROW(),RowAfterpgbrk,1)),1,MATCH(ROW(),RowAfterpgbrk,1)+1)&lt;&gt;IF(ISNA(MATCH(ROW()-1,RowAfterpgbrk,1)),1,MATCH(ROW()-1,RowAfterpgbrk,1)+1)</definedName>
    <definedName name="SADFSFV">#N/A</definedName>
    <definedName name="sadfss" localSheetId="1" hidden="1">#REF!</definedName>
    <definedName name="sadfss" hidden="1">#REF!</definedName>
    <definedName name="saeed">#REF!</definedName>
    <definedName name="saeed_1">0</definedName>
    <definedName name="saf" localSheetId="1" hidden="1">{#N/A,#N/A,FALSE,"물량산출"}</definedName>
    <definedName name="saf" hidden="1">{#N/A,#N/A,FALSE,"물량산출"}</definedName>
    <definedName name="safasdfsfds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afasdfsfds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afas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a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" localSheetId="1" hidden="1">{#N/A,#N/A,FALSE,"MARCH"}</definedName>
    <definedName name="safd" hidden="1">{#N/A,#N/A,FALSE,"MARCH"}</definedName>
    <definedName name="safdar">#REF!</definedName>
    <definedName name="safdasg" localSheetId="1">#REF!</definedName>
    <definedName name="safdasg">#REF!</definedName>
    <definedName name="safEF" localSheetId="1" hidden="1">{#N/A,#N/A,FALSE,"MARCH"}</definedName>
    <definedName name="safEF" hidden="1">{#N/A,#N/A,FALSE,"MARCH"}</definedName>
    <definedName name="SAFETY_CHART" localSheetId="1">#REF!</definedName>
    <definedName name="SAFETY_CHART">#REF!</definedName>
    <definedName name="Safety_Equipment">#REF!</definedName>
    <definedName name="SAFETY_LTADESC" localSheetId="1">#REF!</definedName>
    <definedName name="SAFETY_LTADESC">#REF!</definedName>
    <definedName name="SAFETY_PRINT">#REF!</definedName>
    <definedName name="SAFETY_STAFFING">#REF!</definedName>
    <definedName name="SAFETY_TITLES">#REF!</definedName>
    <definedName name="SAFETY_UPDATE">#REF!</definedName>
    <definedName name="SAFETY_UPDATE1">#REF!</definedName>
    <definedName name="SAFIR">#REF!</definedName>
    <definedName name="SAFTEY_STATS">#REF!</definedName>
    <definedName name="sagdhag" localSheetId="1" hidden="1">{#N/A,#N/A,FALSE,"COVER1.XLS ";#N/A,#N/A,FALSE,"RACT1.XLS";#N/A,#N/A,FALSE,"RACT2.XLS";#N/A,#N/A,FALSE,"ECCMP";#N/A,#N/A,FALSE,"WELDER.XLS"}</definedName>
    <definedName name="sagdhag" hidden="1">{#N/A,#N/A,FALSE,"COVER1.XLS ";#N/A,#N/A,FALSE,"RACT1.XLS";#N/A,#N/A,FALSE,"RACT2.XLS";#N/A,#N/A,FALSE,"ECCMP";#N/A,#N/A,FALSE,"WELDER.XLS"}</definedName>
    <definedName name="SAHID">#REF!</definedName>
    <definedName name="Saisie" localSheetId="1">#REF!</definedName>
    <definedName name="Saisie">#REF!</definedName>
    <definedName name="saj_1">0</definedName>
    <definedName name="saji2_1">0</definedName>
    <definedName name="SajjadHasan" localSheetId="1">#REF!</definedName>
    <definedName name="SajjadHasan">#REF!</definedName>
    <definedName name="Sakr_Power_Systems_FZE">#REF!</definedName>
    <definedName name="sal">#REF!</definedName>
    <definedName name="Sal_recr">#REF!</definedName>
    <definedName name="Sal.Escal_Korean">#REF!</definedName>
    <definedName name="Sal.Escal_Local.Reg">#REF!</definedName>
    <definedName name="Sal.Escal_Third.N">#REF!</definedName>
    <definedName name="Salaries">#REF!</definedName>
    <definedName name="Salaries_March_2006">#REF!</definedName>
    <definedName name="SALARY">#REF!</definedName>
    <definedName name="Salary_Korean">#REF!</definedName>
    <definedName name="Salary_Local.Reg">#REF!</definedName>
    <definedName name="Salary_Third.N">#REF!</definedName>
    <definedName name="Sales_Per_Manday">#REF!</definedName>
    <definedName name="SalesMgr">#REF!</definedName>
    <definedName name="SalesMgr_4">#REF!</definedName>
    <definedName name="SalesMgr_4_1">#REF!</definedName>
    <definedName name="SalesMgr_6">#REF!</definedName>
    <definedName name="SalesMI">#REF!</definedName>
    <definedName name="saless" localSheetId="1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saless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SalesTax">#REF!</definedName>
    <definedName name="salesvalue">#REF!</definedName>
    <definedName name="SALMIYA" localSheetId="1">#REF!</definedName>
    <definedName name="SALMIYA">#REF!</definedName>
    <definedName name="SALWA" localSheetId="1">#REF!</definedName>
    <definedName name="SALWA">#REF!</definedName>
    <definedName name="sam" localSheetId="1">Scheduled_Payment+Extra_Payment</definedName>
    <definedName name="Sam">#REF!</definedName>
    <definedName name="sam_1">0</definedName>
    <definedName name="SAMEER" localSheetId="1">#REF!</definedName>
    <definedName name="SAMEER">#REF!</definedName>
    <definedName name="Sameet">#REF!</definedName>
    <definedName name="sample">#REF!</definedName>
    <definedName name="sampp">#N/A</definedName>
    <definedName name="samsher" localSheetId="1">#REF!</definedName>
    <definedName name="samsher">#REF!</definedName>
    <definedName name="SAN" localSheetId="1">#REF!</definedName>
    <definedName name="SAN">#REF!</definedName>
    <definedName name="sand">#REF!</definedName>
    <definedName name="sand_p" localSheetId="1">#REF!</definedName>
    <definedName name="sand_p">#REF!</definedName>
    <definedName name="sand_t" localSheetId="1">#REF!</definedName>
    <definedName name="sand_t">#REF!</definedName>
    <definedName name="sandstones" localSheetId="1">#REF!</definedName>
    <definedName name="sandstones">#REF!</definedName>
    <definedName name="sang" localSheetId="1" hidden="1">{"'Break down'!$A$4"}</definedName>
    <definedName name="sang" hidden="1">{"'Break down'!$A$4"}</definedName>
    <definedName name="SANITARY">#REF!</definedName>
    <definedName name="SANITARY__APPLIANCES">#REF!</definedName>
    <definedName name="Sanitary_Fittings">#REF!</definedName>
    <definedName name="Sanitary_Fixtures">#REF!</definedName>
    <definedName name="Sanitary_Plumbing">#REF!</definedName>
    <definedName name="Sanitary_works" localSheetId="1">#REF!</definedName>
    <definedName name="Sanitary_works">#REF!</definedName>
    <definedName name="SanitaryBasic" localSheetId="1">#REF!</definedName>
    <definedName name="SanitaryBasic">#REF!</definedName>
    <definedName name="SANJANA" localSheetId="1">#REF!</definedName>
    <definedName name="SANJANA">#REF!</definedName>
    <definedName name="SanjanaRahi">#REF!</definedName>
    <definedName name="sanjay">#REF!</definedName>
    <definedName name="Sanjay123">#REF!</definedName>
    <definedName name="sanjeewa">#REF!</definedName>
    <definedName name="Sanjs" localSheetId="1">#REF!</definedName>
    <definedName name="Sanjs">#REF!</definedName>
    <definedName name="sanju" localSheetId="1" hidden="1">{"office ltcg",#N/A,FALSE,"gain01";"IT LTCG",#N/A,FALSE,"gain01"}</definedName>
    <definedName name="sanju" hidden="1">{"office ltcg",#N/A,FALSE,"gain01";"IT LTCG",#N/A,FALSE,"gain01"}</definedName>
    <definedName name="Santosh">#REF!</definedName>
    <definedName name="SAPBEXdnldView">"4NO8OG745ONJO043DL90TZ7CV"</definedName>
    <definedName name="SAPBEXhrIndnt" hidden="1">"Wide"</definedName>
    <definedName name="SAPBEXrevision" hidden="1">3</definedName>
    <definedName name="SAPBEXsysID" hidden="1">"B01"</definedName>
    <definedName name="SAPBEXwbID" hidden="1">"1OKLBDAAGJ3NPBUSNNGRFDKQH"</definedName>
    <definedName name="SAPsysID" hidden="1">"708C5W7SBKP804JT78WJ0JNKI"</definedName>
    <definedName name="SAPwbID" hidden="1">"ARS"</definedName>
    <definedName name="SAQEENA">#REF!</definedName>
    <definedName name="SAR" localSheetId="1">#REF!</definedName>
    <definedName name="SAR">#REF!</definedName>
    <definedName name="sarea1">#REF!</definedName>
    <definedName name="SAS">#REF!</definedName>
    <definedName name="sasa" localSheetId="1" hidden="1">{#N/A,#N/A,FALSE,"MARCH"}</definedName>
    <definedName name="sasa" hidden="1">{#N/A,#N/A,FALSE,"MARCH"}</definedName>
    <definedName name="sasasas">#N/A</definedName>
    <definedName name="SASDASD">#REF!</definedName>
    <definedName name="SASWW">#N/A</definedName>
    <definedName name="sa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ucomd">#REF!</definedName>
    <definedName name="saucstf" localSheetId="1">#REF!</definedName>
    <definedName name="saucstf">#REF!</definedName>
    <definedName name="saud" localSheetId="1">#REF!</definedName>
    <definedName name="saud">#REF!</definedName>
    <definedName name="saud_4">#REF!</definedName>
    <definedName name="saud_4_1">#REF!</definedName>
    <definedName name="saud_6">#REF!</definedName>
    <definedName name="saudirf">#REF!</definedName>
    <definedName name="sauf">#REF!</definedName>
    <definedName name="sauf_4">#REF!</definedName>
    <definedName name="sauf_4_1">#REF!</definedName>
    <definedName name="sauf_6">#REF!</definedName>
    <definedName name="sauif">#REF!</definedName>
    <definedName name="sauif_4">#REF!</definedName>
    <definedName name="sauif_4_1">#REF!</definedName>
    <definedName name="sauif_6">#REF!</definedName>
    <definedName name="sauspad">#REF!</definedName>
    <definedName name="sausysd">#REF!</definedName>
    <definedName name="SAVE">#REF!</definedName>
    <definedName name="Saving_Boat_Tennis">#REF!</definedName>
    <definedName name="SAW" localSheetId="1">[1]!CUSTOM1_2_bed_fridge_freezer+Extra_Payment</definedName>
    <definedName name="SAW">Scheduled_Payment+Extra_Payment</definedName>
    <definedName name="sawcut">#REF!</definedName>
    <definedName name="sawing" localSheetId="1">#REF!</definedName>
    <definedName name="sawing">#REF!</definedName>
    <definedName name="sb" localSheetId="1">#REF!</definedName>
    <definedName name="sb">#REF!</definedName>
    <definedName name="SBBC" localSheetId="1">#REF!</definedName>
    <definedName name="SBBC">#REF!</definedName>
    <definedName name="SBM">#REF!</definedName>
    <definedName name="sc" localSheetId="1">#REF!</definedName>
    <definedName name="sc">#REF!</definedName>
    <definedName name="sc_1">0</definedName>
    <definedName name="SC_HW_BGP">#REF!</definedName>
    <definedName name="SC_HW_FAC">#REF!</definedName>
    <definedName name="SC_HW_MOC">#REF!</definedName>
    <definedName name="SC_HW_Sales">#REF!</definedName>
    <definedName name="SC_HW_SGP">#REF!</definedName>
    <definedName name="SC_MAT_EQUIP">#REF!</definedName>
    <definedName name="SC_Sales" localSheetId="1">#REF!</definedName>
    <definedName name="SC_Sales">#REF!</definedName>
    <definedName name="SC_SW_BGP" localSheetId="1">#REF!</definedName>
    <definedName name="SC_SW_BGP">#REF!</definedName>
    <definedName name="SC_SW_FAC" localSheetId="1">#REF!</definedName>
    <definedName name="SC_SW_FAC">#REF!</definedName>
    <definedName name="SC_SW_MOC">#REF!</definedName>
    <definedName name="SC_SW_Sales">#REF!</definedName>
    <definedName name="SC_SW_SGP">#REF!</definedName>
    <definedName name="SCAF" localSheetId="1" hidden="1">{"'Break down'!$A$4"}</definedName>
    <definedName name="SCAF" hidden="1">{"'Break down'!$A$4"}</definedName>
    <definedName name="SCAFF">#REF!</definedName>
    <definedName name="Scaffolding" localSheetId="1">{"'Break down'!$A$4"}</definedName>
    <definedName name="Scaffolding">{"'Break down'!$A$4"}</definedName>
    <definedName name="Scaffolding_1" localSheetId="1">{"'Break down'!$A$4"}</definedName>
    <definedName name="Scaffolding_1">{"'Break down'!$A$4"}</definedName>
    <definedName name="SCAFFOLDPR">#REF!</definedName>
    <definedName name="SCAFFOLDRATE">#REF!</definedName>
    <definedName name="SCAFOLD35PR">#REF!</definedName>
    <definedName name="SCAFOLD35RATE">#REF!</definedName>
    <definedName name="SCAFOLD45PR">#REF!</definedName>
    <definedName name="SCAFOLD45RATE">#REF!</definedName>
    <definedName name="SCAFOLD55PR">#REF!</definedName>
    <definedName name="SCAFOLD55RATE">#REF!</definedName>
    <definedName name="SCALE_UP">#REF!</definedName>
    <definedName name="scarce" localSheetId="1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rce_1" localSheetId="1" hidden="1">{#N/A,#N/A,FALSE,"Summary";#N/A,#N/A,FALSE,"3TJ";#N/A,#N/A,FALSE,"3TN";#N/A,#N/A,FALSE,"3TP";#N/A,#N/A,FALSE,"3SJ";#N/A,#N/A,FALSE,"3CJ";#N/A,#N/A,FALSE,"3CN";#N/A,#N/A,FALSE,"3CP";#N/A,#N/A,FALSE,"3A"}</definedName>
    <definedName name="scarce_1" hidden="1">{#N/A,#N/A,FALSE,"Summary";#N/A,#N/A,FALSE,"3TJ";#N/A,#N/A,FALSE,"3TN";#N/A,#N/A,FALSE,"3TP";#N/A,#N/A,FALSE,"3SJ";#N/A,#N/A,FALSE,"3CJ";#N/A,#N/A,FALSE,"3CN";#N/A,#N/A,FALSE,"3CP";#N/A,#N/A,FALSE,"3A"}</definedName>
    <definedName name="SCARIFY">#REF!</definedName>
    <definedName name="SCC" localSheetId="1">#REF!</definedName>
    <definedName name="SCC">#REF!</definedName>
    <definedName name="SCD" localSheetId="1">#REF!</definedName>
    <definedName name="SCD">#REF!</definedName>
    <definedName name="SCE" localSheetId="1">#REF!</definedName>
    <definedName name="SCE">#REF!</definedName>
    <definedName name="SCED">#REF!</definedName>
    <definedName name="scenari">#REF!</definedName>
    <definedName name="SCH">#REF!</definedName>
    <definedName name="SCHED">#REF!</definedName>
    <definedName name="Sched_B">#REF!</definedName>
    <definedName name="Sched_C">#REF!</definedName>
    <definedName name="Sched_Pay" localSheetId="1">#REF!</definedName>
    <definedName name="Sched_Pay">#REF!</definedName>
    <definedName name="SCHEDA">#REF!</definedName>
    <definedName name="schedule">#REF!</definedName>
    <definedName name="SCHEDULE_ALL" localSheetId="1">#REF!</definedName>
    <definedName name="SCHEDULE_ALL">#REF!</definedName>
    <definedName name="schedule.nos" hidden="1">#REF!</definedName>
    <definedName name="ScheduleA" localSheetId="1">#REF!</definedName>
    <definedName name="ScheduleA">#REF!</definedName>
    <definedName name="ScheduleC" localSheetId="1">#REF!</definedName>
    <definedName name="ScheduleC">#REF!</definedName>
    <definedName name="Scheduled_Extra_Payments">#REF!</definedName>
    <definedName name="Scheduled_Interest_Rate">#REF!</definedName>
    <definedName name="Scheduled_Monthly_Payment">#REF!</definedName>
    <definedName name="ScheduleE">#REF!</definedName>
    <definedName name="ScheduleF">#REF!</definedName>
    <definedName name="ScheduleG">#REF!</definedName>
    <definedName name="schedulenr">#REF!</definedName>
    <definedName name="Schedules">#REF!</definedName>
    <definedName name="Scheme1" localSheetId="1">#N/A</definedName>
    <definedName name="Scheme1">#REF!</definedName>
    <definedName name="Scheme2" localSheetId="1">#N/A</definedName>
    <definedName name="Scheme2">#REF!</definedName>
    <definedName name="schemeA" localSheetId="1">#REF!</definedName>
    <definedName name="schemeA">#REF!</definedName>
    <definedName name="schemeB" localSheetId="1">#REF!</definedName>
    <definedName name="schemeB">#REF!</definedName>
    <definedName name="schemeC" localSheetId="1">#REF!</definedName>
    <definedName name="schemeC">#REF!</definedName>
    <definedName name="Schindler_Pars_International_Ltd.">#REF!</definedName>
    <definedName name="schools">#REF!</definedName>
    <definedName name="SCHrs">#N/A</definedName>
    <definedName name="SCHrs1">#N/A</definedName>
    <definedName name="scname1">#REF!</definedName>
    <definedName name="scname10">#REF!</definedName>
    <definedName name="scname11">#REF!</definedName>
    <definedName name="scname12">#REF!</definedName>
    <definedName name="scname13">#REF!</definedName>
    <definedName name="scname14">#REF!</definedName>
    <definedName name="scname15">#REF!</definedName>
    <definedName name="scname2">#REF!</definedName>
    <definedName name="scname3">#REF!</definedName>
    <definedName name="scname4">#REF!</definedName>
    <definedName name="scname5">#REF!</definedName>
    <definedName name="scname6">#REF!</definedName>
    <definedName name="scname7">#REF!</definedName>
    <definedName name="scname8">#REF!</definedName>
    <definedName name="scname9">#REF!</definedName>
    <definedName name="scol" localSheetId="1">#REF!</definedName>
    <definedName name="scol">#REF!</definedName>
    <definedName name="SCONTO02" localSheetId="1">#REF!</definedName>
    <definedName name="SCONTO02">#REF!</definedName>
    <definedName name="SCONTO03" localSheetId="1">#REF!</definedName>
    <definedName name="SCONTO03">#REF!</definedName>
    <definedName name="SCONTO12003">#REF!</definedName>
    <definedName name="SCONTO2003">#REF!</definedName>
    <definedName name="score">#REF!</definedName>
    <definedName name="SCORE_START">#REF!</definedName>
    <definedName name="score_this_period">#REF!</definedName>
    <definedName name="SCPP_HK">#REF!</definedName>
    <definedName name="SCREE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_1" localSheetId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_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1">#REF!</definedName>
    <definedName name="SCREEN" localSheetId="1">#REF!</definedName>
    <definedName name="SCREEN">#REF!</definedName>
    <definedName name="SCS" localSheetId="1">#REF!</definedName>
    <definedName name="SCS">#REF!</definedName>
    <definedName name="SCSS" localSheetId="1">#REF!</definedName>
    <definedName name="SCSS">#REF!</definedName>
    <definedName name="SculptingMethod">#REF!</definedName>
    <definedName name="SCURVE" localSheetId="1" hidden="1">#REF!</definedName>
    <definedName name="SCURVE" hidden="1">#REF!</definedName>
    <definedName name="SCurveListOffset" localSheetId="1">#N/A</definedName>
    <definedName name="SCurveListOffset">IF(IsLite,OFFSET(#REF!,0,0,3,1),#REF!)</definedName>
    <definedName name="scx" localSheetId="1">{"'Break down'!$A$4"}</definedName>
    <definedName name="scx">{"'Break down'!$A$4"}</definedName>
    <definedName name="scx_1" localSheetId="1">{"'Break down'!$A$4"}</definedName>
    <definedName name="scx_1">{"'Break down'!$A$4"}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Fee">#REF!</definedName>
    <definedName name="sd_ven">#REF!</definedName>
    <definedName name="SDA" localSheetId="1">[1]!CUSTOM1_2_bed_fridge_freezer+Extra_Payment</definedName>
    <definedName name="SDA">Scheduled_Payment+Extra_Payment</definedName>
    <definedName name="SDADASASA">#N/A</definedName>
    <definedName name="sdafa">#REF!</definedName>
    <definedName name="sdafds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sd">#REF!</definedName>
    <definedName name="sdassdad" localSheetId="1">#REF!</definedName>
    <definedName name="sdassdad">#REF!</definedName>
    <definedName name="Sdate">#REF!</definedName>
    <definedName name="SDB">#REF!</definedName>
    <definedName name="SDB3.">#REF!</definedName>
    <definedName name="SDB4.">#REF!</definedName>
    <definedName name="SDB5.">#REF!</definedName>
    <definedName name="SDB7.">#REF!</definedName>
    <definedName name="sdc" localSheetId="1">"Page "&amp;IF(ISNA(MATCH(ROW(),[1]!COUNT_TH2_V2__units_1___Type_D_04__900_x_2200mm_high,1)),1,MATCH(ROW(),[1]!COUNT_TH2_V2__units_1___Type_D_04__900_x_2200mm_high,1)+1)&amp;" of " &amp; [1]!CUSTOM1_Shops__GF_ + 0*NOW()</definedName>
    <definedName name="sdc">"Page "&amp;IF(ISNA(MATCH(ROW(),RowAfterpgbrk,1)),1,MATCH(ROW(),RowAfterpgbrk,1)+1)&amp;" of " &amp; TotPageCount + 0*NOW()</definedName>
    <definedName name="sdce" localSheetId="1">IF(ISNA(MATCH(ROW(),[1]!COUNT_TH2_V2__units_1___Type_D_04__900_x_2200mm_high,1)),1,MATCH(ROW(),[1]!COUNT_TH2_V2__units_1___Type_D_04__900_x_2200mm_high,1)+1)</definedName>
    <definedName name="sdce">IF(ISNA(MATCH(ROW(),RowAfterpgbrk,1)),1,MATCH(ROW(),RowAfterpgbrk,1)+1)</definedName>
    <definedName name="SD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DDSDSDSDSSD">#N/A</definedName>
    <definedName name="sddff455">#REF!</definedName>
    <definedName name="sddsd" localSheetId="1">{"'Break down'!$A$4"}</definedName>
    <definedName name="sddsd">{"'Break down'!$A$4"}</definedName>
    <definedName name="sddsd_1" localSheetId="1">{"'Break down'!$A$4"}</definedName>
    <definedName name="sddsd_1">{"'Break down'!$A$4"}</definedName>
    <definedName name="sddssd">#N/A</definedName>
    <definedName name="SDE">#N/A</definedName>
    <definedName name="sdefegdeg" localSheetId="1" hidden="1">{#N/A,#N/A,TRUE,"Cover";#N/A,#N/A,TRUE,"Conts";#N/A,#N/A,TRUE,"VOS";#N/A,#N/A,TRUE,"Warrington";#N/A,#N/A,TRUE,"Widnes"}</definedName>
    <definedName name="sdefegdeg" hidden="1">{#N/A,#N/A,TRUE,"Cover";#N/A,#N/A,TRUE,"Conts";#N/A,#N/A,TRUE,"VOS";#N/A,#N/A,TRUE,"Warrington";#N/A,#N/A,TRUE,"Widnes"}</definedName>
    <definedName name="sdefegdeg_1" localSheetId="1" hidden="1">{#N/A,#N/A,TRUE,"Cover";#N/A,#N/A,TRUE,"Conts";#N/A,#N/A,TRUE,"VOS";#N/A,#N/A,TRUE,"Warrington";#N/A,#N/A,TRUE,"Widnes"}</definedName>
    <definedName name="sdefegdeg_1" hidden="1">{#N/A,#N/A,TRUE,"Cover";#N/A,#N/A,TRUE,"Conts";#N/A,#N/A,TRUE,"VOS";#N/A,#N/A,TRUE,"Warrington";#N/A,#N/A,TRUE,"Widnes"}</definedName>
    <definedName name="sdf" localSheetId="1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f_1" localSheetId="1" hidden="1">{#N/A,#N/A,TRUE,"Cover";#N/A,#N/A,TRUE,"Conts";#N/A,#N/A,TRUE,"VOS";#N/A,#N/A,TRUE,"Warrington";#N/A,#N/A,TRUE,"Widnes"}</definedName>
    <definedName name="sdf_1" hidden="1">{#N/A,#N/A,TRUE,"Cover";#N/A,#N/A,TRUE,"Conts";#N/A,#N/A,TRUE,"VOS";#N/A,#N/A,TRUE,"Warrington";#N/A,#N/A,TRUE,"Widnes"}</definedName>
    <definedName name="sdfa" localSheetId="1" hidden="1">{#N/A,#N/A,FALSE,"Header P";#N/A,#N/A,FALSE,"Summary";#N/A,#N/A,FALSE,"CONTRACT WORKS";#N/A,#N/A,FALSE,"Variations";#N/A,#N/A,FALSE,"Dwk"}</definedName>
    <definedName name="sdfa" hidden="1">{#N/A,#N/A,FALSE,"Header P";#N/A,#N/A,FALSE,"Summary";#N/A,#N/A,FALSE,"CONTRACT WORKS";#N/A,#N/A,FALSE,"Variations";#N/A,#N/A,FALSE,"Dwk"}</definedName>
    <definedName name="sdfasdf" localSheetId="1" hidden="1">{#N/A,#N/A,FALSE,"J-cladding";#N/A,#N/A,FALSE,"L-DT-Cladding";#N/A,#N/A,FALSE,"L-DF-Cladding";#N/A,#N/A,FALSE,"P-Cladding";#N/A,#N/A,FALSE,"N-Cladding";#N/A,#N/A,FALSE,"O-Cladding";#N/A,#N/A,FALSE,"G-Cladding"}</definedName>
    <definedName name="sdfasdf" hidden="1">{#N/A,#N/A,FALSE,"J-cladding";#N/A,#N/A,FALSE,"L-DT-Cladding";#N/A,#N/A,FALSE,"L-DF-Cladding";#N/A,#N/A,FALSE,"P-Cladding";#N/A,#N/A,FALSE,"N-Cladding";#N/A,#N/A,FALSE,"O-Cladding";#N/A,#N/A,FALSE,"G-Cladding"}</definedName>
    <definedName name="sdfbhsf" localSheetId="1" hidden="1">{"year1",#N/A,FALSE,"IZT";"year2",#N/A,FALSE,"IZT"}</definedName>
    <definedName name="sdfbhsf" hidden="1">{"year1",#N/A,FALSE,"IZT";"year2",#N/A,FALSE,"IZT"}</definedName>
    <definedName name="SDFD" localSheetId="1">[1]!CUSTOM1_2_bed_fridge_freezer+Extra_Payment</definedName>
    <definedName name="SDFD">Scheduled_Payment+Extra_Payment</definedName>
    <definedName name="sdfd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GD" localSheetId="1">[1]!CUSTOM1_2_bed_fridge_freezer+Extra_Payment</definedName>
    <definedName name="SDFDSGD">Scheduled_Payment+Extra_Payment</definedName>
    <definedName name="SDFE" localSheetId="1" hidden="1">{#N/A,#N/A,FALSE,"CAM-G7";#N/A,#N/A,FALSE,"SPL";#N/A,#N/A,FALSE,"butt-in G7";#N/A,#N/A,FALSE,"dia-in G7";#N/A,#N/A,FALSE,"추가-STA G7"}</definedName>
    <definedName name="SDFE" hidden="1">{#N/A,#N/A,FALSE,"CAM-G7";#N/A,#N/A,FALSE,"SPL";#N/A,#N/A,FALSE,"butt-in G7";#N/A,#N/A,FALSE,"dia-in G7";#N/A,#N/A,FALSE,"추가-STA G7"}</definedName>
    <definedName name="SDFF" localSheetId="1" hidden="1">{#N/A,#N/A,TRUE,"Cover";#N/A,#N/A,TRUE,"Conts";#N/A,#N/A,TRUE,"VOS";#N/A,#N/A,TRUE,"Warrington";#N/A,#N/A,TRUE,"Widnes"}</definedName>
    <definedName name="SDFF" hidden="1">{#N/A,#N/A,TRUE,"Cover";#N/A,#N/A,TRUE,"Conts";#N/A,#N/A,TRUE,"VOS";#N/A,#N/A,TRUE,"Warrington";#N/A,#N/A,TRUE,"Widnes"}</definedName>
    <definedName name="sdffggg">#REF!</definedName>
    <definedName name="sdfg" localSheetId="1">"Page "&amp;IF(ISNA(MATCH(ROW(),[1]!COUNT_TH2_V2__units_1___Type_D_04__900_x_2200mm_high,1)),1,MATCH(ROW(),[1]!COUNT_TH2_V2__units_1___Type_D_04__900_x_2200mm_high,1)+1)&amp;" of " &amp; [1]!CUSTOM1_Shops__GF_ + 0*NOW()</definedName>
    <definedName name="sdfg">"Page "&amp;IF(ISNA(MATCH(ROW(),RowAfterpgbrk,1)),1,MATCH(ROW(),RowAfterpgbrk,1)+1)&amp;" of " &amp; TotPageCount + 0*NOW()</definedName>
    <definedName name="Sdfgh">#REF!</definedName>
    <definedName name="SDFGRHF">#N/A</definedName>
    <definedName name="sdfgsdsdsdf" localSheetId="1">#REF!</definedName>
    <definedName name="sdfgsdsdsdf">#REF!</definedName>
    <definedName name="SDFGTH" localSheetId="1" hidden="1">{#N/A,#N/A,TRUE,"Cover";#N/A,#N/A,TRUE,"Conts";#N/A,#N/A,TRUE,"VOS";#N/A,#N/A,TRUE,"Warrington";#N/A,#N/A,TRUE,"Widnes"}</definedName>
    <definedName name="SDFGTH" hidden="1">{#N/A,#N/A,TRUE,"Cover";#N/A,#N/A,TRUE,"Conts";#N/A,#N/A,TRUE,"VOS";#N/A,#N/A,TRUE,"Warrington";#N/A,#N/A,TRUE,"Widnes"}</definedName>
    <definedName name="SDFGVDSGVSD">#N/A</definedName>
    <definedName name="sdfjg" hidden="1">#REF!</definedName>
    <definedName name="SDFOD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O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RTG" localSheetId="1" hidden="1">{#N/A,#N/A,TRUE,"Cover";#N/A,#N/A,TRUE,"Conts";#N/A,#N/A,TRUE,"VOS";#N/A,#N/A,TRUE,"Warrington";#N/A,#N/A,TRUE,"Widnes"}</definedName>
    <definedName name="SDFRTG" hidden="1">{#N/A,#N/A,TRUE,"Cover";#N/A,#N/A,TRUE,"Conts";#N/A,#N/A,TRUE,"VOS";#N/A,#N/A,TRUE,"Warrington";#N/A,#N/A,TRUE,"Widnes"}</definedName>
    <definedName name="sdfsaf" localSheetId="1" hidden="1">{#N/A,#N/A,FALSE,"Header P";#N/A,#N/A,FALSE,"Summary";#N/A,#N/A,FALSE,"CONTRACT WORKS";#N/A,#N/A,FALSE,"Variations";#N/A,#N/A,FALSE,"Dwk"}</definedName>
    <definedName name="sdfsaf" hidden="1">{#N/A,#N/A,FALSE,"Header P";#N/A,#N/A,FALSE,"Summary";#N/A,#N/A,FALSE,"CONTRACT WORKS";#N/A,#N/A,FALSE,"Variations";#N/A,#N/A,FALSE,"Dwk"}</definedName>
    <definedName name="sdfs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f">#REF!</definedName>
    <definedName name="sdfsfs" localSheetId="1">[1]!CUSTOM1_2_bed_fridge_freezer+Extra_Payment</definedName>
    <definedName name="sdfsfs">Scheduled_Payment+Extra_Payment</definedName>
    <definedName name="sdfsfsf" localSheetId="1">#REF!</definedName>
    <definedName name="sdfsfsf">#REF!</definedName>
    <definedName name="SDFSSDAA">#N/A</definedName>
    <definedName name="sdftg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tg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VAWERF">#N/A</definedName>
    <definedName name="sdfw" localSheetId="1">"Page "&amp;IF(ISNA(MATCH(ROW(),[1]!COUNT_TH2_V2__units_1___Type_D_04__900_x_2200mm_high,1)),1,MATCH(ROW(),[1]!COUNT_TH2_V2__units_1___Type_D_04__900_x_2200mm_high,1)+1)&amp;" of " &amp; [1]!CUSTOM1_Shops__GF_ + 0*NOW()</definedName>
    <definedName name="sdfw">"Page "&amp;IF(ISNA(MATCH(ROW(),RowAfterpgbrk,1)),1,MATCH(ROW(),RowAfterpgbrk,1)+1)&amp;" of " &amp; TotPageCount + 0*NOW()</definedName>
    <definedName name="SDFWTRERRT">#N/A</definedName>
    <definedName name="sdg" hidden="1">#REF!</definedName>
    <definedName name="sdgdf" localSheetId="1" hidden="1">{#N/A,#N/A,FALSE,"估價單  (3)"}</definedName>
    <definedName name="sdgdf" hidden="1">{#N/A,#N/A,FALSE,"估價單  (3)"}</definedName>
    <definedName name="SDGF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SDGF">IF(ISNA(MATCH(ROW(),RowAfterpgbrk,1)),1,MATCH(ROW(),RowAfterpgbrk,1)+1)&lt;&gt;IF(ISNA(MATCH(ROW()-1,RowAfterpgbrk,1)),1,MATCH(ROW()-1,RowAfterpgbrk,1)+1)</definedName>
    <definedName name="sdgfdg" localSheetId="1" hidden="1">{"'Sheet1'!$L$16"}</definedName>
    <definedName name="sdgfdg" hidden="1">{"'Sheet1'!$L$16"}</definedName>
    <definedName name="sdghkcd">#REF!</definedName>
    <definedName name="sdgsdht">#REF!</definedName>
    <definedName name="sdgsdsdf">#REF!</definedName>
    <definedName name="sdhydfyftuu" localSheetId="1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dhydfyftuu_1" localSheetId="1" hidden="1">{#N/A,#N/A,TRUE,"Cover";#N/A,#N/A,TRUE,"Conts";#N/A,#N/A,TRUE,"VOS";#N/A,#N/A,TRUE,"Warrington";#N/A,#N/A,TRUE,"Widnes"}</definedName>
    <definedName name="sdhydfyftuu_1" hidden="1">{#N/A,#N/A,TRUE,"Cover";#N/A,#N/A,TRUE,"Conts";#N/A,#N/A,TRUE,"VOS";#N/A,#N/A,TRUE,"Warrington";#N/A,#N/A,TRUE,"Widnes"}</definedName>
    <definedName name="sdlam1">#REF!</definedName>
    <definedName name="sdpl" localSheetId="1">#REF!</definedName>
    <definedName name="sdpl">#REF!</definedName>
    <definedName name="SDPLBS" localSheetId="1">#REF!</definedName>
    <definedName name="SDPLBS">#REF!</definedName>
    <definedName name="SDPLFA" localSheetId="1">#REF!</definedName>
    <definedName name="SDPLFA">#REF!</definedName>
    <definedName name="SDPLPL">#REF!</definedName>
    <definedName name="sdrdff" localSheetId="1" hidden="1">{#N/A,#N/A,FALSE,"MARCH"}</definedName>
    <definedName name="sdrdff" hidden="1">{#N/A,#N/A,FALSE,"MARCH"}</definedName>
    <definedName name="sds" localSheetId="1">#REF!</definedName>
    <definedName name="sds">#REF!</definedName>
    <definedName name="sds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d">#REF!</definedName>
    <definedName name="sdsdf" localSheetId="1" hidden="1">{#N/A,#N/A,FALSE,"MARCH"}</definedName>
    <definedName name="sdsdf" hidden="1">{#N/A,#N/A,FALSE,"MARCH"}</definedName>
    <definedName name="sdsds" hidden="1">#REF!</definedName>
    <definedName name="sdsdsds">#N/A</definedName>
    <definedName name="SDSDSDSD">#N/A</definedName>
    <definedName name="SDSDSDSDS">#N/A</definedName>
    <definedName name="sdsdsdsdsdsdsss">#N/A</definedName>
    <definedName name="SDSS">#N/A</definedName>
    <definedName name="sdv.test.3" localSheetId="1" hidden="1">{#N/A,#N/A,FALSE,"Calculator"}</definedName>
    <definedName name="sdv.test.3" hidden="1">{#N/A,#N/A,FALSE,"Calculator"}</definedName>
    <definedName name="sdven1">#REF!</definedName>
    <definedName name="SDW" localSheetId="1">#REF!</definedName>
    <definedName name="SDW">#REF!</definedName>
    <definedName name="SDX">#N/A</definedName>
    <definedName name="sdxc" localSheetId="1" hidden="1">{#N/A,#N/A,TRUE,"Cover";#N/A,#N/A,TRUE,"Conts";#N/A,#N/A,TRUE,"VOS";#N/A,#N/A,TRUE,"Warrington";#N/A,#N/A,TRUE,"Widnes"}</definedName>
    <definedName name="sdxc" hidden="1">{#N/A,#N/A,TRUE,"Cover";#N/A,#N/A,TRUE,"Conts";#N/A,#N/A,TRUE,"VOS";#N/A,#N/A,TRUE,"Warrington";#N/A,#N/A,TRUE,"Widnes"}</definedName>
    <definedName name="SE" localSheetId="1">#REF!</definedName>
    <definedName name="SE">#REF!</definedName>
    <definedName name="Sea" localSheetId="1">#REF!</definedName>
    <definedName name="Sea">#REF!</definedName>
    <definedName name="sealant">#REF!</definedName>
    <definedName name="SEAT" localSheetId="1">#REF!</definedName>
    <definedName name="SEAT">#REF!</definedName>
    <definedName name="SEC" localSheetId="1">#REF!</definedName>
    <definedName name="SEC">#REF!</definedName>
    <definedName name="SEC___0">#REF!</definedName>
    <definedName name="SEC___0___0">"$#REF!.$#REF!$#REF!:$#REF!$#REF!"</definedName>
    <definedName name="SEC___0___3">"$#REF!.$#REF!$#REF!:$#REF!$#REF!"</definedName>
    <definedName name="SEC___0___4">"$#REF!.$#REF!$#REF!:$#REF!$#REF!"</definedName>
    <definedName name="SEC___2">#REF!</definedName>
    <definedName name="SEC___2___0">"$#REF!.$#REF!$#REF!:$#REF!$#REF!"</definedName>
    <definedName name="SEC___2___3">"$#REF!.$#REF!$#REF!:$#REF!$#REF!"</definedName>
    <definedName name="SEC___3">#REF!</definedName>
    <definedName name="SEC___3___0">"$#REF!.$#REF!$#REF!:$#REF!$#REF!"</definedName>
    <definedName name="SEC___3___3">"$#REF!.$#REF!$#REF!:$#REF!$#REF!"</definedName>
    <definedName name="SEC___3___4">"$#REF!.$#REF!$#REF!:$#REF!$#REF!"</definedName>
    <definedName name="SEC___4">#REF!</definedName>
    <definedName name="SEC___4___0">"$#REF!.$#REF!$#REF!:$#REF!$#REF!"</definedName>
    <definedName name="SEC___4___3">"$#REF!.$#REF!$#REF!:$#REF!$#REF!"</definedName>
    <definedName name="SEC___7">"$#REF!.$#REF!$#REF!:$#REF!$#REF!"</definedName>
    <definedName name="Sec_A_Balustrades">#REF!</definedName>
    <definedName name="Sec_A_BS_Balustrades" localSheetId="1">#REF!</definedName>
    <definedName name="Sec_A_BS_Balustrades">#REF!</definedName>
    <definedName name="Sec_A_BS_BWIC" localSheetId="1">#REF!</definedName>
    <definedName name="Sec_A_BS_BWIC">#REF!</definedName>
    <definedName name="Sec_A_BS_Ceiling_Finishes">#REF!</definedName>
    <definedName name="Sec_A_BS_Ext_Doors_Windows">#REF!</definedName>
    <definedName name="Sec_A_BS_Ext_Wall_Finishes">#REF!</definedName>
    <definedName name="Sec_A_BS_External_Walls">#REF!</definedName>
    <definedName name="Sec_A_BS_Fittings">#REF!</definedName>
    <definedName name="Sec_A_BS_Floor_Finishes">#REF!</definedName>
    <definedName name="Sec_A_BS_Floors">#REF!</definedName>
    <definedName name="Sec_A_BS_Frame">#REF!</definedName>
    <definedName name="Sec_A_BS_Int_Wall_Finishes">#REF!</definedName>
    <definedName name="Sec_A_BS_Internal_Doors">#REF!</definedName>
    <definedName name="Sec_A_BS_Internal_Walls">#REF!</definedName>
    <definedName name="Sec_A_BS_Landscaping">#REF!</definedName>
    <definedName name="Sec_A_BS_Lifts">#REF!</definedName>
    <definedName name="Sec_A_BS_Painting">#REF!</definedName>
    <definedName name="Sec_A_BS_Prep_Site">#REF!</definedName>
    <definedName name="Sec_A_BS_Rainwater_Disp">#REF!</definedName>
    <definedName name="Sec_A_BS_Roads">#REF!</definedName>
    <definedName name="Sec_A_BS_Roof_Coverings">#REF!</definedName>
    <definedName name="Sec_A_BS_Roof_Glz">#REF!</definedName>
    <definedName name="Sec_A_BS_Roofs">#REF!</definedName>
    <definedName name="Sec_A_BS_San_Fittings">#REF!</definedName>
    <definedName name="Sec_A_BS_San_Plumbing">#REF!</definedName>
    <definedName name="Sec_A_BS_Services_Electrical">#REF!</definedName>
    <definedName name="Sec_A_BS_Services_Piped_and_Ducted">#REF!</definedName>
    <definedName name="Sec_A_BS_Site_Elec">#REF!</definedName>
    <definedName name="Sec_A_BS_Site_Enclosure">#REF!</definedName>
    <definedName name="sec_A_BS_Site_Fittings">#REF!</definedName>
    <definedName name="Sec_A_BS_Site_Mech">#REF!</definedName>
    <definedName name="Sec_A_BS_Site_Struc">#REF!</definedName>
    <definedName name="Sec_A_BS_Stairs">#REF!</definedName>
    <definedName name="Sec_A_BS_Substructure">#REF!</definedName>
    <definedName name="Sec_A_Building_Total">#REF!</definedName>
    <definedName name="Sec_A_BWIC">#REF!</definedName>
    <definedName name="Sec_A_Clg_Fin">#REF!</definedName>
    <definedName name="Sec_A_Cont">#REF!</definedName>
    <definedName name="Sec_A_Elec">#REF!</definedName>
    <definedName name="Sec_A_Ext_Walls">#REF!</definedName>
    <definedName name="Sec_A_External_Enclosure">#REF!</definedName>
    <definedName name="Sec_A_External_Works">#REF!</definedName>
    <definedName name="Sec_A_Fittings">#REF!</definedName>
    <definedName name="Sec_A_Floor_Finishes">#REF!</definedName>
    <definedName name="Sec_A_Floors">#REF!</definedName>
    <definedName name="Sec_A_Frame">#REF!</definedName>
    <definedName name="Sec_A_General_Items">#REF!</definedName>
    <definedName name="Sec_A_Inflation">#REF!</definedName>
    <definedName name="Sec_A_Ins_and_Bond">#REF!</definedName>
    <definedName name="Sec_A_Int_Doors">#REF!</definedName>
    <definedName name="Sec_A_Int_Finishes_Fittings">#REF!</definedName>
    <definedName name="Sec_A_Int_Walls">#REF!</definedName>
    <definedName name="Sec_A_Internal_Sub_Division">#REF!</definedName>
    <definedName name="Sec_A_Landscaping">#REF!</definedName>
    <definedName name="Sec_A_Lifts">#REF!</definedName>
    <definedName name="Sec_A_Mech">#REF!</definedName>
    <definedName name="Sec_A_Painting_and_Dec">#REF!</definedName>
    <definedName name="Sec_A_post_contract_inflation">#REF!</definedName>
    <definedName name="Sec_A_pre_tender_inflatio">#REF!</definedName>
    <definedName name="Sec_A_Preliminaries">#REF!</definedName>
    <definedName name="Sec_A_Prelims_Summary">#REF!</definedName>
    <definedName name="Sec_A_Prep_Site">#REF!</definedName>
    <definedName name="Sec_A_Rainwater_Disp">#REF!</definedName>
    <definedName name="Sec_A_Roads">#REF!</definedName>
    <definedName name="Sec_A_Roof_Covering">#REF!</definedName>
    <definedName name="Sec_A_Roof_Enclosure">#REF!</definedName>
    <definedName name="Sec_A_Roof_Glz">#REF!</definedName>
    <definedName name="Sec_A_Roofs">#REF!</definedName>
    <definedName name="Sec_A_San_Fittings">#REF!</definedName>
    <definedName name="Sec_A_San_Plumb">#REF!</definedName>
    <definedName name="Sec_A_Ser_Piped_and_Ducted">#REF!</definedName>
    <definedName name="Sec_A_Services">#REF!</definedName>
    <definedName name="Sec_A_Site_Elec_Services">#REF!</definedName>
    <definedName name="Sec_A_Site_Enclosure">#REF!</definedName>
    <definedName name="Sec_A_Site_Fittings">#REF!</definedName>
    <definedName name="Sec_A_Site_Mech_Services">#REF!</definedName>
    <definedName name="Sec_A_Site_Struc">#REF!</definedName>
    <definedName name="Sec_A_Stairs">#REF!</definedName>
    <definedName name="Sec_A_Structure">#REF!</definedName>
    <definedName name="Sec_A_Substructure">#REF!</definedName>
    <definedName name="Sec_A_VAT">#REF!</definedName>
    <definedName name="Sec_A_Wall_Fin_Ext">#REF!</definedName>
    <definedName name="Sec_A_Wall_Fin_Int">#REF!</definedName>
    <definedName name="Sec_A_Win_Doors">#REF!</definedName>
    <definedName name="Sec_B_Balustrades">#REF!</definedName>
    <definedName name="Sec_B_BS_Balustrades">#REF!</definedName>
    <definedName name="Sec_B_BS_BWIC">#REF!</definedName>
    <definedName name="Sec_B_BS_Ceiling_Finishes">#REF!</definedName>
    <definedName name="Sec_B_BS_Ext_Doors_Windows">#REF!</definedName>
    <definedName name="Sec_B_BS_Ext_Wall_Finishes">#REF!</definedName>
    <definedName name="Sec_B_BS_External_Walls">#REF!</definedName>
    <definedName name="Sec_B_BS_Fittings">#REF!</definedName>
    <definedName name="Sec_B_BS_Floor_Finishes">#REF!</definedName>
    <definedName name="Sec_B_BS_Floors">#REF!</definedName>
    <definedName name="Sec_B_BS_Frame">#REF!</definedName>
    <definedName name="Sec_B_BS_Int_Wall_Finishes">#REF!</definedName>
    <definedName name="Sec_B_BS_Internal_Doors">#REF!</definedName>
    <definedName name="Sec_B_BS_Internal_Walls">#REF!</definedName>
    <definedName name="Sec_B_BS_Landscaping">#REF!</definedName>
    <definedName name="Sec_B_BS_Lifts">#REF!</definedName>
    <definedName name="Sec_B_BS_Painting">#REF!</definedName>
    <definedName name="Sec_B_BS_Prep_Site">#REF!</definedName>
    <definedName name="Sec_B_BS_Rainwater_Disp">#REF!</definedName>
    <definedName name="Sec_B_BS_Roads">#REF!</definedName>
    <definedName name="Sec_B_BS_Roof_Coverings">#REF!</definedName>
    <definedName name="Sec_B_BS_Roof_Glz">#REF!</definedName>
    <definedName name="Sec_B_BS_Roofs">#REF!</definedName>
    <definedName name="Sec_B_BS_San_Fittings">#REF!</definedName>
    <definedName name="Sec_B_BS_San_Plumbing">#REF!</definedName>
    <definedName name="Sec_B_BS_Services_Electrical">#REF!</definedName>
    <definedName name="Sec_B_BS_Services_Piped_and_Ducted">#REF!</definedName>
    <definedName name="Sec_B_BS_Site_Elec">#REF!</definedName>
    <definedName name="Sec_B_BS_Site_Enclosure">#REF!</definedName>
    <definedName name="sec_B_BS_Site_Fittings">#REF!</definedName>
    <definedName name="Sec_B_BS_Site_Mech">#REF!</definedName>
    <definedName name="Sec_B_BS_Site_Struc">#REF!</definedName>
    <definedName name="Sec_B_BS_Stairs">#REF!</definedName>
    <definedName name="Sec_B_BS_Substructure">#REF!</definedName>
    <definedName name="Sec_B_Building_Total">#REF!</definedName>
    <definedName name="Sec_B_BWIC">#REF!</definedName>
    <definedName name="Sec_B_Clg_Fin">#REF!</definedName>
    <definedName name="Sec_B_Cont">#REF!</definedName>
    <definedName name="Sec_B_Elec">#REF!</definedName>
    <definedName name="Sec_B_Ext_Walls">#REF!</definedName>
    <definedName name="Sec_B_External_Enclosure">#REF!</definedName>
    <definedName name="Sec_B_External_Works">#REF!</definedName>
    <definedName name="Sec_B_Fittings">#REF!</definedName>
    <definedName name="Sec_B_Floor_Finishes">#REF!</definedName>
    <definedName name="Sec_b_Floors">#REF!</definedName>
    <definedName name="Sec_B_Frame">#REF!</definedName>
    <definedName name="Sec_B_Inflation">#REF!</definedName>
    <definedName name="Sec_B_Ins_and_Bond">#REF!</definedName>
    <definedName name="Sec_B_Int_Doors">#REF!</definedName>
    <definedName name="Sec_B_Int_Finishes_Fittings">#REF!</definedName>
    <definedName name="Sec_B_Int_Walls">#REF!</definedName>
    <definedName name="Sec_B_Internal_Sub_Division">#REF!</definedName>
    <definedName name="Sec_B_Landscaping">#REF!</definedName>
    <definedName name="Sec_B_Lifts">#REF!</definedName>
    <definedName name="Sec_B_Mech">#REF!</definedName>
    <definedName name="Sec_B_Painting_and_Dec">#REF!</definedName>
    <definedName name="Sec_B_Preliminaries">#REF!</definedName>
    <definedName name="Sec_B_Prelims_Summary">#REF!</definedName>
    <definedName name="Sec_B_Prep_Site">#REF!</definedName>
    <definedName name="Sec_B_Rainwater_Disp">#REF!</definedName>
    <definedName name="Sec_B_Roads">#REF!</definedName>
    <definedName name="Sec_B_Roof_Covering">#REF!</definedName>
    <definedName name="Sec_B_Roof_Enclosure">#REF!</definedName>
    <definedName name="Sec_B_Roof_Glz">#REF!</definedName>
    <definedName name="Sec_b_Roofs">#REF!</definedName>
    <definedName name="Sec_B_San_Fittings">#REF!</definedName>
    <definedName name="Sec_B_Services">#REF!</definedName>
    <definedName name="Sec_B_Site_Elec_Services">#REF!</definedName>
    <definedName name="Sec_B_Site_Enclosure">#REF!</definedName>
    <definedName name="Sec_B_Site_Fittings">#REF!</definedName>
    <definedName name="Sec_B_Site_Mech_Services">#REF!</definedName>
    <definedName name="Sec_B_Site_Struc">#REF!</definedName>
    <definedName name="Sec_B_Stairs">#REF!</definedName>
    <definedName name="Sec_B_Structure">#REF!</definedName>
    <definedName name="Sec_B_Substructure">#REF!</definedName>
    <definedName name="Sec_B_Wall_Fin_Ext">#REF!</definedName>
    <definedName name="Sec_B_Wall_Fin_Int">#REF!</definedName>
    <definedName name="Sec_B_Win_Doors">#REF!</definedName>
    <definedName name="Sec_C_Balustrades">#REF!</definedName>
    <definedName name="Sec_C_BS_Balustrades">#REF!</definedName>
    <definedName name="Sec_C_BS_BWIC">#REF!</definedName>
    <definedName name="Sec_C_BS_Ceiling_Finishes">#REF!</definedName>
    <definedName name="Sec_C_BS_Ext_Doors_Windows">#REF!</definedName>
    <definedName name="Sec_C_BS_Ext_Wall_Finishes">#REF!</definedName>
    <definedName name="Sec_C_BS_External_Walls">#REF!</definedName>
    <definedName name="Sec_C_BS_Fittings">#REF!</definedName>
    <definedName name="Sec_C_BS_Floor_Finishes">#REF!</definedName>
    <definedName name="Sec_C_BS_Floors">#REF!</definedName>
    <definedName name="Sec_C_BS_Frame">#REF!</definedName>
    <definedName name="Sec_C_BS_Int_Wall_Finishes">#REF!</definedName>
    <definedName name="Sec_C_BS_Internal_Doors">#REF!</definedName>
    <definedName name="Sec_C_BS_Internal_Walls">#REF!</definedName>
    <definedName name="Sec_C_BS_Landscaping">#REF!</definedName>
    <definedName name="Sec_C_BS_Lifts">#REF!</definedName>
    <definedName name="Sec_C_BS_Painting">#REF!</definedName>
    <definedName name="Sec_C_BS_Prep_Site">#REF!</definedName>
    <definedName name="Sec_C_BS_Rainwater_Disp">#REF!</definedName>
    <definedName name="Sec_C_BS_Roads">#REF!</definedName>
    <definedName name="Sec_C_BS_Roof_Coverings">#REF!</definedName>
    <definedName name="Sec_C_BS_Roof_Glz">#REF!</definedName>
    <definedName name="Sec_C_BS_Roofs">#REF!</definedName>
    <definedName name="Sec_C_BS_San_Fittings">#REF!</definedName>
    <definedName name="Sec_C_BS_San_Plumbing">#REF!</definedName>
    <definedName name="Sec_C_BS_Services_Electrical">#REF!</definedName>
    <definedName name="Sec_C_BS_Services_Piped_and_Ducted">#REF!</definedName>
    <definedName name="Sec_C_BS_Site_Elec">#REF!</definedName>
    <definedName name="Sec_C_BS_Site_Enclosure">#REF!</definedName>
    <definedName name="sec_C_BS_Site_Fittings">#REF!</definedName>
    <definedName name="Sec_C_BS_Site_Mech">#REF!</definedName>
    <definedName name="Sec_C_BS_Site_Struc">#REF!</definedName>
    <definedName name="Sec_C_BS_Stairs">#REF!</definedName>
    <definedName name="Sec_C_BS_Substructure">#REF!</definedName>
    <definedName name="Sec_C_Building_Total">#REF!</definedName>
    <definedName name="Sec_C_BWIC">#REF!</definedName>
    <definedName name="Sec_C_Clg_Fin">#REF!</definedName>
    <definedName name="Sec_C_Cont">#REF!</definedName>
    <definedName name="Sec_C_Elec">#REF!</definedName>
    <definedName name="Sec_C_Ext_Walls">#REF!</definedName>
    <definedName name="Sec_C_External_Enclosure">#REF!</definedName>
    <definedName name="Sec_C_External_Works">#REF!</definedName>
    <definedName name="Sec_C_Fittings">#REF!</definedName>
    <definedName name="Sec_C_Floor_Finishes">#REF!</definedName>
    <definedName name="Sec_c_Floors">#REF!</definedName>
    <definedName name="Sec_C_Frame">#REF!</definedName>
    <definedName name="Sec_C_Inflation">#REF!</definedName>
    <definedName name="Sec_C_Ins_and_Bond">#REF!</definedName>
    <definedName name="Sec_C_Int_Doors">#REF!</definedName>
    <definedName name="Sec_C_Int_Finishes_Fittings">#REF!</definedName>
    <definedName name="Sec_C_Int_Walls">#REF!</definedName>
    <definedName name="Sec_C_Internal_Sub_Division">#REF!</definedName>
    <definedName name="Sec_C_Landscaping">#REF!</definedName>
    <definedName name="Sec_C_Lifts">#REF!</definedName>
    <definedName name="Sec_C_Mech">#REF!</definedName>
    <definedName name="Sec_C_Painting_and_Dec">#REF!</definedName>
    <definedName name="Sec_C_Preliminaries">#REF!</definedName>
    <definedName name="Sec_C_Prelims_Summary">#REF!</definedName>
    <definedName name="Sec_C_Prep_Site">#REF!</definedName>
    <definedName name="Sec_C_Rainwater_Disp">#REF!</definedName>
    <definedName name="Sec_C_Roads">#REF!</definedName>
    <definedName name="Sec_C_Roof_Covering">#REF!</definedName>
    <definedName name="Sec_C_Roof_Enclosure">#REF!</definedName>
    <definedName name="Sec_C_Roof_Glz">#REF!</definedName>
    <definedName name="Sec_c_Roofs">#REF!</definedName>
    <definedName name="Sec_C_San_Fittings">#REF!</definedName>
    <definedName name="Sec_C_Services">#REF!</definedName>
    <definedName name="Sec_C_Site_Elec_Services">#REF!</definedName>
    <definedName name="Sec_C_Site_Enclosure">#REF!</definedName>
    <definedName name="Sec_C_Site_Fittings">#REF!</definedName>
    <definedName name="Sec_C_Site_Mech_Services">#REF!</definedName>
    <definedName name="Sec_C_Site_Struc">#REF!</definedName>
    <definedName name="Sec_C_Stairs">#REF!</definedName>
    <definedName name="Sec_C_Structure">#REF!</definedName>
    <definedName name="Sec_C_Substructure">#REF!</definedName>
    <definedName name="Sec_C_Wall_Fin_Ext">#REF!</definedName>
    <definedName name="Sec_C_Wall_Fin_Int">#REF!</definedName>
    <definedName name="Sec_C_Win_Doors">#REF!</definedName>
    <definedName name="Sec_D_Balustrades">#REF!</definedName>
    <definedName name="Sec_D_BS_Balustrades">#REF!</definedName>
    <definedName name="Sec_D_BS_BWIC">#REF!</definedName>
    <definedName name="Sec_D_BS_Ceiling_Finishes">#REF!</definedName>
    <definedName name="Sec_D_BS_Ext_Doors_Windows">#REF!</definedName>
    <definedName name="Sec_D_BS_Ext_Wall_Finishes">#REF!</definedName>
    <definedName name="Sec_D_BS_External_Walls">#REF!</definedName>
    <definedName name="Sec_D_BS_Fittings">#REF!</definedName>
    <definedName name="Sec_D_BS_Floor_Finishes">#REF!</definedName>
    <definedName name="Sec_D_BS_Floors">#REF!</definedName>
    <definedName name="Sec_D_BS_Frame">#REF!</definedName>
    <definedName name="Sec_D_BS_Int_Wall_Finishes">#REF!</definedName>
    <definedName name="Sec_D_BS_Internal_Doors">#REF!</definedName>
    <definedName name="Sec_D_BS_Internal_Walls">#REF!</definedName>
    <definedName name="Sec_D_BS_Landscaping">#REF!</definedName>
    <definedName name="Sec_D_BS_Lifts">#REF!</definedName>
    <definedName name="Sec_D_BS_Painting">#REF!</definedName>
    <definedName name="Sec_D_BS_Prep_Site">#REF!</definedName>
    <definedName name="Sec_D_BS_Rainwater_Disp">#REF!</definedName>
    <definedName name="Sec_D_BS_Roads">#REF!</definedName>
    <definedName name="Sec_D_BS_Roof_Coverings">#REF!</definedName>
    <definedName name="Sec_D_BS_Roof_Glz">#REF!</definedName>
    <definedName name="Sec_D_BS_Roofs">#REF!</definedName>
    <definedName name="Sec_D_BS_San_Fittings">#REF!</definedName>
    <definedName name="Sec_D_BS_San_Plumbing">#REF!</definedName>
    <definedName name="Sec_D_BS_Services_Electrical">#REF!</definedName>
    <definedName name="Sec_D_BS_Services_Piped_and_Ducted">#REF!</definedName>
    <definedName name="Sec_D_BS_Site_eLEC">#REF!</definedName>
    <definedName name="Sec_D_BS_Site_Enclosure">#REF!</definedName>
    <definedName name="sec_D_BS_Site_Fittings">#REF!</definedName>
    <definedName name="Sec_D_BS_Site_Mech">#REF!</definedName>
    <definedName name="Sec_D_BS_Site_Struc">#REF!</definedName>
    <definedName name="Sec_D_BS_Stairs">#REF!</definedName>
    <definedName name="Sec_D_BS_Substructure">#REF!</definedName>
    <definedName name="Sec_D_Building_Total">#REF!</definedName>
    <definedName name="Sec_D_BWIC">#REF!</definedName>
    <definedName name="Sec_D_Clg_Fin">#REF!</definedName>
    <definedName name="Sec_D_Cont">#REF!</definedName>
    <definedName name="Sec_D_Elec">#REF!</definedName>
    <definedName name="Sec_D_Ext_Walls">#REF!</definedName>
    <definedName name="Sec_D_External_Enclosure">#REF!</definedName>
    <definedName name="Sec_D_External_Works">#REF!</definedName>
    <definedName name="Sec_D_Fittings">#REF!</definedName>
    <definedName name="Sec_D_Floor_Finishes">#REF!</definedName>
    <definedName name="Sec_d_Floors">#REF!</definedName>
    <definedName name="Sec_D_Frame">#REF!</definedName>
    <definedName name="Sec_D_Inflation">#REF!</definedName>
    <definedName name="Sec_D_Ins_and_Bond">#REF!</definedName>
    <definedName name="Sec_D_Int_Doors">#REF!</definedName>
    <definedName name="Sec_D_Int_Finishes_Fittings">#REF!</definedName>
    <definedName name="Sec_D_Int_Walls">#REF!</definedName>
    <definedName name="Sec_D_Internal_Sub_Division">#REF!</definedName>
    <definedName name="Sec_D_Landscaping">#REF!</definedName>
    <definedName name="Sec_D_Lifts">#REF!</definedName>
    <definedName name="Sec_D_Mech">#REF!</definedName>
    <definedName name="Sec_D_Painting_and_Dec">#REF!</definedName>
    <definedName name="Sec_D_Preliminaries">#REF!</definedName>
    <definedName name="Sec_D_Prep_Site">#REF!</definedName>
    <definedName name="Sec_D_Rainwater_Disp">#REF!</definedName>
    <definedName name="Sec_D_Roads">#REF!</definedName>
    <definedName name="Sec_D_Roof_Covering">#REF!</definedName>
    <definedName name="Sec_D_Roof_Enclosure">#REF!</definedName>
    <definedName name="Sec_D_Roof_Glz">#REF!</definedName>
    <definedName name="Sec_d_Roofs">#REF!</definedName>
    <definedName name="Sec_D_San_Fittings">#REF!</definedName>
    <definedName name="Sec_D_Services">#REF!</definedName>
    <definedName name="Sec_D_Site_Elec_Services">#REF!</definedName>
    <definedName name="Sec_D_Site_Enclosure">#REF!</definedName>
    <definedName name="Sec_D_Site_Fittings">#REF!</definedName>
    <definedName name="Sec_D_Site_Mech_Services">#REF!</definedName>
    <definedName name="Sec_D_Site_Struc">#REF!</definedName>
    <definedName name="Sec_D_Stairs">#REF!</definedName>
    <definedName name="Sec_D_Structure">#REF!</definedName>
    <definedName name="Sec_D_Substructure">#REF!</definedName>
    <definedName name="Sec_D_Wall_Fin_Ext">#REF!</definedName>
    <definedName name="Sec_D_Wall_Fin_Int">#REF!</definedName>
    <definedName name="Sec_D_Win_Doors">#REF!</definedName>
    <definedName name="sec_deposit">#REF!</definedName>
    <definedName name="Sec_E_Balustrades">#REF!</definedName>
    <definedName name="Sec_E_BS_Balustrades">#REF!</definedName>
    <definedName name="Sec_E_BS_BWIC">#REF!</definedName>
    <definedName name="Sec_E_BS_Ceiling_Finishes">#REF!</definedName>
    <definedName name="Sec_E_BS_Ext_Doors_Windows">#REF!</definedName>
    <definedName name="Sec_E_BS_Ext_Wall_Finishes">#REF!</definedName>
    <definedName name="Sec_E_BS_External_Walls">#REF!</definedName>
    <definedName name="Sec_E_BS_Fittings">#REF!</definedName>
    <definedName name="Sec_E_BS_Floor_Finishes">#REF!</definedName>
    <definedName name="Sec_E_BS_Floors">#REF!</definedName>
    <definedName name="Sec_E_BS_Frame">#REF!</definedName>
    <definedName name="Sec_E_BS_Int_Wall_Finishes">#REF!</definedName>
    <definedName name="Sec_E_BS_Internal_Doors">#REF!</definedName>
    <definedName name="Sec_E_BS_Internal_Walls">#REF!</definedName>
    <definedName name="Sec_E_BS_Landscaping">#REF!</definedName>
    <definedName name="Sec_E_BS_Lifts">#REF!</definedName>
    <definedName name="Sec_E_BS_Painting">#REF!</definedName>
    <definedName name="Sec_E_BS_Prep_Site">#REF!</definedName>
    <definedName name="Sec_E_BS_Rainwater_Disp">#REF!</definedName>
    <definedName name="Sec_E_BS_Roads">#REF!</definedName>
    <definedName name="Sec_E_BS_Roof_Coverings">#REF!</definedName>
    <definedName name="Sec_E_BS_Roof_Glz">#REF!</definedName>
    <definedName name="Sec_E_BS_Roofs">#REF!</definedName>
    <definedName name="Sec_E_BS_San_Fittings">#REF!</definedName>
    <definedName name="Sec_E_BS_San_Plumbing">#REF!</definedName>
    <definedName name="Sec_E_BS_Services_Electrical">#REF!</definedName>
    <definedName name="Sec_E_BS_Services_Piped_and_Ducted">#REF!</definedName>
    <definedName name="Sec_E_BS_Site_eLEC">#REF!</definedName>
    <definedName name="Sec_E_BS_Site_Enclosure">#REF!</definedName>
    <definedName name="sec_E_BS_Site_Fittings">#REF!</definedName>
    <definedName name="Sec_E_BS_Site_Mech">#REF!</definedName>
    <definedName name="Sec_E_BS_Site_Struc">#REF!</definedName>
    <definedName name="Sec_E_BS_Stairs">#REF!</definedName>
    <definedName name="Sec_E_BS_Substructure">#REF!</definedName>
    <definedName name="Sec_E_Building_Total">#REF!</definedName>
    <definedName name="Sec_E_BWIC">#REF!</definedName>
    <definedName name="Sec_E_Clg_Fin">#REF!</definedName>
    <definedName name="Sec_E_Cont">#REF!</definedName>
    <definedName name="Sec_E_Elec">#REF!</definedName>
    <definedName name="Sec_E_Ext_Walls">#REF!</definedName>
    <definedName name="Sec_E_External_Enclosure">#REF!</definedName>
    <definedName name="Sec_E_External_Works">#REF!</definedName>
    <definedName name="Sec_E_Fittings">#REF!</definedName>
    <definedName name="Sec_E_Floor_Finishes">#REF!</definedName>
    <definedName name="Sec_e_Floors">#REF!</definedName>
    <definedName name="Sec_E_Frame">#REF!</definedName>
    <definedName name="Sec_E_Inflation">#REF!</definedName>
    <definedName name="Sec_E_Ins_and_Bond">#REF!</definedName>
    <definedName name="Sec_E_Int_Doors">#REF!</definedName>
    <definedName name="Sec_E_Int_Finishes_Fittings">#REF!</definedName>
    <definedName name="Sec_E_Int_Walls">#REF!</definedName>
    <definedName name="Sec_E_Internal_Sub_Division">#REF!</definedName>
    <definedName name="Sec_E_Landscaping">#REF!</definedName>
    <definedName name="Sec_E_Lifts">#REF!</definedName>
    <definedName name="Sec_E_Mech">#REF!</definedName>
    <definedName name="Sec_E_Painting_and_Dec">#REF!</definedName>
    <definedName name="Sec_E_Preliminaries">#REF!</definedName>
    <definedName name="Sec_E_Prep_Site">#REF!</definedName>
    <definedName name="Sec_E_Rainwater_Disp">#REF!</definedName>
    <definedName name="Sec_E_Roads">#REF!</definedName>
    <definedName name="Sec_E_Roof_Covering">#REF!</definedName>
    <definedName name="Sec_E_Roof_Enclosure">#REF!</definedName>
    <definedName name="Sec_E_Roof_Glz">#REF!</definedName>
    <definedName name="Sec_e_Roofs">#REF!</definedName>
    <definedName name="Sec_e_San_Fittings">#REF!</definedName>
    <definedName name="Sec_E_Services">#REF!</definedName>
    <definedName name="Sec_E_Site_Elec_Services">#REF!</definedName>
    <definedName name="Sec_E_Site_Enclosure">#REF!</definedName>
    <definedName name="Sec_E_Site_Fittings">#REF!</definedName>
    <definedName name="Sec_E_Site_Mech_Services">#REF!</definedName>
    <definedName name="Sec_E_Site_Struc">#REF!</definedName>
    <definedName name="Sec_E_Stairs">#REF!</definedName>
    <definedName name="Sec_E_Structure">#REF!</definedName>
    <definedName name="Sec_E_Substructure">#REF!</definedName>
    <definedName name="Sec_E_Wall_Fin_Ext">#REF!</definedName>
    <definedName name="Sec_E_Wall_Fin_Int">#REF!</definedName>
    <definedName name="Sec_E_Win_Doors">#REF!</definedName>
    <definedName name="Sec_Prelims_Summary">#REF!</definedName>
    <definedName name="SEC._DEPOSIT" localSheetId="1">#REF!</definedName>
    <definedName name="SEC._DEPOSIT">#REF!</definedName>
    <definedName name="SecA1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ecA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ecE" localSheetId="1" hidden="1">{#N/A,#N/A,FALSE,"Wadhal";#N/A,#N/A,FALSE,"Manglad U-S";#N/A,#N/A,FALSE,"Manglad D-S";#N/A,#N/A,FALSE,"Ratanpur U-S";#N/A,#N/A,FALSE,"Ratanpur D-S";#N/A,#N/A,FALSE,"VI Face"}</definedName>
    <definedName name="SecE" hidden="1">{#N/A,#N/A,FALSE,"Wadhal";#N/A,#N/A,FALSE,"Manglad U-S";#N/A,#N/A,FALSE,"Manglad D-S";#N/A,#N/A,FALSE,"Ratanpur U-S";#N/A,#N/A,FALSE,"Ratanpur D-S";#N/A,#N/A,FALSE,"VI Face"}</definedName>
    <definedName name="SecF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ec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ECONDJ">#REF!</definedName>
    <definedName name="secondraw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secondraw">IF(ISNA(MATCH(ROW(),RowAfterpgbrk,1)),1,MATCH(ROW(),RowAfterpgbrk,1)+1)&lt;&gt;IF(ISNA(MATCH(ROW()-1,RowAfterpgbrk,1)),1,MATCH(ROW()-1,RowAfterpgbrk,1)+1)</definedName>
    <definedName name="secsplit">"Chart 3"</definedName>
    <definedName name="SECT" localSheetId="1">#REF!</definedName>
    <definedName name="SECT">#REF!</definedName>
    <definedName name="SECT1" localSheetId="1">#REF!</definedName>
    <definedName name="sect1">#REF!</definedName>
    <definedName name="SECT3" localSheetId="1">#REF!</definedName>
    <definedName name="SECT3">#REF!</definedName>
    <definedName name="SECT4" localSheetId="1">#REF!</definedName>
    <definedName name="SECT4">#REF!</definedName>
    <definedName name="SECTION" localSheetId="1">#NAME?</definedName>
    <definedName name="SECTION">#REF!</definedName>
    <definedName name="SECTION_1" localSheetId="1">#REF!</definedName>
    <definedName name="SECTION_1">#REF!</definedName>
    <definedName name="Section_1_GFA" localSheetId="1">#REF!</definedName>
    <definedName name="Section_1_GFA">#REF!</definedName>
    <definedName name="Section_1_Title">#REF!</definedName>
    <definedName name="Section_1_Total">#REF!</definedName>
    <definedName name="Section_10_GFA">#REF!</definedName>
    <definedName name="SECTION_2">#REF!</definedName>
    <definedName name="Section_2_GFA">#REF!</definedName>
    <definedName name="Section_2_Title">#REF!</definedName>
    <definedName name="Section_2_Total">#REF!</definedName>
    <definedName name="Section_3_GFA">#REF!</definedName>
    <definedName name="Section_3_Title">#REF!</definedName>
    <definedName name="Section_3_Total">#REF!</definedName>
    <definedName name="Section_4_GFA">#REF!</definedName>
    <definedName name="Section_4_Title">#REF!</definedName>
    <definedName name="Section_4_Total">#REF!</definedName>
    <definedName name="Section_5_GFA">#REF!</definedName>
    <definedName name="Section_5_Title">#REF!</definedName>
    <definedName name="Section_5_Total">#REF!</definedName>
    <definedName name="Section_6_GFA">#REF!</definedName>
    <definedName name="Section_6_Title">#REF!</definedName>
    <definedName name="Section_7_GFA">#REF!</definedName>
    <definedName name="Section_7_Title">#REF!</definedName>
    <definedName name="Section_8_GFA">#REF!</definedName>
    <definedName name="Section_8_Title">#REF!</definedName>
    <definedName name="Section_9_GFA">#REF!</definedName>
    <definedName name="Section_A">#REF!</definedName>
    <definedName name="Section_A_Frame" localSheetId="1">#REF!</definedName>
    <definedName name="Section_A_Frame">#REF!</definedName>
    <definedName name="Section_A_Int_Walls" localSheetId="1">#REF!</definedName>
    <definedName name="Section_A_Int_Walls">#REF!</definedName>
    <definedName name="Section_A_Stairs" localSheetId="1">#REF!</definedName>
    <definedName name="Section_A_Stairs">#REF!</definedName>
    <definedName name="Section_B" localSheetId="1">#REF!</definedName>
    <definedName name="Section_B">#REF!</definedName>
    <definedName name="Section_C" localSheetId="1">#REF!</definedName>
    <definedName name="Section_C">#REF!</definedName>
    <definedName name="Section_D" localSheetId="1">#REF!</definedName>
    <definedName name="Section_D">#REF!</definedName>
    <definedName name="Section_E" localSheetId="1">#REF!</definedName>
    <definedName name="Section_E">#REF!</definedName>
    <definedName name="Section_F">#REF!</definedName>
    <definedName name="Section_G">#REF!</definedName>
    <definedName name="Section_H">#REF!</definedName>
    <definedName name="Section_I">#REF!</definedName>
    <definedName name="Section_J">#REF!</definedName>
    <definedName name="sector">#REF!</definedName>
    <definedName name="Sector_lookup">#REF!</definedName>
    <definedName name="secured" localSheetId="1">#REF!</definedName>
    <definedName name="secured">#REF!</definedName>
    <definedName name="security" localSheetId="1">OR([1]!CUSTOM1_L20__HEM_180,[1]!Header_Row,'City Walk - Comparison'!_12__123Graph_ACHART_19)</definedName>
    <definedName name="security">OR(SW_COMP,Header_Row,How_many_floors)</definedName>
    <definedName name="SEE" localSheetId="1">IF('City Walk - Comparison'!Values_Entered,[1]!Header_Row+'City Walk - Comparison'!SEW,[1]!Header_Row)</definedName>
    <definedName name="SEE">IF([1]!Values_Entered,Header_Row+SEW,Header_Row)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greg" localSheetId="1">"Page "&amp;IF(ISNA(MATCH(ROW(),[1]!COUNT_TH2_V2__units_1___Type_D_04__900_x_2200mm_high,1)),1,MATCH(ROW(),[1]!COUNT_TH2_V2__units_1___Type_D_04__900_x_2200mm_high,1)+1)&amp;" of " &amp; [1]!CUSTOM1_Shops__GF_ + 0*NOW()</definedName>
    <definedName name="segreg">"Page "&amp;IF(ISNA(MATCH(ROW(),RowAfterpgbrk,1)),1,MATCH(ROW(),RowAfterpgbrk,1)+1)&amp;" of " &amp; TotPageCount + 0*NOW()</definedName>
    <definedName name="SEK">#REF!</definedName>
    <definedName name="SELECT" localSheetId="1">#REF!</definedName>
    <definedName name="SELECT">#REF!</definedName>
    <definedName name="selectDia">#REF!</definedName>
    <definedName name="SelectedLanguage" localSheetId="1">#REF!</definedName>
    <definedName name="SelectedLanguage">#REF!</definedName>
    <definedName name="SelectedLanguage_4" localSheetId="1">#REF!</definedName>
    <definedName name="SelectedLanguage_4">#REF!</definedName>
    <definedName name="SelectedLanguage_4_1" localSheetId="1">#REF!</definedName>
    <definedName name="SelectedLanguage_4_1">#REF!</definedName>
    <definedName name="SelectedLanguage_6">#REF!</definedName>
    <definedName name="SellMI">#REF!</definedName>
    <definedName name="SemiCount">#REF!</definedName>
    <definedName name="sencount">1</definedName>
    <definedName name="SENENTEEN" localSheetId="1">#REF!</definedName>
    <definedName name="SENENTEEN">#REF!</definedName>
    <definedName name="seo" localSheetId="1" hidden="1">{#N/A,#N/A,TRUE,"Cover";#N/A,#N/A,TRUE,"Conts";#N/A,#N/A,TRUE,"VOS";#N/A,#N/A,TRUE,"Warrington";#N/A,#N/A,TRUE,"Widnes"}</definedName>
    <definedName name="seo" hidden="1">{#N/A,#N/A,TRUE,"Cover";#N/A,#N/A,TRUE,"Conts";#N/A,#N/A,TRUE,"VOS";#N/A,#N/A,TRUE,"Warrington";#N/A,#N/A,TRUE,"Widnes"}</definedName>
    <definedName name="SEP">#REF!</definedName>
    <definedName name="SEPCONC" localSheetId="1">#REF!</definedName>
    <definedName name="SEPCONC">#REF!</definedName>
    <definedName name="sepconce" localSheetId="1">#REF!</definedName>
    <definedName name="sepconce">#REF!</definedName>
    <definedName name="ser" localSheetId="1" hidden="1">{"'Break down'!$A$4"}</definedName>
    <definedName name="ser" hidden="1">{"'Break down'!$A$4"}</definedName>
    <definedName name="SERGG" localSheetId="1">"Page "&amp;IF(ISNA(MATCH(ROW(),[1]!COUNT_TH2_V2__units_1___Type_D_04__900_x_2200mm_high,1)),1,MATCH(ROW(),[1]!COUNT_TH2_V2__units_1___Type_D_04__900_x_2200mm_high,1)+1)&amp;" of " &amp; [1]!CUSTOM1_Shops__GF_ + 0*NOW()</definedName>
    <definedName name="SERGG">"Page "&amp;IF(ISNA(MATCH(ROW(),RowAfterpgbrk,1)),1,MATCH(ROW(),RowAfterpgbrk,1)+1)&amp;" of " &amp; TotPageCount + 0*NOW()</definedName>
    <definedName name="SerTax">12.36%</definedName>
    <definedName name="sertter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sertter">IF(ISNA(MATCH(ROW(),RowAfterpgbrk,1)),1,MATCH(ROW(),RowAfterpgbrk,1)+1)&lt;&gt;IF(ISNA(MATCH(ROW()+1,RowAfterpgbrk,1)),1,MATCH(ROW()+1,RowAfterpgbrk,1)+1)</definedName>
    <definedName name="sertyiuoihyjgvfd" localSheetId="1">#REF!</definedName>
    <definedName name="sertyiuoihyjgvfd">#REF!</definedName>
    <definedName name="SERV" localSheetId="1">#REF!</definedName>
    <definedName name="SERV">#REF!</definedName>
    <definedName name="servf" localSheetId="1">#REF!</definedName>
    <definedName name="servf">#REF!</definedName>
    <definedName name="service">#REF!</definedName>
    <definedName name="services" localSheetId="1">#REF!</definedName>
    <definedName name="services">#REF!</definedName>
    <definedName name="SERVICES__EQUIPMENT" localSheetId="1">#REF!</definedName>
    <definedName name="SERVICES__EQUIPMENT">#REF!</definedName>
    <definedName name="Services_Equipment">#REF!</definedName>
    <definedName name="services_firm">#REF!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plit" localSheetId="1">#REF!</definedName>
    <definedName name="Servicesplit">#REF!</definedName>
    <definedName name="set_out" localSheetId="1">#REF!</definedName>
    <definedName name="set_out">#REF!</definedName>
    <definedName name="SET08_1">#N/A</definedName>
    <definedName name="SET09_1">#N/A</definedName>
    <definedName name="setdydy" localSheetId="1" hidden="1">{#N/A,#N/A,TRUE,"Cover";#N/A,#N/A,TRUE,"Conts";#N/A,#N/A,TRUE,"VOS";#N/A,#N/A,TRUE,"Warrington";#N/A,#N/A,TRUE,"Widnes"}</definedName>
    <definedName name="setdydy" hidden="1">{#N/A,#N/A,TRUE,"Cover";#N/A,#N/A,TRUE,"Conts";#N/A,#N/A,TRUE,"VOS";#N/A,#N/A,TRUE,"Warrington";#N/A,#N/A,TRUE,"Widnes"}</definedName>
    <definedName name="setdydy_1" localSheetId="1" hidden="1">{#N/A,#N/A,TRUE,"Cover";#N/A,#N/A,TRUE,"Conts";#N/A,#N/A,TRUE,"VOS";#N/A,#N/A,TRUE,"Warrington";#N/A,#N/A,TRUE,"Widnes"}</definedName>
    <definedName name="setdydy_1" hidden="1">{#N/A,#N/A,TRUE,"Cover";#N/A,#N/A,TRUE,"Conts";#N/A,#N/A,TRUE,"VOS";#N/A,#N/A,TRUE,"Warrington";#N/A,#N/A,TRUE,"Widnes"}</definedName>
    <definedName name="Setflag">#REF!</definedName>
    <definedName name="SETUP">#REF!</definedName>
    <definedName name="SEVEN" localSheetId="1">#REF!</definedName>
    <definedName name="SEVEN">#REF!</definedName>
    <definedName name="SEVENTEEN" localSheetId="1">#REF!</definedName>
    <definedName name="SEVENTEEN">#REF!</definedName>
    <definedName name="SEW" localSheetId="1">MATCH(0.01,[1]!End_Bal,-1)+1</definedName>
    <definedName name="SEW">MATCH(0.01,End_Bal,-1)+1</definedName>
    <definedName name="sewer">#REF!</definedName>
    <definedName name="SEWERAGE" localSheetId="1">#REF!</definedName>
    <definedName name="SEWERAGE">#REF!</definedName>
    <definedName name="SF">#REF!</definedName>
    <definedName name="SF_Meranti_Belau">#REF!</definedName>
    <definedName name="sfas" localSheetId="1" hidden="1">{#N/A,#N/A,FALSE,"골재소요량";#N/A,#N/A,FALSE,"골재소요량"}</definedName>
    <definedName name="sfas" hidden="1">{#N/A,#N/A,FALSE,"골재소요량";#N/A,#N/A,FALSE,"골재소요량"}</definedName>
    <definedName name="sfasggg">#REF!</definedName>
    <definedName name="sfbdsf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fbds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fC">#REF!</definedName>
    <definedName name="SFD_QDEPTID" localSheetId="1">#REF!</definedName>
    <definedName name="SFD_QDEPTID">#REF!</definedName>
    <definedName name="sfdf" localSheetId="1">#REF!</definedName>
    <definedName name="sfdf">#REF!</definedName>
    <definedName name="sfds" localSheetId="1">#REF!</definedName>
    <definedName name="sfds">#REF!</definedName>
    <definedName name="sfdsfsd" localSheetId="1">#REF!</definedName>
    <definedName name="sfdsfsd">#REF!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SDF">#REF!</definedName>
    <definedName name="SFGDSGVDSF">#N/A</definedName>
    <definedName name="sfghn" localSheetId="1">BlankMacro1</definedName>
    <definedName name="sfghn">BlankMacro1</definedName>
    <definedName name="sfhdfj" localSheetId="1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fhdfj_1" localSheetId="1" hidden="1">{#N/A,#N/A,TRUE,"Cover";#N/A,#N/A,TRUE,"Conts";#N/A,#N/A,TRUE,"VOS";#N/A,#N/A,TRUE,"Warrington";#N/A,#N/A,TRUE,"Widnes"}</definedName>
    <definedName name="sfhdfj_1" hidden="1">{#N/A,#N/A,TRUE,"Cover";#N/A,#N/A,TRUE,"Conts";#N/A,#N/A,TRUE,"VOS";#N/A,#N/A,TRUE,"Warrington";#N/A,#N/A,TRUE,"Widnes"}</definedName>
    <definedName name="SFLB">#REF!</definedName>
    <definedName name="sfM">#REF!</definedName>
    <definedName name="sfndsfb" localSheetId="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fndsf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FR" localSheetId="1">#REF!</definedName>
    <definedName name="SFR">#REF!</definedName>
    <definedName name="sfsafas" localSheetId="1" hidden="1">{#N/A,#N/A,FALSE,"물량산출"}</definedName>
    <definedName name="sfsafas" hidden="1">{#N/A,#N/A,FALSE,"물량산출"}</definedName>
    <definedName name="sfsd" localSheetId="1">#REF!</definedName>
    <definedName name="sfsd">#REF!</definedName>
    <definedName name="sfsdfs" localSheetId="1">#REF!</definedName>
    <definedName name="sfsdfs">#REF!</definedName>
    <definedName name="SFSDFSD">#REF!</definedName>
    <definedName name="SFSDFSDF">#REF!</definedName>
    <definedName name="SFSDFSF">#REF!</definedName>
    <definedName name="SFSEDGF">#N/A</definedName>
    <definedName name="sfsf">#REF!</definedName>
    <definedName name="sfsfsfdddddddddddddd" localSheetId="1">#REF!</definedName>
    <definedName name="sfsfsfdddddddddddddd">#REF!</definedName>
    <definedName name="sfsfsff" localSheetId="1">#REF!</definedName>
    <definedName name="sfsfsff">#REF!</definedName>
    <definedName name="sfsgsd" localSheetId="1">#REF!</definedName>
    <definedName name="sfsgsd">#REF!</definedName>
    <definedName name="SFSGSS">#N/A</definedName>
    <definedName name="sfssf" hidden="1">#REF!</definedName>
    <definedName name="SFV" localSheetId="1">#REF!</definedName>
    <definedName name="SFV">#REF!</definedName>
    <definedName name="sfvdafv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WEWFRWER" localSheetId="1">#N/A</definedName>
    <definedName name="SFWEWFRWER">#REF!</definedName>
    <definedName name="sg" localSheetId="1">#REF!</definedName>
    <definedName name="sg">#REF!</definedName>
    <definedName name="SGA">#REF!</definedName>
    <definedName name="SGD" localSheetId="1">#REF!</definedName>
    <definedName name="SGD">#REF!</definedName>
    <definedName name="sgdgdg" localSheetId="1">#REF!</definedName>
    <definedName name="sgdgdg">#REF!</definedName>
    <definedName name="sgerrgs" localSheetId="1">#REF!</definedName>
    <definedName name="sgerrgs">#REF!</definedName>
    <definedName name="sggg" localSheetId="1" hidden="1">#REF!</definedName>
    <definedName name="sggg" hidden="1">#REF!</definedName>
    <definedName name="sghj" localSheetId="1">BlankMacro1</definedName>
    <definedName name="sghj">BlankMacro1</definedName>
    <definedName name="Sgl_Fridge_T1">#REF!</definedName>
    <definedName name="sgrg" localSheetId="1" hidden="1">#REF!</definedName>
    <definedName name="sgrg" hidden="1">#REF!</definedName>
    <definedName name="sgsegegrt" localSheetId="1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egegrt_1" localSheetId="1" hidden="1">{#N/A,#N/A,TRUE,"Cover";#N/A,#N/A,TRUE,"Conts";#N/A,#N/A,TRUE,"VOS";#N/A,#N/A,TRUE,"Warrington";#N/A,#N/A,TRUE,"Widnes"}</definedName>
    <definedName name="sgsegegrt_1" hidden="1">{#N/A,#N/A,TRUE,"Cover";#N/A,#N/A,TRUE,"Conts";#N/A,#N/A,TRUE,"VOS";#N/A,#N/A,TRUE,"Warrington";#N/A,#N/A,TRUE,"Widnes"}</definedName>
    <definedName name="sgsg" localSheetId="1" hidden="1">{#N/A,#N/A,FALSE,"CAM-G7";#N/A,#N/A,FALSE,"SPL";#N/A,#N/A,FALSE,"butt-in G7";#N/A,#N/A,FALSE,"dia-in G7";#N/A,#N/A,FALSE,"추가-STA G7"}</definedName>
    <definedName name="sgsg" hidden="1">{#N/A,#N/A,FALSE,"CAM-G7";#N/A,#N/A,FALSE,"SPL";#N/A,#N/A,FALSE,"butt-in G7";#N/A,#N/A,FALSE,"dia-in G7";#N/A,#N/A,FALSE,"추가-STA G7"}</definedName>
    <definedName name="sgsghju" localSheetId="1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hju_1" localSheetId="1" hidden="1">{#N/A,#N/A,TRUE,"Cover";#N/A,#N/A,TRUE,"Conts";#N/A,#N/A,TRUE,"VOS";#N/A,#N/A,TRUE,"Warrington";#N/A,#N/A,TRUE,"Widnes"}</definedName>
    <definedName name="sgsghju_1" hidden="1">{#N/A,#N/A,TRUE,"Cover";#N/A,#N/A,TRUE,"Conts";#N/A,#N/A,TRUE,"VOS";#N/A,#N/A,TRUE,"Warrington";#N/A,#N/A,TRUE,"Widnes"}</definedName>
    <definedName name="sgsgr" localSheetId="1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gsgr_1" localSheetId="1" hidden="1">{#N/A,#N/A,TRUE,"Cover";#N/A,#N/A,TRUE,"Conts";#N/A,#N/A,TRUE,"VOS";#N/A,#N/A,TRUE,"Warrington";#N/A,#N/A,TRUE,"Widnes"}</definedName>
    <definedName name="sgsgr_1" hidden="1">{#N/A,#N/A,TRUE,"Cover";#N/A,#N/A,TRUE,"Conts";#N/A,#N/A,TRUE,"VOS";#N/A,#N/A,TRUE,"Warrington";#N/A,#N/A,TRUE,"Widnes"}</definedName>
    <definedName name="sgsrgr" localSheetId="1" hidden="1">{#N/A,#N/A,FALSE,"물량산출"}</definedName>
    <definedName name="sgsrgr" hidden="1">{#N/A,#N/A,FALSE,"물량산출"}</definedName>
    <definedName name="sh" localSheetId="1" hidden="1">{"'Bill No. 7'!$A$1:$G$32"}</definedName>
    <definedName name="sh" hidden="1">{"'Bill No. 7'!$A$1:$G$32"}</definedName>
    <definedName name="SHA">#N/A</definedName>
    <definedName name="Shadow_Curtains">#REF!</definedName>
    <definedName name="shaji" localSheetId="1">#REF!</definedName>
    <definedName name="shaji">#REF!</definedName>
    <definedName name="Shape_Code" localSheetId="1">#REF!</definedName>
    <definedName name="Shape_Code">#REF!</definedName>
    <definedName name="shape.codes" hidden="1">#REF!</definedName>
    <definedName name="shapecode" localSheetId="1">#REF!</definedName>
    <definedName name="shapecode">#REF!</definedName>
    <definedName name="Shapes" localSheetId="1">#REF!</definedName>
    <definedName name="Shapes">#REF!</definedName>
    <definedName name="shapetable">#REF!</definedName>
    <definedName name="shapetofun">#REF!</definedName>
    <definedName name="SHARMILA">#REF!</definedName>
    <definedName name="SHARQ">#REF!</definedName>
    <definedName name="SHC">#REF!</definedName>
    <definedName name="sheer">#REF!</definedName>
    <definedName name="SHEET" localSheetId="1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4">#REF!</definedName>
    <definedName name="SHEET5">#REF!</definedName>
    <definedName name="sHELF_cORIAN">#REF!</definedName>
    <definedName name="Shelf_Duco">#REF!</definedName>
    <definedName name="Shelf_Ven">#REF!</definedName>
    <definedName name="Shell" localSheetId="1">#REF!</definedName>
    <definedName name="Shell">#REF!</definedName>
    <definedName name="Ship_Date">#REF!</definedName>
    <definedName name="shipment2">#REF!</definedName>
    <definedName name="shiva" localSheetId="1">#REF!</definedName>
    <definedName name="shiva">#REF!</definedName>
    <definedName name="shjhj" localSheetId="1" hidden="1">{#N/A,#N/A,FALSE,"CAM-G7";#N/A,#N/A,FALSE,"SPL";#N/A,#N/A,FALSE,"butt-in G7";#N/A,#N/A,FALSE,"dia-in G7";#N/A,#N/A,FALSE,"추가-STA G7"}</definedName>
    <definedName name="shjhj" hidden="1">{#N/A,#N/A,FALSE,"CAM-G7";#N/A,#N/A,FALSE,"SPL";#N/A,#N/A,FALSE,"butt-in G7";#N/A,#N/A,FALSE,"dia-in G7";#N/A,#N/A,FALSE,"추가-STA G7"}</definedName>
    <definedName name="SHOP">#REF!</definedName>
    <definedName name="Shop_45WeldN">#REF!</definedName>
    <definedName name="Shop_45WeldN_Reinf">#REF!</definedName>
    <definedName name="Shop_90CplgWeld">#REF!</definedName>
    <definedName name="Shop_90WeldN">#REF!</definedName>
    <definedName name="Shop_90WeldN_Reinf">#REF!</definedName>
    <definedName name="Shop_AttSOF">#REF!</definedName>
    <definedName name="Shop_AttWNF">#REF!</definedName>
    <definedName name="Shop_Bevel">#REF!</definedName>
    <definedName name="Shop_Cut">#REF!</definedName>
    <definedName name="shop_fab">#REF!</definedName>
    <definedName name="Shop_Handling">#REF!</definedName>
    <definedName name="Shop_OletWeld">#REF!</definedName>
    <definedName name="Shop_SocketWeld">#REF!</definedName>
    <definedName name="Shop_Threading">#REF!</definedName>
    <definedName name="Shop_Weld">#REF!</definedName>
    <definedName name="SHOPBOQ" localSheetId="1">#REF!</definedName>
    <definedName name="SHOPBOQ">#REF!</definedName>
    <definedName name="SHOPFITTING" localSheetId="1">#REF!</definedName>
    <definedName name="SHOPFITTING">#REF!</definedName>
    <definedName name="SHOPHED" localSheetId="1">#REF!</definedName>
    <definedName name="SHOPHED">#REF!</definedName>
    <definedName name="short" localSheetId="1" hidden="1">{#N/A,#N/A,FALSE,"COVER1.XLS ";#N/A,#N/A,FALSE,"RACT1.XLS";#N/A,#N/A,FALSE,"RACT2.XLS";#N/A,#N/A,FALSE,"ECCMP";#N/A,#N/A,FALSE,"WELDER.XLS"}</definedName>
    <definedName name="short" hidden="1">{#N/A,#N/A,FALSE,"COVER1.XLS ";#N/A,#N/A,FALSE,"RACT1.XLS";#N/A,#N/A,FALSE,"RACT2.XLS";#N/A,#N/A,FALSE,"ECCMP";#N/A,#N/A,FALSE,"WELDER.XLS"}</definedName>
    <definedName name="Short_No">#REF!</definedName>
    <definedName name="ShortTermDebt">#REF!</definedName>
    <definedName name="ShoulderEmb." localSheetId="1">#REF!</definedName>
    <definedName name="ShoulderEmb.">#REF!</definedName>
    <definedName name="ShoulderSubbase">#REF!</definedName>
    <definedName name="Show.Acct.Update.Warning" hidden="1">#REF!</definedName>
    <definedName name="Show.MDB.Update.Warning" hidden="1">#REF!</definedName>
    <definedName name="shower_trap">#REF!</definedName>
    <definedName name="Shree" localSheetId="1">MATCH(0.01,[1]!End_Bal,-1)+1</definedName>
    <definedName name="Shree">MATCH(0.01,[1]!End_Bal,-1)+1</definedName>
    <definedName name="shruti" localSheetId="1">[1]!CUSTOM1_2_bed_fridge_freezer+Extra_Payment</definedName>
    <definedName name="shruti">Scheduled_Payment+Extra_Payment</definedName>
    <definedName name="shs" localSheetId="1" hidden="1">{#N/A,#N/A,TRUE,"Cover";#N/A,#N/A,TRUE,"Conts";#N/A,#N/A,TRUE,"VOS";#N/A,#N/A,TRUE,"Warrington";#N/A,#N/A,TRUE,"Widnes"}</definedName>
    <definedName name="shs" hidden="1">{#N/A,#N/A,TRUE,"Cover";#N/A,#N/A,TRUE,"Conts";#N/A,#N/A,TRUE,"VOS";#N/A,#N/A,TRUE,"Warrington";#N/A,#N/A,TRUE,"Widnes"}</definedName>
    <definedName name="shshgtr" localSheetId="1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hshgtr_1" localSheetId="1" hidden="1">{#N/A,#N/A,TRUE,"Cover";#N/A,#N/A,TRUE,"Conts";#N/A,#N/A,TRUE,"VOS";#N/A,#N/A,TRUE,"Warrington";#N/A,#N/A,TRUE,"Widnes"}</definedName>
    <definedName name="shshgtr_1" hidden="1">{#N/A,#N/A,TRUE,"Cover";#N/A,#N/A,TRUE,"Conts";#N/A,#N/A,TRUE,"VOS";#N/A,#N/A,TRUE,"Warrington";#N/A,#N/A,TRUE,"Widnes"}</definedName>
    <definedName name="shtcctcalc">#REF!</definedName>
    <definedName name="shtoep" localSheetId="1">#REF!</definedName>
    <definedName name="shtoep">#REF!</definedName>
    <definedName name="shtoep.">#REF!</definedName>
    <definedName name="shtoep..">#REF!</definedName>
    <definedName name="shtoep...">#REF!</definedName>
    <definedName name="shut">#REF!</definedName>
    <definedName name="shut_reqt">#REF!</definedName>
    <definedName name="shutter">#REF!</definedName>
    <definedName name="si">#REF!</definedName>
    <definedName name="SI25DPA" localSheetId="1" hidden="1">{#N/A,#N/A,FALSE,"MARCH"}</definedName>
    <definedName name="SI25DPA" hidden="1">{#N/A,#N/A,FALSE,"MARCH"}</definedName>
    <definedName name="si8grading" localSheetId="1" hidden="1">{#N/A,#N/A,FALSE,"MARCH"}</definedName>
    <definedName name="si8grading" hidden="1">{#N/A,#N/A,FALSE,"MARCH"}</definedName>
    <definedName name="siba">#REF!</definedName>
    <definedName name="siba1" localSheetId="1">#REF!</definedName>
    <definedName name="siba1">#REF!</definedName>
    <definedName name="sibabb" localSheetId="1">#REF!</definedName>
    <definedName name="sibabb">#REF!</definedName>
    <definedName name="Sichtbarmachen">#N/A</definedName>
    <definedName name="SideFW_Ang.Connection" localSheetId="1">#REF!</definedName>
    <definedName name="SideFW_Ang.Connection">#REF!</definedName>
    <definedName name="SideFW_V_Connection">#REF!</definedName>
    <definedName name="sidewalk">#REF!</definedName>
    <definedName name="Siemens_eMail">#REF!</definedName>
    <definedName name="SIGMA">#REF!</definedName>
    <definedName name="sigma0_2">#REF!</definedName>
    <definedName name="sigma0.2">#REF!</definedName>
    <definedName name="sigmab">#REF!</definedName>
    <definedName name="sigmah">#REF!</definedName>
    <definedName name="sigmat">#REF!</definedName>
    <definedName name="SIGN">#REF!</definedName>
    <definedName name="SIGNAGE">#REF!</definedName>
    <definedName name="sing_dollrs">#REF!</definedName>
    <definedName name="sisis" localSheetId="1" hidden="1">{"'Sheet1'!$L$16"}</definedName>
    <definedName name="sisis" hidden="1">{"'Sheet1'!$L$16"}</definedName>
    <definedName name="SISUSM" localSheetId="1" hidden="1">{"'Sheet1'!$L$16"}</definedName>
    <definedName name="SISUSM" hidden="1">{"'Sheet1'!$L$16"}</definedName>
    <definedName name="SIT">#REF!</definedName>
    <definedName name="SITE" localSheetId="1" hidden="1">{#N/A,#N/A,TRUE,"Cover";#N/A,#N/A,TRUE,"Conts";#N/A,#N/A,TRUE,"VOS";#N/A,#N/A,TRUE,"Warrington";#N/A,#N/A,TRUE,"Widnes"}</definedName>
    <definedName name="SITE" hidden="1">{#N/A,#N/A,TRUE,"Cover";#N/A,#N/A,TRUE,"Conts";#N/A,#N/A,TRUE,"VOS";#N/A,#N/A,TRUE,"Warrington";#N/A,#N/A,TRUE,"Widnes"}</definedName>
    <definedName name="SITE__WORKS" localSheetId="1">#REF!</definedName>
    <definedName name="SITE__WORKS">#REF!</definedName>
    <definedName name="SITE_OFFICES" localSheetId="1">#REF!</definedName>
    <definedName name="SITE_OFFICES">#REF!</definedName>
    <definedName name="Site_Preparation">#REF!</definedName>
    <definedName name="SITE_STAFF">#REF!</definedName>
    <definedName name="site_survey">#REF!</definedName>
    <definedName name="site.ref" hidden="1">#REF!</definedName>
    <definedName name="SiteArea">#REF!</definedName>
    <definedName name="SiteEstablishmentandOH">5.5/100</definedName>
    <definedName name="SiteexRatio">#REF!</definedName>
    <definedName name="SITEFAC">#REF!</definedName>
    <definedName name="SiteID">#REF!</definedName>
    <definedName name="SiteID_4">#REF!</definedName>
    <definedName name="SiteID_4_1">#REF!</definedName>
    <definedName name="SiteID_6">#REF!</definedName>
    <definedName name="Siterate">#REF!</definedName>
    <definedName name="SiteType">#REF!</definedName>
    <definedName name="SiteType_4">#REF!</definedName>
    <definedName name="SiteType_4_1">#REF!</definedName>
    <definedName name="SiteType_6">#REF!</definedName>
    <definedName name="SITEWORK" localSheetId="1" hidden="1">{#N/A,#N/A,TRUE,"Cover";#N/A,#N/A,TRUE,"Conts";#N/A,#N/A,TRUE,"VOS";#N/A,#N/A,TRUE,"Warrington";#N/A,#N/A,TRUE,"Widnes"}</definedName>
    <definedName name="SITEWORK" hidden="1">{#N/A,#N/A,TRUE,"Cover";#N/A,#N/A,TRUE,"Conts";#N/A,#N/A,TRUE,"VOS";#N/A,#N/A,TRUE,"Warrington";#N/A,#N/A,TRUE,"Widnes"}</definedName>
    <definedName name="SITEWORKS">#REF!</definedName>
    <definedName name="SIX" localSheetId="1">#REF!</definedName>
    <definedName name="SIX">#REF!</definedName>
    <definedName name="six_monthly_revenue" localSheetId="1">#REF!</definedName>
    <definedName name="six_monthly_revenue">#REF!</definedName>
    <definedName name="SIXTEEN" localSheetId="1">#REF!</definedName>
    <definedName name="SIXTEEN">#REF!</definedName>
    <definedName name="SIXYRS_OF_PROJ" localSheetId="1">#REF!</definedName>
    <definedName name="SIXYRS_OF_PROJ">#REF!</definedName>
    <definedName name="SIZE">#REF!</definedName>
    <definedName name="SIZEC">#REF!</definedName>
    <definedName name="SJ">#REF!</definedName>
    <definedName name="SJJJDJDJJFG">#REF!</definedName>
    <definedName name="sk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ew" localSheetId="1">#REF!</definedName>
    <definedName name="Skew">#REF!</definedName>
    <definedName name="SKILLEDCARP">#REF!</definedName>
    <definedName name="SKILLEDSTEEL">#REF!</definedName>
    <definedName name="skim_coat">#REF!</definedName>
    <definedName name="Skimmers">#REF!</definedName>
    <definedName name="SkimmerSpecs">#REF!</definedName>
    <definedName name="Skirt">#REF!</definedName>
    <definedName name="skirting" localSheetId="1">#REF!</definedName>
    <definedName name="skirting">#REF!</definedName>
    <definedName name="SKIRTLE" localSheetId="1">#REF!,#REF!,#REF!,#REF!,#REF!,#REF!,#REF!,#REF!,#REF!,#REF!</definedName>
    <definedName name="SKIRTLE">#REF!,#REF!,#REF!,#REF!,#REF!,#REF!,#REF!,#REF!,#REF!,#REF!</definedName>
    <definedName name="Skopje_Demand" localSheetId="1">#REF!</definedName>
    <definedName name="Skopje_Demand">#REF!</definedName>
    <definedName name="Skopje_SandD">#REF!</definedName>
    <definedName name="Skopje_Visitors">#REF!</definedName>
    <definedName name="skq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skksksks" localSheetId="1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1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l_No">#REF!</definedName>
    <definedName name="sla_in" localSheetId="1">#REF!</definedName>
    <definedName name="sla_in">#REF!</definedName>
    <definedName name="slab" localSheetId="1">{"'Break down'!$A$4"}</definedName>
    <definedName name="slab">{"'Break down'!$A$4"}</definedName>
    <definedName name="Slab_Area_2000">#REF!</definedName>
    <definedName name="Slab_Area_2500">#REF!</definedName>
    <definedName name="SlabArea">#REF!</definedName>
    <definedName name="slabconArea">#REF!</definedName>
    <definedName name="slabconPerimeter">#REF!</definedName>
    <definedName name="SlabPerimeter">#REF!</definedName>
    <definedName name="sland">#REF!</definedName>
    <definedName name="SLATTED">#REF!</definedName>
    <definedName name="slb_in" localSheetId="1">#REF!</definedName>
    <definedName name="slb_in">#REF!</definedName>
    <definedName name="SLC">#REF!</definedName>
    <definedName name="slCODE" localSheetId="1">#REF!</definedName>
    <definedName name="slCODE">#REF!</definedName>
    <definedName name="slCODE_1">"$#REF!.$#REF!$#REF!"</definedName>
    <definedName name="slfold1">#REF!</definedName>
    <definedName name="Slist" localSheetId="1">#REF!</definedName>
    <definedName name="Slist">#REF!</definedName>
    <definedName name="Slist_1">"$#REF!.$#REF!$#REF!"</definedName>
    <definedName name="Slope">#REF!</definedName>
    <definedName name="slss" localSheetId="1">#REF!</definedName>
    <definedName name="slss">#REF!</definedName>
    <definedName name="slsssss" localSheetId="1">#REF!</definedName>
    <definedName name="slsssss">#REF!</definedName>
    <definedName name="slssssss" localSheetId="1">#REF!</definedName>
    <definedName name="slssssss">#REF!</definedName>
    <definedName name="sma" localSheetId="1">{"'Break down'!$A$4"}</definedName>
    <definedName name="sma">{"'Break down'!$A$4"}</definedName>
    <definedName name="sma_1" localSheetId="1">{"'Break down'!$A$4"}</definedName>
    <definedName name="sma_1">{"'Break down'!$A$4"}</definedName>
    <definedName name="sma_in">#REF!</definedName>
    <definedName name="small_cost_summary">#REF!</definedName>
    <definedName name="SmallProj">#REF!</definedName>
    <definedName name="SmallProj_4">#REF!</definedName>
    <definedName name="SmallProj_4_1">#REF!</definedName>
    <definedName name="SmallProj_6">#REF!</definedName>
    <definedName name="SmallProj_Text">#REF!</definedName>
    <definedName name="SmallProj_Text_4">#REF!</definedName>
    <definedName name="SmallProj_Text_4_1">#REF!</definedName>
    <definedName name="SmallProj_Text_6">#REF!</definedName>
    <definedName name="SMargin">#REF!</definedName>
    <definedName name="smb_in">#REF!</definedName>
    <definedName name="smo" localSheetId="1">{"'Break down'!$A$4"}</definedName>
    <definedName name="smo">{"'Break down'!$A$4"}</definedName>
    <definedName name="smo_1" localSheetId="1">{"'Break down'!$A$4"}</definedName>
    <definedName name="smo_1">{"'Break down'!$A$4"}</definedName>
    <definedName name="SN_Salary">#REF!</definedName>
    <definedName name="snd" localSheetId="1">#REF!</definedName>
    <definedName name="snd">#REF!</definedName>
    <definedName name="sndmarg" localSheetId="1">#REF!</definedName>
    <definedName name="sndmarg">#REF!</definedName>
    <definedName name="SNM_EXPAT">#REF!</definedName>
    <definedName name="SNM_EXPAT_HRS">#REF!</definedName>
    <definedName name="SNM_FOREIGN">#REF!</definedName>
    <definedName name="SNM_FOREIGN_HRS">#REF!</definedName>
    <definedName name="SNM_HRS">#REF!</definedName>
    <definedName name="SNM_LAB">#REF!</definedName>
    <definedName name="SO" localSheetId="1">#REF!</definedName>
    <definedName name="SO">#REF!</definedName>
    <definedName name="soap1">#REF!</definedName>
    <definedName name="SOC" localSheetId="1">{"'Sheet1 (2)'!$A$1:$C$61"}</definedName>
    <definedName name="SOC">{"'Sheet1 (2)'!$A$1:$C$61"}</definedName>
    <definedName name="SOC_1" localSheetId="1">{"'Sheet1 (2)'!$A$1:$C$61"}</definedName>
    <definedName name="SOC_1">{"'Sheet1 (2)'!$A$1:$C$61"}</definedName>
    <definedName name="sociva">#REF!</definedName>
    <definedName name="sofa1">#REF!</definedName>
    <definedName name="sofa11">#REF!</definedName>
    <definedName name="sofa2">#REF!</definedName>
    <definedName name="sofa21">#REF!</definedName>
    <definedName name="sofa3">#REF!</definedName>
    <definedName name="sofa31">#REF!</definedName>
    <definedName name="soffitl" localSheetId="1">#REF!</definedName>
    <definedName name="soffitl">#REF!</definedName>
    <definedName name="SOFITEL">#REF!</definedName>
    <definedName name="SOFT">#REF!</definedName>
    <definedName name="soft_board">#REF!</definedName>
    <definedName name="Soft_Landscaping" localSheetId="1">#REF!</definedName>
    <definedName name="Soft_Landscaping">#REF!</definedName>
    <definedName name="SOFTJNT">#REF!</definedName>
    <definedName name="softpan1">#REF!</definedName>
    <definedName name="SOFTS" localSheetId="1">#REF!</definedName>
    <definedName name="SOFTS">#REF!</definedName>
    <definedName name="sohan" localSheetId="1">#REF!</definedName>
    <definedName name="sohan">#REF!</definedName>
    <definedName name="SOIL" localSheetId="1">#REF!</definedName>
    <definedName name="SOIL">#REF!</definedName>
    <definedName name="Soil_Ba_Unitprice">#REF!</definedName>
    <definedName name="Soil_Ba_Unitprice_h">#REF!</definedName>
    <definedName name="Soil_Ba_Unitprice_u">#REF!</definedName>
    <definedName name="Soil_dis_unitprice">#REF!</definedName>
    <definedName name="Soil_dis_unitprice_h">#REF!</definedName>
    <definedName name="Soil_dis_unitprice_u">#REF!</definedName>
    <definedName name="SOL">#REF!</definedName>
    <definedName name="solid_blocks">#REF!</definedName>
    <definedName name="solver_adj" hidden="1">#REF!</definedName>
    <definedName name="solver_lin">0</definedName>
    <definedName name="solver_num">0</definedName>
    <definedName name="solver_opt" hidden="1">#REF!</definedName>
    <definedName name="solver_typ">3</definedName>
    <definedName name="solver_val">2118.99</definedName>
    <definedName name="Sonakshi">#REF!</definedName>
    <definedName name="sonali" localSheetId="1">#REF!</definedName>
    <definedName name="sonali">#REF!</definedName>
    <definedName name="sond" localSheetId="1">#REF!</definedName>
    <definedName name="sond">#REF!</definedName>
    <definedName name="Sonderwerkst_4" localSheetId="1">[1]!HEIGHT_5.2.3___FF03__Ceramic_Tiles____Balconies:[1]!HEIGHT_5.2.3___FF03__Ceramic_Tiles</definedName>
    <definedName name="Sonderwerkst_4">Z70S2:Z70S13</definedName>
    <definedName name="Sonderwerkst_6" localSheetId="1">[1]!HEIGHT_5.2.3___FF03__Ceramic_Tiles_Skirting:[1]!HEIGHT_5.2.3___FF03__Ceramic_Tiles____Waterproofing_to_wet_areas</definedName>
    <definedName name="Sonderwerkst_6">Z72S2:Z72S13</definedName>
    <definedName name="sondf" localSheetId="1">#REF!</definedName>
    <definedName name="sondf">#REF!</definedName>
    <definedName name="sonu" localSheetId="1">[1]!CUSTOM1_2_bed_fridge_freezer+Extra_Payment</definedName>
    <definedName name="sonu">Scheduled_Payment+Extra_Payment</definedName>
    <definedName name="Sonywest" localSheetId="1">#REF!</definedName>
    <definedName name="Sonywest">#REF!</definedName>
    <definedName name="SOONAMKAPOOR" localSheetId="1">#REF!</definedName>
    <definedName name="SOONAMKAPOOR">#REF!</definedName>
    <definedName name="SOP" localSheetId="1">#REF!</definedName>
    <definedName name="SOP">#REF!</definedName>
    <definedName name="SORT">#REF!</definedName>
    <definedName name="sortrnge">#REF!</definedName>
    <definedName name="SOtotal">#REF!</definedName>
    <definedName name="Source">#REF!</definedName>
    <definedName name="Sous_Total_Bati">#REF!</definedName>
    <definedName name="SozlesmeRsYenParitesi">#REF!</definedName>
    <definedName name="SozlesmeYenUSDParitesi">#REF!</definedName>
    <definedName name="sp">#REF!</definedName>
    <definedName name="sp_active_document_name">"NewDocument"</definedName>
    <definedName name="sp_active_phase">1</definedName>
    <definedName name="sp_building_sfc">0</definedName>
    <definedName name="sp_building_sfc_ph_1">0</definedName>
    <definedName name="sp_existing_building_sfc">0</definedName>
    <definedName name="sp_existing_building_sfc_ph_1">0</definedName>
    <definedName name="sp_G_n_3">0</definedName>
    <definedName name="sp_G_n_3_ph_1">0</definedName>
    <definedName name="sp_G_n_3_units">0</definedName>
    <definedName name="sp_G_n_3_units_ph_1">0</definedName>
    <definedName name="sp_hotel">0</definedName>
    <definedName name="sp_hotel_ph_1">0</definedName>
    <definedName name="sp_hotel_units">0</definedName>
    <definedName name="sp_hotel_units_ph_1">0</definedName>
    <definedName name="sp_lakes_ponds_sfc">0</definedName>
    <definedName name="sp_lakes_ponds_sfc_ph_1">0</definedName>
    <definedName name="sp_multifamily">0</definedName>
    <definedName name="sp_multifamily_ph_1">0</definedName>
    <definedName name="sp_multifamily_units">0</definedName>
    <definedName name="sp_multifamily_units_ph_1">0</definedName>
    <definedName name="sp_office">0</definedName>
    <definedName name="sp_office_ph_1">0</definedName>
    <definedName name="sp_office_units">0</definedName>
    <definedName name="sp_office_units_ph_1">0</definedName>
    <definedName name="sp_open_space_sfc">0</definedName>
    <definedName name="sp_open_space_sfc_ph_1">0</definedName>
    <definedName name="sp_programdarkviolet">0</definedName>
    <definedName name="sp_programdarkviolet_ph_1">0</definedName>
    <definedName name="sp_programdarkviolet_units">0</definedName>
    <definedName name="sp_programdarkviolet_units_ph_1">0</definedName>
    <definedName name="sp_programlightblue">0</definedName>
    <definedName name="sp_programlightblue_ph_1">0</definedName>
    <definedName name="sp_programlightblue_units">0</definedName>
    <definedName name="sp_programlightblue_units_ph_1">0</definedName>
    <definedName name="sp_r_n_d">0</definedName>
    <definedName name="sp_r_n_d_ph_1">0</definedName>
    <definedName name="sp_r_n_d_units">0</definedName>
    <definedName name="sp_r_n_d_units_ph_1">0</definedName>
    <definedName name="sp_residential">0</definedName>
    <definedName name="sp_residential_lot_sfc">0</definedName>
    <definedName name="sp_residential_lot_sfc_ph_1">0</definedName>
    <definedName name="sp_residential_ph_1">0</definedName>
    <definedName name="sp_residential_units">0</definedName>
    <definedName name="sp_residential_units_ph_1">0</definedName>
    <definedName name="sp_retail">0</definedName>
    <definedName name="sp_retail_ph_1">0</definedName>
    <definedName name="sp_retail_units">0</definedName>
    <definedName name="sp_retail_units_ph_1">0</definedName>
    <definedName name="sp_single_family">0</definedName>
    <definedName name="sp_single_family_ph_1">0</definedName>
    <definedName name="sp_single_family_units">0</definedName>
    <definedName name="sp_single_family_units_ph_1">0</definedName>
    <definedName name="sp_site_sfc">0</definedName>
    <definedName name="sp_site_sfc_ph_1">0</definedName>
    <definedName name="sp_structured_parking">0</definedName>
    <definedName name="sp_structured_parking_ph_1">0</definedName>
    <definedName name="sp_structured_parking_sfc">0</definedName>
    <definedName name="sp_structured_parking_sfc_ph_1">0</definedName>
    <definedName name="sp_structured_parking_units">0</definedName>
    <definedName name="sp_structured_parking_units_ph_1">0</definedName>
    <definedName name="sp_surface_parking">0</definedName>
    <definedName name="sp_surface_parking_ph_1">0</definedName>
    <definedName name="sp_surface_parking_sfc">0</definedName>
    <definedName name="sp_surface_parking_sfc_ph_1">0</definedName>
    <definedName name="sp_surface_parking_units">0</definedName>
    <definedName name="sp_surface_parking_units_ph_1">0</definedName>
    <definedName name="sp_townhomes">0</definedName>
    <definedName name="sp_townhomes_ph_1">0</definedName>
    <definedName name="sp_townhomes_units">0</definedName>
    <definedName name="sp_townhomes_units_ph_1">0</definedName>
    <definedName name="sp_townhouses">0</definedName>
    <definedName name="sp_townhouses_ph_1">0</definedName>
    <definedName name="sp_townhouses_units">0</definedName>
    <definedName name="sp_townhouses_units_ph_1">0</definedName>
    <definedName name="sp_unassigned">0</definedName>
    <definedName name="sp_unassigned_ph_1">0</definedName>
    <definedName name="sp_unassigned_sfc">2121604.49310928</definedName>
    <definedName name="sp_unassigned_sfc_ph_1">2121604.49310928</definedName>
    <definedName name="sp_unassigned_units">0</definedName>
    <definedName name="sp_unassigned_units_ph_1">0</definedName>
    <definedName name="sp_Villas">0</definedName>
    <definedName name="sp_Villas_ph_1">0</definedName>
    <definedName name="sp_Villas_units">0</definedName>
    <definedName name="sp_Villas_units_ph_1">0</definedName>
    <definedName name="SP1Branch">#REF!</definedName>
    <definedName name="SP1Branch_4" localSheetId="1">#REF!</definedName>
    <definedName name="SP1Branch_4">#REF!</definedName>
    <definedName name="SP1Branch_4_1">#REF!</definedName>
    <definedName name="SP1Branch_6">#REF!</definedName>
    <definedName name="SP1Credit">#REF!</definedName>
    <definedName name="SP1Credit_4">#REF!</definedName>
    <definedName name="SP1Credit_4_1">#REF!</definedName>
    <definedName name="SP1Credit_6">#REF!</definedName>
    <definedName name="SP1Name">#REF!</definedName>
    <definedName name="SP1Name_4">#REF!</definedName>
    <definedName name="SP1Name_4_1">#REF!</definedName>
    <definedName name="SP1Name_6">#REF!</definedName>
    <definedName name="SP1Number">#REF!</definedName>
    <definedName name="SP1Number_4">#REF!</definedName>
    <definedName name="SP1Number_4_1">#REF!</definedName>
    <definedName name="SP1Number_6">#REF!</definedName>
    <definedName name="SP2Branch">#REF!</definedName>
    <definedName name="SP2Branch_4">#REF!</definedName>
    <definedName name="SP2Branch_4_1">#REF!</definedName>
    <definedName name="SP2Branch_6">#REF!</definedName>
    <definedName name="SP2Credit">#REF!</definedName>
    <definedName name="SP2Credit_4">#REF!</definedName>
    <definedName name="SP2Credit_4_1">#REF!</definedName>
    <definedName name="SP2Credit_6">#REF!</definedName>
    <definedName name="SP2Name">#REF!</definedName>
    <definedName name="SP2Name_4">#REF!</definedName>
    <definedName name="SP2Name_4_1">#REF!</definedName>
    <definedName name="SP2Name_6">#REF!</definedName>
    <definedName name="SP2Number">#REF!</definedName>
    <definedName name="SP2Number_4">#REF!</definedName>
    <definedName name="SP2Number_4_1">#REF!</definedName>
    <definedName name="SP2Number_6">#REF!</definedName>
    <definedName name="SP3Branch">#REF!</definedName>
    <definedName name="SP3Branch_4">#REF!</definedName>
    <definedName name="SP3Branch_4_1">#REF!</definedName>
    <definedName name="SP3Branch_6">#REF!</definedName>
    <definedName name="SP3Credit">#REF!</definedName>
    <definedName name="SP3Credit_4">#REF!</definedName>
    <definedName name="SP3Credit_4_1">#REF!</definedName>
    <definedName name="SP3Credit_6">#REF!</definedName>
    <definedName name="SP3Name">#REF!</definedName>
    <definedName name="SP3Name_4">#REF!</definedName>
    <definedName name="SP3Name_4_1">#REF!</definedName>
    <definedName name="SP3Name_6">#REF!</definedName>
    <definedName name="SP3Number">#REF!</definedName>
    <definedName name="SP3Number_4">#REF!</definedName>
    <definedName name="SP3Number_4_1">#REF!</definedName>
    <definedName name="SP3Number_6">#REF!</definedName>
    <definedName name="SP4Branch">#REF!</definedName>
    <definedName name="SP4Branch_4">#REF!</definedName>
    <definedName name="SP4Branch_4_1">#REF!</definedName>
    <definedName name="SP4Branch_6">#REF!</definedName>
    <definedName name="SP4Credit">#REF!</definedName>
    <definedName name="SP4Credit_4">#REF!</definedName>
    <definedName name="SP4Credit_4_1">#REF!</definedName>
    <definedName name="SP4Credit_6">#REF!</definedName>
    <definedName name="SP4Name">#REF!</definedName>
    <definedName name="SP4Name_4">#REF!</definedName>
    <definedName name="SP4Name_4_1">#REF!</definedName>
    <definedName name="SP4Name_6">#REF!</definedName>
    <definedName name="SP4Number">#REF!</definedName>
    <definedName name="SP4Number_4">#REF!</definedName>
    <definedName name="SP4Number_4_1">#REF!</definedName>
    <definedName name="SP4Number_6">#REF!</definedName>
    <definedName name="SP5Branch">#REF!</definedName>
    <definedName name="SP5Branch_4">#REF!</definedName>
    <definedName name="SP5Branch_4_1">#REF!</definedName>
    <definedName name="SP5Branch_6">#REF!</definedName>
    <definedName name="SP5Credit">#REF!</definedName>
    <definedName name="SP5Credit_4">#REF!</definedName>
    <definedName name="SP5Credit_4_1">#REF!</definedName>
    <definedName name="SP5Credit_6">#REF!</definedName>
    <definedName name="SP5Name">#REF!</definedName>
    <definedName name="SP5Name_4">#REF!</definedName>
    <definedName name="SP5Name_4_1">#REF!</definedName>
    <definedName name="SP5Name_6">#REF!</definedName>
    <definedName name="SP5Number">#REF!</definedName>
    <definedName name="SP5Number_4">#REF!</definedName>
    <definedName name="SP5Number_4_1">#REF!</definedName>
    <definedName name="SP5Number_6">#REF!</definedName>
    <definedName name="Spa_Pumps">#REF!</definedName>
    <definedName name="Space_Heating" localSheetId="1">#REF!</definedName>
    <definedName name="Space_Heating">#REF!</definedName>
    <definedName name="SPACERATE" localSheetId="1">#REF!</definedName>
    <definedName name="SPACERATE">#REF!</definedName>
    <definedName name="SPACERPR" localSheetId="1">#REF!</definedName>
    <definedName name="SPACERPR">#REF!</definedName>
    <definedName name="SPACERS" localSheetId="1">#REF!</definedName>
    <definedName name="SPACERS">#REF!</definedName>
    <definedName name="spacing">#REF!</definedName>
    <definedName name="Spare_Parts" localSheetId="1">[1]!CUSTOM1_IA_00B1iF_BD_B_U00___water_tank_2_double_volume</definedName>
    <definedName name="Spare_Parts">[1]!Spare_Parts</definedName>
    <definedName name="Spares" localSheetId="1">#REF!</definedName>
    <definedName name="Spares">#REF!</definedName>
    <definedName name="spbd" localSheetId="1">#REF!</definedName>
    <definedName name="spbd">#REF!</definedName>
    <definedName name="SPC_Input">#REF!,#REF!,#REF!,#REF!,#REF!,#REF!,#REF!,#REF!,#REF!,#REF!,#REF!,#REF!,#REF!,#REF!</definedName>
    <definedName name="SPDAT">"05/11/2003"</definedName>
    <definedName name="spds">#REF!</definedName>
    <definedName name="SPDT2">"20031105"</definedName>
    <definedName name="spe" localSheetId="1" hidden="1">{"'Break down'!$A$4"}</definedName>
    <definedName name="spe" hidden="1">{"'Break down'!$A$4"}</definedName>
    <definedName name="Spec">#REF!</definedName>
    <definedName name="SPEC_1" localSheetId="1">#REF!</definedName>
    <definedName name="SPEC_1">#REF!</definedName>
    <definedName name="SPEC_10">#REF!</definedName>
    <definedName name="SPEC_11">#REF!</definedName>
    <definedName name="SPEC_12">#REF!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_3">#REF!</definedName>
    <definedName name="SPEC_4">#REF!</definedName>
    <definedName name="SPEC_5">#REF!</definedName>
    <definedName name="SPEC_6">#REF!</definedName>
    <definedName name="SPEC_7">#REF!</definedName>
    <definedName name="SPEC_8">#REF!</definedName>
    <definedName name="SPEC_9">#REF!</definedName>
    <definedName name="SpecClass">#REF!</definedName>
    <definedName name="SpecClass_4">#REF!</definedName>
    <definedName name="SpecClass_4_1">#REF!</definedName>
    <definedName name="SpecClass_6">#REF!</definedName>
    <definedName name="SpecClass_Text">#REF!</definedName>
    <definedName name="SpecClass_Text_4">#REF!</definedName>
    <definedName name="SpecClass_Text_4_1">#REF!</definedName>
    <definedName name="SpecClass_Text_6">#REF!</definedName>
    <definedName name="SpecEnv1">#REF!</definedName>
    <definedName name="SpecEnv1_4">#REF!</definedName>
    <definedName name="SpecEnv1_4_1">#REF!</definedName>
    <definedName name="SpecEnv1_6">#REF!</definedName>
    <definedName name="SpecEnv1_Text">#REF!</definedName>
    <definedName name="SpecEnv1_Text_4">#REF!</definedName>
    <definedName name="SpecEnv1_Text_4_1">#REF!</definedName>
    <definedName name="SpecEnv1_Text_6">#REF!</definedName>
    <definedName name="SpecEnv2">#REF!</definedName>
    <definedName name="SpecEnv2_4">#REF!</definedName>
    <definedName name="SpecEnv2_4_1">#REF!</definedName>
    <definedName name="SpecEnv2_6">#REF!</definedName>
    <definedName name="SpecEnv2_Text">#REF!</definedName>
    <definedName name="SpecEnv2_Text_4">#REF!</definedName>
    <definedName name="SpecEnv2_Text_4_1">#REF!</definedName>
    <definedName name="SpecEnv2_Text_6">#REF!</definedName>
    <definedName name="SPECIAL__INSTALLATIONS">#REF!</definedName>
    <definedName name="Special_Equipment">#REF!</definedName>
    <definedName name="Special_Services">#REF!</definedName>
    <definedName name="Specialist_Foundations" localSheetId="1">#REF!</definedName>
    <definedName name="Specialist_Foundations">#REF!</definedName>
    <definedName name="SpecialPrice" localSheetId="1" hidden="1">#REF!</definedName>
    <definedName name="SpecialPrice" hidden="1">#REF!</definedName>
    <definedName name="SPECSCAFOLDPR">#REF!</definedName>
    <definedName name="SPECSCAFOLDRATE">#REF!</definedName>
    <definedName name="SPECSUMMARY">#REF!</definedName>
    <definedName name="sper">#REF!</definedName>
    <definedName name="SpinIntersection">#REF!</definedName>
    <definedName name="SpinSlope">#REF!</definedName>
    <definedName name="SpinVar" localSheetId="1">#REF!</definedName>
    <definedName name="SpinVar">#REF!</definedName>
    <definedName name="Split">#REF!</definedName>
    <definedName name="splitter1">#REF!</definedName>
    <definedName name="SPLR" localSheetId="1">#REF!</definedName>
    <definedName name="SPLR">#REF!</definedName>
    <definedName name="SPLR_4" localSheetId="1">#REF!</definedName>
    <definedName name="SPLR_4">#REF!</definedName>
    <definedName name="SPLR_4_1" localSheetId="1">#REF!</definedName>
    <definedName name="SPLR_4_1">#REF!</definedName>
    <definedName name="SPLR_6">#REF!</definedName>
    <definedName name="SPNAM">"QPQUPRFIL"</definedName>
    <definedName name="SPNMB">"1"</definedName>
    <definedName name="Sports" localSheetId="1">#REF!</definedName>
    <definedName name="Sports">#REF!</definedName>
    <definedName name="sppl" localSheetId="1">#REF!</definedName>
    <definedName name="sppl">#REF!</definedName>
    <definedName name="SPR" localSheetId="1">#REF!</definedName>
    <definedName name="SPR">#REF!</definedName>
    <definedName name="sprare">#REF!</definedName>
    <definedName name="SPRINKLERS">#REF!</definedName>
    <definedName name="SProject">#REF!</definedName>
    <definedName name="sprrow" localSheetId="1">#REF!</definedName>
    <definedName name="sprrow">#REF!</definedName>
    <definedName name="spsw" localSheetId="1">#REF!</definedName>
    <definedName name="spsw">#REF!</definedName>
    <definedName name="sptc" localSheetId="1">#REF!</definedName>
    <definedName name="sptc">#REF!</definedName>
    <definedName name="SPTIM">"160757"</definedName>
    <definedName name="spù">#REF!</definedName>
    <definedName name="spws" localSheetId="1">#REF!</definedName>
    <definedName name="spws">#REF!</definedName>
    <definedName name="Sqbar102" localSheetId="1">#REF!</definedName>
    <definedName name="Sqbar102">#REF!</definedName>
    <definedName name="Sqbar10gs2">#REF!</definedName>
    <definedName name="Sqbar122">#REF!</definedName>
    <definedName name="Sqbar12gs2">#REF!</definedName>
    <definedName name="Sqbeam2">#REF!</definedName>
    <definedName name="Sqcef2">#REF!</definedName>
    <definedName name="Sqcesk2">#REF!</definedName>
    <definedName name="Sqcew2">#REF!</definedName>
    <definedName name="Sqcew5202">#REF!</definedName>
    <definedName name="Sqdoor2">#REF!</definedName>
    <definedName name="Sqemul2">#REF!</definedName>
    <definedName name="Sqepox2">#REF!</definedName>
    <definedName name="Sqexca2">#REF!</definedName>
    <definedName name="Sqfnm2">#REF!</definedName>
    <definedName name="Sqfoot2">#REF!</definedName>
    <definedName name="Sqfwt2">#REF!</definedName>
    <definedName name="Sqgranfl2">#REF!</definedName>
    <definedName name="Sqgransk2">#REF!</definedName>
    <definedName name="Sqgsl2">#REF!</definedName>
    <definedName name="Sqinsu2">#REF!</definedName>
    <definedName name="Sqiso2">#REF!</definedName>
    <definedName name="Sqlean2">#REF!</definedName>
    <definedName name="Sqltbar2">#REF!</definedName>
    <definedName name="Sqltconc2">#REF!</definedName>
    <definedName name="Sqluxa2">#REF!</definedName>
    <definedName name="Sqmastic2">#REF!</definedName>
    <definedName name="Sqplast202">#REF!</definedName>
    <definedName name="Sqplastbeam2">#REF!</definedName>
    <definedName name="Sqradcon2">#REF!</definedName>
    <definedName name="SQRT__1___0_6___1_0">#REF!</definedName>
    <definedName name="SQRT__1___0_6___1_0___0">#REF!</definedName>
    <definedName name="SQRT__1___0_6___1_0___13">#REF!</definedName>
    <definedName name="SQRT__1___0.6___1.0">#REF!</definedName>
    <definedName name="Sqsilicon2">#REF!</definedName>
    <definedName name="Sqslab2">#REF!</definedName>
    <definedName name="Sqstair2">#REF!</definedName>
    <definedName name="Sqterfl2">#REF!</definedName>
    <definedName name="Sqterst2">#REF!</definedName>
    <definedName name="Sqwall102">#REF!</definedName>
    <definedName name="Sqwall2">#REF!</definedName>
    <definedName name="Sqwall202">#REF!</definedName>
    <definedName name="sqwdew">#N/A</definedName>
    <definedName name="Sqwearther2" localSheetId="1">#REF!</definedName>
    <definedName name="Sqwearther2">#REF!</definedName>
    <definedName name="Sqweather2" localSheetId="1">#REF!</definedName>
    <definedName name="Sqweather2">#REF!</definedName>
    <definedName name="Sqwind2" localSheetId="1">#REF!</definedName>
    <definedName name="Sqwind2">#REF!</definedName>
    <definedName name="sr">#REF!</definedName>
    <definedName name="SR_NO.">#REF!</definedName>
    <definedName name="Srayedin_Building_Materials_Trading_LLC" localSheetId="1">#REF!</definedName>
    <definedName name="Srayedin_Building_Materials_Trading_LLC">#REF!</definedName>
    <definedName name="SRB" localSheetId="1" hidden="1">{"'Sheet1'!$A$4386:$N$4591"}</definedName>
    <definedName name="SRB" hidden="1">{"'Sheet1'!$A$4386:$N$4591"}</definedName>
    <definedName name="SRC">#REF!</definedName>
    <definedName name="srdtrd" localSheetId="1" hidden="1">{"'Sheet1'!$L$16"}</definedName>
    <definedName name="srdtrd" hidden="1">{"'Sheet1'!$L$16"}</definedName>
    <definedName name="srhrh" localSheetId="1" hidden="1">{#N/A,#N/A,TRUE,"Cover";#N/A,#N/A,TRUE,"Conts";#N/A,#N/A,TRUE,"VOS";#N/A,#N/A,TRUE,"Warrington";#N/A,#N/A,TRUE,"Widnes"}</definedName>
    <definedName name="srhrh" hidden="1">{#N/A,#N/A,TRUE,"Cover";#N/A,#N/A,TRUE,"Conts";#N/A,#N/A,TRUE,"VOS";#N/A,#N/A,TRUE,"Warrington";#N/A,#N/A,TRUE,"Widnes"}</definedName>
    <definedName name="srhrh_1" localSheetId="1" hidden="1">{#N/A,#N/A,TRUE,"Cover";#N/A,#N/A,TRUE,"Conts";#N/A,#N/A,TRUE,"VOS";#N/A,#N/A,TRUE,"Warrington";#N/A,#N/A,TRUE,"Widnes"}</definedName>
    <definedName name="srhrh_1" hidden="1">{#N/A,#N/A,TRUE,"Cover";#N/A,#N/A,TRUE,"Conts";#N/A,#N/A,TRUE,"VOS";#N/A,#N/A,TRUE,"Warrington";#N/A,#N/A,TRUE,"Widnes"}</definedName>
    <definedName name="SRI" localSheetId="1">#REF!</definedName>
    <definedName name="SRI">#REF!</definedName>
    <definedName name="srmgr1">#REF!</definedName>
    <definedName name="srmgr2">#REF!</definedName>
    <definedName name="SRMPA30">#REF!</definedName>
    <definedName name="SRMPA40">#REF!</definedName>
    <definedName name="srsetrthgfh" localSheetId="1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etrthgfh_1" localSheetId="1" hidden="1">{#N/A,#N/A,TRUE,"Cover";#N/A,#N/A,TRUE,"Conts";#N/A,#N/A,TRUE,"VOS";#N/A,#N/A,TRUE,"Warrington";#N/A,#N/A,TRUE,"Widnes"}</definedName>
    <definedName name="srsetrthgfh_1" hidden="1">{#N/A,#N/A,TRUE,"Cover";#N/A,#N/A,TRUE,"Conts";#N/A,#N/A,TRUE,"VOS";#N/A,#N/A,TRUE,"Warrington";#N/A,#N/A,TRUE,"Widnes"}</definedName>
    <definedName name="srsretr" localSheetId="1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sretr_1" localSheetId="1" hidden="1">{#N/A,#N/A,TRUE,"Cover";#N/A,#N/A,TRUE,"Conts";#N/A,#N/A,TRUE,"VOS";#N/A,#N/A,TRUE,"Warrington";#N/A,#N/A,TRUE,"Widnes"}</definedName>
    <definedName name="srsretr_1" hidden="1">{#N/A,#N/A,TRUE,"Cover";#N/A,#N/A,TRUE,"Conts";#N/A,#N/A,TRUE,"VOS";#N/A,#N/A,TRUE,"Warrington";#N/A,#N/A,TRUE,"Widnes"}</definedName>
    <definedName name="srtthyr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vcCode1">#REF!</definedName>
    <definedName name="SrvcCode1_4" localSheetId="1">#REF!</definedName>
    <definedName name="SrvcCode1_4">#REF!</definedName>
    <definedName name="SrvcCode1_4_1" localSheetId="1">#REF!</definedName>
    <definedName name="SrvcCode1_4_1">#REF!</definedName>
    <definedName name="SrvcCode1_6">#REF!</definedName>
    <definedName name="SrvcCode1_Text">#REF!</definedName>
    <definedName name="SrvcCode1_Text_4">#REF!</definedName>
    <definedName name="SrvcCode1_Text_4_1">#REF!</definedName>
    <definedName name="SrvcCode1_Text_6">#REF!</definedName>
    <definedName name="SrvcCode2">#REF!</definedName>
    <definedName name="SrvcCode2_4">#REF!</definedName>
    <definedName name="SrvcCode2_4_1">#REF!</definedName>
    <definedName name="SrvcCode2_6">#REF!</definedName>
    <definedName name="SrvcCode2_Text">#REF!</definedName>
    <definedName name="SrvcCode2_Text_4">#REF!</definedName>
    <definedName name="SrvcCode2_Text_4_1">#REF!</definedName>
    <definedName name="SrvcCode2_Text_6">#REF!</definedName>
    <definedName name="SrvcCode3">#REF!</definedName>
    <definedName name="SrvcCode3_4">#REF!</definedName>
    <definedName name="SrvcCode3_4_1">#REF!</definedName>
    <definedName name="SrvcCode3_6">#REF!</definedName>
    <definedName name="SrvcCode3_Text">#REF!</definedName>
    <definedName name="SrvcCode3_Text_4">#REF!</definedName>
    <definedName name="SrvcCode3_Text_4_1">#REF!</definedName>
    <definedName name="SrvcCode3_Text_6">#REF!</definedName>
    <definedName name="SrvcCode4">#REF!</definedName>
    <definedName name="SrvcCode4_4">#REF!</definedName>
    <definedName name="SrvcCode4_4_1">#REF!</definedName>
    <definedName name="SrvcCode4_6">#REF!</definedName>
    <definedName name="SrvcCode4_Text">#REF!</definedName>
    <definedName name="SrvcCode4_Text_4">#REF!</definedName>
    <definedName name="SrvcCode4_Text_4_1">#REF!</definedName>
    <definedName name="SrvcCode4_Text_6">#REF!</definedName>
    <definedName name="SrvcCode5">#REF!</definedName>
    <definedName name="SrvcCode5_4">#REF!</definedName>
    <definedName name="SrvcCode5_4_1">#REF!</definedName>
    <definedName name="SrvcCode5_6">#REF!</definedName>
    <definedName name="SrvcCode5_Text">#REF!</definedName>
    <definedName name="SrvcCode5_Text_4">#REF!</definedName>
    <definedName name="SrvcCode5_Text_4_1">#REF!</definedName>
    <definedName name="SrvcCode5_Text_6">#REF!</definedName>
    <definedName name="sryesrt" localSheetId="1" hidden="1">{#N/A,#N/A,FALSE,"VARIATIONS";#N/A,#N/A,FALSE,"BUDGET";#N/A,#N/A,FALSE,"CIVIL QNTY VAR";#N/A,#N/A,FALSE,"SUMMARY";#N/A,#N/A,FALSE,"MATERIAL VAR"}</definedName>
    <definedName name="sryesrt" hidden="1">{#N/A,#N/A,FALSE,"VARIATIONS";#N/A,#N/A,FALSE,"BUDGET";#N/A,#N/A,FALSE,"CIVIL QNTY VAR";#N/A,#N/A,FALSE,"SUMMARY";#N/A,#N/A,FALSE,"MATERIAL VAR"}</definedName>
    <definedName name="sryeysr" localSheetId="1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ryeysr_1" localSheetId="1" hidden="1">{#N/A,#N/A,TRUE,"Cover";#N/A,#N/A,TRUE,"Conts";#N/A,#N/A,TRUE,"VOS";#N/A,#N/A,TRUE,"Warrington";#N/A,#N/A,TRUE,"Widnes"}</definedName>
    <definedName name="sryeysr_1" hidden="1">{#N/A,#N/A,TRUE,"Cover";#N/A,#N/A,TRUE,"Conts";#N/A,#N/A,TRUE,"VOS";#N/A,#N/A,TRUE,"Warrington";#N/A,#N/A,TRUE,"Widnes"}</definedName>
    <definedName name="ss" localSheetId="1">#REF!</definedName>
    <definedName name="ss">#REF!</definedName>
    <definedName name="SS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_1_1">"#REF!"</definedName>
    <definedName name="SS_1_2">"#REF!"</definedName>
    <definedName name="SS_1_3">"#REF!"</definedName>
    <definedName name="SS_1_4">"#REF!"</definedName>
    <definedName name="SS_10">#REF!</definedName>
    <definedName name="SS_10_1">"#REF!"</definedName>
    <definedName name="SS_10_2">"#REF!"</definedName>
    <definedName name="SS_10_3">"#REF!"</definedName>
    <definedName name="SS_10_4">"#REF!"</definedName>
    <definedName name="SS_11">#REF!</definedName>
    <definedName name="SS_11_1">"#REF!"</definedName>
    <definedName name="SS_11_2">"#REF!"</definedName>
    <definedName name="SS_11_3">"#REF!"</definedName>
    <definedName name="SS_11_4">"#REF!"</definedName>
    <definedName name="SS_12">#REF!</definedName>
    <definedName name="SS_12_1">"#REF!"</definedName>
    <definedName name="SS_12_2">"#REF!"</definedName>
    <definedName name="SS_12_3">"#REF!"</definedName>
    <definedName name="SS_12_4">"#REF!"</definedName>
    <definedName name="SS_13">#REF!</definedName>
    <definedName name="SS_13_1">"#REF!"</definedName>
    <definedName name="SS_13_2">"#REF!"</definedName>
    <definedName name="SS_13_3">"#REF!"</definedName>
    <definedName name="SS_13_4">"#REF!"</definedName>
    <definedName name="SS_14">#REF!</definedName>
    <definedName name="SS_14_1">"#REF!"</definedName>
    <definedName name="SS_14_2">"#REF!"</definedName>
    <definedName name="SS_14_3">"#REF!"</definedName>
    <definedName name="SS_14_4">"#REF!"</definedName>
    <definedName name="SS_15">#REF!</definedName>
    <definedName name="SS_15_1">"#REF!"</definedName>
    <definedName name="SS_15_2">"#REF!"</definedName>
    <definedName name="SS_15_3">"#REF!"</definedName>
    <definedName name="SS_15_4">"#REF!"</definedName>
    <definedName name="SS_16">#REF!</definedName>
    <definedName name="SS_16_1">"#REF!"</definedName>
    <definedName name="SS_16_2">"#REF!"</definedName>
    <definedName name="SS_16_3">"#REF!"</definedName>
    <definedName name="SS_16_4">"#REF!"</definedName>
    <definedName name="SS_17">#REF!</definedName>
    <definedName name="SS_17_1">"#REF!"</definedName>
    <definedName name="SS_17_2">"#REF!"</definedName>
    <definedName name="SS_17_3">"#REF!"</definedName>
    <definedName name="SS_17_4">"#REF!"</definedName>
    <definedName name="SS_18">#REF!</definedName>
    <definedName name="SS_18_1">"#REF!"</definedName>
    <definedName name="SS_18_2">"#REF!"</definedName>
    <definedName name="SS_18_3">"#REF!"</definedName>
    <definedName name="SS_18_4">"#REF!"</definedName>
    <definedName name="SS_19">#REF!</definedName>
    <definedName name="SS_19_1">"#REF!"</definedName>
    <definedName name="SS_19_2">"#REF!"</definedName>
    <definedName name="SS_19_3">"#REF!"</definedName>
    <definedName name="SS_19_4">"#REF!"</definedName>
    <definedName name="SS_2">#REF!</definedName>
    <definedName name="SS_2_1">"#REF!"</definedName>
    <definedName name="SS_2_2">"#REF!"</definedName>
    <definedName name="SS_2_3">"#REF!"</definedName>
    <definedName name="SS_2_4">"#REF!"</definedName>
    <definedName name="SS_20">#REF!</definedName>
    <definedName name="SS_20_1">"#REF!"</definedName>
    <definedName name="SS_20_2">"#REF!"</definedName>
    <definedName name="SS_20_3">"#REF!"</definedName>
    <definedName name="SS_20_4">"#REF!"</definedName>
    <definedName name="SS_21">#REF!</definedName>
    <definedName name="SS_21_1">"#REF!"</definedName>
    <definedName name="SS_21_2">"#REF!"</definedName>
    <definedName name="SS_21_3">"#REF!"</definedName>
    <definedName name="SS_21_4">"#REF!"</definedName>
    <definedName name="SS_22">#REF!</definedName>
    <definedName name="SS_22_1">"#REF!"</definedName>
    <definedName name="SS_22_2">"#REF!"</definedName>
    <definedName name="SS_22_3">"#REF!"</definedName>
    <definedName name="SS_22_4">"#REF!"</definedName>
    <definedName name="SS_23">#REF!</definedName>
    <definedName name="SS_23_1">"#REF!"</definedName>
    <definedName name="SS_23_2">"#REF!"</definedName>
    <definedName name="SS_23_3">"#REF!"</definedName>
    <definedName name="SS_23_4">"#REF!"</definedName>
    <definedName name="SS_24">#REF!</definedName>
    <definedName name="SS_24_1">"#REF!"</definedName>
    <definedName name="SS_24_2">"#REF!"</definedName>
    <definedName name="SS_24_3">"#REF!"</definedName>
    <definedName name="SS_24_4">"#REF!"</definedName>
    <definedName name="SS_25">#REF!</definedName>
    <definedName name="SS_25_1">"#REF!"</definedName>
    <definedName name="SS_25_2">"#REF!"</definedName>
    <definedName name="SS_25_3">"#REF!"</definedName>
    <definedName name="SS_25_4">"#REF!"</definedName>
    <definedName name="SS_26">#REF!</definedName>
    <definedName name="SS_26_1">"#REF!"</definedName>
    <definedName name="SS_26_2">"#REF!"</definedName>
    <definedName name="SS_26_3">"#REF!"</definedName>
    <definedName name="SS_26_4">"#REF!"</definedName>
    <definedName name="SS_3">#REF!</definedName>
    <definedName name="SS_3_1">"#REF!"</definedName>
    <definedName name="SS_3_2">"#REF!"</definedName>
    <definedName name="SS_3_3">"#REF!"</definedName>
    <definedName name="SS_3_4">"#REF!"</definedName>
    <definedName name="SS_4">#REF!</definedName>
    <definedName name="SS_4_1">"#REF!"</definedName>
    <definedName name="SS_4_2">"#REF!"</definedName>
    <definedName name="SS_4_3">"#REF!"</definedName>
    <definedName name="SS_4_4">"#REF!"</definedName>
    <definedName name="SS_5">#REF!</definedName>
    <definedName name="SS_5_1">"#REF!"</definedName>
    <definedName name="SS_5_2">"#REF!"</definedName>
    <definedName name="SS_5_3">"#REF!"</definedName>
    <definedName name="SS_5_4">"#REF!"</definedName>
    <definedName name="SS_6">#REF!</definedName>
    <definedName name="SS_6_1">"#REF!"</definedName>
    <definedName name="SS_6_2">"#REF!"</definedName>
    <definedName name="SS_6_3">"#REF!"</definedName>
    <definedName name="SS_6_4">"#REF!"</definedName>
    <definedName name="SS_7">#REF!</definedName>
    <definedName name="SS_7_1">"#REF!"</definedName>
    <definedName name="SS_7_2">"#REF!"</definedName>
    <definedName name="SS_7_3">"#REF!"</definedName>
    <definedName name="SS_7_4">"#REF!"</definedName>
    <definedName name="SS_8">#REF!</definedName>
    <definedName name="SS_8_1">"#REF!"</definedName>
    <definedName name="SS_8_2">"#REF!"</definedName>
    <definedName name="SS_8_3">"#REF!"</definedName>
    <definedName name="SS_8_4">"#REF!"</definedName>
    <definedName name="SS_9">#REF!</definedName>
    <definedName name="SS_9_1">"#REF!"</definedName>
    <definedName name="SS_9_2">"#REF!"</definedName>
    <definedName name="SS_9_3">"#REF!"</definedName>
    <definedName name="SS_9_4">"#REF!"</definedName>
    <definedName name="SS_Railing" localSheetId="1">#REF!</definedName>
    <definedName name="SS_Railing">#REF!</definedName>
    <definedName name="ssa" localSheetId="1">#REF!</definedName>
    <definedName name="ssa">#REF!</definedName>
    <definedName name="ssaghg">#N/A</definedName>
    <definedName name="ssbalu">#REF!</definedName>
    <definedName name="ssd" localSheetId="1" hidden="1">{#N/A,#N/A,FALSE,"MARCH"}</definedName>
    <definedName name="ssd" hidden="1">{#N/A,#N/A,FALSE,"MARCH"}</definedName>
    <definedName name="ssdad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sd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SDB">#REF!</definedName>
    <definedName name="ssddsds" localSheetId="1">#REF!</definedName>
    <definedName name="ssddsds">#REF!</definedName>
    <definedName name="ssdoor" localSheetId="1">#REF!</definedName>
    <definedName name="ssdoor">#REF!</definedName>
    <definedName name="ssfdfgsdf" localSheetId="1">#N/A</definedName>
    <definedName name="ssfdfgsdf">OFFSET([1]!Full_Print,0,0,[1]!ssss)</definedName>
    <definedName name="SSframedoor" localSheetId="1">#REF!</definedName>
    <definedName name="SSframedoor">#REF!</definedName>
    <definedName name="ssgh" localSheetId="1">BlankMacro1</definedName>
    <definedName name="ssgh">BlankMacro1</definedName>
    <definedName name="SshowAll">#REF!,#REF!</definedName>
    <definedName name="ssink1">#REF!</definedName>
    <definedName name="sskirt">#REF!</definedName>
    <definedName name="sso" localSheetId="1">BlankMacro1</definedName>
    <definedName name="sso">BlankMacro1</definedName>
    <definedName name="SSPAN" localSheetId="1">#REF!</definedName>
    <definedName name="SSPAN">#REF!</definedName>
    <definedName name="SSPANEL">#REF!</definedName>
    <definedName name="sss" localSheetId="1">{"'Break down'!$A$4"}</definedName>
    <definedName name="sss">{"'Break down'!$A$4"}</definedName>
    <definedName name="sss_1" localSheetId="1">{"'Break down'!$A$4"}</definedName>
    <definedName name="sss_1">{"'Break down'!$A$4"}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>#REF!</definedName>
    <definedName name="ssss056" localSheetId="1">#REF!</definedName>
    <definedName name="ssss056">#REF!</definedName>
    <definedName name="ssssr" localSheetId="1">BlankMacro1</definedName>
    <definedName name="ssssr">BlankMacro1</definedName>
    <definedName name="sssss" localSheetId="1">#REF!</definedName>
    <definedName name="sssss">#REF!</definedName>
    <definedName name="sssss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15605">#REF!</definedName>
    <definedName name="ssssss" hidden="1">#REF!</definedName>
    <definedName name="sssssss" localSheetId="1">#REF!</definedName>
    <definedName name="sssssss">#REF!</definedName>
    <definedName name="ssssssslff" localSheetId="1">#REF!</definedName>
    <definedName name="ssssssslff">#REF!</definedName>
    <definedName name="ssssssss" localSheetId="1">#REF!</definedName>
    <definedName name="ssssssss">#REF!</definedName>
    <definedName name="ssssssss456">#REF!</definedName>
    <definedName name="sssssssss">#REF!</definedName>
    <definedName name="sssssssssss">#REF!</definedName>
    <definedName name="ssssssSsssss45566s">#REF!</definedName>
    <definedName name="sssssssssssssssssss">#REF!</definedName>
    <definedName name="ssssssssssssssssssssssssssssssss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s">#N/A</definedName>
    <definedName name="SSttip_Area" localSheetId="1">#REF!</definedName>
    <definedName name="SSttip_Area">#REF!</definedName>
    <definedName name="ST" localSheetId="1">#REF!</definedName>
    <definedName name="st">#REF!</definedName>
    <definedName name="STAFF" localSheetId="1">#REF!</definedName>
    <definedName name="STAFF">#REF!</definedName>
    <definedName name="Staff_List">#REF!</definedName>
    <definedName name="Staff_name">#REF!</definedName>
    <definedName name="STAFF_REQUIRED_FOR_FINAL_BILL">#REF!</definedName>
    <definedName name="staff1">#REF!</definedName>
    <definedName name="staff2">#REF!</definedName>
    <definedName name="STAFFCST">#REF!</definedName>
    <definedName name="STAFFLIB">#REF!</definedName>
    <definedName name="STAFFLIST">#REF!</definedName>
    <definedName name="STAFFX">#REF!</definedName>
    <definedName name="Stage">#REF!</definedName>
    <definedName name="StageCF_StageList">#REF!</definedName>
    <definedName name="Staircase" localSheetId="1">#REF!</definedName>
    <definedName name="Staircase">#REF!</definedName>
    <definedName name="Staircase2" localSheetId="1">#REF!</definedName>
    <definedName name="Staircase2">#REF!</definedName>
    <definedName name="Staircases" localSheetId="1">#REF!</definedName>
    <definedName name="Staircases">#REF!</definedName>
    <definedName name="STAIRS">#REF!</definedName>
    <definedName name="stall_door">#REF!</definedName>
    <definedName name="STALU" localSheetId="1">#REF!</definedName>
    <definedName name="STALU">#REF!</definedName>
    <definedName name="STAMPA" localSheetId="1">#REF!</definedName>
    <definedName name="STAMPA">#REF!</definedName>
    <definedName name="STAMPA12" localSheetId="1">#REF!</definedName>
    <definedName name="STAMPA12">#REF!</definedName>
    <definedName name="Stand_sch" localSheetId="1">[1]!CUSTOM1_IA_08F_AA_U03___BR1_dresser</definedName>
    <definedName name="Stand_sch">[1]!Stand_sch</definedName>
    <definedName name="Standardfooter">#N/A</definedName>
    <definedName name="Standort">#REF!</definedName>
    <definedName name="star" localSheetId="1">DATE(YEAR('City Walk - Comparison'!bhjbh),MONTH('City Walk - Comparison'!bhjbh)+[1]!COUNT_FS05_1B1,DAY('City Walk - Comparison'!bhjbh))</definedName>
    <definedName name="star">DATE(YEAR(Loan_Start),MONTH(Loan_Start)+Payment_Number,DAY(Loan_Start))</definedName>
    <definedName name="Staredsfsfs">#N/A</definedName>
    <definedName name="start" localSheetId="1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#REF!</definedName>
    <definedName name="Start_date1">#REF!</definedName>
    <definedName name="start_mod">#REF!</definedName>
    <definedName name="Start_Row">#REF!</definedName>
    <definedName name="start_scanning1.0">#REF!</definedName>
    <definedName name="start_scanning1.3">#REF!</definedName>
    <definedName name="start_scanning2.0">#REF!</definedName>
    <definedName name="start_scanning2.1">#REF!</definedName>
    <definedName name="start_scanning3.0B">#REF!</definedName>
    <definedName name="start_scanning3.1">#REF!</definedName>
    <definedName name="start_scanning4.0">#REF!</definedName>
    <definedName name="start_scanning4.1">#REF!</definedName>
    <definedName name="start_scanning4.1A">#REF!</definedName>
    <definedName name="start_scanning4.2">#REF!</definedName>
    <definedName name="start_scanning40">#REF!</definedName>
    <definedName name="start_scanning5.0">#REF!</definedName>
    <definedName name="start_scanning5.1B">#REF!</definedName>
    <definedName name="start_scanning6.2">#REF!</definedName>
    <definedName name="start_scanning6.3">#REF!</definedName>
    <definedName name="start_scanning7.0">#REF!</definedName>
    <definedName name="STARTA">#REF!</definedName>
    <definedName name="STARTBB">#REF!</definedName>
    <definedName name="STARTBBB">#REF!</definedName>
    <definedName name="STARTBBBB">#REF!</definedName>
    <definedName name="STARTC">#REF!</definedName>
    <definedName name="STARTCC">#REF!</definedName>
    <definedName name="STARTCCC">#REF!</definedName>
    <definedName name="STARTCCCC">#REF!</definedName>
    <definedName name="STARTCCCCC">#REF!</definedName>
    <definedName name="StartDate">#REF!</definedName>
    <definedName name="StartDate_4">#REF!</definedName>
    <definedName name="StartDate_4_1">#REF!</definedName>
    <definedName name="StartDate_6">#REF!</definedName>
    <definedName name="Starter">#REF!</definedName>
    <definedName name="STARTP" localSheetId="1">#REF!</definedName>
    <definedName name="STARTP">#REF!</definedName>
    <definedName name="StartPos" localSheetId="1">#REF!</definedName>
    <definedName name="StartPos">#REF!</definedName>
    <definedName name="Stat">#REF!</definedName>
    <definedName name="STATE">"*READY"</definedName>
    <definedName name="StationPC">#REF!</definedName>
    <definedName name="STATUS" localSheetId="1">#REF!</definedName>
    <definedName name="STATUS">#REF!</definedName>
    <definedName name="STATUS_DRGS" localSheetId="1">#REF!</definedName>
    <definedName name="STATUS_DRGS">#REF!</definedName>
    <definedName name="Stbik">#REF!</definedName>
    <definedName name="Stcan">#REF!</definedName>
    <definedName name="Stcar">#REF!</definedName>
    <definedName name="STCEIL">#REF!</definedName>
    <definedName name="STCONC">#REF!</definedName>
    <definedName name="Stcoo">#REF!</definedName>
    <definedName name="Std_Hotel">#REF!</definedName>
    <definedName name="Stdor" localSheetId="1">#REF!</definedName>
    <definedName name="Stdor">#REF!</definedName>
    <definedName name="Stdra" localSheetId="1">#REF!</definedName>
    <definedName name="Stdra">#REF!</definedName>
    <definedName name="steam_trap">#REF!</definedName>
    <definedName name="STEEL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el">#REF!</definedName>
    <definedName name="STEEL_BEAM" localSheetId="1">#REF!</definedName>
    <definedName name="STEEL_BEAM">#REF!</definedName>
    <definedName name="STEEL_CITY" localSheetId="1">#REF!</definedName>
    <definedName name="STEEL_CITY">#REF!</definedName>
    <definedName name="Steel_Code">#REF!</definedName>
    <definedName name="STEEL_ESC" localSheetId="1">#REF!</definedName>
    <definedName name="STEEL_ESC">#REF!</definedName>
    <definedName name="STEEL_OLD_CITY">#REF!</definedName>
    <definedName name="STEEL_OLD_ESC">#REF!</definedName>
    <definedName name="STEEL_OLD_PROD">#REF!</definedName>
    <definedName name="STEEL_OLD_WAGE">#REF!</definedName>
    <definedName name="STEEL_PROD">#REF!</definedName>
    <definedName name="STEEL_WAGE">#REF!</definedName>
    <definedName name="STEELCOLRATE">#REF!</definedName>
    <definedName name="STEELDBEAMSRATE">#REF!</definedName>
    <definedName name="STEELFOOTRATE">#REF!</definedName>
    <definedName name="SteelPlates">#N/A</definedName>
    <definedName name="STEELPRCOL" localSheetId="1">#REF!</definedName>
    <definedName name="STEELPRCOL">#REF!</definedName>
    <definedName name="STEELPRDBEAMS" localSheetId="1">#REF!</definedName>
    <definedName name="STEELPRDBEAMS">#REF!</definedName>
    <definedName name="STEELPRFOOT" localSheetId="1">#REF!</definedName>
    <definedName name="STEELPRFOOT">#REF!</definedName>
    <definedName name="STEELPRRW1">#REF!</definedName>
    <definedName name="STEELPRRW2">#REF!</definedName>
    <definedName name="STEELPRSLAB">#REF!</definedName>
    <definedName name="STEELPRSTAIRS">#REF!</definedName>
    <definedName name="STEELPRTB">#REF!</definedName>
    <definedName name="STEELPRUPSTAND">#REF!</definedName>
    <definedName name="STEELPRWALL">#REF!</definedName>
    <definedName name="STEELPRWALLS">#REF!</definedName>
    <definedName name="STEELRATE">#REF!</definedName>
    <definedName name="STEELRW1RATE">#REF!</definedName>
    <definedName name="STEELRW2RATE">#REF!</definedName>
    <definedName name="STEELSGRATE">#REF!</definedName>
    <definedName name="STEELSGRPR">#REF!</definedName>
    <definedName name="STEELSLABRATE">#REF!</definedName>
    <definedName name="STEELSTAURRATE">#REF!</definedName>
    <definedName name="STEELTBRATE">#REF!</definedName>
    <definedName name="STEELUPSTANDRATE">#REF!</definedName>
    <definedName name="STEELWALLSRATE">#REF!</definedName>
    <definedName name="STEELWASTE">#REF!</definedName>
    <definedName name="STEELWST">#REF!</definedName>
    <definedName name="Step1_Result">#REF!</definedName>
    <definedName name="Step2_Result">#REF!</definedName>
    <definedName name="Step3_Result">#REF!</definedName>
    <definedName name="Step4_Result">#REF!</definedName>
    <definedName name="Step5_Result">#REF!</definedName>
    <definedName name="Step6_Result">#REF!</definedName>
    <definedName name="Step7_Result">#REF!</definedName>
    <definedName name="Step8_Cameras">#REF!</definedName>
    <definedName name="Step8_Result">#REF!</definedName>
    <definedName name="STEXCA">#REF!</definedName>
    <definedName name="Stfen">#REF!</definedName>
    <definedName name="Stfla">#REF!</definedName>
    <definedName name="Stgat">#REF!</definedName>
    <definedName name="Stgen">#REF!</definedName>
    <definedName name="Stgua">#REF!</definedName>
    <definedName name="STHARD">#REF!</definedName>
    <definedName name="STK">#REF!</definedName>
    <definedName name="STK_1">"$#REF!.$A$1:$F$1116"</definedName>
    <definedName name="stl" localSheetId="1">#REF!</definedName>
    <definedName name="stl">#REF!</definedName>
    <definedName name="stl_1">0</definedName>
    <definedName name="Stlev" localSheetId="1">#REF!</definedName>
    <definedName name="Stlev">#REF!</definedName>
    <definedName name="Stlpg">#REF!</definedName>
    <definedName name="STMASON">#REF!</definedName>
    <definedName name="STMETAL">#REF!</definedName>
    <definedName name="Stmol">#REF!</definedName>
    <definedName name="STMV1503" localSheetId="1">#REF!</definedName>
    <definedName name="STMV1503">#REF!</definedName>
    <definedName name="stock02" localSheetId="1" hidden="1">{#N/A,#N/A,FALSE,"gc (2)"}</definedName>
    <definedName name="stock02" hidden="1">{#N/A,#N/A,FALSE,"gc (2)"}</definedName>
    <definedName name="Stoff">#REF!</definedName>
    <definedName name="stop" hidden="1">#REF!</definedName>
    <definedName name="stop_1">0</definedName>
    <definedName name="STORAGE" localSheetId="1">#REF!</definedName>
    <definedName name="STORAGE">#REF!</definedName>
    <definedName name="StorageResuls2" localSheetId="1">#REF!</definedName>
    <definedName name="StorageResuls2">#REF!</definedName>
    <definedName name="StorageResults">#REF!</definedName>
    <definedName name="story">#REF!</definedName>
    <definedName name="Story_Basement">#REF!</definedName>
    <definedName name="Story_Podium">#REF!</definedName>
    <definedName name="Story_Total">#REF!</definedName>
    <definedName name="Story_Tower">#REF!</definedName>
    <definedName name="Stove_T1">#REF!</definedName>
    <definedName name="stp" localSheetId="1">#REF!</definedName>
    <definedName name="stp">#REF!</definedName>
    <definedName name="STPAINT" localSheetId="1">#REF!</definedName>
    <definedName name="STPAINT">#REF!</definedName>
    <definedName name="Stpav" localSheetId="1">#REF!</definedName>
    <definedName name="Stpav">#REF!</definedName>
    <definedName name="STPAVE">#REF!</definedName>
    <definedName name="Stpile">#REF!</definedName>
    <definedName name="STPLAST">#REF!</definedName>
    <definedName name="STPR">#REF!</definedName>
    <definedName name="STPROOF">#REF!</definedName>
    <definedName name="Str">#REF!</definedName>
    <definedName name="str_stl">#REF!</definedName>
    <definedName name="strart_scanning4.1">#REF!</definedName>
    <definedName name="strat_scanning4.0">#REF!</definedName>
    <definedName name="strategy">#REF!</definedName>
    <definedName name="streamers" localSheetId="1">#REF!</definedName>
    <definedName name="streamers">#REF!</definedName>
    <definedName name="stri1">#REF!</definedName>
    <definedName name="stri2">#REF!</definedName>
    <definedName name="StrID">#REF!</definedName>
    <definedName name="stru">#REF!</definedName>
    <definedName name="Struc_Factor">#REF!</definedName>
    <definedName name="Strucsteel">#REF!</definedName>
    <definedName name="Struct">#REF!</definedName>
    <definedName name="Struct_Steel_1">#REF!</definedName>
    <definedName name="Struct_Steel_10">#REF!</definedName>
    <definedName name="Struct_Steel_100">#REF!</definedName>
    <definedName name="Struct_Steel_20">#REF!</definedName>
    <definedName name="Struct_Steel_30">#REF!</definedName>
    <definedName name="Struct_Steel_40">#REF!</definedName>
    <definedName name="Struct_Steel_50">#REF!</definedName>
    <definedName name="Struct_Steel_60">#REF!</definedName>
    <definedName name="Struct_Steel_70">#REF!</definedName>
    <definedName name="Struct_Steel_80">#REF!</definedName>
    <definedName name="Struct_Steel_90">#REF!</definedName>
    <definedName name="Struct_Type">#REF!</definedName>
    <definedName name="STRUCTURAL">#REF!</definedName>
    <definedName name="Structural_company">#REF!</definedName>
    <definedName name="Structural_firm">#REF!</definedName>
    <definedName name="structure" localSheetId="1">#REF!</definedName>
    <definedName name="Structure">#REF!</definedName>
    <definedName name="structur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yt5u8h87" localSheetId="1" hidden="1">{#N/A,#N/A,TRUE,"Cover";#N/A,#N/A,TRUE,"Conts";#N/A,#N/A,TRUE,"VOS";#N/A,#N/A,TRUE,"Warrington";#N/A,#N/A,TRUE,"Widnes"}</definedName>
    <definedName name="stryt5u8h87" hidden="1">{#N/A,#N/A,TRUE,"Cover";#N/A,#N/A,TRUE,"Conts";#N/A,#N/A,TRUE,"VOS";#N/A,#N/A,TRUE,"Warrington";#N/A,#N/A,TRUE,"Widnes"}</definedName>
    <definedName name="stryt5u8h87_1" localSheetId="1" hidden="1">{#N/A,#N/A,TRUE,"Cover";#N/A,#N/A,TRUE,"Conts";#N/A,#N/A,TRUE,"VOS";#N/A,#N/A,TRUE,"Warrington";#N/A,#N/A,TRUE,"Widnes"}</definedName>
    <definedName name="stryt5u8h87_1" hidden="1">{#N/A,#N/A,TRUE,"Cover";#N/A,#N/A,TRUE,"Conts";#N/A,#N/A,TRUE,"VOS";#N/A,#N/A,TRUE,"Warrington";#N/A,#N/A,TRUE,"Widnes"}</definedName>
    <definedName name="Sttak">#REF!</definedName>
    <definedName name="Sttoi" localSheetId="1">#REF!</definedName>
    <definedName name="Sttoi">#REF!</definedName>
    <definedName name="Sttow" localSheetId="1">#REF!</definedName>
    <definedName name="Sttow">#REF!</definedName>
    <definedName name="Sttre">#REF!</definedName>
    <definedName name="Sttru">#REF!</definedName>
    <definedName name="Stub">#REF!</definedName>
    <definedName name="StudioArea">#REF!</definedName>
    <definedName name="StudioPerimeter">#REF!</definedName>
    <definedName name="stump">#REF!</definedName>
    <definedName name="STW">#REF!</definedName>
    <definedName name="Stwar">#REF!</definedName>
    <definedName name="Stwas">#REF!</definedName>
    <definedName name="Stwor">#REF!</definedName>
    <definedName name="stysr" localSheetId="1" hidden="1">{#N/A,#N/A,FALSE,"VARIATIONS";#N/A,#N/A,FALSE,"BUDGET";#N/A,#N/A,FALSE,"CIVIL QNTY VAR";#N/A,#N/A,FALSE,"SUMMARY";#N/A,#N/A,FALSE,"MATERIAL VAR"}</definedName>
    <definedName name="stysr" hidden="1">{#N/A,#N/A,FALSE,"VARIATIONS";#N/A,#N/A,FALSE,"BUDGET";#N/A,#N/A,FALSE,"CIVIL QNTY VAR";#N/A,#N/A,FALSE,"SUMMARY";#N/A,#N/A,FALSE,"MATERIAL VAR"}</definedName>
    <definedName name="sub" localSheetId="1">#REF!</definedName>
    <definedName name="sub">#REF!</definedName>
    <definedName name="sub_1">0</definedName>
    <definedName name="sub_end">#REF!</definedName>
    <definedName name="Sub_Fac_old">#REF!</definedName>
    <definedName name="SUB2.2" localSheetId="1">#REF!</definedName>
    <definedName name="SUB2.2">#REF!</definedName>
    <definedName name="SUB2.3" localSheetId="1">#REF!</definedName>
    <definedName name="SUB2.3">#REF!</definedName>
    <definedName name="SUB2.4" localSheetId="1">#REF!</definedName>
    <definedName name="SUB2.4">#REF!</definedName>
    <definedName name="SUB2.5" localSheetId="1">#REF!</definedName>
    <definedName name="SUB2.5">#REF!</definedName>
    <definedName name="SUB2.6" localSheetId="1">#REF!</definedName>
    <definedName name="SUB2.6">#REF!</definedName>
    <definedName name="SUB3.1">#REF!</definedName>
    <definedName name="SUB3.2">#REF!</definedName>
    <definedName name="SUB4.1">#REF!</definedName>
    <definedName name="SUBA" localSheetId="1">#REF!</definedName>
    <definedName name="SUBA">#REF!</definedName>
    <definedName name="Subbase">#REF!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">#REF!</definedName>
    <definedName name="subcontel">#REF!</definedName>
    <definedName name="SUBCONTRACT_MTRL_UNIT_COST">#REF!,#REF!,#REF!,#REF!,#REF!,#REF!,#REF!</definedName>
    <definedName name="subconws" localSheetId="1">#REF!</definedName>
    <definedName name="subconws">#REF!</definedName>
    <definedName name="subconwt" localSheetId="1">#REF!</definedName>
    <definedName name="subconwt">#REF!</definedName>
    <definedName name="Subelement">#REF!</definedName>
    <definedName name="subframe" localSheetId="1" hidden="1">{#N/A,#N/A,FALSE,"certificate";#N/A,#N/A,FALSE,"contract works";#N/A,#N/A,FALSE,"variation";#N/A,#N/A,FALSE,"IP-Summary";#N/A,#N/A,FALSE,"status"}</definedName>
    <definedName name="subframe" hidden="1">{#N/A,#N/A,FALSE,"certificate";#N/A,#N/A,FALSE,"contract works";#N/A,#N/A,FALSE,"variation";#N/A,#N/A,FALSE,"IP-Summary";#N/A,#N/A,FALSE,"status"}</definedName>
    <definedName name="subgrade">#REF!</definedName>
    <definedName name="Subject" localSheetId="1">#REF!</definedName>
    <definedName name="Subject">#REF!</definedName>
    <definedName name="SubjectProperty">#REF!</definedName>
    <definedName name="SubjectRooms">#REF!</definedName>
    <definedName name="SUBM">#REF!</definedName>
    <definedName name="Submersible_Pumps">#REF!</definedName>
    <definedName name="Submittals_Status_Drawing__2__List">#REF!</definedName>
    <definedName name="Submittals_Status_Drawing__2__List1">#REF!</definedName>
    <definedName name="SUBR1">#REF!</definedName>
    <definedName name="SUBR2">#REF!</definedName>
    <definedName name="SUBR3">#REF!</definedName>
    <definedName name="SUBR4">#REF!</definedName>
    <definedName name="SUBR5">#REF!</definedName>
    <definedName name="SUBR6">#REF!</definedName>
    <definedName name="SUBR7">#REF!</definedName>
    <definedName name="SUBRA">#REF!</definedName>
    <definedName name="SUBRB">#REF!</definedName>
    <definedName name="SUBRC">#REF!</definedName>
    <definedName name="SUBRD">#REF!</definedName>
    <definedName name="SUBRE">#REF!</definedName>
    <definedName name="subs">#REF!</definedName>
    <definedName name="subs_1">0</definedName>
    <definedName name="subs4">#REF!</definedName>
    <definedName name="subs4_1">0</definedName>
    <definedName name="subs4a">#REF!</definedName>
    <definedName name="subs4a_1">0</definedName>
    <definedName name="SUBSTRUCTIRE">#REF!</definedName>
    <definedName name="Substructure">#REF!</definedName>
    <definedName name="SUBTOTAL">#REF!</definedName>
    <definedName name="SUBTOTALS">#REF!</definedName>
    <definedName name="SUBTOTALS_12">"$#REF!.$M$8:$IV$8108"</definedName>
    <definedName name="SUBTOTALS_15">#REF!</definedName>
    <definedName name="SUBTOTALS_18">"$#REF!.$N$7:$IV$8093"</definedName>
    <definedName name="SUBTOTALS_2">"$#REF!.$M$8:$IV$8108"</definedName>
    <definedName name="SUBTOTALS_3">"$#REF!.$M$8:$IV$8108"</definedName>
    <definedName name="SUBTOTALS_38">"$#REF!.$M$8:$IV$7374"</definedName>
    <definedName name="SUBTOTALS_4">"$#REF!.$M$8:$IV$8108"</definedName>
    <definedName name="SUBTOTALS_5">"$#REF!.$M$8:$IV$8108"</definedName>
    <definedName name="SUBTOTALS_6">"$#REF!.$M$8:$IV$8108"</definedName>
    <definedName name="SUBTOTALS_7">"$#REF!.$M$8:$IV$8108"</definedName>
    <definedName name="SUBTOTALS_8">"$#REF!.$M$8:$IV$8108"</definedName>
    <definedName name="subtotals1">#REF!</definedName>
    <definedName name="SUBUSE">#REF!</definedName>
    <definedName name="succ" localSheetId="1" hidden="1">{#N/A,#N/A,FALSE,"COVER1.XLS ";#N/A,#N/A,FALSE,"RACT1.XLS";#N/A,#N/A,FALSE,"RACT2.XLS";#N/A,#N/A,FALSE,"ECCMP";#N/A,#N/A,FALSE,"WELDER.XLS"}</definedName>
    <definedName name="succ" hidden="1">{#N/A,#N/A,FALSE,"COVER1.XLS ";#N/A,#N/A,FALSE,"RACT1.XLS";#N/A,#N/A,FALSE,"RACT2.XLS";#N/A,#N/A,FALSE,"ECCMP";#N/A,#N/A,FALSE,"WELDER.XLS"}</definedName>
    <definedName name="suite17Area">#REF!</definedName>
    <definedName name="suite17Perimeter" localSheetId="1">#REF!</definedName>
    <definedName name="suite17Perimeter">#REF!</definedName>
    <definedName name="SUM" localSheetId="1">{"'Sheet1 (2)'!$A$1:$C$61"}</definedName>
    <definedName name="SUM">{"'Sheet1 (2)'!$A$1:$C$61"}</definedName>
    <definedName name="SUM___0">#REF!</definedName>
    <definedName name="SUM___0___0">"$#REF!.$#REF!$#REF!:$#REF!$#REF!"</definedName>
    <definedName name="SUM___0___3">"$#REF!.$#REF!$#REF!:$#REF!$#REF!"</definedName>
    <definedName name="SUM___0___4">"$#REF!.$#REF!$#REF!:$#REF!$#REF!"</definedName>
    <definedName name="SUM___2">#REF!</definedName>
    <definedName name="SUM___2___0">"$#REF!.$#REF!$#REF!:$#REF!$#REF!"</definedName>
    <definedName name="SUM___2___3">"$#REF!.$#REF!$#REF!:$#REF!$#REF!"</definedName>
    <definedName name="SUM___3">#REF!</definedName>
    <definedName name="SUM___3___0">"$#REF!.$#REF!$#REF!:$#REF!$#REF!"</definedName>
    <definedName name="SUM___3___3">"$#REF!.$#REF!$#REF!:$#REF!$#REF!"</definedName>
    <definedName name="SUM___3___4">"$#REF!.$#REF!$#REF!:$#REF!$#REF!"</definedName>
    <definedName name="SUM___4">#REF!</definedName>
    <definedName name="SUM___4___0">"$#REF!.$#REF!$#REF!:$#REF!$#REF!"</definedName>
    <definedName name="SUM___4___3">"$#REF!.$#REF!$#REF!:$#REF!$#REF!"</definedName>
    <definedName name="SUM___7">"$#REF!.$#REF!$#REF!:$#REF!$#REF!"</definedName>
    <definedName name="SUM_1" localSheetId="1">{"'Sheet1 (2)'!$A$1:$C$61"}</definedName>
    <definedName name="SUM_1">{"'Sheet1 (2)'!$A$1:$C$61"}</definedName>
    <definedName name="Sum_ADM16">#REF!</definedName>
    <definedName name="Sum_ADM16C">#REF!</definedName>
    <definedName name="Sum_ADM41">#REF!</definedName>
    <definedName name="Sum_AM1">#REF!</definedName>
    <definedName name="Sum_CIT">#REF!</definedName>
    <definedName name="Sum_DACS">#REF!</definedName>
    <definedName name="SUM_DATA">#REF!</definedName>
    <definedName name="Sum_DIXI">#REF!</definedName>
    <definedName name="Sum_EMS">#REF!</definedName>
    <definedName name="Sum_EOW">#REF!</definedName>
    <definedName name="Sum_Fiber">#REF!</definedName>
    <definedName name="Sum_LR">#REF!</definedName>
    <definedName name="Sum_NMS">#REF!</definedName>
    <definedName name="Sum_OLS16T">#REF!</definedName>
    <definedName name="Sum_OLS80G">#REF!</definedName>
    <definedName name="Sum_Power">#REF!</definedName>
    <definedName name="Sum_Reg16">#REF!</definedName>
    <definedName name="Sum_SC">#REF!</definedName>
    <definedName name="Sum_SNMS">#REF!</definedName>
    <definedName name="Sum_TDM10G">#REF!</definedName>
    <definedName name="Sum_Unite">#REF!</definedName>
    <definedName name="sum6b">#REF!</definedName>
    <definedName name="sum6C">#REF!</definedName>
    <definedName name="sumana">#REF!</definedName>
    <definedName name="Sume" localSheetId="1">OR([1]!CUSTOM1_L20__HEM_180,[1]!Header_Row,'City Walk - Comparison'!_12__123Graph_ACHART_19)</definedName>
    <definedName name="Sume">OR(SW_COMP,Header_Row,How_many_floors)</definedName>
    <definedName name="Sumer" localSheetId="1">#REF!</definedName>
    <definedName name="Sumer">#REF!</definedName>
    <definedName name="sumGTR10">#REF!</definedName>
    <definedName name="SUMGTR16">#REF!</definedName>
    <definedName name="SUMGTR20">#REF!</definedName>
    <definedName name="SUMGTR25">#REF!</definedName>
    <definedName name="SUMGTR32">#REF!</definedName>
    <definedName name="SUMGTR40">#REF!</definedName>
    <definedName name="SUMGTR6">#REF!</definedName>
    <definedName name="SUMGTR8">#REF!</definedName>
    <definedName name="SUMGTT10">#REF!</definedName>
    <definedName name="SUMGTT12">#REF!</definedName>
    <definedName name="SUMGTT14">#REF!</definedName>
    <definedName name="SUMGTT16">#REF!</definedName>
    <definedName name="SUMGTT20">#REF!</definedName>
    <definedName name="SUMGTT25">#REF!</definedName>
    <definedName name="SUMGTT32">#REF!</definedName>
    <definedName name="SUMGTT40">#REF!</definedName>
    <definedName name="SUMGTT6">#REF!</definedName>
    <definedName name="SUMGTT8">#REF!</definedName>
    <definedName name="SUMHEADER">#REF!</definedName>
    <definedName name="sumJan12" localSheetId="1" hidden="1">{#N/A,#N/A,FALSE,"VARIATIONS";#N/A,#N/A,FALSE,"BUDGET";#N/A,#N/A,FALSE,"CIVIL QNTY VAR";#N/A,#N/A,FALSE,"SUMMARY";#N/A,#N/A,FALSE,"MATERIAL VAR"}</definedName>
    <definedName name="sumJan12" hidden="1">{#N/A,#N/A,FALSE,"VARIATIONS";#N/A,#N/A,FALSE,"BUDGET";#N/A,#N/A,FALSE,"CIVIL QNTY VAR";#N/A,#N/A,FALSE,"SUMMARY";#N/A,#N/A,FALSE,"MATERIAL VAR"}</definedName>
    <definedName name="SumLab" localSheetId="1">#REF!</definedName>
    <definedName name="SumLab">#REF!</definedName>
    <definedName name="sum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">#REF!</definedName>
    <definedName name="summ1" localSheetId="1" hidden="1">{"'Break down'!$A$4"}</definedName>
    <definedName name="summ1" hidden="1">{"'Break down'!$A$4"}</definedName>
    <definedName name="summ566">#N/A</definedName>
    <definedName name="SUMMA">#REF!</definedName>
    <definedName name="summariseddiff" localSheetId="1" hidden="1">{"'Break down'!$A$4"}</definedName>
    <definedName name="summariseddiff" hidden="1">{"'Break down'!$A$4"}</definedName>
    <definedName name="Summary">#REF!</definedName>
    <definedName name="Summary_01">#REF!</definedName>
    <definedName name="Summary_Print">#REF!</definedName>
    <definedName name="SUMMARY_TABLE" localSheetId="1">#REF!</definedName>
    <definedName name="SUMMARY_TABLE">#REF!</definedName>
    <definedName name="summary1" localSheetId="1" hidden="1">#REF!</definedName>
    <definedName name="summary1" hidden="1">#REF!</definedName>
    <definedName name="SummaryCarpark" localSheetId="1">#REF!</definedName>
    <definedName name="SummaryCarpark">#REF!</definedName>
    <definedName name="summaryhead">#REF!</definedName>
    <definedName name="Summarylist">#REF!</definedName>
    <definedName name="SummaryTowerBldg">#REF!</definedName>
    <definedName name="SumMat">#REF!</definedName>
    <definedName name="SumMat5">#REF!</definedName>
    <definedName name="summm2" localSheetId="1">[1]!CUSTOM1_2_bed_fridge_freezer+Extra_Payment</definedName>
    <definedName name="summm2">Scheduled_Payment+Extra_Payment</definedName>
    <definedName name="summmm">#N/A</definedName>
    <definedName name="summury" localSheetId="1">#REF!</definedName>
    <definedName name="summury">#REF!</definedName>
    <definedName name="SumOfLabour">OFFSET(#REF!,0,0,COUNTA(#REF!),1)</definedName>
    <definedName name="SumOfMaterial">OFFSET(#REF!,0,0,COUNTA(#REF!),1)</definedName>
    <definedName name="SumR10" localSheetId="1">#REF!</definedName>
    <definedName name="SumR10">#REF!</definedName>
    <definedName name="SUMR1094">#REF!</definedName>
    <definedName name="sumr10a">#REF!</definedName>
    <definedName name="SumR12" localSheetId="1">#REF!</definedName>
    <definedName name="SumR12">#REF!</definedName>
    <definedName name="SUMR1294">#REF!</definedName>
    <definedName name="sumr12a">#REF!</definedName>
    <definedName name="SumR16" localSheetId="1">#REF!</definedName>
    <definedName name="SumR16">#REF!</definedName>
    <definedName name="SUMR1694">#REF!</definedName>
    <definedName name="sumr16a">#REF!</definedName>
    <definedName name="SumR20" localSheetId="1">#REF!</definedName>
    <definedName name="SumR20">#REF!</definedName>
    <definedName name="SUMR2094">#REF!</definedName>
    <definedName name="sumr20a">#REF!</definedName>
    <definedName name="SumR25" localSheetId="1">#REF!</definedName>
    <definedName name="SumR25">#REF!</definedName>
    <definedName name="SUMR2594">#REF!</definedName>
    <definedName name="sumr25a">#REF!</definedName>
    <definedName name="SumR32" localSheetId="1">#REF!</definedName>
    <definedName name="SumR32">#REF!</definedName>
    <definedName name="SUMR3294">#REF!</definedName>
    <definedName name="sumr32a">#REF!</definedName>
    <definedName name="SumR40" localSheetId="1">#REF!</definedName>
    <definedName name="SumR40">#REF!</definedName>
    <definedName name="SUMR4094">#REF!</definedName>
    <definedName name="sumr40a">#REF!</definedName>
    <definedName name="SumR6" localSheetId="1">#REF!</definedName>
    <definedName name="SumR6">#REF!</definedName>
    <definedName name="SUMR694">#REF!</definedName>
    <definedName name="sumr6a">#REF!</definedName>
    <definedName name="SumR8" localSheetId="1">#REF!</definedName>
    <definedName name="SumR8">#REF!</definedName>
    <definedName name="SUMR894">#REF!</definedName>
    <definedName name="sumr8a">#REF!</definedName>
    <definedName name="SumT10" localSheetId="1">#REF!</definedName>
    <definedName name="SumT10">#REF!</definedName>
    <definedName name="SUMT1094">#REF!</definedName>
    <definedName name="sumt10a">#REF!</definedName>
    <definedName name="SumT12" localSheetId="1">#REF!</definedName>
    <definedName name="SumT12">#REF!</definedName>
    <definedName name="SUMT1294">#REF!</definedName>
    <definedName name="sumt12a">#REF!</definedName>
    <definedName name="SUMT14" localSheetId="1">#REF!</definedName>
    <definedName name="SUMT14">#REF!</definedName>
    <definedName name="SumT16">#REF!</definedName>
    <definedName name="SUMT1694">#REF!</definedName>
    <definedName name="sumt16a">#REF!</definedName>
    <definedName name="SumT20" localSheetId="1">#REF!</definedName>
    <definedName name="SumT20">#REF!</definedName>
    <definedName name="SUMT2094">#REF!</definedName>
    <definedName name="sumt20a">#REF!</definedName>
    <definedName name="SumT25" localSheetId="1">#REF!</definedName>
    <definedName name="SumT25">#REF!</definedName>
    <definedName name="SUMT2594">#REF!</definedName>
    <definedName name="sumt25a">#REF!</definedName>
    <definedName name="SUMT28" localSheetId="1">#REF!</definedName>
    <definedName name="SUMT28">#REF!</definedName>
    <definedName name="SUMT2894">#REF!</definedName>
    <definedName name="SumT32">#REF!</definedName>
    <definedName name="SUMT3294">#REF!</definedName>
    <definedName name="sumt32a">#REF!</definedName>
    <definedName name="SumT40" localSheetId="1">#REF!</definedName>
    <definedName name="SumT40">#REF!</definedName>
    <definedName name="SUMT4094">#REF!</definedName>
    <definedName name="sumt40a">#REF!</definedName>
    <definedName name="SumT6" localSheetId="1">#REF!</definedName>
    <definedName name="SumT6">#REF!</definedName>
    <definedName name="SUMT694">#REF!</definedName>
    <definedName name="sumt6a">#REF!</definedName>
    <definedName name="SumT8" localSheetId="1">#REF!</definedName>
    <definedName name="SumT8">#REF!</definedName>
    <definedName name="SUMT894">#REF!</definedName>
    <definedName name="sumt8a">#REF!</definedName>
    <definedName name="SumYieldShow">#REF!,#REF!,#REF!</definedName>
    <definedName name="Sun">#REF!</definedName>
    <definedName name="Sung" localSheetId="1">#REF!</definedName>
    <definedName name="Sung">#REF!</definedName>
    <definedName name="SUNIL">#REF!</definedName>
    <definedName name="SUNIL1">#REF!</definedName>
    <definedName name="SUNIL3">#REF!</definedName>
    <definedName name="sup">#REF!</definedName>
    <definedName name="sup_1">0</definedName>
    <definedName name="super">#REF!</definedName>
    <definedName name="super_area_sqft">#REF!</definedName>
    <definedName name="super_sft" localSheetId="1">#REF!</definedName>
    <definedName name="super_sft">#REF!</definedName>
    <definedName name="super_sqm" localSheetId="1">#REF!</definedName>
    <definedName name="super_sqm">#REF!</definedName>
    <definedName name="superstructure" localSheetId="1">#REF!</definedName>
    <definedName name="superstructure">#REF!</definedName>
    <definedName name="supeseded">#REF!</definedName>
    <definedName name="Supply">#REF!</definedName>
    <definedName name="Supply_Skopje">#REF!</definedName>
    <definedName name="supplyinstall_data">#REF!</definedName>
    <definedName name="supportmin">25000</definedName>
    <definedName name="supportserv">0.045</definedName>
    <definedName name="sups" localSheetId="1">#REF!</definedName>
    <definedName name="sups">#REF!</definedName>
    <definedName name="sups_1">0</definedName>
    <definedName name="sups4">#REF!</definedName>
    <definedName name="sups4_1">0</definedName>
    <definedName name="sups4a">#REF!</definedName>
    <definedName name="sups4a_1">0</definedName>
    <definedName name="Supvn">#REF!</definedName>
    <definedName name="sur">#REF!</definedName>
    <definedName name="SurajKumar">#REF!</definedName>
    <definedName name="surarea2">#REF!</definedName>
    <definedName name="suresh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geTank_Concrete" localSheetId="1">#REF!</definedName>
    <definedName name="SurgeTank_Concrete">#REF!</definedName>
    <definedName name="SurgeTank_Fittings">#REF!</definedName>
    <definedName name="SurgeTank_GRP">#REF!</definedName>
    <definedName name="Surv_Mon_Percent">#REF!</definedName>
    <definedName name="Surv_Monitors">#REF!</definedName>
    <definedName name="Surv_Quad_Percent">#REF!</definedName>
    <definedName name="surveyor">#REF!</definedName>
    <definedName name="SURYA" localSheetId="1">#REF!</definedName>
    <definedName name="SURYA">#REF!</definedName>
    <definedName name="SuS" localSheetId="1">#REF!</definedName>
    <definedName name="SuS">#REF!</definedName>
    <definedName name="Sust_BRE">#REF!</definedName>
    <definedName name="Sust_LEED">#REF!</definedName>
    <definedName name="Sust_rating">#REF!</definedName>
    <definedName name="SV" localSheetId="1">#REF!</definedName>
    <definedName name="SV">#REF!</definedName>
    <definedName name="svbfn" localSheetId="1" hidden="1">{#N/A,#N/A,FALSE,"Calculator"}</definedName>
    <definedName name="svbfn" hidden="1">{#N/A,#N/A,FALSE,"Calculator"}</definedName>
    <definedName name="sve" localSheetId="1">#REF!</definedName>
    <definedName name="sve">#REF!</definedName>
    <definedName name="SVF" localSheetId="1">#REF!</definedName>
    <definedName name="SVF">#REF!</definedName>
    <definedName name="SVF_FLOW">#REF!</definedName>
    <definedName name="SVV">#REF!</definedName>
    <definedName name="sw" localSheetId="1">#REF!</definedName>
    <definedName name="sw">#REF!</definedName>
    <definedName name="sw_1">0</definedName>
    <definedName name="SW_COMP" localSheetId="1">IF('City Walk - Comparison'!_12__123Graph_ACHART_19&gt;0,1,0)</definedName>
    <definedName name="SW_COMP">IF(How_many_floors&gt;0,1,0)</definedName>
    <definedName name="sw4a" localSheetId="1">#REF!</definedName>
    <definedName name="sw4a">#REF!</definedName>
    <definedName name="sw4a_1">0</definedName>
    <definedName name="SWE">#REF!</definedName>
    <definedName name="sweqr">#REF!</definedName>
    <definedName name="swf">#REF!</definedName>
    <definedName name="swf_4">#REF!</definedName>
    <definedName name="swf_4_1">#REF!</definedName>
    <definedName name="swf_6">#REF!</definedName>
    <definedName name="SWHF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WHF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wi" localSheetId="1">#REF!</definedName>
    <definedName name="swi">#REF!</definedName>
    <definedName name="Swimming_Pools">#REF!</definedName>
    <definedName name="SWITCH">#REF!</definedName>
    <definedName name="SWK">#REF!</definedName>
    <definedName name="swsdfa" localSheetId="1" hidden="1">{#N/A,#N/A,TRUE,"Cover";#N/A,#N/A,TRUE,"Conts";#N/A,#N/A,TRUE,"VOS";#N/A,#N/A,TRUE,"Warrington";#N/A,#N/A,TRUE,"Widnes"}</definedName>
    <definedName name="swsdfa" hidden="1">{#N/A,#N/A,TRUE,"Cover";#N/A,#N/A,TRUE,"Conts";#N/A,#N/A,TRUE,"VOS";#N/A,#N/A,TRUE,"Warrington";#N/A,#N/A,TRUE,"Widnes"}</definedName>
    <definedName name="Swvu.CapersView." hidden="1">#REF!</definedName>
    <definedName name="Swvu.Japan_Capers_Ed_Pub." hidden="1">#REF!</definedName>
    <definedName name="Swvu.KJP_CC." hidden="1">#REF!</definedName>
    <definedName name="SWYD_DUCT_SIZE" localSheetId="1">#REF!</definedName>
    <definedName name="SWYD_DUCT_SIZE">#REF!</definedName>
    <definedName name="Swyd_Scope">#REF!</definedName>
    <definedName name="SWYD_TYPE">#REF!</definedName>
    <definedName name="sx" localSheetId="1">[1]!CUSTOM1_2_bed_fridge_freezer+Extra_Payment</definedName>
    <definedName name="sx">Scheduled_Payment+Extra_Payment</definedName>
    <definedName name="sxad" localSheetId="1">BlankMacro1</definedName>
    <definedName name="sxad">BlankMacro1</definedName>
    <definedName name="SYS" localSheetId="1">#REF!</definedName>
    <definedName name="SYS">#REF!</definedName>
    <definedName name="sysPIPIdentifier">"PIP"</definedName>
    <definedName name="SYSTEM" localSheetId="1">#REF!</definedName>
    <definedName name="SYSTEM">#REF!</definedName>
    <definedName name="syu" localSheetId="1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syu_1" localSheetId="1" hidden="1">{#N/A,#N/A,TRUE,"Cover";#N/A,#N/A,TRUE,"Conts";#N/A,#N/A,TRUE,"VOS";#N/A,#N/A,TRUE,"Warrington";#N/A,#N/A,TRUE,"Widnes"}</definedName>
    <definedName name="syu_1" hidden="1">{#N/A,#N/A,TRUE,"Cover";#N/A,#N/A,TRUE,"Conts";#N/A,#N/A,TRUE,"VOS";#N/A,#N/A,TRUE,"Warrington";#N/A,#N/A,TRUE,"Widnes"}</definedName>
    <definedName name="szczc">#N/A</definedName>
    <definedName name="szfet">#REF!</definedName>
    <definedName name="T" localSheetId="1">#REF!</definedName>
    <definedName name="T">#REF!</definedName>
    <definedName name="t___0">#REF!</definedName>
    <definedName name="t___13">#REF!</definedName>
    <definedName name="T_1">0</definedName>
    <definedName name="T_22">#REF!</definedName>
    <definedName name="T_Basic_cost">#REF!</definedName>
    <definedName name="T_m">#REF!</definedName>
    <definedName name="t_old">#REF!</definedName>
    <definedName name="T0">#REF!</definedName>
    <definedName name="T1_L02">#REF!</definedName>
    <definedName name="T1_L03to19">#REF!</definedName>
    <definedName name="T1_L20">#REF!</definedName>
    <definedName name="T1_L22to29">#REF!</definedName>
    <definedName name="T1_L30" localSheetId="1">#REF!</definedName>
    <definedName name="T1_L30">#REF!</definedName>
    <definedName name="T1_L31">#REF!</definedName>
    <definedName name="T1_L32">#REF!</definedName>
    <definedName name="T1_L33to38">#REF!</definedName>
    <definedName name="T1_L39">#REF!</definedName>
    <definedName name="T1_L40">#REF!</definedName>
    <definedName name="T1_L41toL45">#REF!</definedName>
    <definedName name="T1_L42ANDL44">#REF!</definedName>
    <definedName name="T1_Level_ID">#REF!</definedName>
    <definedName name="T1_R01">#REF!</definedName>
    <definedName name="T12_Add_RF" localSheetId="1">#REF!</definedName>
    <definedName name="T12_Add_RF">#REF!</definedName>
    <definedName name="T16_Add_RF">#REF!</definedName>
    <definedName name="T2_37AND39">#REF!</definedName>
    <definedName name="T2_L02" localSheetId="1">#REF!</definedName>
    <definedName name="T2_L02">#REF!</definedName>
    <definedName name="T2_L03toL22">#REF!</definedName>
    <definedName name="T2_L23">#REF!</definedName>
    <definedName name="T2_L25">#REF!</definedName>
    <definedName name="T2_L26">#REF!</definedName>
    <definedName name="T2_L27">#REF!</definedName>
    <definedName name="T2_L28toL33">#REF!</definedName>
    <definedName name="T2_L34">#REF!</definedName>
    <definedName name="T2_L35">#REF!</definedName>
    <definedName name="T2_L36toL40">#REF!</definedName>
    <definedName name="T2_L41">#REF!</definedName>
    <definedName name="T25_Add_RF" localSheetId="1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3areas">#REF!</definedName>
    <definedName name="t3areas_1">0</definedName>
    <definedName name="t43qretbvq34t">#REF!</definedName>
    <definedName name="t5454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5454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5ye" localSheetId="1">BlankMacro1</definedName>
    <definedName name="t5ye">BlankMacro1</definedName>
    <definedName name="TA" localSheetId="1" hidden="1">{#N/A,#N/A,FALSE,"CAM-G7";#N/A,#N/A,FALSE,"SPL";#N/A,#N/A,FALSE,"butt-in G7";#N/A,#N/A,FALSE,"dia-in G7";#N/A,#N/A,FALSE,"추가-STA G7"}</definedName>
    <definedName name="TA" hidden="1">{#N/A,#N/A,FALSE,"CAM-G7";#N/A,#N/A,FALSE,"SPL";#N/A,#N/A,FALSE,"butt-in G7";#N/A,#N/A,FALSE,"dia-in G7";#N/A,#N/A,FALSE,"추가-STA G7"}</definedName>
    <definedName name="TA_Commissions" localSheetId="1">#REF!</definedName>
    <definedName name="TA_Commissions">#REF!</definedName>
    <definedName name="TAB___BANQUET">#REF!</definedName>
    <definedName name="TAB_AVG_SPEND">#REF!</definedName>
    <definedName name="TAB_BANQ_ATTEND">#REF!</definedName>
    <definedName name="TAB_BANQ_COVERS">#REF!</definedName>
    <definedName name="TAB_BANQ_REV">#REF!</definedName>
    <definedName name="TAB_BANQ_SPEND">#REF!</definedName>
    <definedName name="TAB_BANQUET_REV">#REF!</definedName>
    <definedName name="TAB_FACILITIES">#REF!</definedName>
    <definedName name="TAB_IN_HOUSE">#REF!</definedName>
    <definedName name="TAB_NON_HOTEL">#REF!</definedName>
    <definedName name="TAB_OUTLET_REV">#REF!</definedName>
    <definedName name="TAB_OUTLETCOVER">#REF!</definedName>
    <definedName name="Tab_Rate_Proj">#REF!</definedName>
    <definedName name="TAB_REVSUMM1">#REF!</definedName>
    <definedName name="TAB_REVSUMM2">#REF!</definedName>
    <definedName name="TAB_REVSUMM3">#REF!</definedName>
    <definedName name="TAB_ROOM_HIRE">#REF!</definedName>
    <definedName name="TAB_SEG_RATE_GR">#REF!</definedName>
    <definedName name="Tab_Stab_Rate_2">#REF!</definedName>
    <definedName name="TAB_TOTAL_COVER">#REF!</definedName>
    <definedName name="TABLE">#REF!</definedName>
    <definedName name="Table_1">#REF!</definedName>
    <definedName name="Table_3_2" localSheetId="1">#REF!</definedName>
    <definedName name="Table_3_2">#REF!</definedName>
    <definedName name="Table_3_3">#REF!</definedName>
    <definedName name="Table_3_4">#REF!</definedName>
    <definedName name="Table_3_5">#REF!</definedName>
    <definedName name="Table_3_6">#REF!</definedName>
    <definedName name="Table_3_7">#REF!</definedName>
    <definedName name="Table_3_8">#REF!</definedName>
    <definedName name="Table_4_1">#REF!</definedName>
    <definedName name="Table_9_10">#REF!</definedName>
    <definedName name="Table_9_7">#REF!</definedName>
    <definedName name="Table_9_8">#REF!</definedName>
    <definedName name="Table_9_9">#REF!</definedName>
    <definedName name="TABLE_ACCRUED">#REF!</definedName>
    <definedName name="TABLE_BILLED">#REF!</definedName>
    <definedName name="Table_conv" localSheetId="1">#REF!</definedName>
    <definedName name="Table_conv">#REF!</definedName>
    <definedName name="table_disci" localSheetId="1">#REF!</definedName>
    <definedName name="table_disci">#REF!</definedName>
    <definedName name="Table_repABC" localSheetId="1">#REF!</definedName>
    <definedName name="Table_repABC">#REF!</definedName>
    <definedName name="table1">#REF!</definedName>
    <definedName name="TABLE2">#REF!</definedName>
    <definedName name="TABLE5KV">#REF!</definedName>
    <definedName name="TABLELAST">#REF!</definedName>
    <definedName name="TableName">"Dummy"</definedName>
    <definedName name="TableRange" localSheetId="1">#REF!</definedName>
    <definedName name="TableRange">#REF!</definedName>
    <definedName name="TabPene">#REF!</definedName>
    <definedName name="tabtdp">#REF!</definedName>
    <definedName name="TAC">#N/A</definedName>
    <definedName name="TackCoat" localSheetId="1">#REF!</definedName>
    <definedName name="TackCoat">#REF!</definedName>
    <definedName name="TADD" localSheetId="1">#REF!</definedName>
    <definedName name="TADD">#REF!</definedName>
    <definedName name="TAHOMA">#REF!</definedName>
    <definedName name="Tak">#REF!</definedName>
    <definedName name="TAKEOFF">#REF!</definedName>
    <definedName name="tallu">#REF!</definedName>
    <definedName name="tally">#REF!</definedName>
    <definedName name="Tanggal">#REF!</definedName>
    <definedName name="TankData">#REF!</definedName>
    <definedName name="Tanking_and_Waterproofing" localSheetId="1">#REF!</definedName>
    <definedName name="Tanking_and_Waterproofing">#REF!</definedName>
    <definedName name="Tanya" localSheetId="1">#REF!</definedName>
    <definedName name="Tanya">#REF!</definedName>
    <definedName name="tap">#REF!</definedName>
    <definedName name="TAPs1">#N/A</definedName>
    <definedName name="TAPs2">#N/A</definedName>
    <definedName name="tarar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ara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arget" localSheetId="1">#REF!,#REF!,#REF!,#REF!,#REF!</definedName>
    <definedName name="target">#REF!,#REF!,#REF!,#REF!,#REF!</definedName>
    <definedName name="target2" localSheetId="1">#REF!,#REF!,#REF!,#REF!,#REF!</definedName>
    <definedName name="target2">#REF!,#REF!,#REF!,#REF!,#REF!</definedName>
    <definedName name="TaskChairs" localSheetId="1">#REF!</definedName>
    <definedName name="TaskChairs">#REF!</definedName>
    <definedName name="tatsu" localSheetId="1">{#N/A,#N/A,FALSE,"Chi tiÆt"}</definedName>
    <definedName name="tatsu">{#N/A,#N/A,FALSE,"Chi tiÆt"}</definedName>
    <definedName name="tax_paste">#REF!</definedName>
    <definedName name="Taxes">#REF!</definedName>
    <definedName name="TaxesEstim" localSheetId="1">#REF!</definedName>
    <definedName name="TaxesEstim">#REF!</definedName>
    <definedName name="TaxInflation">#REF!</definedName>
    <definedName name="TaxRate">#REF!</definedName>
    <definedName name="taxrevfunding_hc">#REF!</definedName>
    <definedName name="TaxTV">10%</definedName>
    <definedName name="TaxXL">5%</definedName>
    <definedName name="tb" localSheetId="1" hidden="1">{#N/A,#N/A,FALSE,"VARIATIONS";#N/A,#N/A,FALSE,"BUDGET";#N/A,#N/A,FALSE,"CIVIL QNTY VAR";#N/A,#N/A,FALSE,"SUMMARY";#N/A,#N/A,FALSE,"MATERIAL VAR"}</definedName>
    <definedName name="tb" hidden="1">{#N/A,#N/A,FALSE,"VARIATIONS";#N/A,#N/A,FALSE,"BUDGET";#N/A,#N/A,FALSE,"CIVIL QNTY VAR";#N/A,#N/A,FALSE,"SUMMARY";#N/A,#N/A,FALSE,"MATERIAL VAR"}</definedName>
    <definedName name="tbarri" localSheetId="1">#REF!</definedName>
    <definedName name="tbarri">#REF!</definedName>
    <definedName name="Tbc">#REF!</definedName>
    <definedName name="Tbik">#REF!</definedName>
    <definedName name="tbl_ProdInfo" hidden="1">#REF!</definedName>
    <definedName name="TC">#REF!</definedName>
    <definedName name="tcaBedMix_1Bdr" hidden="1">#REF!</definedName>
    <definedName name="tcaBedMix_2Bdr" hidden="1">#REF!</definedName>
    <definedName name="tcaBedMix_3bdr" hidden="1">#REF!</definedName>
    <definedName name="tcaBedMix_4Bdr" hidden="1">#REF!</definedName>
    <definedName name="tcaBedMix_5Bdr" hidden="1">#REF!</definedName>
    <definedName name="tcaBedMix_Studio" hidden="1">#REF!</definedName>
    <definedName name="Tcan" localSheetId="1">#REF!</definedName>
    <definedName name="Tcan">#REF!</definedName>
    <definedName name="tcant">#REF!</definedName>
    <definedName name="Tcar">#REF!</definedName>
    <definedName name="tcaResAvgSize" hidden="1">#REF!</definedName>
    <definedName name="tcaResTypology" hidden="1">#REF!</definedName>
    <definedName name="tcaTypologyAssets" hidden="1">#REF!</definedName>
    <definedName name="tcaTypologyAvgSize" hidden="1">#REF!</definedName>
    <definedName name="tcaTypologyCode" hidden="1">#REF!</definedName>
    <definedName name="tcaTypologyRatioValues" hidden="1">#REF!</definedName>
    <definedName name="TCEUROSHKD" localSheetId="1">#REF!</definedName>
    <definedName name="TCEUROSHKD">#REF!</definedName>
    <definedName name="TCEUROSHKDHA" localSheetId="1">#REF!</definedName>
    <definedName name="TCEUROSHKDHA">#REF!</definedName>
    <definedName name="tcf" localSheetId="1">#REF!</definedName>
    <definedName name="tcf">#REF!</definedName>
    <definedName name="tcpdp">#REF!</definedName>
    <definedName name="tcs">#REF!</definedName>
    <definedName name="tcv">#REF!</definedName>
    <definedName name="TC임대" localSheetId="1" hidden="1">{#N/A,#N/A,FALSE,"물량산출"}</definedName>
    <definedName name="TC임대" hidden="1">{#N/A,#N/A,FALSE,"물량산출"}</definedName>
    <definedName name="TD">#REF!</definedName>
    <definedName name="TD_Fee" localSheetId="1">#REF!</definedName>
    <definedName name="TD_Fee">#REF!</definedName>
    <definedName name="tdc" localSheetId="1">#REF!</definedName>
    <definedName name="tdc">#REF!</definedName>
    <definedName name="tdfyt" localSheetId="1">BlankMacro1</definedName>
    <definedName name="tdfyt">BlankMacro1</definedName>
    <definedName name="Tdor" localSheetId="1">#REF!</definedName>
    <definedName name="Tdor">#REF!</definedName>
    <definedName name="Tdra" localSheetId="1">#REF!</definedName>
    <definedName name="Tdra">#REF!</definedName>
    <definedName name="TDS" localSheetId="1" hidden="1">{"'Sheet1'!$A$4386:$N$4591"}</definedName>
    <definedName name="TDS" hidden="1">{"'Sheet1'!$A$4386:$N$4591"}</definedName>
    <definedName name="TDT">#REF!</definedName>
    <definedName name="tduy">#N/A</definedName>
    <definedName name="TE" localSheetId="1">#REF!</definedName>
    <definedName name="TE">#REF!</definedName>
    <definedName name="te6e66" localSheetId="1" hidden="1">{"'Sheet1'!$L$16"}</definedName>
    <definedName name="te6e66" hidden="1">{"'Sheet1'!$L$16"}</definedName>
    <definedName name="team">#REF!</definedName>
    <definedName name="TECHI" localSheetId="1">#REF!</definedName>
    <definedName name="TECHI">#REF!</definedName>
    <definedName name="TECOM_Payments_" localSheetId="1">#REF!</definedName>
    <definedName name="TECOM_Payments_">#REF!</definedName>
    <definedName name="TEE">#REF!</definedName>
    <definedName name="te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ilanlage">#REF!</definedName>
    <definedName name="tel" localSheetId="1">#REF!</definedName>
    <definedName name="tel">#REF!</definedName>
    <definedName name="Tel_Kost_Ing">#REF!</definedName>
    <definedName name="Tel_mon_ing">#REF!</definedName>
    <definedName name="Tel_Proj_Ing">#REF!</definedName>
    <definedName name="Tel_Rohr_ing">#REF!</definedName>
    <definedName name="TELE_CABLE" localSheetId="1">#REF!</definedName>
    <definedName name="TELE_CABLE">#REF!</definedName>
    <definedName name="TELE_CONDUIT">#REF!</definedName>
    <definedName name="TELE_EQUIP">#REF!</definedName>
    <definedName name="TELEVISION">#REF!</definedName>
    <definedName name="tem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">#REF!</definedName>
    <definedName name="tema">0.75</definedName>
    <definedName name="temp" localSheetId="1">{"'Break down'!$A$4"}</definedName>
    <definedName name="temp">{"'Break down'!$A$4"}</definedName>
    <definedName name="temp_1" localSheetId="1">{"'Break down'!$A$4"}</definedName>
    <definedName name="temp_1">{"'Break down'!$A$4"}</definedName>
    <definedName name="temp_app">#REF!</definedName>
    <definedName name="temp_app.prev">#REF!</definedName>
    <definedName name="temp_bax.con">#REF!</definedName>
    <definedName name="temp_bax.con.bal">#REF!</definedName>
    <definedName name="temp_bax.tot.vo">#REF!</definedName>
    <definedName name="temp_bax.uncommit">#REF!</definedName>
    <definedName name="temp_ccu.con">#REF!</definedName>
    <definedName name="temp_ccu.con.bal">#REF!</definedName>
    <definedName name="temp_ccu.fire.con">#REF!</definedName>
    <definedName name="temp_ccu.tot.vo">#REF!</definedName>
    <definedName name="temp_ccu.uncommit">#REF!</definedName>
    <definedName name="temp_ccu.vo.app">#REF!</definedName>
    <definedName name="temp_dem.con">#REF!</definedName>
    <definedName name="temp_dem.con.bal">#REF!</definedName>
    <definedName name="temp_dem.tot.vo">#REF!</definedName>
    <definedName name="temp_dem.uncommit">#REF!</definedName>
    <definedName name="temp_icu.con">#REF!</definedName>
    <definedName name="temp_icu.con.bal">#REF!</definedName>
    <definedName name="temp_icu.tot.vo">#REF!</definedName>
    <definedName name="temp_icu.uncommit">#REF!</definedName>
    <definedName name="temp_icu.vo.app">#REF!</definedName>
    <definedName name="temp_pend">#REF!</definedName>
    <definedName name="temp_pend.prev">#REF!</definedName>
    <definedName name="temp_strainer">#REF!</definedName>
    <definedName name="temp_tot.con">#REF!</definedName>
    <definedName name="temp_tot.con.bal">#REF!</definedName>
    <definedName name="temp_tot.fire.con">#REF!</definedName>
    <definedName name="temp_tot.vo">#REF!</definedName>
    <definedName name="tem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ACIL">#REF!</definedName>
    <definedName name="tempo" localSheetId="1">{"'Break down'!$A$4"}</definedName>
    <definedName name="tempo">{"'Break down'!$A$4"}</definedName>
    <definedName name="tempo_1" localSheetId="1">{"'Break down'!$A$4"}</definedName>
    <definedName name="tempo_1">{"'Break down'!$A$4"}</definedName>
    <definedName name="TempRatio">#REF!</definedName>
    <definedName name="TEN">#REF!</definedName>
    <definedName name="Tenal_GCC">#REF!</definedName>
    <definedName name="TENDBOND">#REF!</definedName>
    <definedName name="tender" localSheetId="1">{"Book1","my ddc.xls"}</definedName>
    <definedName name="tender">{"Book1","my ddc.xls"}</definedName>
    <definedName name="TENDER_EXPENCES">#REF!</definedName>
    <definedName name="Tender1">#N/A</definedName>
    <definedName name="tenderer" localSheetId="1">#REF!</definedName>
    <definedName name="tenderer">#REF!</definedName>
    <definedName name="TENDNO." localSheetId="1">#REF!</definedName>
    <definedName name="TENDNO.">#REF!</definedName>
    <definedName name="TENDSUM" localSheetId="1">#REF!</definedName>
    <definedName name="TENDSUM">#REF!</definedName>
    <definedName name="Tenure">#REF!</definedName>
    <definedName name="Term" localSheetId="1">#REF!</definedName>
    <definedName name="Term">#REF!</definedName>
    <definedName name="TerminalCap" localSheetId="1">#REF!</definedName>
    <definedName name="TerminalCap">#REF!</definedName>
    <definedName name="TERMITE">#REF!</definedName>
    <definedName name="TERMS_5KV" localSheetId="1">#REF!</definedName>
    <definedName name="TERMS_5KV">#REF!</definedName>
    <definedName name="TERMS_600V">#REF!</definedName>
    <definedName name="TERRER">#N/A</definedName>
    <definedName name="TEs" localSheetId="1">#REF!</definedName>
    <definedName name="TEs">#REF!</definedName>
    <definedName name="TEs___0" localSheetId="1">#REF!</definedName>
    <definedName name="TEs___0">#REF!</definedName>
    <definedName name="TEs___13" localSheetId="1">#REF!</definedName>
    <definedName name="TEs___13">#REF!</definedName>
    <definedName name="tesd">#REF!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cell">#REF!</definedName>
    <definedName name="Test_Hydro">#REF!</definedName>
    <definedName name="TEST0" localSheetId="1">#REF!</definedName>
    <definedName name="TEST0">#REF!</definedName>
    <definedName name="TEST1">#REF!</definedName>
    <definedName name="test2" hidden="1">#REF!</definedName>
    <definedName name="TESTHKEY" localSheetId="1">#REF!</definedName>
    <definedName name="TESTHKEY">#REF!</definedName>
    <definedName name="TESTKEYS">#REF!</definedName>
    <definedName name="TestTotal">#REF!</definedName>
    <definedName name="TESTVKEY">#REF!</definedName>
    <definedName name="TEt">#REF!</definedName>
    <definedName name="TEt___0">#REF!</definedName>
    <definedName name="TEt___13">#REF!</definedName>
    <definedName name="TETER" localSheetId="1" hidden="1">{#N/A,#N/A,TRUE,"Cover";#N/A,#N/A,TRUE,"Conts";#N/A,#N/A,TRUE,"VOS";#N/A,#N/A,TRUE,"Warrington";#N/A,#N/A,TRUE,"Widnes"}</definedName>
    <definedName name="TETER" hidden="1">{#N/A,#N/A,TRUE,"Cover";#N/A,#N/A,TRUE,"Conts";#N/A,#N/A,TRUE,"VOS";#N/A,#N/A,TRUE,"Warrington";#N/A,#N/A,TRUE,"Widnes"}</definedName>
    <definedName name="text" localSheetId="1">#REF!,#REF!,#REF!,#REF!,#REF!</definedName>
    <definedName name="text">#REF!,#REF!,#REF!,#REF!,#REF!</definedName>
    <definedName name="Textfeld_BeiÄnderung" localSheetId="1">'City Walk - Comparison'!Textfeld_BeiÄnderung</definedName>
    <definedName name="Textfeld_BeiÄnderung">[1]!Textfeld_BeiÄnderung</definedName>
    <definedName name="TextRefCopy1" localSheetId="1">#REF!</definedName>
    <definedName name="TextRefCopy1">#REF!</definedName>
    <definedName name="TextRefCopy2" localSheetId="1">#REF!</definedName>
    <definedName name="TextRefCopy2">#REF!</definedName>
    <definedName name="TextRefCopyRangeCount" hidden="1">2</definedName>
    <definedName name="TF" localSheetId="1">#REF!</definedName>
    <definedName name="TF">#REF!</definedName>
    <definedName name="Tfen" localSheetId="1">#REF!</definedName>
    <definedName name="Tfen">#REF!</definedName>
    <definedName name="Tfenn" localSheetId="1">#REF!</definedName>
    <definedName name="Tfenn">#REF!</definedName>
    <definedName name="Tfil">#REF!</definedName>
    <definedName name="tfku">#REF!</definedName>
    <definedName name="tg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gat">#REF!</definedName>
    <definedName name="tgbv" localSheetId="1" hidden="1">{#N/A,#N/A,TRUE,"Cover";#N/A,#N/A,TRUE,"Conts";#N/A,#N/A,TRUE,"VOS";#N/A,#N/A,TRUE,"Warrington";#N/A,#N/A,TRUE,"Widnes"}</definedName>
    <definedName name="tgbv" hidden="1">{#N/A,#N/A,TRUE,"Cover";#N/A,#N/A,TRUE,"Conts";#N/A,#N/A,TRUE,"VOS";#N/A,#N/A,TRUE,"Warrington";#N/A,#N/A,TRUE,"Widnes"}</definedName>
    <definedName name="Tgen">#REF!</definedName>
    <definedName name="tgh" localSheetId="1">#REF!</definedName>
    <definedName name="tgh">#REF!</definedName>
    <definedName name="tghy" localSheetId="1">{"'Break down'!$A$4"}</definedName>
    <definedName name="tghy">{"'Break down'!$A$4"}</definedName>
    <definedName name="tghy_1" localSheetId="1">{"'Break down'!$A$4"}</definedName>
    <definedName name="tghy_1">{"'Break down'!$A$4"}</definedName>
    <definedName name="Tgua">#REF!</definedName>
    <definedName name="tgyg">#REF!</definedName>
    <definedName name="tgyudte">#REF!</definedName>
    <definedName name="TH">#REF!</definedName>
    <definedName name="TH_DAr1">#REF!</definedName>
    <definedName name="thanhtien">#REF!</definedName>
    <definedName name="That">#REF!</definedName>
    <definedName name="thatpage" localSheetId="1">IF(ISNA(MATCH(ROW(),[1]!COUNT_TH2_V2__units_1___Type_D_04__900_x_2200mm_high,1)),1,MATCH(ROW(),[1]!COUNT_TH2_V2__units_1___Type_D_04__900_x_2200mm_high,1)+1)</definedName>
    <definedName name="thatpage">IF(ISNA(MATCH(ROW(),RowAfterpgbrk,1)),1,MATCH(ROW(),RowAfterpgbrk,1)+1)</definedName>
    <definedName name="THDSR">#N/A</definedName>
    <definedName name="the" localSheetId="1" hidden="1">{#N/A,#N/A,FALSE,"gc (2)"}</definedName>
    <definedName name="the" hidden="1">{#N/A,#N/A,FALSE,"gc (2)"}</definedName>
    <definedName name="The_Waves_Contracting_LLC">#REF!</definedName>
    <definedName name="Thermalec_Heaters">#REF!</definedName>
    <definedName name="Thermo_Letter" localSheetId="1">#REF!</definedName>
    <definedName name="Thermo_Letter">#REF!</definedName>
    <definedName name="THI" localSheetId="1">#REF!</definedName>
    <definedName name="THI">#REF!</definedName>
    <definedName name="thikwing">#REF!</definedName>
    <definedName name="thirdraw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thirdraw">IF(ISNA(MATCH(ROW(),RowAfterpgbrk,1)),1,MATCH(ROW(),RowAfterpgbrk,1)+1)&lt;&gt;IF(ISNA(MATCH(ROW()-1,RowAfterpgbrk,1)),1,MATCH(ROW()-1,RowAfterpgbrk,1)+1)</definedName>
    <definedName name="ThirdRow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ThirdRow">IF(ISNA(MATCH(ROW(),RowAfterpgbrk,1)),1,MATCH(ROW(),RowAfterpgbrk,1)+1)&lt;&gt;IF(ISNA(MATCH(ROW()+1,RowAfterpgbrk,1)),1,MATCH(ROW()+1,RowAfterpgbrk,1)+1)</definedName>
    <definedName name="THIRTEEN" localSheetId="1">#REF!</definedName>
    <definedName name="THIRTEEN">#REF!</definedName>
    <definedName name="this_month">#REF!</definedName>
    <definedName name="this_month_cost_summary" localSheetId="1">#REF!</definedName>
    <definedName name="this_month_cost_summary">#REF!</definedName>
    <definedName name="this_period" localSheetId="1">#REF!</definedName>
    <definedName name="this_period">#REF!</definedName>
    <definedName name="ThisPage" localSheetId="1">IF(ISNA(MATCH(ROW(),[1]!COUNT_TH2_V2__units_1___Type_D_04__900_x_2200mm_high,1)),1,MATCH(ROW(),[1]!COUNT_TH2_V2__units_1___Type_D_04__900_x_2200mm_high,1)+1)</definedName>
    <definedName name="ThisPage">IF(ISNA(MATCH(ROW(),RowAfterpgbrk,1)),1,MATCH(ROW(),RowAfterpgbrk,1)+1)</definedName>
    <definedName name="THK" localSheetId="1">#REF!</definedName>
    <definedName name="THK">#REF!</definedName>
    <definedName name="THREE" localSheetId="1">#REF!</definedName>
    <definedName name="THREE">#REF!</definedName>
    <definedName name="Threshold">#REF!</definedName>
    <definedName name="thrr" localSheetId="1" hidden="1">#REF!</definedName>
    <definedName name="thrr" hidden="1">#REF!</definedName>
    <definedName name="thr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RTH">#REF!</definedName>
    <definedName name="thsrhtsrh" localSheetId="1">IF(ISNA(MATCH(ROW(),[1]!COUNT_TH2_V2__units_1___Type_D_04__900_x_2200mm_high,1)),1,MATCH(ROW(),[1]!COUNT_TH2_V2__units_1___Type_D_04__900_x_2200mm_high,1)+1)</definedName>
    <definedName name="thsrhtsrh">IF(ISNA(MATCH(ROW(),RowAfterpgbrk,1)),1,MATCH(ROW(),RowAfterpgbrk,1)+1)</definedName>
    <definedName name="THTHT">#N/A</definedName>
    <definedName name="thtuy">#N/A</definedName>
    <definedName name="thwghrt" localSheetId="1" hidden="1">{#N/A,#N/A,TRUE,"Cover";#N/A,#N/A,TRUE,"Conts";#N/A,#N/A,TRUE,"VOS";#N/A,#N/A,TRUE,"Warrington";#N/A,#N/A,TRUE,"Widnes"}</definedName>
    <definedName name="thwghrt" hidden="1">{#N/A,#N/A,TRUE,"Cover";#N/A,#N/A,TRUE,"Conts";#N/A,#N/A,TRUE,"VOS";#N/A,#N/A,TRUE,"Warrington";#N/A,#N/A,TRUE,"Widnes"}</definedName>
    <definedName name="thwghrt_1" localSheetId="1" hidden="1">{#N/A,#N/A,TRUE,"Cover";#N/A,#N/A,TRUE,"Conts";#N/A,#N/A,TRUE,"VOS";#N/A,#N/A,TRUE,"Warrington";#N/A,#N/A,TRUE,"Widnes"}</definedName>
    <definedName name="thwghrt_1" hidden="1">{#N/A,#N/A,TRUE,"Cover";#N/A,#N/A,TRUE,"Conts";#N/A,#N/A,TRUE,"VOS";#N/A,#N/A,TRUE,"Warrington";#N/A,#N/A,TRUE,"Widnes"}</definedName>
    <definedName name="tick">#REF!</definedName>
    <definedName name="tie_wire" localSheetId="1">#REF!</definedName>
    <definedName name="tie_wire">#REF!</definedName>
    <definedName name="TierCode" localSheetId="1">#REF!</definedName>
    <definedName name="TierCode">#REF!</definedName>
    <definedName name="TierCode_4" localSheetId="1">#REF!</definedName>
    <definedName name="TierCode_4">#REF!</definedName>
    <definedName name="TierCode_4_1">#REF!</definedName>
    <definedName name="TierCode_6">#REF!</definedName>
    <definedName name="TierCode_Text">#REF!</definedName>
    <definedName name="TierCode_Text_4">#REF!</definedName>
    <definedName name="TierCode_Text_4_1">#REF!</definedName>
    <definedName name="TierCode_Text_6">#REF!</definedName>
    <definedName name="TILE_CODE">#REF!</definedName>
    <definedName name="Tile_work">#REF!</definedName>
    <definedName name="tile1">#REF!</definedName>
    <definedName name="tileaq" localSheetId="1">#REF!</definedName>
    <definedName name="tileaq">#REF!</definedName>
    <definedName name="Tileband">#REF!</definedName>
    <definedName name="tilevitrified">#REF!</definedName>
    <definedName name="tilew1">#REF!</definedName>
    <definedName name="tilew2">#REF!</definedName>
    <definedName name="TILING" localSheetId="1">#REF!</definedName>
    <definedName name="TILING">#REF!</definedName>
    <definedName name="TilingSPool_Villa" localSheetId="1">#REF!</definedName>
    <definedName name="TilingSPool_Villa">#REF!</definedName>
    <definedName name="TIME">#REF!</definedName>
    <definedName name="TIME_OF_COMPLETION">#REF!</definedName>
    <definedName name="TIME_OF_FINAL_BILLING">#REF!</definedName>
    <definedName name="Time_stamp">34345.65111875</definedName>
    <definedName name="TimeWarn">#REF!</definedName>
    <definedName name="tipppp" localSheetId="1">#REF!</definedName>
    <definedName name="tipppp">#REF!</definedName>
    <definedName name="TITAN" localSheetId="1">#REF!</definedName>
    <definedName name="TITAN">#REF!</definedName>
    <definedName name="Titel">#REF!</definedName>
    <definedName name="TITLE" localSheetId="1">#REF!</definedName>
    <definedName name="TITLE">#REF!</definedName>
    <definedName name="title1">#REF!</definedName>
    <definedName name="title2">#REF!</definedName>
    <definedName name="title2opt1">#REF!</definedName>
    <definedName name="title2opt2">#REF!</definedName>
    <definedName name="title3">#REF!</definedName>
    <definedName name="Titles">#REF!</definedName>
    <definedName name="TITLES_A_HRS">#REF!</definedName>
    <definedName name="TITLES_PRINT">#REF!</definedName>
    <definedName name="Titoli_stampe" localSheetId="1">#REF!</definedName>
    <definedName name="Titoli_stampe">#REF!</definedName>
    <definedName name="titolistampa" localSheetId="1">#REF!</definedName>
    <definedName name="titolistampa">#REF!</definedName>
    <definedName name="Titolo" localSheetId="1">#REF!</definedName>
    <definedName name="Titolo">#REF!</definedName>
    <definedName name="Titre">#REF!</definedName>
    <definedName name="Tır">#REF!</definedName>
    <definedName name="TırHacmi">#REF!</definedName>
    <definedName name="tj" localSheetId="1">"Page "&amp;IF(ISNA(MATCH(ROW(),[1]!COUNT_TH2_V2__units_1___Type_D_04__900_x_2200mm_high,1)),1,MATCH(ROW(),[1]!COUNT_TH2_V2__units_1___Type_D_04__900_x_2200mm_high,1)+1)&amp;" of " &amp; [1]!CUSTOM1_Shops__GF_ + 0*NOW()</definedName>
    <definedName name="tj">"Page "&amp;IF(ISNA(MATCH(ROW(),RowAfterpgbrk,1)),1,MATCH(ROW(),RowAfterpgbrk,1)+1)&amp;" of " &amp; TotPageCount + 0*NOW()</definedName>
    <definedName name="TL" localSheetId="1">#REF!</definedName>
    <definedName name="TL">#REF!</definedName>
    <definedName name="Tlab" localSheetId="1">#REF!</definedName>
    <definedName name="Tlab">#REF!</definedName>
    <definedName name="tlo">#REF!</definedName>
    <definedName name="tm" localSheetId="1">{"'Break down'!$A$4"}</definedName>
    <definedName name="tm">{"'Break down'!$A$4"}</definedName>
    <definedName name="tm_1" localSheetId="1">{"'Break down'!$A$4"}</definedName>
    <definedName name="tm_1">{"'Break down'!$A$4"}</definedName>
    <definedName name="Tmai">#REF!</definedName>
    <definedName name="TMargin">#REF!</definedName>
    <definedName name="TMB">#REF!</definedName>
    <definedName name="TMD">#REF!</definedName>
    <definedName name="TMN" localSheetId="1">#REF!</definedName>
    <definedName name="TMN">#REF!</definedName>
    <definedName name="Tmol" localSheetId="1">#REF!</definedName>
    <definedName name="Tmol">#REF!</definedName>
    <definedName name="tmp" localSheetId="1">{"'Break down'!$A$4"}</definedName>
    <definedName name="tmp">{"'Break down'!$A$4"}</definedName>
    <definedName name="tmp_1" localSheetId="1">{"'Break down'!$A$4"}</definedName>
    <definedName name="tmp_1">{"'Break down'!$A$4"}</definedName>
    <definedName name="tnd">#REF!</definedName>
    <definedName name="tndmarg">#REF!</definedName>
    <definedName name="tnj" localSheetId="1" hidden="1">{"'Break down'!$A$4"}</definedName>
    <definedName name="tnj" hidden="1">{"'Break down'!$A$4"}</definedName>
    <definedName name="Tnln">#REF!</definedName>
    <definedName name="tno" localSheetId="1">{"'Break down'!$A$4"}</definedName>
    <definedName name="tno">{"'Break down'!$A$4"}</definedName>
    <definedName name="tno_1" localSheetId="1">{"'Break down'!$A$4"}</definedName>
    <definedName name="tno_1">{"'Break down'!$A$4"}</definedName>
    <definedName name="Tnur">#REF!</definedName>
    <definedName name="TOC_Contents">#REF!</definedName>
    <definedName name="TOC_Page">#REF!</definedName>
    <definedName name="Toff">#REF!</definedName>
    <definedName name="Toi">#REF!</definedName>
    <definedName name="toistall">#REF!</definedName>
    <definedName name="TOK" hidden="1">#REF!</definedName>
    <definedName name="tol">#REF!</definedName>
    <definedName name="Tole">#REF!</definedName>
    <definedName name="TOOLS">#REF!</definedName>
    <definedName name="top">#REF!</definedName>
    <definedName name="TOP_DIMS">#REF!</definedName>
    <definedName name="Top_T25_RF_factor" localSheetId="1">#REF!</definedName>
    <definedName name="Top_T25_RF_factor">#REF!</definedName>
    <definedName name="toparea1">#REF!</definedName>
    <definedName name="topl">#REF!</definedName>
    <definedName name="topn">#REF!</definedName>
    <definedName name="Topsheet" hidden="1">#REF!</definedName>
    <definedName name="tosap">#REF!</definedName>
    <definedName name="TOT">#REF!</definedName>
    <definedName name="TOT_CV">#REF!</definedName>
    <definedName name="TOT_EXP_COND" localSheetId="1">#REF!</definedName>
    <definedName name="TOT_EXP_COND">#REF!</definedName>
    <definedName name="TOT_FIXTURES">#REF!</definedName>
    <definedName name="Tot_Investmetn">#REF!</definedName>
    <definedName name="TOT_PVC_COND">#REF!</definedName>
    <definedName name="TOT_VALUE1">#REF!</definedName>
    <definedName name="Tot.Cost_SiteExp">#REF!</definedName>
    <definedName name="Tot.Cost_TempWk">#REF!</definedName>
    <definedName name="Total" localSheetId="1">#N/A</definedName>
    <definedName name="Total">#REF!</definedName>
    <definedName name="Total_2002" localSheetId="1">#REF!</definedName>
    <definedName name="Total_2002">#REF!</definedName>
    <definedName name="Total_2002_CPP">#REF!</definedName>
    <definedName name="Total_2003">#REF!</definedName>
    <definedName name="Total_2003_CPP">#REF!</definedName>
    <definedName name="Total_2004">#REF!</definedName>
    <definedName name="Total_2004_CPP">#REF!</definedName>
    <definedName name="Total_2005">#REF!</definedName>
    <definedName name="Total_2005_CPP">#REF!</definedName>
    <definedName name="Total_2006">#REF!</definedName>
    <definedName name="Total_2006_CPP">#REF!</definedName>
    <definedName name="Total_2007">#REF!</definedName>
    <definedName name="Total_2007_CPP">#REF!</definedName>
    <definedName name="Total_2008">#REF!</definedName>
    <definedName name="Total_2008_CPP">#REF!</definedName>
    <definedName name="Total_Amount">#REF!</definedName>
    <definedName name="Total_Area">#REF!</definedName>
    <definedName name="TOTAL_BEFORE_DISCOUNT">#REF!</definedName>
    <definedName name="total_bill1">#REF!</definedName>
    <definedName name="total_bill3">#REF!</definedName>
    <definedName name="total_bill4">#REF!</definedName>
    <definedName name="total_bill5">#REF!</definedName>
    <definedName name="total_bill6">#REF!</definedName>
    <definedName name="total_bill7">#REF!</definedName>
    <definedName name="Total_Burden">#REF!</definedName>
    <definedName name="TOTAL_C" localSheetId="1">#REF!</definedName>
    <definedName name="TOTAL_C">#REF!</definedName>
    <definedName name="TOTAL_CONSOL." localSheetId="1">#REF!</definedName>
    <definedName name="TOTAL_CONSOL.">#REF!</definedName>
    <definedName name="Total_Construction_Cost">#REF!</definedName>
    <definedName name="TOTAL_CONSUMPTION">#REF!</definedName>
    <definedName name="TOTAL_CPP" localSheetId="1">#REF!</definedName>
    <definedName name="TOTAL_CPP">#REF!</definedName>
    <definedName name="Total_Depn" localSheetId="1">#REF!</definedName>
    <definedName name="Total_Depn">#REF!</definedName>
    <definedName name="TOTAL_DIRECTS">#REF!</definedName>
    <definedName name="Total_Floor_Area">#REF!</definedName>
    <definedName name="total_fluctuation">#REF!</definedName>
    <definedName name="total_graph">#REF!</definedName>
    <definedName name="TOTAL_INDIRECTS" localSheetId="1">#REF!</definedName>
    <definedName name="TOTAL_INDIRECTS">#REF!</definedName>
    <definedName name="Total_Interest">#REF!</definedName>
    <definedName name="Total_Mandays">#REF!</definedName>
    <definedName name="total_mos">#REF!</definedName>
    <definedName name="total_net_rent_for_cashflow">#REF!</definedName>
    <definedName name="TOTAL_NO._OF_CEMENT_BAGS" localSheetId="1">#REF!</definedName>
    <definedName name="TOTAL_NO._OF_CEMENT_BAGS">#REF!</definedName>
    <definedName name="TOTAL_OH" localSheetId="1">#REF!</definedName>
    <definedName name="TOTAL_OH">#REF!</definedName>
    <definedName name="Total_Pay">#REF!</definedName>
    <definedName name="Total_Payment" localSheetId="1">[1]!CUSTOM1_2_bed_fridge_freezer+Extra_Payment</definedName>
    <definedName name="Total_Payment">Scheduled_Payment+Extra_Payment</definedName>
    <definedName name="TOTAL_PCC" localSheetId="1">#REF!</definedName>
    <definedName name="TOTAL_PCC">#REF!</definedName>
    <definedName name="TOTAL_RCC" localSheetId="1">#REF!</definedName>
    <definedName name="TOTAL_RCC">#REF!</definedName>
    <definedName name="Total_Replacement_Cost">#REF!</definedName>
    <definedName name="total_schedule">#REF!</definedName>
    <definedName name="Total_Sell">#REF!</definedName>
    <definedName name="TOTAL1">#REF!</definedName>
    <definedName name="Total1B" localSheetId="1">#REF!</definedName>
    <definedName name="Total1B">#REF!</definedName>
    <definedName name="Total2B">#REF!</definedName>
    <definedName name="Total2L">#REF!</definedName>
    <definedName name="Total2s">#REF!</definedName>
    <definedName name="Total3bs">#REF!</definedName>
    <definedName name="Total3L">#REF!</definedName>
    <definedName name="Total3s">#REF!</definedName>
    <definedName name="TotalAssets" localSheetId="1">[1]!CapitalEmployed+[1]!CurrentLiab</definedName>
    <definedName name="TotalAssets">[1]!CapitalEmployed+[1]!CurrentLiab</definedName>
    <definedName name="totalbudget" localSheetId="1">#REF!</definedName>
    <definedName name="totalbudget">#REF!</definedName>
    <definedName name="TotalCAL" localSheetId="1">#REF!</definedName>
    <definedName name="TotalCAL">#REF!</definedName>
    <definedName name="TotalDebt" localSheetId="1">[1]!LongTermDebt+[1]!ShortTermDebt+[1]!CurrentPortion</definedName>
    <definedName name="TotalDebt">[1]!LongTermDebt+[1]!ShortTermDebt+[1]!CurrentPortion</definedName>
    <definedName name="Totale" localSheetId="1">#REF!</definedName>
    <definedName name="Totale">#REF!</definedName>
    <definedName name="TotalExpenses">#REF!</definedName>
    <definedName name="TotalLabourCost">#REF!</definedName>
    <definedName name="TotalMaterialCost">#REF!</definedName>
    <definedName name="TotalMaterialLabour">#REF!</definedName>
    <definedName name="totalquote">#REF!</definedName>
    <definedName name="TotalRevenue">#REF!</definedName>
    <definedName name="totalroomnights">#REF!</definedName>
    <definedName name="TOTASS">#REF!</definedName>
    <definedName name="TotData">#REF!</definedName>
    <definedName name="TOTFACT">#N/A</definedName>
    <definedName name="totfees" localSheetId="1">#REF!</definedName>
    <definedName name="totfees">#REF!</definedName>
    <definedName name="TOTPG">"102"</definedName>
    <definedName name="totqty" localSheetId="1">{"'Break down'!$A$4"}</definedName>
    <definedName name="totqty">{"'Break down'!$A$4"}</definedName>
    <definedName name="totqty_1" localSheetId="1">{"'Break down'!$A$4"}</definedName>
    <definedName name="totqty_1">{"'Break down'!$A$4"}</definedName>
    <definedName name="TotVData">#REF!</definedName>
    <definedName name="Toughened" localSheetId="1">#REF!</definedName>
    <definedName name="Toughened">#REF!</definedName>
    <definedName name="Tow" localSheetId="1">#REF!</definedName>
    <definedName name="Tow">#REF!</definedName>
    <definedName name="TOWER1" localSheetId="1">#REF!</definedName>
    <definedName name="TOWER1">#REF!</definedName>
    <definedName name="TOWER4">#REF!</definedName>
    <definedName name="TowerA">#REF!</definedName>
    <definedName name="TowerC">#REF!</definedName>
    <definedName name="TowerCD">#REF!</definedName>
    <definedName name="TP27_1108">#REF!</definedName>
    <definedName name="TP27_1109">#REF!</definedName>
    <definedName name="TP27_1110">#REF!</definedName>
    <definedName name="TP27_1203A">#REF!</definedName>
    <definedName name="TP27_1203B">#REF!</definedName>
    <definedName name="TP27_1203C">#REF!</definedName>
    <definedName name="TP27_1203D">#REF!</definedName>
    <definedName name="TP27_1204A">#REF!</definedName>
    <definedName name="TP27_1204B">#REF!</definedName>
    <definedName name="TP27_1204C">#REF!</definedName>
    <definedName name="TP27_1204D">#REF!</definedName>
    <definedName name="TP27_1205A">#REF!</definedName>
    <definedName name="TP27_1205B">#REF!</definedName>
    <definedName name="TP27_1205C">#REF!</definedName>
    <definedName name="TP27_1205D">#REF!</definedName>
    <definedName name="TP27_1206A">#REF!</definedName>
    <definedName name="TP27_1206B">#REF!</definedName>
    <definedName name="TP27_1206C">#REF!</definedName>
    <definedName name="TP27_1207A">#REF!</definedName>
    <definedName name="TP27_1207B">#REF!</definedName>
    <definedName name="TP27_1208A">#REF!</definedName>
    <definedName name="TP27_1208B">#REF!</definedName>
    <definedName name="TP27_1209A">#REF!</definedName>
    <definedName name="TP27_1209B">#REF!</definedName>
    <definedName name="TP27_1301">#REF!</definedName>
    <definedName name="TP27_1302">#REF!</definedName>
    <definedName name="TP27_1303">#REF!</definedName>
    <definedName name="TP27_1304">#REF!</definedName>
    <definedName name="TP27_1305A">#REF!</definedName>
    <definedName name="TP27_1305B">#REF!</definedName>
    <definedName name="TP27_1305C">#REF!</definedName>
    <definedName name="TP27_1306">#REF!</definedName>
    <definedName name="TP27_1307">#REF!</definedName>
    <definedName name="TP27_1308">#REF!</definedName>
    <definedName name="TP27_1309">#REF!</definedName>
    <definedName name="TP27_1310">#REF!</definedName>
    <definedName name="TP27_1311A">#REF!</definedName>
    <definedName name="TP27_1311B">#REF!</definedName>
    <definedName name="TP27_1311C">#REF!</definedName>
    <definedName name="TP27_1311D">#REF!</definedName>
    <definedName name="TP27_1311E">#REF!</definedName>
    <definedName name="TP27_1312">#REF!</definedName>
    <definedName name="TP27_1313">#REF!</definedName>
    <definedName name="TP27_1315">#REF!</definedName>
    <definedName name="TP27_1316">#REF!</definedName>
    <definedName name="TP27_1317">#REF!</definedName>
    <definedName name="TP27_1318">#REF!</definedName>
    <definedName name="TP27_1322A">#REF!</definedName>
    <definedName name="TP27_1323A">#REF!</definedName>
    <definedName name="TP27_1326A">#REF!</definedName>
    <definedName name="TP27_1327B">#REF!</definedName>
    <definedName name="TP27_1327C">#REF!</definedName>
    <definedName name="TP27_1332A">#REF!</definedName>
    <definedName name="TP27_1333">#REF!</definedName>
    <definedName name="TP27_1334">#REF!</definedName>
    <definedName name="TP27_1408">#REF!</definedName>
    <definedName name="TP27_1501">#REF!</definedName>
    <definedName name="TP27_1506">#REF!</definedName>
    <definedName name="TP27_1507">#REF!</definedName>
    <definedName name="tp27_1508a">#REF!</definedName>
    <definedName name="TP27_1508B">#REF!</definedName>
    <definedName name="TP27_1510">#REF!</definedName>
    <definedName name="TP27_1601">#REF!</definedName>
    <definedName name="TP27_1602">#REF!</definedName>
    <definedName name="TP27_1603">#REF!</definedName>
    <definedName name="TP27_1604">#REF!</definedName>
    <definedName name="TP27_1606">#REF!</definedName>
    <definedName name="TP27_1607">#REF!</definedName>
    <definedName name="TP27_1610A">#REF!</definedName>
    <definedName name="TP27_1610B">#REF!</definedName>
    <definedName name="TP27_1610C">#REF!</definedName>
    <definedName name="TP27_1611">#REF!</definedName>
    <definedName name="TP27_1612">#REF!</definedName>
    <definedName name="TP27_1614">#REF!</definedName>
    <definedName name="TP27_1615">#REF!</definedName>
    <definedName name="TP27_501">#REF!</definedName>
    <definedName name="TP27_502">#REF!</definedName>
    <definedName name="TP27_701">#REF!</definedName>
    <definedName name="TP27_7105">#REF!</definedName>
    <definedName name="TP27_7106">#REF!</definedName>
    <definedName name="TP27_7108">#REF!</definedName>
    <definedName name="TP27_7109">#REF!</definedName>
    <definedName name="TP27_7110">#REF!</definedName>
    <definedName name="TP27_7119">#REF!</definedName>
    <definedName name="TP27_7124">#REF!</definedName>
    <definedName name="TP27_7126">#REF!</definedName>
    <definedName name="TP27_7127">#REF!</definedName>
    <definedName name="TP27_7129">#REF!</definedName>
    <definedName name="TP27_7130">#REF!</definedName>
    <definedName name="TP27_721">#REF!</definedName>
    <definedName name="TP27_722">#REF!</definedName>
    <definedName name="TP27_723">#REF!</definedName>
    <definedName name="TP27_724">#REF!</definedName>
    <definedName name="TP27_743">#REF!</definedName>
    <definedName name="TP27_744">#REF!</definedName>
    <definedName name="TP27_745">#REF!</definedName>
    <definedName name="TP27_746">#REF!</definedName>
    <definedName name="TP27_764">#REF!</definedName>
    <definedName name="TP27_765">#REF!</definedName>
    <definedName name="TP27_774">#REF!</definedName>
    <definedName name="TP27_782">#REF!</definedName>
    <definedName name="TP27_784">#REF!</definedName>
    <definedName name="TP27_785">#REF!</definedName>
    <definedName name="TP27_787">#REF!</definedName>
    <definedName name="TP27_801">#REF!</definedName>
    <definedName name="TP27_802">#REF!</definedName>
    <definedName name="TP27_806">#REF!</definedName>
    <definedName name="Tpac">#REF!</definedName>
    <definedName name="Tpav">#REF!</definedName>
    <definedName name="TPLRP">#REF!</definedName>
    <definedName name="Tpon">#REF!</definedName>
    <definedName name="tpp">#REF!</definedName>
    <definedName name="tppp" localSheetId="1" hidden="1">{"'Break down'!$A$4"}</definedName>
    <definedName name="tppp" hidden="1">{"'Break down'!$A$4"}</definedName>
    <definedName name="tr" localSheetId="1" hidden="1">{#N/A,#N/A,FALSE,"COVER.XLS";#N/A,#N/A,FALSE,"RACT1.XLS";#N/A,#N/A,FALSE,"RACT2.XLS";#N/A,#N/A,FALSE,"ECCMP";#N/A,#N/A,FALSE,"WELDER.XLS"}</definedName>
    <definedName name="tr" hidden="1">#REF!</definedName>
    <definedName name="tra_1" localSheetId="1">#REF!</definedName>
    <definedName name="tra_1">#REF!</definedName>
    <definedName name="tra_10" localSheetId="1">#REF!</definedName>
    <definedName name="tra_10">#REF!</definedName>
    <definedName name="tra_11" localSheetId="1">#REF!</definedName>
    <definedName name="tra_11">#REF!</definedName>
    <definedName name="tra_12">#REF!</definedName>
    <definedName name="tra_13">#REF!</definedName>
    <definedName name="tra_14">#REF!</definedName>
    <definedName name="tra_15">#REF!</definedName>
    <definedName name="tra_16">#REF!</definedName>
    <definedName name="tra_17">#REF!</definedName>
    <definedName name="tra_18">#REF!</definedName>
    <definedName name="tra_19">#REF!</definedName>
    <definedName name="tra_2">#REF!</definedName>
    <definedName name="tra_20">#REF!</definedName>
    <definedName name="tra_21">#REF!</definedName>
    <definedName name="tra_22">#REF!</definedName>
    <definedName name="tra_23">#REF!</definedName>
    <definedName name="tra_24">#REF!</definedName>
    <definedName name="tra_25">#REF!</definedName>
    <definedName name="tra_26">#REF!</definedName>
    <definedName name="tra_27">#REF!</definedName>
    <definedName name="tra_28">#REF!</definedName>
    <definedName name="tra_29">#REF!</definedName>
    <definedName name="tra_3">#REF!</definedName>
    <definedName name="tra_30">#REF!</definedName>
    <definedName name="tra_4">#REF!</definedName>
    <definedName name="tra_5">#REF!</definedName>
    <definedName name="tra_6">#REF!</definedName>
    <definedName name="tra_7">#REF!</definedName>
    <definedName name="tra_8">#REF!</definedName>
    <definedName name="tra_9">#REF!</definedName>
    <definedName name="track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rack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rade" localSheetId="1">#REF!</definedName>
    <definedName name="Trade">#REF!</definedName>
    <definedName name="TRADE2" localSheetId="1">#REF!</definedName>
    <definedName name="TRADE2">#REF!</definedName>
    <definedName name="TrafficSings">#REF!</definedName>
    <definedName name="train">#REF!</definedName>
    <definedName name="Train_Test">#REF!</definedName>
    <definedName name="TRAIN_TSD">#N/A</definedName>
    <definedName name="Training" localSheetId="1">#REF!</definedName>
    <definedName name="Training">#REF!</definedName>
    <definedName name="Tran" localSheetId="1">#REF!</definedName>
    <definedName name="Tran">#REF!</definedName>
    <definedName name="TransactionCosts">#REF!</definedName>
    <definedName name="TRANSFER">#REF!</definedName>
    <definedName name="TRANSFER_10">"$BASEMENT.$#REF!$#REF!"</definedName>
    <definedName name="TRANSFER_12">"$#REF!.$#REF!$#REF!"</definedName>
    <definedName name="TRANSFER_13">"$'BASEMENT_ Vault _ Extraction_ '.$#REF!$#REF!"</definedName>
    <definedName name="TRANSFER_15">"$'ESTIMATE SUMMARY'.$#REF!$#REF!"</definedName>
    <definedName name="TRANSFER_16">"$'GROUND _ FIRST FLOOR'.$#REF!$#REF!"</definedName>
    <definedName name="TRANSFER_18">"$#REF!.$#REF!$#REF!"</definedName>
    <definedName name="TRANSFER_19">"$'SECOND FLOOR'.$#REF!$#REF!"</definedName>
    <definedName name="TRANSFER_2">"$#REF!.$#REF!$#REF!"</definedName>
    <definedName name="TRANSFER_21">"$'THIRD FLOOR'.$#REF!$#REF!"</definedName>
    <definedName name="TRANSFER_23">"$'FOURTH FLOOR _Offices_'.$#REF!$#REF!"</definedName>
    <definedName name="TRANSFER_25">"$'FOURTH FLOOR _Hotel rooms_'.$#REF!$#REF!"</definedName>
    <definedName name="TRANSFER_27">"$'FIFTH FLOOR'.$#REF!$#REF!"</definedName>
    <definedName name="TRANSFER_29">"$'SIXTH FLOOR _ ROOF'.$#REF!$#REF!"</definedName>
    <definedName name="TRANSFER_3">"$#REF!.$#REF!$#REF!"</definedName>
    <definedName name="TRANSFER_32">"$'_FACADE _ RETICULATION'.$#REF!$#REF!"</definedName>
    <definedName name="TRANSFER_34">"$'EXTERNAL WORKS'.$#REF!$#REF!"</definedName>
    <definedName name="TRANSFER_36">"$'EXTERNAL WORKS _Access roads_'.$#REF!$#REF!"</definedName>
    <definedName name="TRANSFER_38">"$#REF!.$#REF!$#REF!"</definedName>
    <definedName name="TRANSFER_4">"$#REF!.$#REF!$#REF!"</definedName>
    <definedName name="TRANSFER_5">"$#REF!.$#REF!$#REF!"</definedName>
    <definedName name="TRANSFER_6">"$#REF!.$#REF!$#REF!"</definedName>
    <definedName name="TRANSFER_7">"$#REF!.$#REF!$#REF!"</definedName>
    <definedName name="TRANSFER_8">"$#REF!.$#REF!$#REF!"</definedName>
    <definedName name="TRANSFER1">#REF!</definedName>
    <definedName name="TRANSFERS" localSheetId="1">#REF!</definedName>
    <definedName name="TRANSFERS">#REF!</definedName>
    <definedName name="Transpo">#N/A</definedName>
    <definedName name="Transportation" localSheetId="1">#REF!</definedName>
    <definedName name="Transportation">#REF!</definedName>
    <definedName name="TRANSPORTATION_CHARGES" localSheetId="1">#REF!</definedName>
    <definedName name="TRANSPORTATION_CHARGES">#REF!</definedName>
    <definedName name="TRAY" localSheetId="1">#REF!</definedName>
    <definedName name="TRAY">#REF!</definedName>
    <definedName name="TRAY_PRICING">#REF!</definedName>
    <definedName name="TRAY_TYPE">#REF!</definedName>
    <definedName name="Tray_Width">#N/A</definedName>
    <definedName name="Tray1_Width" localSheetId="1">#N/A</definedName>
    <definedName name="Tray1_Width">IF(VLOOKUP(#REF!,[1]!TRAY_PRICING,2,FALSE)=0,0,VLOOKUP(#REF!,[1]!TRAY_PRICING,2,FALSE))</definedName>
    <definedName name="trbnuomi" localSheetId="1" hidden="1">{#N/A,#N/A,TRUE,"Cover";#N/A,#N/A,TRUE,"Conts";#N/A,#N/A,TRUE,"VOS";#N/A,#N/A,TRUE,"Warrington";#N/A,#N/A,TRUE,"Widnes"}</definedName>
    <definedName name="trbnuomi" hidden="1">{#N/A,#N/A,TRUE,"Cover";#N/A,#N/A,TRUE,"Conts";#N/A,#N/A,TRUE,"VOS";#N/A,#N/A,TRUE,"Warrington";#N/A,#N/A,TRUE,"Widnes"}</definedName>
    <definedName name="trbnuomi_1" localSheetId="1" hidden="1">{#N/A,#N/A,TRUE,"Cover";#N/A,#N/A,TRUE,"Conts";#N/A,#N/A,TRUE,"VOS";#N/A,#N/A,TRUE,"Warrington";#N/A,#N/A,TRUE,"Widnes"}</definedName>
    <definedName name="trbnuomi_1" hidden="1">{#N/A,#N/A,TRUE,"Cover";#N/A,#N/A,TRUE,"Conts";#N/A,#N/A,TRUE,"VOS";#N/A,#N/A,TRUE,"Warrington";#N/A,#N/A,TRUE,"Widnes"}</definedName>
    <definedName name="TRC">#REF!</definedName>
    <definedName name="TRDE" localSheetId="1">#REF!</definedName>
    <definedName name="TRDE">#REF!</definedName>
    <definedName name="tread">#REF!</definedName>
    <definedName name="TRENCHES">#REF!</definedName>
    <definedName name="trend_table">#REF!</definedName>
    <definedName name="TRERERE">#N/A</definedName>
    <definedName name="tretew" localSheetId="1" hidden="1">{#N/A,#N/A,FALSE,"CAM-G7";#N/A,#N/A,FALSE,"SPL";#N/A,#N/A,FALSE,"butt-in G7";#N/A,#N/A,FALSE,"dia-in G7";#N/A,#N/A,FALSE,"추가-STA G7"}</definedName>
    <definedName name="tretew" hidden="1">{#N/A,#N/A,FALSE,"CAM-G7";#N/A,#N/A,FALSE,"SPL";#N/A,#N/A,FALSE,"butt-in G7";#N/A,#N/A,FALSE,"dia-in G7";#N/A,#N/A,FALSE,"추가-STA G7"}</definedName>
    <definedName name="TRETT">#N/A</definedName>
    <definedName name="trew">#REF!</definedName>
    <definedName name="TRFD">#N/A</definedName>
    <definedName name="trgr" localSheetId="1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gr_1" localSheetId="1" hidden="1">{#N/A,#N/A,TRUE,"Cover";#N/A,#N/A,TRUE,"Conts";#N/A,#N/A,TRUE,"VOS";#N/A,#N/A,TRUE,"Warrington";#N/A,#N/A,TRUE,"Widnes"}</definedName>
    <definedName name="trgr_1" hidden="1">{#N/A,#N/A,TRUE,"Cover";#N/A,#N/A,TRUE,"Conts";#N/A,#N/A,TRUE,"VOS";#N/A,#N/A,TRUE,"Warrington";#N/A,#N/A,TRUE,"Widnes"}</definedName>
    <definedName name="trhe" localSheetId="1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e_1" localSheetId="1" hidden="1">{#N/A,#N/A,TRUE,"Cover";#N/A,#N/A,TRUE,"Conts";#N/A,#N/A,TRUE,"VOS";#N/A,#N/A,TRUE,"Warrington";#N/A,#N/A,TRUE,"Widnes"}</definedName>
    <definedName name="trhe_1" hidden="1">{#N/A,#N/A,TRUE,"Cover";#N/A,#N/A,TRUE,"Conts";#N/A,#N/A,TRUE,"VOS";#N/A,#N/A,TRUE,"Warrington";#N/A,#N/A,TRUE,"Widnes"}</definedName>
    <definedName name="trhsh" localSheetId="1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h_1" localSheetId="1" hidden="1">{#N/A,#N/A,TRUE,"Cover";#N/A,#N/A,TRUE,"Conts";#N/A,#N/A,TRUE,"VOS";#N/A,#N/A,TRUE,"Warrington";#N/A,#N/A,TRUE,"Widnes"}</definedName>
    <definedName name="trhsh_1" hidden="1">{#N/A,#N/A,TRUE,"Cover";#N/A,#N/A,TRUE,"Conts";#N/A,#N/A,TRUE,"VOS";#N/A,#N/A,TRUE,"Warrington";#N/A,#N/A,TRUE,"Widnes"}</definedName>
    <definedName name="trhsw" localSheetId="1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hsw_1" localSheetId="1" hidden="1">{#N/A,#N/A,TRUE,"Cover";#N/A,#N/A,TRUE,"Conts";#N/A,#N/A,TRUE,"VOS";#N/A,#N/A,TRUE,"Warrington";#N/A,#N/A,TRUE,"Widnes"}</definedName>
    <definedName name="trhsw_1" hidden="1">{#N/A,#N/A,TRUE,"Cover";#N/A,#N/A,TRUE,"Conts";#N/A,#N/A,TRUE,"VOS";#N/A,#N/A,TRUE,"Warrington";#N/A,#N/A,TRUE,"Widnes"}</definedName>
    <definedName name="TRI_Hospitality_Consulting_Middle_East_Ltd.">#REF!</definedName>
    <definedName name="trialf">#REF!</definedName>
    <definedName name="trialfinal">#REF!</definedName>
    <definedName name="TRIB_PROT_12" localSheetId="1">#REF!</definedName>
    <definedName name="TRIB_PROT_12">#REF!</definedName>
    <definedName name="TRIB_PROT_3" localSheetId="1">#REF!</definedName>
    <definedName name="TRIB_PROT_3">#REF!</definedName>
    <definedName name="TRIB_PROT_4" localSheetId="1">#REF!</definedName>
    <definedName name="TRIB_PROT_4">#REF!</definedName>
    <definedName name="TRIB_PROT_LAN">#REF!</definedName>
    <definedName name="Triburg_Freight_Services_">#REF!</definedName>
    <definedName name="Trinet_Outdoor_Neon_LLC">#REF!</definedName>
    <definedName name="trres" localSheetId="1">BlankMacro1</definedName>
    <definedName name="trres">BlankMacro1</definedName>
    <definedName name="TRRG">#N/A</definedName>
    <definedName name="TRRRTRTR">#N/A</definedName>
    <definedName name="trtr" localSheetId="1" hidden="1">{#N/A,#N/A,FALSE,"MARCH"}</definedName>
    <definedName name="trtr" hidden="1">{#N/A,#N/A,FALSE,"MARCH"}</definedName>
    <definedName name="trtrh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trtrh">IF(ISNA(MATCH(ROW(),RowAfterpgbrk,1)),1,MATCH(ROW(),RowAfterpgbrk,1)+1)&lt;&gt;IF(ISNA(MATCH(ROW()+1,RowAfterpgbrk,1)),1,MATCH(ROW()+1,RowAfterpgbrk,1)+1)</definedName>
    <definedName name="TRTRRTR">#N/A</definedName>
    <definedName name="trtrtr">#N/A</definedName>
    <definedName name="TRTRTRTR">#N/A</definedName>
    <definedName name="trtt" localSheetId="1">#REF!</definedName>
    <definedName name="trtt">#REF!</definedName>
    <definedName name="Tru" localSheetId="1">#REF!</definedName>
    <definedName name="Tru">#REF!</definedName>
    <definedName name="TRUNK" localSheetId="1">#REF!</definedName>
    <definedName name="TRUNK">#REF!</definedName>
    <definedName name="Trusses_to_WWay">#REF!</definedName>
    <definedName name="try">#REF!</definedName>
    <definedName name="tryyryryryryryr" localSheetId="1" hidden="1">{#N/A,#N/A,FALSE,"DI 2 YEAR MASTER SCHEDULE"}</definedName>
    <definedName name="tryyryryryryryr" hidden="1">{#N/A,#N/A,FALSE,"DI 2 YEAR MASTER SCHEDULE"}</definedName>
    <definedName name="TS" localSheetId="1">#REF!</definedName>
    <definedName name="TS">#REF!</definedName>
    <definedName name="tS___0" localSheetId="1">#REF!</definedName>
    <definedName name="tS___0">#REF!</definedName>
    <definedName name="tS___13">#REF!</definedName>
    <definedName name="TSC">#REF!</definedName>
    <definedName name="TSCH">#REF!</definedName>
    <definedName name="TSD">#REF!</definedName>
    <definedName name="tsdtredu" localSheetId="1">BlankMacro1</definedName>
    <definedName name="tsdtredu">BlankMacro1</definedName>
    <definedName name="Tsea" localSheetId="1">#REF!</definedName>
    <definedName name="Tsea">#REF!</definedName>
    <definedName name="tsidewlk">#REF!</definedName>
    <definedName name="TSK">#REF!</definedName>
    <definedName name="TSktg">#REF!</definedName>
    <definedName name="TSS">#REF!</definedName>
    <definedName name="TT" localSheetId="1" hidden="1">{"'Break down'!$A$4"}</definedName>
    <definedName name="TT" hidden="1">{"'Break down'!$A$4"}</definedName>
    <definedName name="tt_1">#REF!</definedName>
    <definedName name="tt_10">#REF!</definedName>
    <definedName name="tt_11">#REF!</definedName>
    <definedName name="tt_12">#REF!</definedName>
    <definedName name="tt_13">#REF!</definedName>
    <definedName name="tt_14">#REF!</definedName>
    <definedName name="tt_15">#REF!</definedName>
    <definedName name="tt_16">#REF!</definedName>
    <definedName name="tt_17">#REF!</definedName>
    <definedName name="tt_18">#REF!</definedName>
    <definedName name="tt_19">#REF!</definedName>
    <definedName name="tt_2">#REF!</definedName>
    <definedName name="tt_20">#REF!</definedName>
    <definedName name="tt_21">#REF!</definedName>
    <definedName name="tt_22">#REF!</definedName>
    <definedName name="tt_23">#REF!</definedName>
    <definedName name="tt_24">#REF!</definedName>
    <definedName name="tt_25">#REF!</definedName>
    <definedName name="tt_26">#REF!</definedName>
    <definedName name="tt_27">#REF!</definedName>
    <definedName name="tt_28">#REF!</definedName>
    <definedName name="tt_29">#REF!</definedName>
    <definedName name="tt_3">#REF!</definedName>
    <definedName name="tt_30">#REF!</definedName>
    <definedName name="tt_4">#REF!</definedName>
    <definedName name="tt_5">#REF!</definedName>
    <definedName name="tt_6">#REF!</definedName>
    <definedName name="tt_7">#REF!</definedName>
    <definedName name="tt_8">#REF!</definedName>
    <definedName name="tt_9">#REF!</definedName>
    <definedName name="TTA">#REF!</definedName>
    <definedName name="Ttak" localSheetId="1">#REF!</definedName>
    <definedName name="Ttak">#REF!</definedName>
    <definedName name="TTB">#REF!</definedName>
    <definedName name="TTDB" localSheetId="1">#REF!</definedName>
    <definedName name="TTDB">#REF!</definedName>
    <definedName name="ttgrtyhtyht">#N/A</definedName>
    <definedName name="TTLB1" localSheetId="1">#REF!</definedName>
    <definedName name="TTLB1">#REF!</definedName>
    <definedName name="TTLB2" localSheetId="1">#REF!</definedName>
    <definedName name="TTLB2">#REF!</definedName>
    <definedName name="TTLB3" localSheetId="1">#REF!</definedName>
    <definedName name="TTLB3">#REF!</definedName>
    <definedName name="Ttoi">#REF!</definedName>
    <definedName name="Ttow">#REF!</definedName>
    <definedName name="ttr" localSheetId="1" hidden="1">{#N/A,#N/A,FALSE,"MARCH"}</definedName>
    <definedName name="ttr" hidden="1">{#N/A,#N/A,FALSE,"MARCH"}</definedName>
    <definedName name="ttrt" localSheetId="1" hidden="1">{#N/A,#N/A,FALSE,"MARCH"}</definedName>
    <definedName name="ttrt" hidden="1">{#N/A,#N/A,FALSE,"MARCH"}</definedName>
    <definedName name="TTRTR">#N/A</definedName>
    <definedName name="Ttru">#REF!</definedName>
    <definedName name="TTT" localSheetId="1">#REF!</definedName>
    <definedName name="ttt">#REF!</definedName>
    <definedName name="tttki" localSheetId="1" hidden="1">{"'Sheet1'!$L$16"}</definedName>
    <definedName name="tttki" hidden="1">{"'Sheet1'!$L$16"}</definedName>
    <definedName name="tttm" localSheetId="1" hidden="1">{"'Sheet1'!$L$16"}</definedName>
    <definedName name="tttm" hidden="1">{"'Sheet1'!$L$16"}</definedName>
    <definedName name="ttt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ki" localSheetId="1" hidden="1">{"'Sheet1'!$L$16"}</definedName>
    <definedName name="ttttki" hidden="1">{"'Sheet1'!$L$16"}</definedName>
    <definedName name="ttttl" localSheetId="1" hidden="1">{"'Sheet1'!$L$16"}</definedName>
    <definedName name="ttttl" hidden="1">{"'Sheet1'!$L$16"}</definedName>
    <definedName name="ttttt">#REF!</definedName>
    <definedName name="tttttt">#N/A</definedName>
    <definedName name="tttttttt" localSheetId="1">#REF!</definedName>
    <definedName name="tttttttt">#REF!</definedName>
    <definedName name="ttttttttt" localSheetId="1">#REF!</definedName>
    <definedName name="ttttttttt">#REF!</definedName>
    <definedName name="tttttttttttttt" localSheetId="1">#REF!</definedName>
    <definedName name="tttttttttttttt">#REF!</definedName>
    <definedName name="tttttttttttttttttttt">#REF!</definedName>
    <definedName name="TTX">#REF!</definedName>
    <definedName name="tu" localSheetId="1">#REF!</definedName>
    <definedName name="tu">#REF!</definedName>
    <definedName name="tu6u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6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be_test_press1_12" localSheetId="1">#REF!</definedName>
    <definedName name="tube_test_press1_12">#REF!</definedName>
    <definedName name="TUBED_INST">#REF!</definedName>
    <definedName name="TUBE계획">#REF!</definedName>
    <definedName name="TUES1" localSheetId="1">#REF!</definedName>
    <definedName name="TUES1">#REF!</definedName>
    <definedName name="tui" localSheetId="1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ui_1" localSheetId="1" hidden="1">{#N/A,#N/A,TRUE,"Cover";#N/A,#N/A,TRUE,"Conts";#N/A,#N/A,TRUE,"VOS";#N/A,#N/A,TRUE,"Warrington";#N/A,#N/A,TRUE,"Widnes"}</definedName>
    <definedName name="tui_1" hidden="1">{#N/A,#N/A,TRUE,"Cover";#N/A,#N/A,TRUE,"Conts";#N/A,#N/A,TRUE,"VOS";#N/A,#N/A,TRUE,"Warrington";#N/A,#N/A,TRUE,"Widnes"}</definedName>
    <definedName name="tuite" localSheetId="1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ite_1" localSheetId="1" hidden="1">{#N/A,#N/A,TRUE,"Cover";#N/A,#N/A,TRUE,"Conts";#N/A,#N/A,TRUE,"VOS";#N/A,#N/A,TRUE,"Warrington";#N/A,#N/A,TRUE,"Widnes"}</definedName>
    <definedName name="tuite_1" hidden="1">{#N/A,#N/A,TRUE,"Cover";#N/A,#N/A,TRUE,"Conts";#N/A,#N/A,TRUE,"VOS";#N/A,#N/A,TRUE,"Warrington";#N/A,#N/A,TRUE,"Widnes"}</definedName>
    <definedName name="tulip">#REF!</definedName>
    <definedName name="Turk" localSheetId="1">#REF!</definedName>
    <definedName name="Turk">#REF!</definedName>
    <definedName name="TURN">#REF!</definedName>
    <definedName name="tutu">#REF!</definedName>
    <definedName name="tuyhg">#REF!</definedName>
    <definedName name="TV">#REF!</definedName>
    <definedName name="TVHWBVSFCD">#REF!</definedName>
    <definedName name="tvtyiuoujl" localSheetId="1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vtyiuoujl_1" localSheetId="1" hidden="1">{#N/A,#N/A,TRUE,"Cover";#N/A,#N/A,TRUE,"Conts";#N/A,#N/A,TRUE,"VOS";#N/A,#N/A,TRUE,"Warrington";#N/A,#N/A,TRUE,"Widnes"}</definedName>
    <definedName name="tvtyiuoujl_1" hidden="1">{#N/A,#N/A,TRUE,"Cover";#N/A,#N/A,TRUE,"Conts";#N/A,#N/A,TRUE,"VOS";#N/A,#N/A,TRUE,"Warrington";#N/A,#N/A,TRUE,"Widnes"}</definedName>
    <definedName name="TVV">#REF!</definedName>
    <definedName name="tw4t3" localSheetId="1" hidden="1">{#N/A,#N/A,FALSE,"포장2"}</definedName>
    <definedName name="tw4t3" hidden="1">{#N/A,#N/A,FALSE,"포장2"}</definedName>
    <definedName name="Twar">#REF!</definedName>
    <definedName name="Twas" localSheetId="1">#REF!</definedName>
    <definedName name="Twas">#REF!</definedName>
    <definedName name="twe" localSheetId="1">BlankMacro1</definedName>
    <definedName name="twe">BlankMacro1</definedName>
    <definedName name="tweet" localSheetId="1">#REF!</definedName>
    <definedName name="tweet">#REF!</definedName>
    <definedName name="TWELVE">#REF!</definedName>
    <definedName name="TWENTY">#REF!</definedName>
    <definedName name="twentytwo">#REF!</definedName>
    <definedName name="tweterwt" localSheetId="1" hidden="1">{#N/A,#N/A,FALSE,"CAM-G7";#N/A,#N/A,FALSE,"SPL";#N/A,#N/A,FALSE,"butt-in G7";#N/A,#N/A,FALSE,"dia-in G7";#N/A,#N/A,FALSE,"추가-STA G7"}</definedName>
    <definedName name="tweterwt" hidden="1">{#N/A,#N/A,FALSE,"CAM-G7";#N/A,#N/A,FALSE,"SPL";#N/A,#N/A,FALSE,"butt-in G7";#N/A,#N/A,FALSE,"dia-in G7";#N/A,#N/A,FALSE,"추가-STA G7"}</definedName>
    <definedName name="twetewt" localSheetId="1" hidden="1">{#N/A,#N/A,FALSE,"물량산출"}</definedName>
    <definedName name="twetewt" hidden="1">{#N/A,#N/A,FALSE,"물량산출"}</definedName>
    <definedName name="twetwet" localSheetId="1" hidden="1">{#N/A,#N/A,FALSE,"전력간선"}</definedName>
    <definedName name="twetwet" hidden="1">{#N/A,#N/A,FALSE,"전력간선"}</definedName>
    <definedName name="twetwetw" localSheetId="1" hidden="1">{#N/A,#N/A,FALSE,"물량산출"}</definedName>
    <definedName name="twetwetw" hidden="1">{#N/A,#N/A,FALSE,"물량산출"}</definedName>
    <definedName name="twetwt" localSheetId="1" hidden="1">{#N/A,#N/A,FALSE,"구조1"}</definedName>
    <definedName name="twetwt" hidden="1">{#N/A,#N/A,FALSE,"구조1"}</definedName>
    <definedName name="TWO">#REF!</definedName>
    <definedName name="Twor" localSheetId="1">#REF!</definedName>
    <definedName name="Twor">#REF!</definedName>
    <definedName name="twotone1">#REF!</definedName>
    <definedName name="twwt" localSheetId="1" hidden="1">{#N/A,#N/A,FALSE,"단가표지"}</definedName>
    <definedName name="twwt" hidden="1">{#N/A,#N/A,FALSE,"단가표지"}</definedName>
    <definedName name="twytenhrdyjf">#REF!</definedName>
    <definedName name="txcad" localSheetId="1">#REF!</definedName>
    <definedName name="txcad">#REF!</definedName>
    <definedName name="txcol" localSheetId="1">#REF!</definedName>
    <definedName name="txcol">#REF!</definedName>
    <definedName name="txesd">#REF!</definedName>
    <definedName name="txsha">#REF!</definedName>
    <definedName name="txusd">1/5.7</definedName>
    <definedName name="ty" localSheetId="1">#REF!</definedName>
    <definedName name="ty">#REF!</definedName>
    <definedName name="ty_1" localSheetId="1" hidden="1">{#N/A,#N/A,TRUE,"Cover";#N/A,#N/A,TRUE,"Conts";#N/A,#N/A,TRUE,"VOS";#N/A,#N/A,TRUE,"Warrington";#N/A,#N/A,TRUE,"Widnes"}</definedName>
    <definedName name="ty_1" hidden="1">{#N/A,#N/A,TRUE,"Cover";#N/A,#N/A,TRUE,"Conts";#N/A,#N/A,TRUE,"VOS";#N/A,#N/A,TRUE,"Warrington";#N/A,#N/A,TRUE,"Widnes"}</definedName>
    <definedName name="ty_2">NA()</definedName>
    <definedName name="ty_3">NA()</definedName>
    <definedName name="ty_4">NA()</definedName>
    <definedName name="tyere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er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gy">#REF!</definedName>
    <definedName name="tyhty" localSheetId="1">#REF!</definedName>
    <definedName name="tyhty">#REF!</definedName>
    <definedName name="tyiddu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ddu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eeeeeeeeee">#REF!</definedName>
    <definedName name="tyjv" localSheetId="1">#REF!</definedName>
    <definedName name="tyjv">#REF!</definedName>
    <definedName name="type">#REF!</definedName>
    <definedName name="Type1">#REF!</definedName>
    <definedName name="Type2">#REF!</definedName>
    <definedName name="Type3">#REF!</definedName>
    <definedName name="tyrvb765" localSheetId="1" hidden="1">{"'Break down'!$A$4"}</definedName>
    <definedName name="tyrvb765" hidden="1">{"'Break down'!$A$4"}</definedName>
    <definedName name="ty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ti" localSheetId="1">BlankMacro1</definedName>
    <definedName name="tyti">BlankMacro1</definedName>
    <definedName name="tyty" localSheetId="1">BlankMacro1</definedName>
    <definedName name="tyty">BlankMacro1</definedName>
    <definedName name="TYTYT">#N/A</definedName>
    <definedName name="tytyy" localSheetId="1" hidden="1">{#N/A,#N/A,FALSE,"MARCH"}</definedName>
    <definedName name="tytyy" hidden="1">{#N/A,#N/A,FALSE,"MARCH"}</definedName>
    <definedName name="tyui" localSheetId="1" hidden="1">{#N/A,#N/A,TRUE,"Cover";#N/A,#N/A,TRUE,"Conts";#N/A,#N/A,TRUE,"VOS";#N/A,#N/A,TRUE,"Warrington";#N/A,#N/A,TRUE,"Widnes"}</definedName>
    <definedName name="tyui" hidden="1">{#N/A,#N/A,TRUE,"Cover";#N/A,#N/A,TRUE,"Conts";#N/A,#N/A,TRUE,"VOS";#N/A,#N/A,TRUE,"Warrington";#N/A,#N/A,TRUE,"Widnes"}</definedName>
    <definedName name="TYUIOPLK" localSheetId="1" hidden="1">{#N/A,#N/A,TRUE,"Cover";#N/A,#N/A,TRUE,"Conts";#N/A,#N/A,TRUE,"VOS";#N/A,#N/A,TRUE,"Warrington";#N/A,#N/A,TRUE,"Widnes"}</definedName>
    <definedName name="TYUIOPLK" hidden="1">{#N/A,#N/A,TRUE,"Cover";#N/A,#N/A,TRUE,"Conts";#N/A,#N/A,TRUE,"VOS";#N/A,#N/A,TRUE,"Warrington";#N/A,#N/A,TRUE,"Widnes"}</definedName>
    <definedName name="tyunhg" localSheetId="1" hidden="1">{#N/A,#N/A,TRUE,"Cover";#N/A,#N/A,TRUE,"Conts";#N/A,#N/A,TRUE,"VOS";#N/A,#N/A,TRUE,"Warrington";#N/A,#N/A,TRUE,"Widnes"}</definedName>
    <definedName name="tyunhg" hidden="1">{#N/A,#N/A,TRUE,"Cover";#N/A,#N/A,TRUE,"Conts";#N/A,#N/A,TRUE,"VOS";#N/A,#N/A,TRUE,"Warrington";#N/A,#N/A,TRUE,"Widnes"}</definedName>
    <definedName name="tyutri" localSheetId="1" hidden="1">{#N/A,#N/A,TRUE,"Cover";#N/A,#N/A,TRUE,"Conts";#N/A,#N/A,TRUE,"VOS";#N/A,#N/A,TRUE,"Warrington";#N/A,#N/A,TRUE,"Widnes"}</definedName>
    <definedName name="tyutri" hidden="1">{#N/A,#N/A,TRUE,"Cover";#N/A,#N/A,TRUE,"Conts";#N/A,#N/A,TRUE,"VOS";#N/A,#N/A,TRUE,"Warrington";#N/A,#N/A,TRUE,"Widnes"}</definedName>
    <definedName name="tyutri_1" localSheetId="1" hidden="1">{#N/A,#N/A,TRUE,"Cover";#N/A,#N/A,TRUE,"Conts";#N/A,#N/A,TRUE,"VOS";#N/A,#N/A,TRUE,"Warrington";#N/A,#N/A,TRUE,"Widnes"}</definedName>
    <definedName name="tyutri_1" hidden="1">{#N/A,#N/A,TRUE,"Cover";#N/A,#N/A,TRUE,"Conts";#N/A,#N/A,TRUE,"VOS";#N/A,#N/A,TRUE,"Warrington";#N/A,#N/A,TRUE,"Widnes"}</definedName>
    <definedName name="U" localSheetId="1">#REF!</definedName>
    <definedName name="U">#REF!</definedName>
    <definedName name="U_1">0</definedName>
    <definedName name="U_22">#REF!</definedName>
    <definedName name="U_A">#REF!</definedName>
    <definedName name="U_C">#REF!</definedName>
    <definedName name="U_G">#REF!</definedName>
    <definedName name="U.60" localSheetId="1">#REF!</definedName>
    <definedName name="U.60">#REF!</definedName>
    <definedName name="U19042704">#REF!</definedName>
    <definedName name="u2q">#REF!</definedName>
    <definedName name="U5Y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5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667r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667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6miot7rkiuyhtg">#REF!</definedName>
    <definedName name="u7i" localSheetId="1">#REF!</definedName>
    <definedName name="u7i">#REF!</definedName>
    <definedName name="uae" localSheetId="1">#REF!</definedName>
    <definedName name="uae">#REF!</definedName>
    <definedName name="ubaid" localSheetId="1" hidden="1">{#N/A,#N/A,FALSE,"VCR"}</definedName>
    <definedName name="ubaid" hidden="1">{#N/A,#N/A,FALSE,"VCR"}</definedName>
    <definedName name="ubaid_1" localSheetId="1" hidden="1">{#N/A,#N/A,FALSE,"VCR"}</definedName>
    <definedName name="ubaid_1" hidden="1">{#N/A,#N/A,FALSE,"VCR"}</definedName>
    <definedName name="Ubaide" localSheetId="1" hidden="1">{#N/A,#N/A,FALSE,"VCR"}</definedName>
    <definedName name="Ubaide" hidden="1">{#N/A,#N/A,FALSE,"VCR"}</definedName>
    <definedName name="Ubaide_1" localSheetId="1" hidden="1">{#N/A,#N/A,FALSE,"VCR"}</definedName>
    <definedName name="Ubaide_1" hidden="1">{#N/A,#N/A,FALSE,"VCR"}</definedName>
    <definedName name="UBArea">#REF!</definedName>
    <definedName name="Ubeam" localSheetId="1">#REF!</definedName>
    <definedName name="Ubeam">#REF!</definedName>
    <definedName name="UBPerimeter" localSheetId="1">#REF!</definedName>
    <definedName name="UBPerimeter">#REF!</definedName>
    <definedName name="UC_Mnhr">#REF!</definedName>
    <definedName name="ucs">#REF!</definedName>
    <definedName name="UD" localSheetId="1">#REF!</definedName>
    <definedName name="UD">#REF!</definedName>
    <definedName name="UDC">#REF!</definedName>
    <definedName name="uert" localSheetId="1" hidden="1">{#N/A,#N/A,TRUE,"Cover";#N/A,#N/A,TRUE,"Conts";#N/A,#N/A,TRUE,"VOS";#N/A,#N/A,TRUE,"Warrington";#N/A,#N/A,TRUE,"Widnes"}</definedName>
    <definedName name="uert" hidden="1">{#N/A,#N/A,TRUE,"Cover";#N/A,#N/A,TRUE,"Conts";#N/A,#N/A,TRUE,"VOS";#N/A,#N/A,TRUE,"Warrington";#N/A,#N/A,TRUE,"Widnes"}</definedName>
    <definedName name="UFPrn20070606143329" localSheetId="1">#REF!</definedName>
    <definedName name="UFPrn20070606143329">#REF!</definedName>
    <definedName name="UFPrn20070606150313">#REF!</definedName>
    <definedName name="UFPrn20071205114508">#REF!</definedName>
    <definedName name="UFPrn20080107094212">#REF!</definedName>
    <definedName name="UG_SUMP">#REF!</definedName>
    <definedName name="uh" localSheetId="1">#N/A</definedName>
    <definedName name="uh">InterestIncome-InterestExpense</definedName>
    <definedName name="uhhtrytrs" localSheetId="1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hhtrytrs_1" localSheetId="1" hidden="1">{#N/A,#N/A,TRUE,"Cover";#N/A,#N/A,TRUE,"Conts";#N/A,#N/A,TRUE,"VOS";#N/A,#N/A,TRUE,"Warrington";#N/A,#N/A,TRUE,"Widnes"}</definedName>
    <definedName name="uhhtrytrs_1" hidden="1">{#N/A,#N/A,TRUE,"Cover";#N/A,#N/A,TRUE,"Conts";#N/A,#N/A,TRUE,"VOS";#N/A,#N/A,TRUE,"Warrington";#N/A,#N/A,TRUE,"Widnes"}</definedName>
    <definedName name="UHrs_Civil" localSheetId="1">IF(VLOOKUP(#REF!,PRICE_CIVIL,9,FALSE)=0,0,VLOOKUP(#REF!,PRICE_CIVIL,9,FALSE))</definedName>
    <definedName name="UHrs_Civil">IF(VLOOKUP(#REF!,PRICE_CIVIL,9,FALSE)=0,0,VLOOKUP(#REF!,PRICE_CIVIL,9,FALSE))</definedName>
    <definedName name="Uhrs_Cntl_Valves">#N/A</definedName>
    <definedName name="UHrs_Conduit">#N/A</definedName>
    <definedName name="Uhrs_DB">#N/A</definedName>
    <definedName name="UHrs_MV_Cable">#N/A</definedName>
    <definedName name="UHrs_Other">#N/A</definedName>
    <definedName name="UHrs_tray">#N/A</definedName>
    <definedName name="Uhrs1_Civil" localSheetId="1">#N/A</definedName>
    <definedName name="Uhrs1_Civil">IF(VLOOKUP(#REF!,PRICE_CIVIL,9,FALSE)=0,0,VLOOKUP(#REF!,PRICE_CIVIL,9,FALSE))</definedName>
    <definedName name="UHrs1_Conduit" localSheetId="1">#N/A</definedName>
    <definedName name="UHrs1_Conduit">IF(VLOOKUP(#REF!,[1]!COND_PRICING,10,FALSE)=0,0,VLOOKUP(#REF!,[1]!COND_PRICING,10,FALSE))</definedName>
    <definedName name="UHrs1_MV_Cable" localSheetId="1">#N/A</definedName>
    <definedName name="UHrs1_MV_Cable">IF(VLOOKUP(#REF!,[1]!CABLE_PRICING,10,FALSE)=0,0,VLOOKUP(#REF!,[1]!CABLE_PRICING,10,FALSE))</definedName>
    <definedName name="UHrs1_Other" localSheetId="1">#N/A</definedName>
    <definedName name="UHrs1_Other">IF(VLOOKUP(#REF!,[1]!OTHER_PRICING,10,FALSE)=0,0,VLOOKUP(#REF!,[1]!OTHER_PRICING,10,FALSE))</definedName>
    <definedName name="UHrs1_tray" localSheetId="1">#N/A</definedName>
    <definedName name="UHrs1_tray">IF(VLOOKUP(#REF!,[1]!TRAY_PRICING,12,FALSE)=0,0,VLOOKUP(#REF!,[1]!TRAY_PRICING,12,FALSE))</definedName>
    <definedName name="ui" localSheetId="1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_1" localSheetId="1" hidden="1">{#N/A,#N/A,TRUE,"Cover";#N/A,#N/A,TRUE,"Conts";#N/A,#N/A,TRUE,"VOS";#N/A,#N/A,TRUE,"Warrington";#N/A,#N/A,TRUE,"Widnes"}</definedName>
    <definedName name="ui_1" hidden="1">{#N/A,#N/A,TRUE,"Cover";#N/A,#N/A,TRUE,"Conts";#N/A,#N/A,TRUE,"VOS";#N/A,#N/A,TRUE,"Warrington";#N/A,#N/A,TRUE,"Widnes"}</definedName>
    <definedName name="UI2Y4R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I2Y4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ic" localSheetId="1" hidden="1">{#N/A,#N/A,TRUE,"Cover";#N/A,#N/A,TRUE,"Conts";#N/A,#N/A,TRUE,"VOS";#N/A,#N/A,TRUE,"Warrington";#N/A,#N/A,TRUE,"Widnes"}</definedName>
    <definedName name="uic" hidden="1">{#N/A,#N/A,TRUE,"Cover";#N/A,#N/A,TRUE,"Conts";#N/A,#N/A,TRUE,"VOS";#N/A,#N/A,TRUE,"Warrington";#N/A,#N/A,TRUE,"Widnes"}</definedName>
    <definedName name="uih" localSheetId="1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h_1" localSheetId="1" hidden="1">{#N/A,#N/A,TRUE,"Cover";#N/A,#N/A,TRUE,"Conts";#N/A,#N/A,TRUE,"VOS";#N/A,#N/A,TRUE,"Warrington";#N/A,#N/A,TRUE,"Widnes"}</definedName>
    <definedName name="uih_1" hidden="1">{#N/A,#N/A,TRUE,"Cover";#N/A,#N/A,TRUE,"Conts";#N/A,#N/A,TRUE,"VOS";#N/A,#N/A,TRUE,"Warrington";#N/A,#N/A,TRUE,"Widnes"}</definedName>
    <definedName name="uiio">#REF!</definedName>
    <definedName name="uio" localSheetId="1" hidden="1">{#N/A,#N/A,TRUE,"Cover";#N/A,#N/A,TRUE,"Conts";#N/A,#N/A,TRUE,"VOS";#N/A,#N/A,TRUE,"Warrington";#N/A,#N/A,TRUE,"Widnes"}</definedName>
    <definedName name="uio" hidden="1">{#N/A,#N/A,TRUE,"Cover";#N/A,#N/A,TRUE,"Conts";#N/A,#N/A,TRUE,"VOS";#N/A,#N/A,TRUE,"Warrington";#N/A,#N/A,TRUE,"Widnes"}</definedName>
    <definedName name="uiouo" localSheetId="1" hidden="1">{#N/A,#N/A,FALSE,"Header P";#N/A,#N/A,FALSE,"Summary";#N/A,#N/A,FALSE,"CONTRACT WORKS";#N/A,#N/A,FALSE,"Variations";#N/A,#N/A,FALSE,"Dwk"}</definedName>
    <definedName name="uiouo" hidden="1">{#N/A,#N/A,FALSE,"Header P";#N/A,#N/A,FALSE,"Summary";#N/A,#N/A,FALSE,"CONTRACT WORKS";#N/A,#N/A,FALSE,"Variations";#N/A,#N/A,FALSE,"Dwk"}</definedName>
    <definedName name="uioyu" localSheetId="1" hidden="1">{#N/A,#N/A,TRUE,"Cover";#N/A,#N/A,TRUE,"Conts";#N/A,#N/A,TRUE,"VOS";#N/A,#N/A,TRUE,"Warrington";#N/A,#N/A,TRUE,"Widnes"}</definedName>
    <definedName name="uioyu" hidden="1">{#N/A,#N/A,TRUE,"Cover";#N/A,#N/A,TRUE,"Conts";#N/A,#N/A,TRUE,"VOS";#N/A,#N/A,TRUE,"Warrington";#N/A,#N/A,TRUE,"Widnes"}</definedName>
    <definedName name="uit" localSheetId="1">#REF!</definedName>
    <definedName name="uit">#REF!</definedName>
    <definedName name="uiuif" localSheetId="1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uif_1" localSheetId="1" hidden="1">{#N/A,#N/A,TRUE,"Cover";#N/A,#N/A,TRUE,"Conts";#N/A,#N/A,TRUE,"VOS";#N/A,#N/A,TRUE,"Warrington";#N/A,#N/A,TRUE,"Widnes"}</definedName>
    <definedName name="uiuif_1" hidden="1">{#N/A,#N/A,TRUE,"Cover";#N/A,#N/A,TRUE,"Conts";#N/A,#N/A,TRUE,"VOS";#N/A,#N/A,TRUE,"Warrington";#N/A,#N/A,TRUE,"Widnes"}</definedName>
    <definedName name="uiuiuiuiuiu">#N/A</definedName>
    <definedName name="uiuu">#REF!</definedName>
    <definedName name="uiy" localSheetId="1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_1" localSheetId="1" hidden="1">{#N/A,#N/A,TRUE,"Cover";#N/A,#N/A,TRUE,"Conts";#N/A,#N/A,TRUE,"VOS";#N/A,#N/A,TRUE,"Warrington";#N/A,#N/A,TRUE,"Widnes"}</definedName>
    <definedName name="uiy_1" hidden="1">{#N/A,#N/A,TRUE,"Cover";#N/A,#N/A,TRUE,"Conts";#N/A,#N/A,TRUE,"VOS";#N/A,#N/A,TRUE,"Warrington";#N/A,#N/A,TRUE,"Widnes"}</definedName>
    <definedName name="uiyuitii" localSheetId="1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iyuitii_1" localSheetId="1" hidden="1">{#N/A,#N/A,TRUE,"Cover";#N/A,#N/A,TRUE,"Conts";#N/A,#N/A,TRUE,"VOS";#N/A,#N/A,TRUE,"Warrington";#N/A,#N/A,TRUE,"Widnes"}</definedName>
    <definedName name="uiyuitii_1" hidden="1">{#N/A,#N/A,TRUE,"Cover";#N/A,#N/A,TRUE,"Conts";#N/A,#N/A,TRUE,"VOS";#N/A,#N/A,TRUE,"Warrington";#N/A,#N/A,TRUE,"Widnes"}</definedName>
    <definedName name="UiYx" localSheetId="1">#REF!</definedName>
    <definedName name="UiYx">#REF!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i" localSheetId="1" hidden="1">{#N/A,#N/A,TRUE,"Cover";#N/A,#N/A,TRUE,"Conts";#N/A,#N/A,TRUE,"VOS";#N/A,#N/A,TRUE,"Warrington";#N/A,#N/A,TRUE,"Widnes"}</definedName>
    <definedName name="uji" hidden="1">{#N/A,#N/A,TRUE,"Cover";#N/A,#N/A,TRUE,"Conts";#N/A,#N/A,TRUE,"VOS";#N/A,#N/A,TRUE,"Warrington";#N/A,#N/A,TRUE,"Widnes"}</definedName>
    <definedName name="ujjy">#REF!</definedName>
    <definedName name="ujn" localSheetId="1" hidden="1">{#N/A,#N/A,TRUE,"Cover";#N/A,#N/A,TRUE,"Conts";#N/A,#N/A,TRUE,"VOS";#N/A,#N/A,TRUE,"Warrington";#N/A,#N/A,TRUE,"Widnes"}</definedName>
    <definedName name="ujn" hidden="1">{#N/A,#N/A,TRUE,"Cover";#N/A,#N/A,TRUE,"Conts";#N/A,#N/A,TRUE,"VOS";#N/A,#N/A,TRUE,"Warrington";#N/A,#N/A,TRUE,"Widnes"}</definedName>
    <definedName name="ujnnmhnn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jnnmhn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jt">#REF!</definedName>
    <definedName name="ujuuyi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juu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JY">#N/A</definedName>
    <definedName name="ujyh">#REF!</definedName>
    <definedName name="uk_in_uk">#REF!</definedName>
    <definedName name="ukl" localSheetId="1" hidden="1">{#N/A,#N/A,TRUE,"Cover";#N/A,#N/A,TRUE,"Conts";#N/A,#N/A,TRUE,"VOS";#N/A,#N/A,TRUE,"Warrington";#N/A,#N/A,TRUE,"Widnes"}</definedName>
    <definedName name="ukl" hidden="1">{#N/A,#N/A,TRUE,"Cover";#N/A,#N/A,TRUE,"Conts";#N/A,#N/A,TRUE,"VOS";#N/A,#N/A,TRUE,"Warrington";#N/A,#N/A,TRUE,"Widnes"}</definedName>
    <definedName name="ULD" localSheetId="1">#REF!</definedName>
    <definedName name="ULD">#REF!</definedName>
    <definedName name="ulppuipui" localSheetId="1" hidden="1">{#N/A,#N/A,TRUE,"Cover";#N/A,#N/A,TRUE,"Conts";#N/A,#N/A,TRUE,"VOS";#N/A,#N/A,TRUE,"Warrington";#N/A,#N/A,TRUE,"Widnes"}</definedName>
    <definedName name="ulppuipui" hidden="1">{#N/A,#N/A,TRUE,"Cover";#N/A,#N/A,TRUE,"Conts";#N/A,#N/A,TRUE,"VOS";#N/A,#N/A,TRUE,"Warrington";#N/A,#N/A,TRUE,"Widnes"}</definedName>
    <definedName name="ulppuipui_1" localSheetId="1" hidden="1">{#N/A,#N/A,TRUE,"Cover";#N/A,#N/A,TRUE,"Conts";#N/A,#N/A,TRUE,"VOS";#N/A,#N/A,TRUE,"Warrington";#N/A,#N/A,TRUE,"Widnes"}</definedName>
    <definedName name="ulppuipui_1" hidden="1">{#N/A,#N/A,TRUE,"Cover";#N/A,#N/A,TRUE,"Conts";#N/A,#N/A,TRUE,"VOS";#N/A,#N/A,TRUE,"Warrington";#N/A,#N/A,TRUE,"Widnes"}</definedName>
    <definedName name="ululyulu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lulyul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ma" localSheetId="1" hidden="1">{#N/A,#N/A,FALSE,"COVER1.XLS ";#N/A,#N/A,FALSE,"RACT1.XLS";#N/A,#N/A,FALSE,"RACT2.XLS";#N/A,#N/A,FALSE,"ECCMP";#N/A,#N/A,FALSE,"WELDER.XLS"}</definedName>
    <definedName name="uma" hidden="1">{#N/A,#N/A,FALSE,"COVER1.XLS ";#N/A,#N/A,FALSE,"RACT1.XLS";#N/A,#N/A,FALSE,"RACT2.XLS";#N/A,#N/A,FALSE,"ECCMP";#N/A,#N/A,FALSE,"WELDER.XLS"}</definedName>
    <definedName name="UMatl_Civil" localSheetId="1">IF(VLOOKUP(#REF!,PRICE_CIVIL,7,FALSE)=0,0,VLOOKUP(#REF!,PRICE_CIVIL,7,FALSE))</definedName>
    <definedName name="UMatl_Civil">IF(VLOOKUP(#REF!,PRICE_CIVIL,7,FALSE)=0,0,VLOOKUP(#REF!,PRICE_CIVIL,7,FALSE))</definedName>
    <definedName name="UMatl_Cntl_Valves">#N/A</definedName>
    <definedName name="UMatl_Conduit">#N/A</definedName>
    <definedName name="UMatl_DB">#N/A</definedName>
    <definedName name="UMatl_MV_Cable">#N/A</definedName>
    <definedName name="UMatl_Other">#N/A</definedName>
    <definedName name="UMatl_Tray">#N/A</definedName>
    <definedName name="UMatl1_Civil" localSheetId="1">#N/A</definedName>
    <definedName name="UMatl1_Civil">IF(VLOOKUP(#REF!,PRICE_CIVIL,7,FALSE)=0,0,VLOOKUP(#REF!,PRICE_CIVIL,7,FALSE))</definedName>
    <definedName name="UMatl1_Conduit" localSheetId="1">#N/A</definedName>
    <definedName name="UMatl1_Conduit">IF(VLOOKUP(#REF!,[1]!COND_PRICING,9,FALSE)=0,0,VLOOKUP(#REF!,[1]!COND_PRICING,9,FALSE))</definedName>
    <definedName name="UMatl1_MV_Cable" localSheetId="1">#N/A</definedName>
    <definedName name="UMatl1_MV_Cable">IF(VLOOKUP(#REF!,[1]!CABLE_PRICING,9,FALSE)=0,0,VLOOKUP(#REF!,[1]!CABLE_PRICING,9,FALSE))</definedName>
    <definedName name="UMatl1_Other" localSheetId="1">#N/A</definedName>
    <definedName name="UMatl1_Other">IF(VLOOKUP(#REF!,[1]!OTHER_PRICING,9,FALSE)=0,0,VLOOKUP(#REF!,[1]!OTHER_PRICING,9,FALSE))</definedName>
    <definedName name="UMatl1_Tray" localSheetId="1">#N/A</definedName>
    <definedName name="UMatl1_Tray">IF(VLOOKUP(#REF!,[1]!TRAY_PRICING,11,FALSE)=0,0,VLOOKUP(#REF!,[1]!TRAY_PRICING,11,FALSE))</definedName>
    <definedName name="UMD">#REF!</definedName>
    <definedName name="umesh">#N/A</definedName>
    <definedName name="Unaccom" localSheetId="1">#REF!</definedName>
    <definedName name="Unaccom">#REF!</definedName>
    <definedName name="unaccom1">#REF!</definedName>
    <definedName name="Unaccom2">#REF!</definedName>
    <definedName name="UNDER0_START">#REF!</definedName>
    <definedName name="undo" localSheetId="1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NFIXED">#REF!</definedName>
    <definedName name="Unfurnished_Apartments_Cost" localSheetId="1">#REF!</definedName>
    <definedName name="Unfurnished_Apartments_Cost">#REF!</definedName>
    <definedName name="Unfurnished_Apartments_Rents">#REF!</definedName>
    <definedName name="ung" localSheetId="1" hidden="1">{#N/A,#N/A,TRUE,"Cover";#N/A,#N/A,TRUE,"Conts";#N/A,#N/A,TRUE,"VOS";#N/A,#N/A,TRUE,"Warrington";#N/A,#N/A,TRUE,"Widnes"}</definedName>
    <definedName name="ung" hidden="1">{#N/A,#N/A,TRUE,"Cover";#N/A,#N/A,TRUE,"Conts";#N/A,#N/A,TRUE,"VOS";#N/A,#N/A,TRUE,"Warrington";#N/A,#N/A,TRUE,"Widnes"}</definedName>
    <definedName name="Unifier" localSheetId="1">#REF!</definedName>
    <definedName name="Unifier">#REF!</definedName>
    <definedName name="uniformat" localSheetId="1">#REF!</definedName>
    <definedName name="uniformat">#REF!</definedName>
    <definedName name="UNION">#REF!</definedName>
    <definedName name="Union_Insurance_Company">#REF!</definedName>
    <definedName name="Unit">#REF!</definedName>
    <definedName name="Unit_Rate">"E1"</definedName>
    <definedName name="UNIT_TYPES" localSheetId="1">#REF!</definedName>
    <definedName name="UNIT_TYPES">#REF!</definedName>
    <definedName name="UNIT1" localSheetId="1">IF(#REF!=1,VLOOKUP(#REF!,#REF!,3),VLOOKUP(#REF!,#REF!,4))</definedName>
    <definedName name="UNIT1">IF(#REF!=1,VLOOKUP(#REF!,#REF!,3),VLOOKUP(#REF!,#REF!,4))</definedName>
    <definedName name="unitB">#REF!</definedName>
    <definedName name="UnitCosts">#REF!</definedName>
    <definedName name="United_Gulf_Contracting_and_General_Transport_LLC" localSheetId="1">#REF!</definedName>
    <definedName name="United_Gulf_Contracting_and_General_Transport_LLC">#REF!</definedName>
    <definedName name="UnitName" localSheetId="1">#REF!</definedName>
    <definedName name="UnitName">#REF!</definedName>
    <definedName name="UNITS">#REF!</definedName>
    <definedName name="unitt" localSheetId="1">BlankMacro1</definedName>
    <definedName name="unitt">BlankMacro1</definedName>
    <definedName name="unittre" localSheetId="1">BlankMacro1</definedName>
    <definedName name="unittre">BlankMacro1</definedName>
    <definedName name="unsecured" localSheetId="1">#REF!</definedName>
    <definedName name="unsecured">#REF!</definedName>
    <definedName name="UNSKILLEDCARP" localSheetId="1">#REF!</definedName>
    <definedName name="UNSKILLEDCARP">#REF!</definedName>
    <definedName name="UNSKSTEEL" localSheetId="1">#REF!</definedName>
    <definedName name="UNSKSTEEL">#REF!</definedName>
    <definedName name="uoihg" localSheetId="1" hidden="1">{"'Sheet1'!$L$16"}</definedName>
    <definedName name="uoihg" hidden="1">{"'Sheet1'!$L$16"}</definedName>
    <definedName name="uolougouio" localSheetId="1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olougouio_1" localSheetId="1" hidden="1">{#N/A,#N/A,TRUE,"Cover";#N/A,#N/A,TRUE,"Conts";#N/A,#N/A,TRUE,"VOS";#N/A,#N/A,TRUE,"Warrington";#N/A,#N/A,TRUE,"Widnes"}</definedName>
    <definedName name="uolougouio_1" hidden="1">{#N/A,#N/A,TRUE,"Cover";#N/A,#N/A,TRUE,"Conts";#N/A,#N/A,TRUE,"VOS";#N/A,#N/A,TRUE,"Warrington";#N/A,#N/A,TRUE,"Widnes"}</definedName>
    <definedName name="UOM" localSheetId="1">#REF!</definedName>
    <definedName name="UOM">#REF!</definedName>
    <definedName name="uototggy" localSheetId="1">BlankMacro1</definedName>
    <definedName name="uototggy">BlankMacro1</definedName>
    <definedName name="uoy" localSheetId="1" hidden="1">{#N/A,#N/A,FALSE,"MARCH"}</definedName>
    <definedName name="uoy" hidden="1">{#N/A,#N/A,FALSE,"MARCH"}</definedName>
    <definedName name="up">#REF!</definedName>
    <definedName name="Update">#REF!</definedName>
    <definedName name="updated" localSheetId="1" hidden="1">{#N/A,#N/A,FALSE,"MARCH"}</definedName>
    <definedName name="updated" hidden="1">{#N/A,#N/A,FALSE,"MARCH"}</definedName>
    <definedName name="Upgrading_existing_services">#REF!</definedName>
    <definedName name="UPLIFT" localSheetId="1">#REF!</definedName>
    <definedName name="UPLIFT">#REF!</definedName>
    <definedName name="UpLiftFactor" localSheetId="1">#REF!</definedName>
    <definedName name="UpLiftFactor">#REF!</definedName>
    <definedName name="upo" localSheetId="1" hidden="1">{"'Break down'!$A$4"}</definedName>
    <definedName name="upo" hidden="1">{"'Break down'!$A$4"}</definedName>
    <definedName name="upper">#REF!</definedName>
    <definedName name="UPPER_FLOORS">#REF!</definedName>
    <definedName name="uppipeabt">#REF!</definedName>
    <definedName name="uppipebox">#REF!</definedName>
    <definedName name="ur" localSheetId="1">[1]!CUSTOM1_2_bed_fridge_freezer+Extra_Payment</definedName>
    <definedName name="ur">Scheduled_Payment+Extra_Payment</definedName>
    <definedName name="UR_STATUS_DRGS" localSheetId="1">#REF!</definedName>
    <definedName name="UR_STATUS_DRGS">#REF!</definedName>
    <definedName name="UR_STATUS_NUMBER" localSheetId="1">#REF!</definedName>
    <definedName name="UR_STATUS_NUMBER">#REF!</definedName>
    <definedName name="Urbitum" localSheetId="1">#REF!</definedName>
    <definedName name="Urbitum">#REF!</definedName>
    <definedName name="URF">#N/A</definedName>
    <definedName name="urgency">#REF!</definedName>
    <definedName name="urhqgle" localSheetId="1">BlankMacro1</definedName>
    <definedName name="urhqgle">BlankMacro1</definedName>
    <definedName name="urinal1">#REF!</definedName>
    <definedName name="urinal2">#REF!</definedName>
    <definedName name="urrt" localSheetId="1" hidden="1">{#N/A,#N/A,TRUE,"Cover";#N/A,#N/A,TRUE,"Conts";#N/A,#N/A,TRUE,"VOS";#N/A,#N/A,TRUE,"Warrington";#N/A,#N/A,TRUE,"Widnes"}</definedName>
    <definedName name="urrt" hidden="1">{#N/A,#N/A,TRUE,"Cover";#N/A,#N/A,TRUE,"Conts";#N/A,#N/A,TRUE,"VOS";#N/A,#N/A,TRUE,"Warrington";#N/A,#N/A,TRUE,"Widnes"}</definedName>
    <definedName name="URTY">#N/A</definedName>
    <definedName name="US_C_Civil" localSheetId="1">IF(VLOOKUP(#REF!,PRICE_CIVIL,8,FALSE)=0,0,VLOOKUP(#REF!,PRICE_CIVIL,8,FALSE))</definedName>
    <definedName name="US_C_Civil">IF(VLOOKUP(#REF!,PRICE_CIVIL,8,FALSE)=0,0,VLOOKUP(#REF!,PRICE_CIVIL,8,FALSE))</definedName>
    <definedName name="US_C1_Civil" localSheetId="1">#N/A</definedName>
    <definedName name="US_C1_Civil">IF(VLOOKUP(#REF!,PRICE_CIVIL,8)=0,0,VLOOKUP(#REF!,PRICE_CIVIL,8))</definedName>
    <definedName name="USC_Cntl_Valves">#N/A</definedName>
    <definedName name="USC_Conduit">#N/A</definedName>
    <definedName name="USC_DB">#N/A</definedName>
    <definedName name="USC_MV_Cable">#N/A</definedName>
    <definedName name="USC_Other">#N/A</definedName>
    <definedName name="USC_Tray">#N/A</definedName>
    <definedName name="USC1_Conduit" localSheetId="1">#N/A</definedName>
    <definedName name="USC1_Conduit">ROUND(IF(VLOOKUP(#REF!,[1]!COND_PRICING,15,FALSE)=0,0,VLOOKUP(#REF!,[1]!COND_PRICING,15,FALSE)),0)</definedName>
    <definedName name="USC1_MV_Cable" localSheetId="1">#N/A</definedName>
    <definedName name="USC1_MV_Cable">ROUND(IF(VLOOKUP(#REF!,[1]!CABLE_PRICING,15,FALSE)=0,0,VLOOKUP(#REF!,[1]!CABLE_PRICING,15,FALSE)),0)</definedName>
    <definedName name="USC1_Other" localSheetId="1">#N/A</definedName>
    <definedName name="USC1_Other">ROUND(IF(VLOOKUP(#REF!,[1]!OTHER_PRICING,15,FALSE)=0,0,VLOOKUP(#REF!,[1]!OTHER_PRICING,15,FALSE)),0)</definedName>
    <definedName name="USC1_Tray" localSheetId="1">#N/A</definedName>
    <definedName name="USC1_Tray">ROUND(IF(VLOOKUP(#REF!,[1]!TRAY_PRICING,17,FALSE)=0,0,VLOOKUP(#REF!,[1]!TRAY_PRICING,17,FALSE)),0)</definedName>
    <definedName name="USCHrs_Civil" localSheetId="1">IF(VLOOKUP(#REF!,PRICE_CIVIL,10,FALSE)=0,0,VLOOKUP(#REF!,PRICE_CIVIL,10,FALSE))</definedName>
    <definedName name="USCHrs_Civil">IF(VLOOKUP(#REF!,PRICE_CIVIL,10,FALSE)=0,0,VLOOKUP(#REF!,PRICE_CIVIL,10,FALSE))</definedName>
    <definedName name="USChrs_Cntl_Valves">#N/A</definedName>
    <definedName name="USChrs_Conduit">#N/A</definedName>
    <definedName name="USChrs_DB">#N/A</definedName>
    <definedName name="USChrs_MV_Cable">#N/A</definedName>
    <definedName name="USChrs_Other">#N/A</definedName>
    <definedName name="USChrs_tray">#N/A</definedName>
    <definedName name="USChrs1_Civil" localSheetId="1">#N/A</definedName>
    <definedName name="USChrs1_Civil">IF(VLOOKUP(#REF!,PRICE_CIVIL,10,FALSE)=0,0,VLOOKUP(#REF!,PRICE_CIVIL,10,FALSE))</definedName>
    <definedName name="USChrs1_Conduit" localSheetId="1">#N/A</definedName>
    <definedName name="USChrs1_Conduit">IF(VLOOKUP(#REF!,[1]!COND_PRICING,16,FALSE)=0,0,VLOOKUP(#REF!,[1]!COND_PRICING,16,FALSE))</definedName>
    <definedName name="USChrs1_MV_Cable" localSheetId="1">#N/A</definedName>
    <definedName name="USChrs1_MV_Cable">IF(VLOOKUP(#REF!,[1]!CABLE_PRICING,16,FALSE)=0,0,VLOOKUP(#REF!,[1]!CABLE_PRICING,16,FALSE))</definedName>
    <definedName name="USChrs1_Other" localSheetId="1">#N/A</definedName>
    <definedName name="USChrs1_Other">IF(VLOOKUP(#REF!,[1]!OTHER_PRICING,16,FALSE)=0,0,VLOOKUP(#REF!,[1]!OTHER_PRICING,16,FALSE))</definedName>
    <definedName name="USChrs1_tray" localSheetId="1">#N/A</definedName>
    <definedName name="USChrs1_tray">IF(VLOOKUP(#REF!,[1]!TRAY_PRICING,18,FALSE)=0,0,VLOOKUP(#REF!,[1]!TRAY_PRICING,18,FALSE))</definedName>
    <definedName name="uscite_a" localSheetId="1">#REF!</definedName>
    <definedName name="uscite_a">#REF!</definedName>
    <definedName name="USD">#REF!</definedName>
    <definedName name="USDAT">""</definedName>
    <definedName name="USDconv">3.675</definedName>
    <definedName name="USDRs" localSheetId="1">#REF!</definedName>
    <definedName name="USDRs">#REF!</definedName>
    <definedName name="USDYen">#REF!</definedName>
    <definedName name="use" localSheetId="1">#REF!</definedName>
    <definedName name="use">#REF!</definedName>
    <definedName name="Use_Alternates" localSheetId="1">#REF!</definedName>
    <definedName name="Use_Alternates">#REF!</definedName>
    <definedName name="USNAM">"ANNA"</definedName>
    <definedName name="UT">#N/A</definedName>
    <definedName name="utb" localSheetId="1" hidden="1">{#N/A,#N/A,TRUE,"Cover";#N/A,#N/A,TRUE,"Conts";#N/A,#N/A,TRUE,"VOS";#N/A,#N/A,TRUE,"Warrington";#N/A,#N/A,TRUE,"Widnes"}</definedName>
    <definedName name="utb" hidden="1">{#N/A,#N/A,TRUE,"Cover";#N/A,#N/A,TRUE,"Conts";#N/A,#N/A,TRUE,"VOS";#N/A,#N/A,TRUE,"Warrington";#N/A,#N/A,TRUE,"Widnes"}</definedName>
    <definedName name="utf">#REF!</definedName>
    <definedName name="utilisation">#REF!</definedName>
    <definedName name="uty8r" localSheetId="1">BlankMacro1</definedName>
    <definedName name="uty8r">BlankMacro1</definedName>
    <definedName name="uu" localSheetId="1" hidden="1">{#N/A,#N/A,FALSE,"gc (2)"}</definedName>
    <definedName name="uu" hidden="1">{#N/A,#N/A,FALSE,"gc (2)"}</definedName>
    <definedName name="UUIKH" localSheetId="1" hidden="1">{#N/A,#N/A,TRUE,"Cover";#N/A,#N/A,TRUE,"Conts";#N/A,#N/A,TRUE,"VOS";#N/A,#N/A,TRUE,"Warrington";#N/A,#N/A,TRUE,"Widnes"}</definedName>
    <definedName name="UUIKH" hidden="1">{#N/A,#N/A,TRUE,"Cover";#N/A,#N/A,TRUE,"Conts";#N/A,#N/A,TRUE,"VOS";#N/A,#N/A,TRUE,"Warrington";#N/A,#N/A,TRUE,"Widnes"}</definedName>
    <definedName name="UUU" localSheetId="1">#REF!</definedName>
    <definedName name="UUU">#REF!</definedName>
    <definedName name="uuuu" localSheetId="1">{"'Break down'!$A$4"}</definedName>
    <definedName name="uuuu">{"'Break down'!$A$4"}</definedName>
    <definedName name="uuuu_1" localSheetId="1">{"'Break down'!$A$4"}</definedName>
    <definedName name="uuuu_1">{"'Break down'!$A$4"}</definedName>
    <definedName name="uuuuu">#REF!</definedName>
    <definedName name="uuuuuuuu">#REF!</definedName>
    <definedName name="uuuuuuuuuuuuuu">#REF!</definedName>
    <definedName name="uuuyi" localSheetId="1">{"'Break down'!$A$4"}</definedName>
    <definedName name="uuuyi">{"'Break down'!$A$4"}</definedName>
    <definedName name="uuuyi_1" localSheetId="1">{"'Break down'!$A$4"}</definedName>
    <definedName name="uuuyi_1">{"'Break down'!$A$4"}</definedName>
    <definedName name="uwed" localSheetId="1" hidden="1">{#N/A,#N/A,TRUE,"Cover";#N/A,#N/A,TRUE,"Conts";#N/A,#N/A,TRUE,"VOS";#N/A,#N/A,TRUE,"Warrington";#N/A,#N/A,TRUE,"Widnes"}</definedName>
    <definedName name="uwed" hidden="1">{#N/A,#N/A,TRUE,"Cover";#N/A,#N/A,TRUE,"Conts";#N/A,#N/A,TRUE,"VOS";#N/A,#N/A,TRUE,"Warrington";#N/A,#N/A,TRUE,"Widnes"}</definedName>
    <definedName name="UY" localSheetId="1">#REF!</definedName>
    <definedName name="UY">#REF!</definedName>
    <definedName name="UY675VB" localSheetId="1" hidden="1">{"'Break down'!$A$4"}</definedName>
    <definedName name="UY675VB" hidden="1">{"'Break down'!$A$4"}</definedName>
    <definedName name="uyfg8yufggi">#N/A</definedName>
    <definedName name="uyfyt" localSheetId="1" hidden="1">{"'Sheet1'!$L$16"}</definedName>
    <definedName name="uyfyt" hidden="1">{"'Sheet1'!$L$16"}</definedName>
    <definedName name="uyg" localSheetId="1" hidden="1">{"'Sheet1'!$L$16"}</definedName>
    <definedName name="uyg" hidden="1">{"'Sheet1'!$L$16"}</definedName>
    <definedName name="uyil" localSheetId="1">BlankMacro1</definedName>
    <definedName name="uyil">BlankMacro1</definedName>
    <definedName name="uyoi" localSheetId="1">{"Book1","BoQ2.XLS"}</definedName>
    <definedName name="uyoi">{"Book1","BoQ2.XLS"}</definedName>
    <definedName name="uyt" localSheetId="1" hidden="1">{#N/A,#N/A,TRUE,"Cover";#N/A,#N/A,TRUE,"Conts";#N/A,#N/A,TRUE,"VOS";#N/A,#N/A,TRUE,"Warrington";#N/A,#N/A,TRUE,"Widnes"}</definedName>
    <definedName name="uyt" hidden="1">{#N/A,#N/A,TRUE,"Cover";#N/A,#N/A,TRUE,"Conts";#N/A,#N/A,TRUE,"VOS";#N/A,#N/A,TRUE,"Warrington";#N/A,#N/A,TRUE,"Widnes"}</definedName>
    <definedName name="uytr">#REF!</definedName>
    <definedName name="uyuii" localSheetId="1" hidden="1">{#N/A,#N/A,TRUE,"Cover";#N/A,#N/A,TRUE,"Conts";#N/A,#N/A,TRUE,"VOS";#N/A,#N/A,TRUE,"Warrington";#N/A,#N/A,TRUE,"Widnes"}</definedName>
    <definedName name="uyuii" hidden="1">{#N/A,#N/A,TRUE,"Cover";#N/A,#N/A,TRUE,"Conts";#N/A,#N/A,TRUE,"VOS";#N/A,#N/A,TRUE,"Warrington";#N/A,#N/A,TRUE,"Widnes"}</definedName>
    <definedName name="uyuuyuy" localSheetId="1" hidden="1">{#N/A,#N/A,TRUE,"Cover";#N/A,#N/A,TRUE,"Conts";#N/A,#N/A,TRUE,"VOS";#N/A,#N/A,TRUE,"Warrington";#N/A,#N/A,TRUE,"Widnes"}</definedName>
    <definedName name="uyuuyuy" hidden="1">{#N/A,#N/A,TRUE,"Cover";#N/A,#N/A,TRUE,"Conts";#N/A,#N/A,TRUE,"VOS";#N/A,#N/A,TRUE,"Warrington";#N/A,#N/A,TRUE,"Widnes"}</definedName>
    <definedName name="uyy" localSheetId="1" hidden="1">{#N/A,#N/A,FALSE,"MARCH"}</definedName>
    <definedName name="uyy" hidden="1">{#N/A,#N/A,FALSE,"MARCH"}</definedName>
    <definedName name="V" localSheetId="1">#REF!</definedName>
    <definedName name="V">#REF!</definedName>
    <definedName name="v_1" localSheetId="1" hidden="1">{#N/A,#N/A,TRUE,"Cover";#N/A,#N/A,TRUE,"Conts";#N/A,#N/A,TRUE,"VOS";#N/A,#N/A,TRUE,"Warrington";#N/A,#N/A,TRUE,"Widnes"}</definedName>
    <definedName name="v_1" hidden="1">{#N/A,#N/A,TRUE,"Cover";#N/A,#N/A,TRUE,"Conts";#N/A,#N/A,TRUE,"VOS";#N/A,#N/A,TRUE,"Warrington";#N/A,#N/A,TRUE,"Widnes"}</definedName>
    <definedName name="v_2">NA()</definedName>
    <definedName name="V_22">#REF!</definedName>
    <definedName name="v_3">NA()</definedName>
    <definedName name="v_4">NA()</definedName>
    <definedName name="v_app">#REF!</definedName>
    <definedName name="v_est" localSheetId="1">#REF!</definedName>
    <definedName name="v_est">#REF!</definedName>
    <definedName name="v_paid" localSheetId="1">#REF!</definedName>
    <definedName name="v_paid">#REF!</definedName>
    <definedName name="v_quo">#REF!</definedName>
    <definedName name="v_rec">#REF!</definedName>
    <definedName name="v_tot">#REF!</definedName>
    <definedName name="V_waterproofing">#REF!</definedName>
    <definedName name="V_Waterproofing_Area" localSheetId="1">#REF!</definedName>
    <definedName name="V_Waterproofing_Area">#REF!</definedName>
    <definedName name="V.E??1" localSheetId="1">#REF!</definedName>
    <definedName name="V.E??1">#REF!</definedName>
    <definedName name="V.E금액1">#REF!</definedName>
    <definedName name="va">#REF!</definedName>
    <definedName name="va___0">#REF!</definedName>
    <definedName name="va___13">#REF!</definedName>
    <definedName name="VAÄT_LIEÄU">"nhandongia"</definedName>
    <definedName name="VacPtSpecs">#REF!</definedName>
    <definedName name="Vacuum_Fittings" localSheetId="1">#REF!</definedName>
    <definedName name="Vacuum_Fittings">#REF!</definedName>
    <definedName name="VADODARA_________________________________CLIENT_______________M_s">#REF!</definedName>
    <definedName name="vajira" localSheetId="1">#REF!</definedName>
    <definedName name="vajira">#REF!</definedName>
    <definedName name="Valesco">#REF!</definedName>
    <definedName name="validate_Equity_Data">#REF!</definedName>
    <definedName name="Validation" localSheetId="1">#REF!</definedName>
    <definedName name="Validation">#REF!</definedName>
    <definedName name="ValidContract">#REF!</definedName>
    <definedName name="ValidDepts" localSheetId="1">#REF!</definedName>
    <definedName name="ValidDepts">#REF!</definedName>
    <definedName name="ValidProject">#REF!</definedName>
    <definedName name="ValNo">#REF!</definedName>
    <definedName name="valnow">#REF!</definedName>
    <definedName name="valuation" localSheetId="1">#REF!</definedName>
    <definedName name="valuation">#REF!</definedName>
    <definedName name="value">#REF!</definedName>
    <definedName name="Value_Col" localSheetId="1">#REF!</definedName>
    <definedName name="Value_Col">#REF!</definedName>
    <definedName name="ValueLC">#REF!</definedName>
    <definedName name="Values_Entered" localSheetId="1">IF('City Walk - Comparison'!Loan_Amount*[1]!Interest_Rate*[1]!Loan_Years*'City Walk - Comparison'!Loan_Start&gt;0,1,0)</definedName>
    <definedName name="Values_Entered">IF(Loan_Amount*Interest_Rate*Loan_Years*Loan_Start&gt;0,1,0)</definedName>
    <definedName name="valuevx">42.314159</definedName>
    <definedName name="VALVA" localSheetId="1">#REF!</definedName>
    <definedName name="VALVA">#REF!</definedName>
    <definedName name="VALVA_1">0</definedName>
    <definedName name="VALVE">#REF!</definedName>
    <definedName name="valve2">#REF!</definedName>
    <definedName name="valve3">#REF!</definedName>
    <definedName name="valves">#REF!</definedName>
    <definedName name="Van" localSheetId="1">#REF!</definedName>
    <definedName name="Van">#REF!</definedName>
    <definedName name="vanchuyen" localSheetId="1">#REF!</definedName>
    <definedName name="vanchuyen">#REF!</definedName>
    <definedName name="Vancouver_Building_Maintenance_and_Décor" localSheetId="1">#REF!</definedName>
    <definedName name="Vancouver_Building_Maintenance_and_Décor">#REF!</definedName>
    <definedName name="VANDEMATARAM" localSheetId="1">#REF!</definedName>
    <definedName name="VANDEMATARAM">#REF!</definedName>
    <definedName name="Vans">#REF!</definedName>
    <definedName name="Variance">#REF!</definedName>
    <definedName name="variance_table">#REF!</definedName>
    <definedName name="variances">#REF!</definedName>
    <definedName name="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Name">#REF!</definedName>
    <definedName name="VariationNo" localSheetId="1">#REF!</definedName>
    <definedName name="VariationNo">#REF!</definedName>
    <definedName name="variations" localSheetId="1">#REF!</definedName>
    <definedName name="Variations">#REF!</definedName>
    <definedName name="VARIINST" localSheetId="1">#REF!</definedName>
    <definedName name="VARIINST">#REF!</definedName>
    <definedName name="VARIPURC" localSheetId="1">#REF!</definedName>
    <definedName name="VARIPURC">#REF!</definedName>
    <definedName name="varnish" localSheetId="1">#REF!</definedName>
    <definedName name="varnish">#REF!</definedName>
    <definedName name="VAT">4%</definedName>
    <definedName name="VAT_Cal" localSheetId="1">#REF!</definedName>
    <definedName name="VAT_Cal">#REF!</definedName>
    <definedName name="VAT_Haw" localSheetId="1">#REF!</definedName>
    <definedName name="VAT_Haw">#REF!</definedName>
    <definedName name="VAT_Jap" localSheetId="1">#REF!</definedName>
    <definedName name="VAT_Jap">#REF!</definedName>
    <definedName name="vat_lieu_KVIII">#REF!</definedName>
    <definedName name="vat_rate_1">#REF!</definedName>
    <definedName name="vat_rate_2">#REF!</definedName>
    <definedName name="vat_rate_3">#REF!</definedName>
    <definedName name="vat_rate_4">#REF!</definedName>
    <definedName name="vatf" localSheetId="1">#REF!</definedName>
    <definedName name="vatf">#REF!</definedName>
    <definedName name="vatf_4" localSheetId="1">#REF!</definedName>
    <definedName name="vatf_4">#REF!</definedName>
    <definedName name="vatf_4_1" localSheetId="1">#REF!</definedName>
    <definedName name="vatf_4_1">#REF!</definedName>
    <definedName name="vatf_6">#REF!</definedName>
    <definedName name="Vattu">#REF!</definedName>
    <definedName name="vb">#REF!</definedName>
    <definedName name="vbfef">#N/A</definedName>
    <definedName name="VBFG4532" localSheetId="1" hidden="1">{"'Break down'!$A$4"}</definedName>
    <definedName name="VBFG4532" hidden="1">{"'Break down'!$A$4"}</definedName>
    <definedName name="VBFR435" localSheetId="1" hidden="1">{"'Break down'!$A$4"}</definedName>
    <definedName name="VBFR435" hidden="1">{"'Break down'!$A$4"}</definedName>
    <definedName name="VBG" localSheetId="1" hidden="1">{#N/A,#N/A,TRUE,"Cover";#N/A,#N/A,TRUE,"Conts";#N/A,#N/A,TRUE,"VOS";#N/A,#N/A,TRUE,"Warrington";#N/A,#N/A,TRUE,"Widnes"}</definedName>
    <definedName name="VBG" hidden="1">{#N/A,#N/A,TRUE,"Cover";#N/A,#N/A,TRUE,"Conts";#N/A,#N/A,TRUE,"VOS";#N/A,#N/A,TRUE,"Warrington";#N/A,#N/A,TRUE,"Widnes"}</definedName>
    <definedName name="vbghy" localSheetId="1" hidden="1">{"'Break down'!$A$4"}</definedName>
    <definedName name="vbghy" hidden="1">{"'Break down'!$A$4"}</definedName>
    <definedName name="vbgrtyu" localSheetId="1" hidden="1">{"'Break down'!$A$4"}</definedName>
    <definedName name="vbgrtyu" hidden="1">{"'Break down'!$A$4"}</definedName>
    <definedName name="vbgt" localSheetId="1" hidden="1">{#N/A,#N/A,TRUE,"Cover";#N/A,#N/A,TRUE,"Conts";#N/A,#N/A,TRUE,"VOS";#N/A,#N/A,TRUE,"Warrington";#N/A,#N/A,TRUE,"Widnes"}</definedName>
    <definedName name="vbgt" hidden="1">{#N/A,#N/A,TRUE,"Cover";#N/A,#N/A,TRUE,"Conts";#N/A,#N/A,TRUE,"VOS";#N/A,#N/A,TRUE,"Warrington";#N/A,#N/A,TRUE,"Widnes"}</definedName>
    <definedName name="VBMKL" localSheetId="1" hidden="1">{#N/A,#N/A,TRUE,"Cover";#N/A,#N/A,TRUE,"Conts";#N/A,#N/A,TRUE,"VOS";#N/A,#N/A,TRUE,"Warrington";#N/A,#N/A,TRUE,"Widnes"}</definedName>
    <definedName name="VBMKL" hidden="1">{#N/A,#N/A,TRUE,"Cover";#N/A,#N/A,TRUE,"Conts";#N/A,#N/A,TRUE,"VOS";#N/A,#N/A,TRUE,"Warrington";#N/A,#N/A,TRUE,"Widnes"}</definedName>
    <definedName name="vbn" localSheetId="1">"Page "&amp;IF(ISNA(MATCH(ROW(),[1]!COUNT_TH2_V2__units_1___Type_D_04__900_x_2200mm_high,1)),1,MATCH(ROW(),[1]!COUNT_TH2_V2__units_1___Type_D_04__900_x_2200mm_high,1)+1)&amp;" of " &amp; [1]!CUSTOM1_Shops__GF_ + 0*NOW()</definedName>
    <definedName name="vbn">"Page "&amp;IF(ISNA(MATCH(ROW(),RowAfterpgbrk,1)),1,MATCH(ROW(),RowAfterpgbrk,1)+1)&amp;" of " &amp; TotPageCount + 0*NOW()</definedName>
    <definedName name="vbnm" localSheetId="1">"Page "&amp;IF(ISNA(MATCH(ROW(),[1]!COUNT_TH2_V2__units_1___Type_D_04__900_x_2200mm_high,1)),1,MATCH(ROW(),[1]!COUNT_TH2_V2__units_1___Type_D_04__900_x_2200mm_high,1)+1)&amp;" of " &amp; [1]!CUSTOM1_Shops__GF_ + 0*NOW()</definedName>
    <definedName name="vbnm">"Page "&amp;IF(ISNA(MATCH(ROW(),RowAfterpgbrk,1)),1,MATCH(ROW(),RowAfterpgbrk,1)+1)&amp;" of " &amp; TotPageCount + 0*NOW()</definedName>
    <definedName name="VBNMJK" localSheetId="1" hidden="1">{#N/A,#N/A,TRUE,"Cover";#N/A,#N/A,TRUE,"Conts";#N/A,#N/A,TRUE,"VOS";#N/A,#N/A,TRUE,"Warrington";#N/A,#N/A,TRUE,"Widnes"}</definedName>
    <definedName name="VBNMJK" hidden="1">{#N/A,#N/A,TRUE,"Cover";#N/A,#N/A,TRUE,"Conts";#N/A,#N/A,TRUE,"VOS";#N/A,#N/A,TRUE,"Warrington";#N/A,#N/A,TRUE,"Widnes"}</definedName>
    <definedName name="vbvbvb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c">#REF!</definedName>
    <definedName name="VCD" localSheetId="1">#REF!</definedName>
    <definedName name="VCD">#REF!</definedName>
    <definedName name="vcf" localSheetId="1" hidden="1">{"'Break down'!$A$4"}</definedName>
    <definedName name="vcf" hidden="1">{"'Break down'!$A$4"}</definedName>
    <definedName name="VCVADA">#N/A</definedName>
    <definedName name="vcvvcvcv">#N/A</definedName>
    <definedName name="VCXV">#N/A</definedName>
    <definedName name="VD">#REF!</definedName>
    <definedName name="VD_CapEx_Individual">"Chart 2"</definedName>
    <definedName name="VD_Individual_Cashflow">"Chart 1"</definedName>
    <definedName name="VD_Overall_CapEx">"Chart 1"</definedName>
    <definedName name="VD_Overall_Cashflow">"Chart 5"</definedName>
    <definedName name="VD_overall_resource">"Chart 1"</definedName>
    <definedName name="VD_Resource_Breakdown">"Chart 2"</definedName>
    <definedName name="VDCALC">#REF!</definedName>
    <definedName name="Vdet_min">#REF!</definedName>
    <definedName name="vdfsdgg">#N/A</definedName>
    <definedName name="vdgfzshjkl" localSheetId="1">#REF!</definedName>
    <definedName name="vdgfzshjkl">#REF!</definedName>
    <definedName name="VDR" localSheetId="1">[1]!CUSTOM1_2_bed_fridge_freezer+Extra_Payment</definedName>
    <definedName name="VDR">Scheduled_Payment+Extra_Payment</definedName>
    <definedName name="vdsac" localSheetId="1">#REF!</definedName>
    <definedName name="vdsac">#REF!</definedName>
    <definedName name="Vela" localSheetId="1">#REF!</definedName>
    <definedName name="Vela">#REF!</definedName>
    <definedName name="Velu" localSheetId="1">#REF!</definedName>
    <definedName name="Velu">#REF!</definedName>
    <definedName name="ven_slat">#REF!</definedName>
    <definedName name="venband1" localSheetId="1">#REF!</definedName>
    <definedName name="venband1">#REF!</definedName>
    <definedName name="VENCEIL">#REF!</definedName>
    <definedName name="Vend" localSheetId="1">#REF!</definedName>
    <definedName name="Vend">#REF!</definedName>
    <definedName name="Vendita" localSheetId="1">#REF!</definedName>
    <definedName name="Vendita">#REF!</definedName>
    <definedName name="Vendor">#REF!</definedName>
    <definedName name="Veneered_Shaft">#REF!</definedName>
    <definedName name="Veneered_Sliding">#REF!</definedName>
    <definedName name="VENPAN" localSheetId="1">#REF!</definedName>
    <definedName name="VENPAN">#REF!</definedName>
    <definedName name="venpan1" localSheetId="1">#REF!</definedName>
    <definedName name="venpan1">#REF!</definedName>
    <definedName name="VenPart" localSheetId="1">#REF!</definedName>
    <definedName name="VenPart">#REF!</definedName>
    <definedName name="venpel1">#REF!</definedName>
    <definedName name="venshelf">#REF!</definedName>
    <definedName name="Venskirt1">#REF!</definedName>
    <definedName name="VENT" localSheetId="1" hidden="1">{#N/A,#N/A,TRUE,"Cover";#N/A,#N/A,TRUE,"Conts";#N/A,#N/A,TRUE,"VOS";#N/A,#N/A,TRUE,"Warrington";#N/A,#N/A,TRUE,"Widnes"}</definedName>
    <definedName name="VENT" hidden="1">{#N/A,#N/A,TRUE,"Cover";#N/A,#N/A,TRUE,"Conts";#N/A,#N/A,TRUE,"VOS";#N/A,#N/A,TRUE,"Warrington";#N/A,#N/A,TRUE,"Widnes"}</definedName>
    <definedName name="Ventilation">#REF!</definedName>
    <definedName name="Ver" localSheetId="1">#REF!</definedName>
    <definedName name="Ver">#REF!</definedName>
    <definedName name="vere" localSheetId="1">#REF!</definedName>
    <definedName name="vere">#REF!</definedName>
    <definedName name="Verifica" localSheetId="1">#REF!</definedName>
    <definedName name="Verifica">#REF!</definedName>
    <definedName name="verpile">#REF!</definedName>
    <definedName name="verrohrte_MuA">#REF!</definedName>
    <definedName name="Version">#REF!</definedName>
    <definedName name="vertical_col_and_corner_walls" localSheetId="1">#REF!</definedName>
    <definedName name="vertical_col_and_corner_walls">#REF!</definedName>
    <definedName name="VerticalArea">#REF!</definedName>
    <definedName name="vetri">#REF!</definedName>
    <definedName name="Vf">#REF!</definedName>
    <definedName name="VFD" localSheetId="1" hidden="1">{#N/A,#N/A,TRUE,"Cover";#N/A,#N/A,TRUE,"Conts";#N/A,#N/A,TRUE,"VOS";#N/A,#N/A,TRUE,"Warrington";#N/A,#N/A,TRUE,"Widnes"}</definedName>
    <definedName name="VFD" hidden="1">{#N/A,#N/A,TRUE,"Cover";#N/A,#N/A,TRUE,"Conts";#N/A,#N/A,TRUE,"VOS";#N/A,#N/A,TRUE,"Warrington";#N/A,#N/A,TRUE,"Widnes"}</definedName>
    <definedName name="vfert" localSheetId="1">"Page "&amp;IF(ISNA(MATCH(ROW(),[1]!COUNT_TH2_V2__units_1___Type_D_04__900_x_2200mm_high,1)),1,MATCH(ROW(),[1]!COUNT_TH2_V2__units_1___Type_D_04__900_x_2200mm_high,1)+1)&amp;" of " &amp; [1]!CUSTOM1_Shops__GF_ + 0*NOW()</definedName>
    <definedName name="vfert">"Page "&amp;IF(ISNA(MATCH(ROW(),RowAfterpgbrk,1)),1,MATCH(ROW(),RowAfterpgbrk,1)+1)&amp;" of " &amp; TotPageCount + 0*NOW()</definedName>
    <definedName name="vffy" localSheetId="1" hidden="1">{#N/A,#N/A,TRUE,"Cover";#N/A,#N/A,TRUE,"Conts";#N/A,#N/A,TRUE,"VOS";#N/A,#N/A,TRUE,"Warrington";#N/A,#N/A,TRUE,"Widnes"}</definedName>
    <definedName name="vffy" hidden="1">{#N/A,#N/A,TRUE,"Cover";#N/A,#N/A,TRUE,"Conts";#N/A,#N/A,TRUE,"VOS";#N/A,#N/A,TRUE,"Warrington";#N/A,#N/A,TRUE,"Widnes"}</definedName>
    <definedName name="vfgfgfg">#N/A</definedName>
    <definedName name="vfgt" localSheetId="1" hidden="1">{#N/A,#N/A,FALSE,"Header P";#N/A,#N/A,FALSE,"Summary";#N/A,#N/A,FALSE,"CONTRACT WORKS";#N/A,#N/A,FALSE,"Variations";#N/A,#N/A,FALSE,"Dwk"}</definedName>
    <definedName name="vfgt" hidden="1">{#N/A,#N/A,FALSE,"Header P";#N/A,#N/A,FALSE,"Summary";#N/A,#N/A,FALSE,"CONTRACT WORKS";#N/A,#N/A,FALSE,"Variations";#N/A,#N/A,FALSE,"Dwk"}</definedName>
    <definedName name="vfgyui" localSheetId="1" hidden="1">{"'Break down'!$A$4"}</definedName>
    <definedName name="vfgyui" hidden="1">{"'Break down'!$A$4"}</definedName>
    <definedName name="VFRET" localSheetId="1" hidden="1">{#N/A,#N/A,TRUE,"Cover";#N/A,#N/A,TRUE,"Conts";#N/A,#N/A,TRUE,"VOS";#N/A,#N/A,TRUE,"Warrington";#N/A,#N/A,TRUE,"Widnes"}</definedName>
    <definedName name="VFRET" hidden="1">{#N/A,#N/A,TRUE,"Cover";#N/A,#N/A,TRUE,"Conts";#N/A,#N/A,TRUE,"VOS";#N/A,#N/A,TRUE,"Warrington";#N/A,#N/A,TRUE,"Widnes"}</definedName>
    <definedName name="vfsdafvasd">#REF!</definedName>
    <definedName name="vftgyu" localSheetId="1" hidden="1">{"'Break down'!$A$4"}</definedName>
    <definedName name="vftgyu" hidden="1">{"'Break down'!$A$4"}</definedName>
    <definedName name="vftyui" localSheetId="1" hidden="1">{"'Break down'!$A$4"}</definedName>
    <definedName name="vftyui" hidden="1">{"'Break down'!$A$4"}</definedName>
    <definedName name="vg" localSheetId="1" hidden="1">{#N/A,#N/A,FALSE,"One Pager";#N/A,#N/A,FALSE,"Technical"}</definedName>
    <definedName name="vg" hidden="1">{#N/A,#N/A,FALSE,"One Pager";#N/A,#N/A,FALSE,"Technical"}</definedName>
    <definedName name="vgbhju" localSheetId="1">IF(ISNA(MATCH(ROW(),[1]!COUNT_TH2_V2__units_1___Type_D_04__900_x_2200mm_high,1)),1,MATCH(ROW(),[1]!COUNT_TH2_V2__units_1___Type_D_04__900_x_2200mm_high,1)+1)</definedName>
    <definedName name="vgbhju">IF(ISNA(MATCH(ROW(),RowAfterpgbrk,1)),1,MATCH(ROW(),RowAfterpgbrk,1)+1)</definedName>
    <definedName name="vgf" localSheetId="1" hidden="1">#REF!</definedName>
    <definedName name="vgf" hidden="1">#REF!</definedName>
    <definedName name="vgfrt" localSheetId="1" hidden="1">{"'Break down'!$A$4"}</definedName>
    <definedName name="vgfrt" hidden="1">{"'Break down'!$A$4"}</definedName>
    <definedName name="vghio" localSheetId="1" hidden="1">{"'Break down'!$A$4"}</definedName>
    <definedName name="vghio" hidden="1">{"'Break down'!$A$4"}</definedName>
    <definedName name="vgsdfg">#REF!</definedName>
    <definedName name="VHFTR" localSheetId="1">IF('City Walk - Comparison'!Loan_Amount*[1]!Interest_Rate*[1]!Loan_Years*'City Walk - Comparison'!Loan_Start&gt;0,1,0)</definedName>
    <definedName name="VHFTR">IF(Loan_Amount*Interest_Rate*Loan_Years*Loan_Start&gt;0,1,0)</definedName>
    <definedName name="vht.m" localSheetId="1">BlankMacro1</definedName>
    <definedName name="vht.m">BlankMacro1</definedName>
    <definedName name="Video_Participation_Fee" localSheetId="1">#REF!</definedName>
    <definedName name="Video_Participation_Fee">#REF!</definedName>
    <definedName name="VIEW">#REF!</definedName>
    <definedName name="Villa_Changes_Sorin">#REF!</definedName>
    <definedName name="VILLA_NO">#REF!</definedName>
    <definedName name="VillaType" localSheetId="1">#REF!</definedName>
    <definedName name="VillaType">#REF!</definedName>
    <definedName name="Vinod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shnu" localSheetId="1" hidden="1">{#N/A,#N/A,FALSE,"One Pager";#N/A,#N/A,FALSE,"Technical"}</definedName>
    <definedName name="vishnu" hidden="1">{#N/A,#N/A,FALSE,"One Pager";#N/A,#N/A,FALSE,"Technical"}</definedName>
    <definedName name="Visitation" localSheetId="1">#REF!</definedName>
    <definedName name="Visitation">#REF!</definedName>
    <definedName name="visitor" localSheetId="1">#REF!</definedName>
    <definedName name="visitor">#REF!</definedName>
    <definedName name="visitors">#REF!</definedName>
    <definedName name="visrow_auth">#REF!</definedName>
    <definedName name="visrow_construct">#REF!</definedName>
    <definedName name="visrow_fina">#REF!</definedName>
    <definedName name="visrow_land">#REF!</definedName>
    <definedName name="visrow_landp">#REF!</definedName>
    <definedName name="visrow_leas">#REF!</definedName>
    <definedName name="visrow_misc">#REF!</definedName>
    <definedName name="visrow_misc2">#REF!</definedName>
    <definedName name="visrow_misc3">#REF!</definedName>
    <definedName name="visrow_OInc">#REF!</definedName>
    <definedName name="visrow_pro">#REF!</definedName>
    <definedName name="visrow_rent">#REF!</definedName>
    <definedName name="visrow_sales">#REF!</definedName>
    <definedName name="visrow_sell">#REF!</definedName>
    <definedName name="vitile1">#REF!</definedName>
    <definedName name="viv" localSheetId="1">#REF!</definedName>
    <definedName name="viv">#REF!</definedName>
    <definedName name="VIVEKANANDA" localSheetId="1">#REF!</definedName>
    <definedName name="VIVEKANANDA">#REF!</definedName>
    <definedName name="vj" localSheetId="1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j_1" localSheetId="1" hidden="1">{#N/A,#N/A,TRUE,"Cover";#N/A,#N/A,TRUE,"Conts";#N/A,#N/A,TRUE,"VOS";#N/A,#N/A,TRUE,"Warrington";#N/A,#N/A,TRUE,"Widnes"}</definedName>
    <definedName name="vj_1" hidden="1">{#N/A,#N/A,TRUE,"Cover";#N/A,#N/A,TRUE,"Conts";#N/A,#N/A,TRUE,"VOS";#N/A,#N/A,TRUE,"Warrington";#N/A,#N/A,TRUE,"Widnes"}</definedName>
    <definedName name="vjj">#REF!</definedName>
    <definedName name="vjkdsfbisdhfk" localSheetId="1">#REF!</definedName>
    <definedName name="vjkdsfbisdhfk">#REF!</definedName>
    <definedName name="vk" localSheetId="1" hidden="1">{#N/A,#N/A,FALSE,"One Pager";#N/A,#N/A,FALSE,"Technical"}</definedName>
    <definedName name="vk" hidden="1">{#N/A,#N/A,FALSE,"One Pager";#N/A,#N/A,FALSE,"Technical"}</definedName>
    <definedName name="Vline_min">#REF!</definedName>
    <definedName name="Vlinemin" localSheetId="1">#REF!</definedName>
    <definedName name="Vlinemin">#REF!</definedName>
    <definedName name="Vlinenom">#REF!</definedName>
    <definedName name="VLV_DESUP_HTRS">#REF!</definedName>
    <definedName name="Vmin">#REF!</definedName>
    <definedName name="VN">#REF!</definedName>
    <definedName name="VNFVBDVFBZDSD">#REF!</definedName>
    <definedName name="VNM" localSheetId="1" hidden="1">{#N/A,#N/A,TRUE,"Cover";#N/A,#N/A,TRUE,"Conts";#N/A,#N/A,TRUE,"VOS";#N/A,#N/A,TRUE,"Warrington";#N/A,#N/A,TRUE,"Widnes"}</definedName>
    <definedName name="VNM" hidden="1">{#N/A,#N/A,TRUE,"Cover";#N/A,#N/A,TRUE,"Conts";#N/A,#N/A,TRUE,"VOS";#N/A,#N/A,TRUE,"Warrington";#N/A,#N/A,TRUE,"Widnes"}</definedName>
    <definedName name="VNRCLR">#REF!</definedName>
    <definedName name="vnrcol" localSheetId="1">#REF!</definedName>
    <definedName name="vnrcol">#REF!</definedName>
    <definedName name="VNRGYP" localSheetId="1">#REF!</definedName>
    <definedName name="VNRGYP">#REF!</definedName>
    <definedName name="VO">#REF!</definedName>
    <definedName name="vo_.dax.ps.est">#REF!</definedName>
    <definedName name="vo_bax.app">#REF!</definedName>
    <definedName name="vo_bax.est">#REF!</definedName>
    <definedName name="vo_bax.max">#REF!</definedName>
    <definedName name="vo_bax.pcg">#REF!</definedName>
    <definedName name="vo_bax.pend">#REF!</definedName>
    <definedName name="vo_bax.pm">#REF!</definedName>
    <definedName name="vo_bax.quote">#REF!</definedName>
    <definedName name="vo_bax.rec">#REF!</definedName>
    <definedName name="vo_ccu.app">#REF!</definedName>
    <definedName name="vo_ccu.est">#REF!</definedName>
    <definedName name="vo_ccu.max">#REF!</definedName>
    <definedName name="vo_ccu.pcg">#REF!</definedName>
    <definedName name="vo_ccu.pend">#REF!</definedName>
    <definedName name="vo_ccu.pm">#REF!</definedName>
    <definedName name="vo_ccu.ps.est">#REF!</definedName>
    <definedName name="vo_ccu.ps.pcg">#REF!</definedName>
    <definedName name="vo_ccu.ps.pm">#REF!</definedName>
    <definedName name="vo_ccu.ps.quote">#REF!</definedName>
    <definedName name="vo_ccu.ps.rec">#REF!</definedName>
    <definedName name="vo_ccu.quote">#REF!</definedName>
    <definedName name="vo_ccu.rec">#REF!</definedName>
    <definedName name="vo_dax.app">#REF!</definedName>
    <definedName name="vo_dax.est">#REF!</definedName>
    <definedName name="vo_dax.max">#REF!</definedName>
    <definedName name="vo_dax.pcg">#REF!</definedName>
    <definedName name="vo_dax.pend">#REF!</definedName>
    <definedName name="vo_dax.pm">#REF!</definedName>
    <definedName name="vo_dax.pm.app">#REF!</definedName>
    <definedName name="vo_dax.ps.app">#REF!</definedName>
    <definedName name="vo_dax.ps.est">#REF!</definedName>
    <definedName name="vo_dax.ps.max">#REF!</definedName>
    <definedName name="vo_dax.ps.pcg">#REF!</definedName>
    <definedName name="vo_dax.ps.pend">#REF!</definedName>
    <definedName name="vo_dax.ps.pm">#REF!</definedName>
    <definedName name="vo_dax.ps.quote">#REF!</definedName>
    <definedName name="vo_dax.ps.rec">#REF!</definedName>
    <definedName name="vo_dax.quote">#REF!</definedName>
    <definedName name="vo_dax.rec">#REF!</definedName>
    <definedName name="vo_dem.app">#REF!</definedName>
    <definedName name="vo_dem.est">#REF!</definedName>
    <definedName name="vo_dem.max">#REF!</definedName>
    <definedName name="vo_dem.pcg">#REF!</definedName>
    <definedName name="vo_dem.pend">#REF!</definedName>
    <definedName name="vo_dem.pm">#REF!</definedName>
    <definedName name="vo_dem.ps.est">#REF!</definedName>
    <definedName name="vo_dem.ps.pcg">#REF!</definedName>
    <definedName name="vo_dem.ps.pm">#REF!</definedName>
    <definedName name="vo_dem.ps.quote">#REF!</definedName>
    <definedName name="vo_dem.ps.rec">#REF!</definedName>
    <definedName name="vo_dem.quote">#REF!</definedName>
    <definedName name="vo_dem.rec">#REF!</definedName>
    <definedName name="vo_icu.app">#REF!</definedName>
    <definedName name="vo_icu.est">#REF!</definedName>
    <definedName name="vo_icu.max">#REF!</definedName>
    <definedName name="vo_icu.pcg">#REF!</definedName>
    <definedName name="vo_icu.pend">#REF!</definedName>
    <definedName name="vo_icu.pm">#REF!</definedName>
    <definedName name="vo_icu.ps.app">#REF!</definedName>
    <definedName name="vo_icu.ps.est">#REF!</definedName>
    <definedName name="vo_icu.ps.pcg">#REF!</definedName>
    <definedName name="vo_icu.ps.pm">#REF!</definedName>
    <definedName name="vo_icu.ps.quote">#REF!</definedName>
    <definedName name="vo_icu.ps.rec">#REF!</definedName>
    <definedName name="vo_icu.quote">#REF!</definedName>
    <definedName name="vo_icu.rec">#REF!</definedName>
    <definedName name="vo_ps.icu.est">#REF!</definedName>
    <definedName name="voidsprinkler">#REF!</definedName>
    <definedName name="VOLAST" localSheetId="1">#REF!</definedName>
    <definedName name="VOLAST">#REF!</definedName>
    <definedName name="Volume" localSheetId="1">#REF!</definedName>
    <definedName name="Volume">#REF!</definedName>
    <definedName name="VOLUME__C1A__Standard_Guestroom" localSheetId="1">#REF!</definedName>
    <definedName name="VOLUME__C1A__Standard_Guestroom">#REF!</definedName>
    <definedName name="VOLUME__C1C__Junior_Suites">#REF!</definedName>
    <definedName name="VOLUME__C1D__One_Bedroom_Suites">#REF!</definedName>
    <definedName name="VOLUME__C1E__Two_bedroom_Suites">#REF!</definedName>
    <definedName name="VOLUME__C1F1__Public_Circulation_Areas">#REF!</definedName>
    <definedName name="VOLUME__C1G4__Shafts">#REF!</definedName>
    <definedName name="VOLUME__C1G6__Fire_Escape_Stairs">#REF!</definedName>
    <definedName name="VOLUME__C1H1__Standard_Guestrooms">#REF!</definedName>
    <definedName name="VOLUME__C1H3__Junior_Suites">#REF!</definedName>
    <definedName name="VOLUME__C1H4__One_Bedroom_Suites">#REF!</definedName>
    <definedName name="VOLUME__C1H5__Two_Bedroom_Suites">#REF!</definedName>
    <definedName name="VOLUME__C1H6__One_Bedroom_Suites_Type_2">#REF!</definedName>
    <definedName name="VOLUME__C1I__General_Works_Guestrooms">#REF!</definedName>
    <definedName name="VOLUME__C1J__One_Bedroom_Suites_Type_2">#REF!</definedName>
    <definedName name="VOLUME__C2A2__Arrival_and_Reception_Lobby">#REF!</definedName>
    <definedName name="VOLUME__C2A3__Front_Offices___Concierge">#REF!</definedName>
    <definedName name="VOLUME__C2A4__Luggage_Scanner">#REF!</definedName>
    <definedName name="VOLUME__C2A5__Hotel_Retail">#REF!</definedName>
    <definedName name="VOLUME__C2A6__Prayer_Rooms">#REF!</definedName>
    <definedName name="VOLUME__C2A7__Kids_Club">#REF!</definedName>
    <definedName name="VOLUME__C2A8__Public_Toilets">#REF!</definedName>
    <definedName name="VOLUME__C2A9__Changing_Rooms">#REF!</definedName>
    <definedName name="VOLUME__C2C1__Hotel_Restaurant">#REF!</definedName>
    <definedName name="VOLUME__C2C2__Lobby_Lounge">#REF!</definedName>
    <definedName name="VOLUME__C2C3__Lobby_Bar">#REF!</definedName>
    <definedName name="VOLUME__C2C4__Lobby_Bar___Covered_Terrace">#REF!</definedName>
    <definedName name="VOLUME__C2C5__Speciality_Restaurant__1">#REF!</definedName>
    <definedName name="VOLUME__C2C6__Speciality_Restaurant__2">#REF!</definedName>
    <definedName name="VOLUME__C2C7__Speciality_Restaurant__2___Covered_Terrace">#REF!</definedName>
    <definedName name="VOLUME__C2C8__Pool_Bar___Grill">#REF!</definedName>
    <definedName name="VOLUME__C2D2__Gymnasium">#REF!</definedName>
    <definedName name="VOLUME__C2G1__Circulation">#REF!</definedName>
    <definedName name="VOLUME__C2G2__Outdoor_Lobby">#REF!</definedName>
    <definedName name="VOLUME__C3A1__Front_Offices">#REF!</definedName>
    <definedName name="VOLUME__C3A2__Administration_Offices">#REF!</definedName>
    <definedName name="VOLUME__C3A3__Accounting_Offices">#REF!</definedName>
    <definedName name="VOLUME__C3A4__Human_Resources_and_Training">#REF!</definedName>
    <definedName name="VOLUME__C3B__IT_Department">#REF!</definedName>
    <definedName name="VOLUME__C3C1__Kitchen___Main_Kitchen">#REF!</definedName>
    <definedName name="VOLUME__C3C2__Kitchen___Speciality_Restaurant__1">#REF!</definedName>
    <definedName name="VOLUME__C3C3__Kitchen___Speciality_Restaurant__2">#REF!</definedName>
    <definedName name="VOLUME__C3C5__Pantry___Lobby_Bar">#REF!</definedName>
    <definedName name="VOLUME__C3D__Housekeeping_and_Linen">#REF!</definedName>
    <definedName name="VOLUME__C3E__Central_Laundry___Dry_Cleaning___Valet_Only">#REF!</definedName>
    <definedName name="VOLUME__C3F5__Dining_Room_Seating">#REF!</definedName>
    <definedName name="VOLUME__C3F8__Staff_Changing_Rooms">#REF!</definedName>
    <definedName name="VOLUME__C3F9__Staff_Prayer_Rooms">#REF!</definedName>
    <definedName name="VOLUME__C3G__Maintenance_and_Engineering">#REF!</definedName>
    <definedName name="VOLUME__C3H1__Plant_and_Equipment_Rooms">#REF!</definedName>
    <definedName name="VOLUME__C3H2__MEP_Shafts">#REF!</definedName>
    <definedName name="VOLUME__C3J__Security">#REF!</definedName>
    <definedName name="VOLUME__C3K__Purchasing__Goods_Receiving_and_Storage">#REF!</definedName>
    <definedName name="VOLUME__C3L__BOH_Circulation_Areas">#REF!</definedName>
    <definedName name="VOLUME__C4B__General_Works_Parking">#REF!</definedName>
    <definedName name="VOLUME__C5__Unallocated_Rooms">#REF!</definedName>
    <definedName name="VOLUME__G1__Conference_Centre">#REF!</definedName>
    <definedName name="VOLUME__G1A__Conference_Hall">#REF!</definedName>
    <definedName name="VOLUME__G1B__Reception">#REF!</definedName>
    <definedName name="VOLUME__G1C__Meeting_Rooms">#REF!</definedName>
    <definedName name="VOLUME__G2__Pre_function">#REF!</definedName>
    <definedName name="VOLUME__G3__Toilets">#REF!</definedName>
    <definedName name="VOLUME__G4__FOH_Circulation">#REF!</definedName>
    <definedName name="VOLUME__G5__BOH_Circulation">#REF!</definedName>
    <definedName name="VOLUME__G6__Fire_Escape_Stairs">#REF!</definedName>
    <definedName name="VOLUME__G7__Plant_and_Equipment_Rooms">#REF!</definedName>
    <definedName name="VOLUME__G8__Storage">#REF!</definedName>
    <definedName name="VOLUME__G9__Kitchen_and_Service_Area">#REF!</definedName>
    <definedName name="VOLUME_1_bed_Balcony_area">#REF!</definedName>
    <definedName name="VOLUME_1_bed_bath_screen">#REF!</definedName>
    <definedName name="VOLUME_1_bed_bath_shelf">#REF!</definedName>
    <definedName name="VOLUME_1_bed_Bath_tub">#REF!</definedName>
    <definedName name="VOLUME_1_bed_Bath_tub_mixer">#REF!</definedName>
    <definedName name="VOLUME_1_bed_Bathroom_area">#REF!</definedName>
    <definedName name="VOLUME_1_bed_Bedroom_area">#REF!</definedName>
    <definedName name="VOLUME_1_bed_Cistern_cover">#REF!</definedName>
    <definedName name="VOLUME_1_bed_Cooker_hob">#REF!</definedName>
    <definedName name="VOLUME_1_bed_Fridge_freezer">#REF!</definedName>
    <definedName name="VOLUME_1_bed_Kitchen_sink">#REF!</definedName>
    <definedName name="VOLUME_1_bed_Kitchen_sink_mixer">#REF!</definedName>
    <definedName name="VOLUME_1_bed_kitchen_units">#REF!</definedName>
    <definedName name="VOLUME_1_bed_living_area">#REF!</definedName>
    <definedName name="VOLUME_1_bed_mirror">#REF!</definedName>
    <definedName name="VOLUME_1_bed_NIA">#REF!</definedName>
    <definedName name="VOLUME_1_bed_Oven">#REF!</definedName>
    <definedName name="VOLUME_1_bed_shower_mixer">#REF!</definedName>
    <definedName name="VOLUME_1_bed_vanitys">#REF!</definedName>
    <definedName name="VOLUME_1_bed_Wardrobes">#REF!</definedName>
    <definedName name="VOLUME_1_bed_Wash_basin">#REF!</definedName>
    <definedName name="VOLUME_1_bed_Wash_basin_mixer">#REF!</definedName>
    <definedName name="VOLUME_1_bed_Washing_machine">#REF!</definedName>
    <definedName name="VOLUME_1_bed_WC">#REF!</definedName>
    <definedName name="VOLUME_110_mm_dia._RWP">#REF!</definedName>
    <definedName name="VOLUME_110mm_dia_RWP">#REF!</definedName>
    <definedName name="VOLUME_110mm_dia._opening_for_rain_water">#REF!</definedName>
    <definedName name="VOLUME_110mm_dia._Rainwater_pipe">#REF!</definedName>
    <definedName name="VOLUME_15mm_dia_Copper_pipe">#REF!</definedName>
    <definedName name="VOLUME_15mm_dia._CWS_Buried_Underground">#REF!</definedName>
    <definedName name="VOLUME_1F__25mm_dia._BCWS_Pipe">#REF!</definedName>
    <definedName name="VOLUME_1F__25mm_dia._HWS_Pipe">#REF!</definedName>
    <definedName name="VOLUME_1F__Isolation_valve">#REF!</definedName>
    <definedName name="VOLUME_1F__Water_Hammer_Arrestor">#REF!</definedName>
    <definedName name="VOLUME_1F_BOH_Service_and_Utility_area">#REF!</definedName>
    <definedName name="VOLUME_1F_BOH_Staircase">#REF!</definedName>
    <definedName name="VOLUME_1F_Guest_Core">#REF!</definedName>
    <definedName name="VOLUME_1F_Guestrooms">#REF!</definedName>
    <definedName name="VOLUME_1F_HGR_BOH">#REF!</definedName>
    <definedName name="VOLUME_1F_HGR_Circulation">#REF!</definedName>
    <definedName name="VOLUME_1F_HGR_Covered_Balcony">#REF!</definedName>
    <definedName name="VOLUME_1F_HGR_Fire_Staircase">#REF!</definedName>
    <definedName name="VOLUME_1F_HGR_Open_Terrace">#REF!</definedName>
    <definedName name="VOLUME_1F_Lift_Shaft">#REF!</definedName>
    <definedName name="VOLUME_1F_Roof_Terrace">#REF!</definedName>
    <definedName name="VOLUME_1F_Services_Core">#REF!</definedName>
    <definedName name="VOLUME_1F_Void___Dead_space">#REF!</definedName>
    <definedName name="VOLUME_1st_Floor">#REF!</definedName>
    <definedName name="VOLUME_1st_Floor___BOH___FIre_Escape_Stairs">#REF!</definedName>
    <definedName name="VOLUME_1st_Floor___BOH___Guest_Core">#REF!</definedName>
    <definedName name="VOLUME_1st_Floor___BOH___Guest_Core_lifts">#REF!</definedName>
    <definedName name="VOLUME_1st_Floor___BOH___Service_Core">#REF!</definedName>
    <definedName name="VOLUME_1st_Floor___BOH___Service_Core_ducts">#REF!</definedName>
    <definedName name="VOLUME_1st_Floor___BOH___Service_Core_lift_shafts">#REF!</definedName>
    <definedName name="VOLUME_1st_Floor___FOH___Guest_Circulation">#REF!</definedName>
    <definedName name="VOLUME_1st_Floor___FOH___Guestroom_Terrace">#REF!</definedName>
    <definedName name="VOLUME_1st_Floor___FOH___Guestrooms">#REF!</definedName>
    <definedName name="VOLUME_1st_Floor___Guest_Core_ducts">#REF!</definedName>
    <definedName name="VOLUME_2_bed_2nd_bathroom_area" localSheetId="1">#REF!</definedName>
    <definedName name="VOLUME_2_bed_2nd_bathroom_area">#REF!</definedName>
    <definedName name="VOLUME_2_bed_2nd_bedroom_area">#REF!</definedName>
    <definedName name="VOLUME_2_bed_4_burner_hob">#REF!</definedName>
    <definedName name="VOLUME_2_bed_Balcony_area">#REF!</definedName>
    <definedName name="VOLUME_2_bed_bath_screen">#REF!</definedName>
    <definedName name="VOLUME_2_bed_bath_tub">#REF!</definedName>
    <definedName name="VOLUME_2_bed_bath_tub_mixer">#REF!</definedName>
    <definedName name="VOLUME_2_bed_bidet">#REF!</definedName>
    <definedName name="VOLUME_2_bed_cistern_cover">#REF!</definedName>
    <definedName name="VOLUME_2_bed_fridge_freezer">#REF!</definedName>
    <definedName name="VOLUME_2_bed_kitchen_sink">#REF!</definedName>
    <definedName name="VOLUME_2_bed_kitchen_sink_mixer">#REF!</definedName>
    <definedName name="VOLUME_2_bed_Kitchen_units">#REF!</definedName>
    <definedName name="VOLUME_2_bed_living_area">#REF!</definedName>
    <definedName name="VOLUME_2_bed_Master_bathroom_area">#REF!</definedName>
    <definedName name="VOLUME_2_bed_Master_bedroom_area">#REF!</definedName>
    <definedName name="VOLUME_2_bed_mirror">#REF!</definedName>
    <definedName name="VOLUME_2_bed_NIA">#REF!</definedName>
    <definedName name="VOLUME_2_bed_shower_mixer_set">#REF!</definedName>
    <definedName name="VOLUME_2_bed_shower_partition_inc_door">#REF!</definedName>
    <definedName name="VOLUME_2_bed_vanity_unit">#REF!</definedName>
    <definedName name="VOLUME_2_bed_wardrobes">#REF!</definedName>
    <definedName name="VOLUME_2_bed_wash_basin">#REF!</definedName>
    <definedName name="VOLUME_2_bed_wash_basin_mixer">#REF!</definedName>
    <definedName name="VOLUME_2_bed_washing_machine">#REF!</definedName>
    <definedName name="VOLUME_2_bed_WC">#REF!</definedName>
    <definedName name="VOLUME_2.2.1___Upper_Floors_240mm_thk_slab">#REF!</definedName>
    <definedName name="VOLUME_2.2.1___Upper_Floors_300mm_thk_slab">#REF!</definedName>
    <definedName name="VOLUME_2.3.1___Stairs__FF05_Steps_280mm">#REF!</definedName>
    <definedName name="VOLUME_2.3.2___Stairs__FF05_Risers_170mm">#REF!</definedName>
    <definedName name="VOLUME_2.3.3___Stairs__FF05_Skirting_100mm_high">#REF!</definedName>
    <definedName name="VOLUME_2.3.4___Stairs__Balustrade___Fixed_to_floor">#REF!</definedName>
    <definedName name="VOLUME_2.3.4___Stairs__Balustrade___Handrails_50mm_to_wall">#REF!</definedName>
    <definedName name="VOLUME_2.3.4___Stairs__Balustrade___Sloping_Fixed_to_floor">#REF!</definedName>
    <definedName name="VOLUME_2.4.1___Roof___Shuttering__Paint_incl_waterproofing_to_roof_canopies">#REF!</definedName>
    <definedName name="VOLUME_2.4.1___Roof___Shuttering__Precast_cement_incl_waterproofing">#REF!</definedName>
    <definedName name="VOLUME_2.4.1___Roof___Shuttering__Suspended_Reinforced_Concrete_Slab">#REF!</definedName>
    <definedName name="VOLUME_2.4.2___Roof___Shuttering__Roof_Access_panel_750mmx900mm">#REF!</definedName>
    <definedName name="VOLUME_20mm_dia_Bib_tap">#REF!</definedName>
    <definedName name="VOLUME_20mm_dia_HSW_pipe">#REF!</definedName>
    <definedName name="VOLUME_25mm_dia_BCWS_pipe">#REF!</definedName>
    <definedName name="VOLUME_25mm_dia_HSW_pipe">#REF!</definedName>
    <definedName name="VOLUME_2F_BOH_Roof_Terrace">#REF!</definedName>
    <definedName name="VOLUME_2F_BOH_Service_and_Utility_area">#REF!</definedName>
    <definedName name="VOLUME_2F_BOH_Staircase">#REF!</definedName>
    <definedName name="VOLUME_2F_Guest_Core">#REF!</definedName>
    <definedName name="VOLUME_2F_Guestrooms">#REF!</definedName>
    <definedName name="VOLUME_2F_HGR_BOH">#REF!</definedName>
    <definedName name="VOLUME_2F_HGR_Circulation">#REF!</definedName>
    <definedName name="VOLUME_2F_HGR_Covered_Balcony">#REF!</definedName>
    <definedName name="VOLUME_2F_HGR_Fire_Staircase">#REF!</definedName>
    <definedName name="VOLUME_2F_Lift_Shaft">#REF!</definedName>
    <definedName name="VOLUME_2F_Services_Core">#REF!</definedName>
    <definedName name="VOLUME_2F_Voids___Dead_space">#REF!</definedName>
    <definedName name="VOLUME_2nd_Floor">#REF!</definedName>
    <definedName name="VOLUME_2nd_Floor___BOH___Event_Center_Core">#REF!</definedName>
    <definedName name="VOLUME_2nd_Floor___BOH___Event_Center_Core_lift_shafts">#REF!</definedName>
    <definedName name="VOLUME_2nd_Floor___BOH___Event_Center_Service">#REF!</definedName>
    <definedName name="VOLUME_2nd_Floor___BOH___Event_Center_Service_lift_shafts">#REF!</definedName>
    <definedName name="VOLUME_2nd_Floor___BOH___Fire_Escape_Stairs">#REF!</definedName>
    <definedName name="VOLUME_2nd_Floor___BOH___Guest_Core">#REF!</definedName>
    <definedName name="VOLUME_2nd_Floor___BOH___Guest_Core_ducts">#REF!</definedName>
    <definedName name="VOLUME_2nd_Floor___BOH___Guest_Core_lift_shafts">#REF!</definedName>
    <definedName name="VOLUME_2nd_Floor___BOH___Service_Core">#REF!</definedName>
    <definedName name="VOLUME_2nd_Floor___BOH___Service_Core_ducts">#REF!</definedName>
    <definedName name="VOLUME_2nd_Floor___BOH___Service_Core_lift_shafts">#REF!</definedName>
    <definedName name="VOLUME_2nd_Floor___FOH___Guestroom_Circulation">#REF!</definedName>
    <definedName name="VOLUME_2nd_Floor___FOH___Guestroom_Terrace">#REF!</definedName>
    <definedName name="VOLUME_2nd_Floor___FOH___Guestrooms">#REF!</definedName>
    <definedName name="VOLUME_3.1__External_Walls" localSheetId="1">#REF!</definedName>
    <definedName name="VOLUME_3.1__External_Walls">#REF!</definedName>
    <definedName name="VOLUME_3.1.1___BW2__150mm_thk">#REF!</definedName>
    <definedName name="VOLUME_3.1.1___BW3__200mm_thk">#REF!</definedName>
    <definedName name="VOLUME_3.1.1___BW4__250mm_thk">#REF!</definedName>
    <definedName name="VOLUME_3.2.2___Timber__D_01___1600mmx2250mm" localSheetId="1">#REF!</definedName>
    <definedName name="VOLUME_3.2.2___Timber__D_01___1600mmx2250mm">#REF!</definedName>
    <definedName name="VOLUME_3.2.2___Timber__D_02___1000mmx2200mm">#REF!</definedName>
    <definedName name="VOLUME_3.2.2___Timber__D_04___1100mmx2200mm">#REF!</definedName>
    <definedName name="VOLUME_3.3.1___GL01___800mmx1350mm">#REF!</definedName>
    <definedName name="VOLUME_3.3.1___GL02___2350mmx2600mm">#REF!</definedName>
    <definedName name="VOLUME_3.3.1___GL03___2500mmx2600mm">#REF!</definedName>
    <definedName name="VOLUME_3.3.1___GL04___2000mmx2600mm">#REF!</definedName>
    <definedName name="VOLUME_3.3.1___GL05___2600mmx2700mm">#REF!</definedName>
    <definedName name="VOLUME_3.3.1___GL06___3600mmx2700mm">#REF!</definedName>
    <definedName name="VOLUME_3.3.1___GL07___1600mmx1350mm">#REF!</definedName>
    <definedName name="VOLUME_3.3.1___GL08___800mmx1350mm">#REF!</definedName>
    <definedName name="VOLUME_3.3.1___GL09___500mmx1200mm">#REF!</definedName>
    <definedName name="VOLUME_3.3.1___GL10___3600mmx2700mm">#REF!</definedName>
    <definedName name="VOLUME_3.3.1___GL11___2100mmx2700mm">#REF!</definedName>
    <definedName name="VOLUME_3.3.1___GL12___1600mmx2700mm">#REF!</definedName>
    <definedName name="VOLUME_3.3.1___GL13___1200mmx1800mm">#REF!</definedName>
    <definedName name="VOLUME_3.3.1___GL14___1000mmx1500mm">#REF!</definedName>
    <definedName name="VOLUME_3.3.1___GL15___5000mmx2700mm">#REF!</definedName>
    <definedName name="VOLUME_3.3.1___GL16___1700mmx1350mm">#REF!</definedName>
    <definedName name="VOLUME_3.3.1___GL17___600mmx1200mm">#REF!</definedName>
    <definedName name="VOLUME_3.4.1___Cement_render_and_paint">#REF!</definedName>
    <definedName name="VOLUME_3.4.2___50mmthk_Insulation">#REF!</definedName>
    <definedName name="VOLUME_3.4.3___External_Soffits">#REF!</definedName>
    <definedName name="VOLUME_3.4.5___Metal_railing_to_balcony">#REF!</definedName>
    <definedName name="VOLUME_32_dia._CWS_Main_Buried_underground" localSheetId="1">#REF!</definedName>
    <definedName name="VOLUME_32_dia._CWS_Main_Buried_underground">#REF!</definedName>
    <definedName name="VOLUME_32mm_dia_BCWS">#REF!</definedName>
    <definedName name="VOLUME_32mm_dia_BCWS_pipe">#REF!</definedName>
    <definedName name="VOLUME_32mm_dia_BCWS_Riser">#REF!</definedName>
    <definedName name="VOLUME_32mm_dia_HSW_pipe">#REF!</definedName>
    <definedName name="VOLUME_32mm_dia_HSW_Riser">#REF!</definedName>
    <definedName name="VOLUME_3F_BOH_Service___Utility_area">#REF!</definedName>
    <definedName name="VOLUME_3F_BOH_Staircase">#REF!</definedName>
    <definedName name="VOLUME_3F_Guest_Core">#REF!</definedName>
    <definedName name="VOLUME_3F_Guestrooms">#REF!</definedName>
    <definedName name="VOLUME_3F_HGR_BOH">#REF!</definedName>
    <definedName name="VOLUME_3F_HGR_Circulation">#REF!</definedName>
    <definedName name="VOLUME_3F_HGR_Covered_Balcony">#REF!</definedName>
    <definedName name="VOLUME_3F_HGR_Fire_Staircase">#REF!</definedName>
    <definedName name="VOLUME_3F_Lift_Shaft">#REF!</definedName>
    <definedName name="VOLUME_3F_Services_Core">#REF!</definedName>
    <definedName name="VOLUME_3F_Voids___Dead_space">#REF!</definedName>
    <definedName name="VOLUME_3rd_Floor">#REF!</definedName>
    <definedName name="VOLUME_3rd_Floor___BOH___Fire_Escape_Stairs">#REF!</definedName>
    <definedName name="VOLUME_3rd_Floor___BOH___Guest_Core">#REF!</definedName>
    <definedName name="VOLUME_3rd_Floor___BOH___Guest_Core_ducts">#REF!</definedName>
    <definedName name="VOLUME_3rd_Floor___BOH___Guest_Core_lift_shafts">#REF!</definedName>
    <definedName name="VOLUME_3rd_Floor___BOH___Service_Core">#REF!</definedName>
    <definedName name="VOLUME_3rd_Floor___BOH___Service_Core_ducts">#REF!</definedName>
    <definedName name="VOLUME_3rd_Floor___BOH___Service_Core_lift_shafts">#REF!</definedName>
    <definedName name="VOLUME_3rd_Floor___FOH___Guest_Circulation">#REF!</definedName>
    <definedName name="VOLUME_3rd_Floor___FOH___Guestroom_Terrace">#REF!</definedName>
    <definedName name="VOLUME_3rd_Floor___FOH___Guestrooms">#REF!</definedName>
    <definedName name="VOLUME_4.1.1___BW1__100mm_thk">#REF!</definedName>
    <definedName name="VOLUME_4.1.1___BW2__150mm_thk">#REF!</definedName>
    <definedName name="VOLUME_4.1.1___BW3__200mm_thk">#REF!</definedName>
    <definedName name="VOLUME_4.1.2___Allow_for_joint_sealant">#REF!</definedName>
    <definedName name="VOLUME_4.2.1___D_02__1000mm_x_2200mm">#REF!</definedName>
    <definedName name="VOLUME_4.2.1___D_03__900mm_x_2200mm">#REF!</definedName>
    <definedName name="VOLUME_4.2.1___D_04">#REF!</definedName>
    <definedName name="VOLUME_4.2.2___Utility_Cupboard">#REF!</definedName>
    <definedName name="VOLUME_4F_BOH_Service___Utility_area" localSheetId="1">#REF!</definedName>
    <definedName name="VOLUME_4F_BOH_Service___Utility_area">#REF!</definedName>
    <definedName name="VOLUME_4F_BOH_Staircase" localSheetId="1">#REF!</definedName>
    <definedName name="VOLUME_4F_BOH_Staircase">#REF!</definedName>
    <definedName name="VOLUME_4F_Guest_Core" localSheetId="1">#REF!</definedName>
    <definedName name="VOLUME_4F_Guest_Core">#REF!</definedName>
    <definedName name="VOLUME_4F_Guestrooms">#REF!</definedName>
    <definedName name="VOLUME_4F_HGR_BOH">#REF!</definedName>
    <definedName name="VOLUME_4F_HGR_Circulation">#REF!</definedName>
    <definedName name="VOLUME_4F_HGR_Covered_Balcony">#REF!</definedName>
    <definedName name="VOLUME_4F_HGR_Fire_Staircase">#REF!</definedName>
    <definedName name="VOLUME_4F_Lift_Shaft">#REF!</definedName>
    <definedName name="VOLUME_4F_Services_Core">#REF!</definedName>
    <definedName name="VOLUME_4F_Voids___Dead_space">#REF!</definedName>
    <definedName name="VOLUME_4th_Floor___BOH___Fire_Escape_Stairs">#REF!</definedName>
    <definedName name="VOLUME_4th_Floor___BOH___Guest_Core">#REF!</definedName>
    <definedName name="VOLUME_4th_Floor___BOH___Guest_Core_ducts">#REF!</definedName>
    <definedName name="VOLUME_4th_Floor___BOH___Guest_Core_lift_shafts">#REF!</definedName>
    <definedName name="VOLUME_4th_Floor___BOH___Service_Core">#REF!</definedName>
    <definedName name="VOLUME_4th_Floor___BOH___Service_Core_ducts">#REF!</definedName>
    <definedName name="VOLUME_4th_Floor___BOH___Service_Core_lift_shafts">#REF!</definedName>
    <definedName name="VOLUME_4th_Floor___FOH___Guestroom_Circulation">#REF!</definedName>
    <definedName name="VOLUME_4th_Floor___FOH___Guestroom_Terrace">#REF!</definedName>
    <definedName name="VOLUME_4th_Floor___FOH___Guestrooms">#REF!</definedName>
    <definedName name="VOLUME_4th_Floor___FOH___Roof_Top_Pantry">#REF!</definedName>
    <definedName name="VOLUME_4th_Floor___FOH___Roof_Top_Restaurant">#REF!</definedName>
    <definedName name="VOLUME_4th_Floor___FOH___Roof_Top_Toilets">#REF!</definedName>
    <definedName name="VOLUME_4th_Floor___Roof_Top_Restaurant_open_terrace">#REF!</definedName>
    <definedName name="VOLUME_5.1.2___Paint_to_walls__PF03">#REF!</definedName>
    <definedName name="VOLUME_5.1.2___Paint_to_walls__PF04">#REF!</definedName>
    <definedName name="VOLUME_5.1.3___Ceramic_Tiles_to_walls__WF01">#REF!</definedName>
    <definedName name="VOLUME_5.1.3___Ceramic_Tiles_to_walls__WF03">#REF!</definedName>
    <definedName name="VOLUME_5.1.3___Ceramic_Tiles_to_walls__WF05">#REF!</definedName>
    <definedName name="VOLUME_5.1.3___Ceramic_Tiles_to_walls__WF07">#REF!</definedName>
    <definedName name="VOLUME_5.1.4___Waterproofing_to_wet_areas">#REF!</definedName>
    <definedName name="VOLUME_5.2.2___FF01__Porcelian_Tiles">#REF!</definedName>
    <definedName name="VOLUME_5.2.2___FF01__Porcelian_Tiles_Skirting">#REF!</definedName>
    <definedName name="VOLUME_5.2.3___FF03__Ceramic_Tiles">#REF!</definedName>
    <definedName name="VOLUME_5.2.3___FF03__Ceramic_Tiles____Balconies">#REF!</definedName>
    <definedName name="VOLUME_5.2.3___FF03__Ceramic_Tiles____Waterproofing_to_wet_areas">#REF!</definedName>
    <definedName name="VOLUME_5.2.3___FF03__Ceramic_Tiles_Skirting">#REF!</definedName>
    <definedName name="VOLUME_5.2.4___Threshold_Allowance_100mm_200mm_thk">#REF!</definedName>
    <definedName name="VOLUME_5.3.1___PF01__Gypsum_Board">#REF!</definedName>
    <definedName name="VOLUME_5.3.1___PF01__Slab_Soffits">#REF!</definedName>
    <definedName name="VOLUME_5.3.1___PF03__Gypsum_Board">#REF!</definedName>
    <definedName name="VOLUME_5.3.2___Bulkheads">#REF!</definedName>
    <definedName name="VOLUME_50mm_dia_WP">#REF!</definedName>
    <definedName name="VOLUME_50mm_dia._Balcony_Drain" localSheetId="1">#REF!</definedName>
    <definedName name="VOLUME_50mm_dia._Balcony_Drain">#REF!</definedName>
    <definedName name="VOLUME_5A_CEILING">#REF!</definedName>
    <definedName name="VOLUME_5A_FS01">#REF!</definedName>
    <definedName name="VOLUME_5A_FS02">#REF!</definedName>
    <definedName name="VOLUME_5A_FS02_2F">#REF!</definedName>
    <definedName name="VOLUME_5A_FS03">#REF!</definedName>
    <definedName name="VOLUME_5A_FS03_AREA">#REF!</definedName>
    <definedName name="VOLUME_5A_FS03_GRILL">#REF!</definedName>
    <definedName name="VOLUME_5A_FS04">#REF!</definedName>
    <definedName name="VOLUME_5A_FS04_1F">#REF!</definedName>
    <definedName name="VOLUME_5A_FS04_2F">#REF!</definedName>
    <definedName name="VOLUME_5A_FS05">#REF!</definedName>
    <definedName name="VOLUME_5A_FS05_RF">#REF!</definedName>
    <definedName name="VOLUME_5A_FS07">#REF!</definedName>
    <definedName name="VOLUME_5A_FS08">#REF!</definedName>
    <definedName name="VOLUME_5A_FS08_RF">#REF!</definedName>
    <definedName name="VOLUME_5A_FS12_1F">#REF!</definedName>
    <definedName name="VOLUME_5A_FS15_2F">#REF!</definedName>
    <definedName name="VOLUME_5A_FS16">#REF!</definedName>
    <definedName name="VOLUME_5B_FS01">#REF!</definedName>
    <definedName name="VOLUME_5B_FS02_1F">#REF!</definedName>
    <definedName name="VOLUME_5B_FS02_RF">#REF!</definedName>
    <definedName name="VOLUME_5B_FS03">#REF!</definedName>
    <definedName name="VOLUME_5B_FS03_AREA">#REF!</definedName>
    <definedName name="VOLUME_5B_FS03_GRILL">#REF!</definedName>
    <definedName name="VOLUME_5B_FS03_RF">#REF!</definedName>
    <definedName name="VOLUME_5B_FS04_1F">#REF!</definedName>
    <definedName name="VOLUME_5B_FS04_2F">#REF!</definedName>
    <definedName name="VOLUME_5B_FS04_RF">#REF!</definedName>
    <definedName name="VOLUME_5B_FS05">#REF!</definedName>
    <definedName name="VOLUME_5B_FS05_GARDEN">#REF!</definedName>
    <definedName name="VOLUME_5B_FS05_PARAPET">#REF!</definedName>
    <definedName name="VOLUME_5B_FS06">#REF!</definedName>
    <definedName name="VOLUME_5B_FS07_1F">#REF!</definedName>
    <definedName name="VOLUME_5B_FS08_RF">#REF!</definedName>
    <definedName name="VOLUME_5B_FS11_1F">#REF!</definedName>
    <definedName name="VOLUME_5B_FS11_2F">#REF!</definedName>
    <definedName name="VOLUME_5B_FS12_2F">#REF!</definedName>
    <definedName name="VOLUME_5B_FS15_1F">#REF!</definedName>
    <definedName name="VOLUME_5B_FS15_2F">#REF!</definedName>
    <definedName name="VOLUME_5B_FS15_RF">#REF!</definedName>
    <definedName name="VOLUME_5B_FS16">#REF!</definedName>
    <definedName name="VOLUME_5B_LOUVRE">#REF!</definedName>
    <definedName name="VOLUME_5B_PARAPET_COPING">#REF!</definedName>
    <definedName name="VOLUME_5C_FS01">#REF!</definedName>
    <definedName name="VOLUME_5C_FS02">#REF!</definedName>
    <definedName name="VOLUME_5C_FS02_1F">#REF!</definedName>
    <definedName name="VOLUME_5C_FS02_COPING">#REF!</definedName>
    <definedName name="VOLUME_5C_FS03">#REF!</definedName>
    <definedName name="VOLUME_5C_FS03_GRILL">#REF!</definedName>
    <definedName name="VOLUME_5C_FS05_RF">#REF!</definedName>
    <definedName name="VOLUME_5C_FS07_RF">#REF!</definedName>
    <definedName name="VOLUME_5C_FS08_1F">#REF!</definedName>
    <definedName name="VOLUME_5C_FS08_RF">#REF!</definedName>
    <definedName name="VOLUME_5C_FS16">#REF!</definedName>
    <definedName name="VOLUME_5C_LINK_BRIDGE">#REF!</definedName>
    <definedName name="VOLUME_5F_BOH_Circulation">#REF!</definedName>
    <definedName name="VOLUME_5F_BOH_Service___Utility_area">#REF!</definedName>
    <definedName name="VOLUME_5F_BOH_Staircase">#REF!</definedName>
    <definedName name="VOLUME_5F_Lift_Shaft">#REF!</definedName>
    <definedName name="VOLUME_5F_MEP">#REF!</definedName>
    <definedName name="VOLUME_5F_Services_Core">#REF!</definedName>
    <definedName name="VOLUME_5F_Voids___Dead_area">#REF!</definedName>
    <definedName name="VOLUME_6.1.1___U_Shaped_Base_Cabinet___3400___2250___2300_x_700_x_900">#REF!</definedName>
    <definedName name="VOLUME_6.1.2___Kitchen_Wall_Cabinet_____600_x340_x_830">#REF!</definedName>
    <definedName name="VOLUME_6.1.2___Kitchen_Wall_Cabinet_____650_x340_x_830">#REF!</definedName>
    <definedName name="VOLUME_6.1.2___Kitchen_Wall_Cabinet_____850_x340_x_830">#REF!</definedName>
    <definedName name="VOLUME_6.1.2___Kitchen_Wall_Cabinet_____900_x340_x_400">#REF!</definedName>
    <definedName name="VOLUME_6.1.3___Cooker_Hood__4_series">#REF!</definedName>
    <definedName name="VOLUME_6.2.1___Wardrobe__1000mm_x_600mm__walkin_">#REF!</definedName>
    <definedName name="VOLUME_6.2.1___Wardrobe__2000mm_x_600mm__Bed3_">#REF!</definedName>
    <definedName name="VOLUME_6.2.1___Wardrobe__2200mm_x_600mm__Bed2_">#REF!</definedName>
    <definedName name="VOLUME_6.2.1___Wardrobe_L_shape__2500mm___2300mm_x_600mm__walkin_">#REF!</definedName>
    <definedName name="VOLUME_6.3.1___Base_Cabinet__1000mm_x_600mm_x_900mm">#REF!</definedName>
    <definedName name="VOLUME_6.3.1___Base_Cabinet__1800mm_x_600mm_x_900m">#REF!</definedName>
    <definedName name="VOLUME_6.3.1___Base_Cabinet__1900mm_x_600mm_x_900m">#REF!</definedName>
    <definedName name="VOLUME_82mm_dia_Vent_pipe_1F" localSheetId="1">#REF!</definedName>
    <definedName name="VOLUME_82mm_dia_Vent_pipe_1F">#REF!</definedName>
    <definedName name="VOLUME_82mm_dia_Vent_pipe_GF">#REF!</definedName>
    <definedName name="VOLUME_AM_Beams">#REF!</definedName>
    <definedName name="VOLUME_AM_Slab_1200">#REF!</definedName>
    <definedName name="VOLUME_AM_Slab_300">#REF!</definedName>
    <definedName name="VOLUME_Assume_Roof">#REF!</definedName>
    <definedName name="VOLUME_Assumed_Stair_Roof">#REF!</definedName>
    <definedName name="VOLUME_B1">#REF!</definedName>
    <definedName name="VOLUME_B1___BOH____Loading_Unloading">#REF!</definedName>
    <definedName name="VOLUME_B1___BOH____Service_Corridor">#REF!</definedName>
    <definedName name="VOLUME_B1___BOH___Bulk_Storage">#REF!</definedName>
    <definedName name="VOLUME_B1___BOH___Event_Center_Core">#REF!</definedName>
    <definedName name="VOLUME_B1___BOH___Event_Center_Core_lift_shafts">#REF!</definedName>
    <definedName name="VOLUME_B1___BOH___Event_Center_Kitchen">#REF!</definedName>
    <definedName name="VOLUME_B1___BOH___Event_Center_Service">#REF!</definedName>
    <definedName name="VOLUME_B1___BOH___Fire_Escape_Stairs">#REF!</definedName>
    <definedName name="VOLUME_B1___BOH___Food___Beverage_Dept">#REF!</definedName>
    <definedName name="VOLUME_B1___BOH___General_Areas">#REF!</definedName>
    <definedName name="VOLUME_B1___BOH___Guest_Core">#REF!</definedName>
    <definedName name="VOLUME_B1___BOH___Guest_Core_ducts">#REF!</definedName>
    <definedName name="VOLUME_B1___BOH___Guest_Core_lift_shafts">#REF!</definedName>
    <definedName name="VOLUME_B1___BOH___Human_Resources">#REF!</definedName>
    <definedName name="VOLUME_B1___BOH___Main_Kitchen">#REF!</definedName>
    <definedName name="VOLUME_B1___BOH___Pool_Bar___Grill_Pantry">#REF!</definedName>
    <definedName name="VOLUME_B1___BOH___Ramp__B1___GF_">#REF!</definedName>
    <definedName name="VOLUME_B1___BOH___Ramp_B1_to_B2__loading_unloading_">#REF!</definedName>
    <definedName name="VOLUME_B1___BOH___Receiving___Purchasing">#REF!</definedName>
    <definedName name="VOLUME_B1___BOH___Service_Core">#REF!</definedName>
    <definedName name="VOLUME_B1___BOH___Service_Core_ducts">#REF!</definedName>
    <definedName name="VOLUME_B1___BOH___Service_Core_lift_shaft">#REF!</definedName>
    <definedName name="VOLUME_B1___BOH___Service_Corridor">#REF!</definedName>
    <definedName name="VOLUME_B1___BOH___Speciality_Restaurant_01_Pantry">#REF!</definedName>
    <definedName name="VOLUME_B1___BOH___Staff_Core">#REF!</definedName>
    <definedName name="VOLUME_B1___BOH___Staff_Core_lift_shafts">#REF!</definedName>
    <definedName name="VOLUME_B1___BOH___Staff_Facilities">#REF!</definedName>
    <definedName name="VOLUME_B1___BOH___Waste_Management">#REF!</definedName>
    <definedName name="VOLUME_B1___Double_Volume_internal_Plant_RM">#REF!</definedName>
    <definedName name="VOLUME_B1___FOH____Day_Care_Center">#REF!</definedName>
    <definedName name="VOLUME_B1___FOH___All_Day_Dining">#REF!</definedName>
    <definedName name="VOLUME_B1___FOH___Circulation">#REF!</definedName>
    <definedName name="VOLUME_B1___FOH___Day_Care_Center_Terrace">#REF!</definedName>
    <definedName name="VOLUME_B1___FOH___Guest_Circulation">#REF!</definedName>
    <definedName name="VOLUME_B1___FOH___Guestroom_Terrace">#REF!</definedName>
    <definedName name="VOLUME_B1___FOH___Guestrooms">#REF!</definedName>
    <definedName name="VOLUME_B1___FOH___Gym">#REF!</definedName>
    <definedName name="VOLUME_B1___FOH___Pool_Bar___Grill">#REF!</definedName>
    <definedName name="VOLUME_B1___FOH___Pool_Bar___Grill_Terrace">#REF!</definedName>
    <definedName name="VOLUME_B1___FOH___Spa">#REF!</definedName>
    <definedName name="VOLUME_B1___FOH___Speciality_Restauarant_02_Toilets">#REF!</definedName>
    <definedName name="VOLUME_B1___FOH___Speciality_Restaurant_01">#REF!</definedName>
    <definedName name="VOLUME_B1___FOH___Speciality_Restaurant_02">#REF!</definedName>
    <definedName name="VOLUME_B1___FOH___Speciality_Restaurant_02_Terrace__covered_terrace_area_">#REF!</definedName>
    <definedName name="VOLUME_B1___FOH___Speciality_Restaurant_02_Terrace__open_terrace_area_">#REF!</definedName>
    <definedName name="VOLUME_B1___Parking">#REF!</definedName>
    <definedName name="VOLUME_B1__BOH_">#REF!</definedName>
    <definedName name="VOLUME_B1__Car_Park_">#REF!</definedName>
    <definedName name="VOLUME_B1__Column_C1">#REF!</definedName>
    <definedName name="VOLUME_B1__Column_C10">#REF!</definedName>
    <definedName name="VOLUME_B1__Column_C11">#REF!</definedName>
    <definedName name="VOLUME_B1__Column_C12">#REF!</definedName>
    <definedName name="VOLUME_B1__Column_C2">#REF!</definedName>
    <definedName name="VOLUME_B1__Column_C3">#REF!</definedName>
    <definedName name="VOLUME_B1__Column_C4">#REF!</definedName>
    <definedName name="VOLUME_B1__Column_C5">#REF!</definedName>
    <definedName name="VOLUME_B1__Column_C6">#REF!</definedName>
    <definedName name="VOLUME_B1__Column_C7">#REF!</definedName>
    <definedName name="VOLUME_B1__Column_C8">#REF!</definedName>
    <definedName name="VOLUME_B1__Column_C9">#REF!</definedName>
    <definedName name="VOLUME_B1__Column_TC1">#REF!</definedName>
    <definedName name="VOLUME_B1__Column_TC2">#REF!</definedName>
    <definedName name="VOLUME_B1__Column_TC3">#REF!</definedName>
    <definedName name="VOLUME_B1__Column_TC4">#REF!</definedName>
    <definedName name="VOLUME_B1__Column_TC5">#REF!</definedName>
    <definedName name="VOLUME_B1__FOH_circulation_">#REF!</definedName>
    <definedName name="VOLUME_B1__GIFA_">#REF!</definedName>
    <definedName name="VOLUME_B1__RW1_400">#REF!</definedName>
    <definedName name="VOLUME_B1__RW2_600">#REF!</definedName>
    <definedName name="VOLUME_B1__Stairs_">#REF!</definedName>
    <definedName name="VOLUME_B1__TW1_250">#REF!</definedName>
    <definedName name="VOLUME_B1__TW2_200">#REF!</definedName>
    <definedName name="VOLUME_B1__TW3_300">#REF!</definedName>
    <definedName name="VOLUME_B1__TW3_400">#REF!</definedName>
    <definedName name="VOLUME_B1__TW4_500">#REF!</definedName>
    <definedName name="VOLUME_B1__TW4_500_Door_Overhead">#REF!</definedName>
    <definedName name="VOLUME_B1__TW4_600">#REF!</definedName>
    <definedName name="VOLUME_B1__voids_">#REF!</definedName>
    <definedName name="VOLUME_B1__W1__300">#REF!</definedName>
    <definedName name="VOLUME_B1__W1_300_Door_Overhead">#REF!</definedName>
    <definedName name="VOLUME_B1_Beams">#REF!</definedName>
    <definedName name="VOLUME_B1_BOH">#REF!</definedName>
    <definedName name="VOLUME_B1_BOH_Area" localSheetId="1">#REF!</definedName>
    <definedName name="VOLUME_B1_BOH_Area">#REF!</definedName>
    <definedName name="VOLUME_B1_BOH_Service___Utility_area" localSheetId="1">#REF!</definedName>
    <definedName name="VOLUME_B1_BOH_Service___Utility_area">#REF!</definedName>
    <definedName name="VOLUME_B1_Car_Park" localSheetId="1">#REF!</definedName>
    <definedName name="VOLUME_B1_Car_Park">#REF!</definedName>
    <definedName name="VOLUME_B1_Double_Internal_Doors__BOH_" localSheetId="1">#REF!</definedName>
    <definedName name="VOLUME_B1_Double_Internal_Doors__BOH_">#REF!</definedName>
    <definedName name="VOLUME_B1_Double_Internal_Doors__FOH_">#REF!</definedName>
    <definedName name="VOLUME_B1_Double_Volume_area" localSheetId="1">#REF!</definedName>
    <definedName name="VOLUME_B1_Double_Volume_area">#REF!</definedName>
    <definedName name="VOLUME_B1_Executive_Club" localSheetId="1">#REF!</definedName>
    <definedName name="VOLUME_B1_Executive_Club">#REF!</definedName>
    <definedName name="VOLUME_B1_FOH_Circulation" localSheetId="1">#REF!</definedName>
    <definedName name="VOLUME_B1_FOH_Circulation">#REF!</definedName>
    <definedName name="VOLUME_B1_FOH_Circulation_area" localSheetId="1">#REF!</definedName>
    <definedName name="VOLUME_B1_FOH_Circulation_area">#REF!</definedName>
    <definedName name="VOLUME_B1_FOH_Lobby" localSheetId="1">#REF!</definedName>
    <definedName name="VOLUME_B1_FOH_Lobby">#REF!</definedName>
    <definedName name="VOLUME_B1_GIFA" localSheetId="1">#REF!</definedName>
    <definedName name="VOLUME_B1_GIFA">#REF!</definedName>
    <definedName name="VOLUME_B1_Guest_Core" localSheetId="1">#REF!</definedName>
    <definedName name="VOLUME_B1_Guest_Core">#REF!</definedName>
    <definedName name="VOLUME_B1_Gym" localSheetId="1">#REF!</definedName>
    <definedName name="VOLUME_B1_Gym">#REF!</definedName>
    <definedName name="VOLUME_B1_Gym_Toilets" localSheetId="1">#REF!</definedName>
    <definedName name="VOLUME_B1_Gym_Toilets">#REF!</definedName>
    <definedName name="VOLUME_B1_Internal_Double_doors__BOH_">#REF!</definedName>
    <definedName name="VOLUME_B1_Internal_Double_doors__FOH_">#REF!</definedName>
    <definedName name="VOLUME_B1_Internal_Single_doors__BOH_">#REF!</definedName>
    <definedName name="VOLUME_B1_Kids_Area">#REF!</definedName>
    <definedName name="VOLUME_B1_Kitchen">#REF!</definedName>
    <definedName name="VOLUME_B1_Lift_Shaft">#REF!</definedName>
    <definedName name="VOLUME_B1_Main_Restaurant">#REF!</definedName>
    <definedName name="VOLUME_B1_MEP_Area">#REF!</definedName>
    <definedName name="VOLUME_B1_Mezz">#REF!</definedName>
    <definedName name="VOLUME_B1_Mezzanine___BOH___Event_Center_Admin">#REF!</definedName>
    <definedName name="VOLUME_B1_Mezzanine___BOH___Event_Center_Core">#REF!</definedName>
    <definedName name="VOLUME_B1_Mezzanine___BOH___Event_Center_Valet">#REF!</definedName>
    <definedName name="VOLUME_B1_Mezzanine___BOH___Event_Service_Core_lift_shafts">#REF!</definedName>
    <definedName name="VOLUME_B1_Mezzanine___BOH___Fire_Escape_Stairs">#REF!</definedName>
    <definedName name="VOLUME_B1_Mezzanine___BOH___General_Areas">#REF!</definedName>
    <definedName name="VOLUME_B1_Mezzanine___BOH___Guest_Core">#REF!</definedName>
    <definedName name="VOLUME_B1_Mezzanine___BOH___Guest_Core_ducts">#REF!</definedName>
    <definedName name="VOLUME_B1_Mezzanine___BOH___Guest_Core_lift_shafts">#REF!</definedName>
    <definedName name="VOLUME_B1_Mezzanine___BOH___RMU">#REF!</definedName>
    <definedName name="VOLUME_B1_Mezzanine___BOH___Service_Core">#REF!</definedName>
    <definedName name="VOLUME_B1_Mezzanine___BOH___Service_Core_ducts">#REF!</definedName>
    <definedName name="VOLUME_B1_Mezzanine___BOH___Service_Core_lift_shafts">#REF!</definedName>
    <definedName name="VOLUME_B1_Mezzanine___Double_Volume__left_wing_">#REF!</definedName>
    <definedName name="VOLUME_B1_Mezzanine___Double_Volume__left_wing_stairs___">#REF!</definedName>
    <definedName name="VOLUME_B1_Mezzanine___Double_Volume__main_hotel___">#REF!</definedName>
    <definedName name="VOLUME_B1_Mezzanine___Double_Volume__right_wing_">#REF!</definedName>
    <definedName name="VOLUME_B1_Mezzanine___Double_Volume__right_wing_stairs___">#REF!</definedName>
    <definedName name="VOLUME_B1_Mezzanine___Double_Volume__Speciality_Restaurant___">#REF!</definedName>
    <definedName name="VOLUME_B1_Mezzanine___FOH___Business_Center">#REF!</definedName>
    <definedName name="VOLUME_B1_Mezzanine___FOH___Circulation">#REF!</definedName>
    <definedName name="VOLUME_B1_Mezzanine___FOH___Event_Center_Core_lift_shafts">#REF!</definedName>
    <definedName name="VOLUME_B1_Mezzanine___FOH___Event_Center_Port_Corchere">#REF!</definedName>
    <definedName name="VOLUME_B1_Mezzanine___FOH___Event_Center_Reception">#REF!</definedName>
    <definedName name="VOLUME_B1_Mezzanine___FOH___Event_Center_Wind_Lobby">#REF!</definedName>
    <definedName name="VOLUME_B1_Mezzanine___FOH___Guestroom_Terrace">#REF!</definedName>
    <definedName name="VOLUME_B1_Mezzanine___FOH___Guestrooms">#REF!</definedName>
    <definedName name="VOLUME_B1_Mezzanine___FOH___Meeting_Prefunction">#REF!</definedName>
    <definedName name="VOLUME_B1_Mezzanine___FOH___Meeting_Rooms">#REF!</definedName>
    <definedName name="VOLUME_B1_Mezzanine___FOH___Meeting_Rooms_Pantry">#REF!</definedName>
    <definedName name="VOLUME_B1_Mezzanine___FOH___Meeting_Rooms_Terrace">#REF!</definedName>
    <definedName name="VOLUME_B1_Mezzanine___FOH___Meeting_Rooms_Toilet">#REF!</definedName>
    <definedName name="VOLUME_B1_Mezzanine___FOH___Retail">#REF!</definedName>
    <definedName name="VOLUME_B1_Parking_area">#REF!</definedName>
    <definedName name="VOLUME_B1_Public_Toilets">#REF!</definedName>
    <definedName name="VOLUME_B1_Ramp">#REF!</definedName>
    <definedName name="VOLUME_B1_Service_Lift_Lobby">#REF!</definedName>
    <definedName name="VOLUME_B1_Services_Core">#REF!</definedName>
    <definedName name="VOLUME_B1_Single_Internal_Doors__BOH_">#REF!</definedName>
    <definedName name="VOLUME_B1_Slab_200" localSheetId="1">#REF!</definedName>
    <definedName name="VOLUME_B1_Slab_200">#REF!</definedName>
    <definedName name="VOLUME_B1_Slab_220">#REF!</definedName>
    <definedName name="VOLUME_B1_Slab_240">#REF!</definedName>
    <definedName name="VOLUME_B1_Slab_260">#REF!</definedName>
    <definedName name="VOLUME_B1_Spa">#REF!</definedName>
    <definedName name="VOLUME_B1_Speciality_Kitchen">#REF!</definedName>
    <definedName name="VOLUME_B1_Speciality_Restaurant">#REF!</definedName>
    <definedName name="VOLUME_B1_Staicase_Lobby">#REF!</definedName>
    <definedName name="VOLUME_B1_Staircase">#REF!</definedName>
    <definedName name="VOLUME_B1_Stairs">#REF!</definedName>
    <definedName name="VOLUME_B1_Voids" localSheetId="1">#REF!</definedName>
    <definedName name="VOLUME_B1_Voids">#REF!</definedName>
    <definedName name="VOLUME_B2" localSheetId="1">#REF!</definedName>
    <definedName name="VOLUME_B2">#REF!</definedName>
    <definedName name="VOLUME_B2___BOH____Tank" localSheetId="1">#REF!</definedName>
    <definedName name="VOLUME_B2___BOH____Tank">#REF!</definedName>
    <definedName name="VOLUME_B2___BOH___AHU">#REF!</definedName>
    <definedName name="VOLUME_B2___BOH___Engineering___Maintenance">#REF!</definedName>
    <definedName name="VOLUME_B2___BOH___Event_Center_Core">#REF!</definedName>
    <definedName name="VOLUME_B2___BOH___Event_Center_Core_lift_shafts">#REF!</definedName>
    <definedName name="VOLUME_B2___BOH___Fire_Escape_Stairs">#REF!</definedName>
    <definedName name="VOLUME_B2___BOH___Guest_Core">#REF!</definedName>
    <definedName name="VOLUME_B2___BOH___Guest_Core_lift_shafts">#REF!</definedName>
    <definedName name="VOLUME_B2___BOH___Heat_Exchange">#REF!</definedName>
    <definedName name="VOLUME_B2___BOH___IT_Department">#REF!</definedName>
    <definedName name="VOLUME_B2___BOH___Laundry___Housekeeping">#REF!</definedName>
    <definedName name="VOLUME_B2___BOH___LV_Room">#REF!</definedName>
    <definedName name="VOLUME_B2___BOH___Plant">#REF!</definedName>
    <definedName name="VOLUME_B2___BOH___Pump_Room">#REF!</definedName>
    <definedName name="VOLUME_B2___BOH___Ramp_B2_to_B1">#REF!</definedName>
    <definedName name="VOLUME_B2___BOH___Ramp_B2_to_B1__loading___unloading_">#REF!</definedName>
    <definedName name="VOLUME_B2___BOH___Service_Core">#REF!</definedName>
    <definedName name="VOLUME_B2___BOH___Service_Core_duct">#REF!</definedName>
    <definedName name="VOLUME_B2___BOH___Service_Core_lift_shafts">#REF!</definedName>
    <definedName name="VOLUME_B2___BOH___Service_Corridor">#REF!</definedName>
    <definedName name="VOLUME_B2___BOH___Substation">#REF!</definedName>
    <definedName name="VOLUME_B2___BOH___Unknown_areas">#REF!</definedName>
    <definedName name="VOLUME_B2___FOH___Pool_Toilets">#REF!</definedName>
    <definedName name="VOLUME_B2___FOH___Speciality_Restaurant_01_Toilets">#REF!</definedName>
    <definedName name="VOLUME_B2___Parking">#REF!</definedName>
    <definedName name="VOLUME_B2__BOH_">#REF!</definedName>
    <definedName name="VOLUME_B2__Car_Parking_">#REF!</definedName>
    <definedName name="VOLUME_B2__Column_C1">#REF!</definedName>
    <definedName name="VOLUME_B2__Column_C10">#REF!</definedName>
    <definedName name="VOLUME_B2__Column_C11">#REF!</definedName>
    <definedName name="VOLUME_B2__Column_C12">#REF!</definedName>
    <definedName name="VOLUME_B2__Column_C2">#REF!</definedName>
    <definedName name="VOLUME_B2__Column_C3">#REF!</definedName>
    <definedName name="VOLUME_B2__Column_C4">#REF!</definedName>
    <definedName name="VOLUME_B2__Column_C5">#REF!</definedName>
    <definedName name="VOLUME_B2__Column_C6">#REF!</definedName>
    <definedName name="VOLUME_B2__Column_C7">#REF!</definedName>
    <definedName name="VOLUME_B2__Column_C8">#REF!</definedName>
    <definedName name="VOLUME_B2__Column_C9">#REF!</definedName>
    <definedName name="VOLUME_B2__Column_TC1">#REF!</definedName>
    <definedName name="VOLUME_B2__Column_TC2">#REF!</definedName>
    <definedName name="VOLUME_B2__Column_TC3">#REF!</definedName>
    <definedName name="VOLUME_B2__Column_TC4">#REF!</definedName>
    <definedName name="VOLUME_B2__Column_TC5">#REF!</definedName>
    <definedName name="VOLUME_B2__FOH_Circulation_">#REF!</definedName>
    <definedName name="VOLUME_B2__GIFA_">#REF!</definedName>
    <definedName name="VOLUME_B2__Loading__Unloading_Area">#REF!</definedName>
    <definedName name="VOLUME_B2__RW1_400">#REF!</definedName>
    <definedName name="VOLUME_B2__RW2_600">#REF!</definedName>
    <definedName name="VOLUME_B2__Stairs_">#REF!</definedName>
    <definedName name="VOLUME_B2__TW1_250">#REF!</definedName>
    <definedName name="VOLUME_B2__TW2_200">#REF!</definedName>
    <definedName name="VOLUME_B2__TW3_300">#REF!</definedName>
    <definedName name="VOLUME_B2__TW3_400">#REF!</definedName>
    <definedName name="VOLUME_B2__TW4_500">#REF!</definedName>
    <definedName name="VOLUME_B2__TW4_600">#REF!</definedName>
    <definedName name="VOLUME_B2__Voids_">#REF!</definedName>
    <definedName name="VOLUME_B2__W1__300">#REF!</definedName>
    <definedName name="VOLUME_B2__W1__300_Door_Overhead">#REF!</definedName>
    <definedName name="VOLUME_B2_BOH">#REF!</definedName>
    <definedName name="VOLUME_B2_BOH___Services_Area" localSheetId="1">#REF!</definedName>
    <definedName name="VOLUME_B2_BOH___Services_Area">#REF!</definedName>
    <definedName name="VOLUME_B2_BOH_Area" localSheetId="1">#REF!</definedName>
    <definedName name="VOLUME_B2_BOH_Area">#REF!</definedName>
    <definedName name="VOLUME_B2_Car_Park" localSheetId="1">#REF!</definedName>
    <definedName name="VOLUME_B2_Car_Park">#REF!</definedName>
    <definedName name="VOLUME_B2_Dirty_Room" localSheetId="1">#REF!</definedName>
    <definedName name="VOLUME_B2_Dirty_Room">#REF!</definedName>
    <definedName name="VOLUME_B2_Double_Internal_Doors__BOH_" localSheetId="1">#REF!</definedName>
    <definedName name="VOLUME_B2_Double_Internal_Doors__BOH_">#REF!</definedName>
    <definedName name="VOLUME_B2_Double_Internal_Doors__FOH_" localSheetId="1">#REF!</definedName>
    <definedName name="VOLUME_B2_Double_Internal_Doors__FOH_">#REF!</definedName>
    <definedName name="VOLUME_B2_FOH" localSheetId="1">#REF!</definedName>
    <definedName name="VOLUME_B2_FOH">#REF!</definedName>
    <definedName name="VOLUME_B2_GIFA">#REF!</definedName>
    <definedName name="VOLUME_B2_Kitchen" localSheetId="1">#REF!</definedName>
    <definedName name="VOLUME_B2_Kitchen">#REF!</definedName>
    <definedName name="VOLUME_B2_Lift_Shaft" localSheetId="1">#REF!</definedName>
    <definedName name="VOLUME_B2_Lift_Shaft">#REF!</definedName>
    <definedName name="VOLUME_B2_MEP_Area" localSheetId="1">#REF!</definedName>
    <definedName name="VOLUME_B2_MEP_Area">#REF!</definedName>
    <definedName name="VOLUME_B2_Raft_2500">#REF!</definedName>
    <definedName name="VOLUME_B2_Raft_600">#REF!</definedName>
    <definedName name="VOLUME_B2_Services_Core">#REF!</definedName>
    <definedName name="VOLUME_B2_Single_Internal_Doors__BOH_">#REF!</definedName>
    <definedName name="VOLUME_B2_Staircase" localSheetId="1">#REF!</definedName>
    <definedName name="VOLUME_B2_Staircase">#REF!</definedName>
    <definedName name="VOLUME_B2_Stairs" localSheetId="1">#REF!</definedName>
    <definedName name="VOLUME_B2_Stairs">#REF!</definedName>
    <definedName name="VOLUME_B2_Voids" localSheetId="1">#REF!</definedName>
    <definedName name="VOLUME_B2_Voids">#REF!</definedName>
    <definedName name="VOLUME_B3_Beams" localSheetId="1">#REF!</definedName>
    <definedName name="VOLUME_B3_Beams">#REF!</definedName>
    <definedName name="VOLUME_B3_Wall">#REF!</definedName>
    <definedName name="VOLUME_B3_Wall_Link">#REF!</definedName>
    <definedName name="VOLUME_B4_Beams">#REF!</definedName>
    <definedName name="VOLUME_B4_Tower_Wall___same_as_B5">#REF!</definedName>
    <definedName name="VOLUME_B4_Wall_Length">#REF!</definedName>
    <definedName name="VOLUME_B4_Wall_Link">#REF!</definedName>
    <definedName name="VOLUME_B5_Beams">#REF!</definedName>
    <definedName name="VOLUME_B5_Tower_Wall">#REF!</definedName>
    <definedName name="VOLUME_B5_Wall_Length">#REF!</definedName>
    <definedName name="VOLUME_B5_Wall_Link">#REF!</definedName>
    <definedName name="VOLUME_B6_Beams">#REF!</definedName>
    <definedName name="VOLUME_B7_Tower_Wall">#REF!</definedName>
    <definedName name="VOLUME_B7_Wall_Length">#REF!</definedName>
    <definedName name="VOLUME_B7_Wall_Link">#REF!</definedName>
    <definedName name="VOLUME_Balconies_Entry">#REF!</definedName>
    <definedName name="VOLUME_Balcony_Drain">#REF!</definedName>
    <definedName name="VOLUME_Bib_Tap">#REF!</definedName>
    <definedName name="VOLUME_BOH__GF_">#REF!</definedName>
    <definedName name="VOLUME_BOH__Podium_1_">#REF!</definedName>
    <definedName name="VOLUME_BOH__Podium_2_">#REF!</definedName>
    <definedName name="VOLUME_BOH__Roof_">#REF!</definedName>
    <definedName name="VOLUME_BOH_areas__lvl_1_">#REF!</definedName>
    <definedName name="VOLUME_BOH_areas__lvl_2_">#REF!</definedName>
    <definedName name="VOLUME_BOH_areas__lvl_3_">#REF!</definedName>
    <definedName name="VOLUME_BUA">#REF!</definedName>
    <definedName name="VOLUME_Bypass_Valve__Normally_Closed_">#REF!</definedName>
    <definedName name="VOLUME_Cable_Foundation_Length">#REF!</definedName>
    <definedName name="VOLUME_Cable_raft">#REF!</definedName>
    <definedName name="VOLUME_Cable_Retaining_wall">#REF!</definedName>
    <definedName name="VOLUME_Cable_Waterproofing">#REF!</definedName>
    <definedName name="VOLUME_capping">#REF!</definedName>
    <definedName name="VOLUME_Car_Park__Podium_1_">#REF!</definedName>
    <definedName name="VOLUME_Car_Park__Podium_2_">#REF!</definedName>
    <definedName name="VOLUME_Car_Parking__lvl_1_">#REF!</definedName>
    <definedName name="VOLUME_Conference_Centre">#REF!</definedName>
    <definedName name="VOLUME_Counterweight">#REF!</definedName>
    <definedName name="VOLUME_DP1_3000x3000x350">#REF!</definedName>
    <definedName name="VOLUME_DP11_3250x1750x350">#REF!</definedName>
    <definedName name="VOLUME_DP2_3000x1750x350">#REF!</definedName>
    <definedName name="VOLUME_DP3_3500x1900x350">#REF!</definedName>
    <definedName name="VOLUME_DP5_3000x3000x400">#REF!</definedName>
    <definedName name="VOLUME_DP6_6500x4000x550">#REF!</definedName>
    <definedName name="VOLUME_DP7_3500x1900x400">#REF!</definedName>
    <definedName name="VOLUME_Entrance_lobby__GF_">#REF!</definedName>
    <definedName name="VOLUME_External_areas__lvl_2_">#REF!</definedName>
    <definedName name="VOLUME_External_areas__Roof_">#REF!</definedName>
    <definedName name="VOLUME_External_Doors__AL_01">#REF!</definedName>
    <definedName name="VOLUME_External_Doors__AL_02">#REF!</definedName>
    <definedName name="VOLUME_External_Doors__AL_03">#REF!</definedName>
    <definedName name="VOLUME_External_Doors__AL_04">#REF!</definedName>
    <definedName name="VOLUME_External_Doors__AL_05">#REF!</definedName>
    <definedName name="VOLUME_External_Doors__D_01">#REF!</definedName>
    <definedName name="VOLUME_External_Doors__D_02">#REF!</definedName>
    <definedName name="VOLUME_External_Doors__D_05">#REF!</definedName>
    <definedName name="VOLUME_External_Doors__Threshold">#REF!</definedName>
    <definedName name="VOLUME_External_Floor_Finishes__Interlocking_Paving">#REF!</definedName>
    <definedName name="VOLUME_External_Wall__Blockwork___BW_2">#REF!</definedName>
    <definedName name="VOLUME_External_Wall__Blockwork___BW_3">#REF!</definedName>
    <definedName name="VOLUME_External_Wall__Blockwork___BW_4">#REF!</definedName>
    <definedName name="VOLUME_External_Wall_Finishes__50mm_thk_insulation">#REF!</definedName>
    <definedName name="VOLUME_External_Wall_finishes__Cast_Aluminium_handrail___Balustrade">#REF!</definedName>
    <definedName name="VOLUME_External_Wall_Finishes__Cement_render___Paint">#REF!</definedName>
    <definedName name="VOLUME_External_Wall_finishes__Elevation_projection_with_painted_finish">#REF!</definedName>
    <definedName name="VOLUME_External_Wall_Finishes__Skirting">#REF!</definedName>
    <definedName name="VOLUME_External_Wall_finishes__Soffits">#REF!</definedName>
    <definedName name="VOLUME_External_Window__GL_01">#REF!</definedName>
    <definedName name="VOLUME_External_Window__GL_02">#REF!</definedName>
    <definedName name="VOLUME_External_Window__GL_02_a">#REF!</definedName>
    <definedName name="VOLUME_External_Window__GL_03">#REF!</definedName>
    <definedName name="VOLUME_External_Window__GL_04">#REF!</definedName>
    <definedName name="VOLUME_External_Window__GL_05">#REF!</definedName>
    <definedName name="VOLUME_External_Window__GL_06">#REF!</definedName>
    <definedName name="VOLUME_External_Window__GL_07">#REF!</definedName>
    <definedName name="VOLUME_External_Window__GL_08">#REF!</definedName>
    <definedName name="VOLUME_External_Window__GL_16">#REF!</definedName>
    <definedName name="VOLUME_External_Window__GL_18">#REF!</definedName>
    <definedName name="VOLUME_External_Window__GL_19">#REF!</definedName>
    <definedName name="VOLUME_External_Window__GL_19_a">#REF!</definedName>
    <definedName name="VOLUME_External_Window__GL_20">#REF!</definedName>
    <definedName name="VOLUME_External_Window__GL_21">#REF!</definedName>
    <definedName name="VOLUME_External_Window__GL_22">#REF!</definedName>
    <definedName name="VOLUME_External_Window__GL_23">#REF!</definedName>
    <definedName name="VOLUME_External_Window__GL_24">#REF!</definedName>
    <definedName name="VOLUME_External_Window__GL_25">#REF!</definedName>
    <definedName name="VOLUME_Fence">#REF!</definedName>
    <definedName name="VOLUME_Floor_Plate___B1_Mezzanine">#REF!</definedName>
    <definedName name="VOLUME_Floor_Plate___Basement_1">#REF!</definedName>
    <definedName name="VOLUME_Floor_Plate___Basement_2">#REF!</definedName>
    <definedName name="VOLUME_Floor_Plate___First_Floor">#REF!</definedName>
    <definedName name="VOLUME_Floor_Plate___Fourth_Floor">#REF!</definedName>
    <definedName name="VOLUME_Floor_Plate___Ground_Floor">#REF!</definedName>
    <definedName name="VOLUME_Floor_Plate___Mezanine_Floor">#REF!</definedName>
    <definedName name="VOLUME_Floor_Plate___Second_Floor">#REF!</definedName>
    <definedName name="VOLUME_Floor_Plate___Third_Floor">#REF!</definedName>
    <definedName name="VOLUME_FOH_areas__GF_">#REF!</definedName>
    <definedName name="VOLUME_FOH_Areas__Roof_">#REF!</definedName>
    <definedName name="VOLUME_FOH_Circulation__GF_">#REF!</definedName>
    <definedName name="VOLUME_FOH_circulation__lvl_1_">#REF!</definedName>
    <definedName name="VOLUME_FOH_circulation__lvl_2_">#REF!</definedName>
    <definedName name="VOLUME_FOH_Circulation__lvl_3_">#REF!</definedName>
    <definedName name="VOLUME_FOH_Circulation__Podium_1_">#REF!</definedName>
    <definedName name="VOLUME_FOH_Circulation__Podium_2_">#REF!</definedName>
    <definedName name="VOLUME_FOH_Circulation__Roof_">#REF!</definedName>
    <definedName name="VOLUME_FP_A_00AF">#REF!</definedName>
    <definedName name="VOLUME_FP_A_01F">#REF!</definedName>
    <definedName name="VOLUME_FP_A_02F___4F">#REF!</definedName>
    <definedName name="VOLUME_FP_A_03F">#REF!</definedName>
    <definedName name="VOLUME_FP_A_05F">#REF!</definedName>
    <definedName name="VOLUME_FP_A_06F">#REF!</definedName>
    <definedName name="VOLUME_FP_A_07F">#REF!</definedName>
    <definedName name="VOLUME_FP_A_08F___10F">#REF!</definedName>
    <definedName name="VOLUME_FP_A_09F">#REF!</definedName>
    <definedName name="VOLUME_FP_A_11F_to_29F_alt_">#REF!</definedName>
    <definedName name="VOLUME_FP_A_12F_to_30F_alt_">#REF!</definedName>
    <definedName name="VOLUME_FP_A_31F">#REF!</definedName>
    <definedName name="VOLUME_FP_A_32F">#REF!</definedName>
    <definedName name="VOLUME_FP_A_33RF__">#REF!</definedName>
    <definedName name="VOLUME_FP_A_34uRF__">#REF!</definedName>
    <definedName name="VOLUME_FP_A_35uRF__">#REF!</definedName>
    <definedName name="VOLUME_FP_B_00BF_1">#REF!</definedName>
    <definedName name="VOLUME_FP_B_00BF_1_intermediate">#REF!</definedName>
    <definedName name="VOLUME_FP_B_00BF_2">#REF!</definedName>
    <definedName name="VOLUME_FP_B_00GF">#REF!</definedName>
    <definedName name="VOLUME_FP_B_00MF">#REF!</definedName>
    <definedName name="VOLUME_FP_B_00PF___1">#REF!</definedName>
    <definedName name="VOLUME_FP_B_00PF___2">#REF!</definedName>
    <definedName name="VOLUME_FP_B_00PF___3">#REF!</definedName>
    <definedName name="VOLUME_FS01">#REF!</definedName>
    <definedName name="VOLUME_FS01_1B">#REF!</definedName>
    <definedName name="VOLUME_FS01_1C">#REF!</definedName>
    <definedName name="VOLUME_FS012_1B2">#REF!</definedName>
    <definedName name="VOLUME_FS02_1A">#REF!</definedName>
    <definedName name="VOLUME_FS02_1B">#REF!</definedName>
    <definedName name="VOLUME_FS02_1B_RF">#REF!</definedName>
    <definedName name="VOLUME_FS02_1B1">#REF!</definedName>
    <definedName name="VOLUME_FS02_1C">#REF!</definedName>
    <definedName name="VOLUME_FS02_1C1">#REF!</definedName>
    <definedName name="VOLUME_FS03_1A">#REF!</definedName>
    <definedName name="VOLUME_FS03_1B">#REF!</definedName>
    <definedName name="VOLUME_FS03_1C">#REF!</definedName>
    <definedName name="VOLUME_FS04">#REF!</definedName>
    <definedName name="VOLUME_FS04_1A">#REF!</definedName>
    <definedName name="VOLUME_FS04_1B">#REF!</definedName>
    <definedName name="VOLUME_FS04_1B1">#REF!</definedName>
    <definedName name="VOLUME_FS04_1B2">#REF!</definedName>
    <definedName name="VOLUME_FS04_1C">#REF!</definedName>
    <definedName name="VOLUME_FS04_1C1">#REF!</definedName>
    <definedName name="VOLUME_FS04_1C2">#REF!</definedName>
    <definedName name="VOLUME_FS04_Rail">#REF!</definedName>
    <definedName name="VOLUME_FS05_1A">#REF!</definedName>
    <definedName name="VOLUME_FS05_1A_RF">#REF!</definedName>
    <definedName name="VOLUME_FS05_1B">#REF!</definedName>
    <definedName name="VOLUME_FS05_1B1">#REF!</definedName>
    <definedName name="VOLUME_FS05_1B2">#REF!</definedName>
    <definedName name="VOLUME_FS05_1C">#REF!</definedName>
    <definedName name="VOLUME_FS05_1C_RF">#REF!</definedName>
    <definedName name="VOLUME_FS05_1C1">#REF!</definedName>
    <definedName name="VOLUME_FS05_1C2">#REF!</definedName>
    <definedName name="VOLUME_FS05_GARDEN">#REF!</definedName>
    <definedName name="VOLUME_FS05_GARDEN_1C">#REF!</definedName>
    <definedName name="VOLUME_FS05_IB_RF">#REF!</definedName>
    <definedName name="VOLUME_FS06_1A">#REF!</definedName>
    <definedName name="VOLUME_FS06_1C_RF">#REF!</definedName>
    <definedName name="VOLUME_FS06_RF">#REF!</definedName>
    <definedName name="VOLUME_FS06_Skybridge">#REF!</definedName>
    <definedName name="VOLUME_FS07_1B1">#REF!</definedName>
    <definedName name="VOLUME_FS07_1C">#REF!</definedName>
    <definedName name="VOLUME_FS11_1B1">#REF!</definedName>
    <definedName name="VOLUME_FS11_1B2">#REF!</definedName>
    <definedName name="VOLUME_FS11_1C1">#REF!</definedName>
    <definedName name="VOLUME_FS11_1C2">#REF!</definedName>
    <definedName name="VOLUME_FS12_1C2">#REF!</definedName>
    <definedName name="VOLUME_FS12_IC_RF">#REF!</definedName>
    <definedName name="VOLUME_FS12_RAIL_1C">#REF!</definedName>
    <definedName name="VOLUME_FS12_RAIL_RF">#REF!</definedName>
    <definedName name="VOLUME_FS12_RF">#REF!</definedName>
    <definedName name="VOLUME_Garage">#REF!</definedName>
    <definedName name="VOLUME_Garden">#REF!</definedName>
    <definedName name="VOLUME_GF">#REF!</definedName>
    <definedName name="VOLUME_GF___BOH____General_areas">#REF!</definedName>
    <definedName name="VOLUME_GF___BOH___Admin_Support">#REF!</definedName>
    <definedName name="VOLUME_GF___BOH___Boiler_Room">#REF!</definedName>
    <definedName name="VOLUME_GF___BOH___Ducts">#REF!</definedName>
    <definedName name="VOLUME_GF___BOH___Executive_Offices">#REF!</definedName>
    <definedName name="VOLUME_GF___BOH___Fire_Escape_Stairs">#REF!</definedName>
    <definedName name="VOLUME_GF___BOH___Front_Desk">#REF!</definedName>
    <definedName name="VOLUME_GF___BOH___Front_Office_Devision">#REF!</definedName>
    <definedName name="VOLUME_GF___BOH___Guest_Core">#REF!</definedName>
    <definedName name="VOLUME_GF___BOH___Guest_Core_ducts">#REF!</definedName>
    <definedName name="VOLUME_GF___BOH___Guest_Core_lift_shafts">#REF!</definedName>
    <definedName name="VOLUME_GF___BOH___Lobby_Bar_Pantry">#REF!</definedName>
    <definedName name="VOLUME_GF___BOH___Luggage">#REF!</definedName>
    <definedName name="VOLUME_GF___BOH___Prayer_Rooms">#REF!</definedName>
    <definedName name="VOLUME_GF___BOH___Sales_Offices">#REF!</definedName>
    <definedName name="VOLUME_GF___BOH___Security_and_Valet">#REF!</definedName>
    <definedName name="VOLUME_GF___BOH___Service_Core">#REF!</definedName>
    <definedName name="VOLUME_GF___BOH___Service_Core_ducts">#REF!</definedName>
    <definedName name="VOLUME_GF___BOH___Staff_Core">#REF!</definedName>
    <definedName name="VOLUME_GF___BOH___Staff_Core_lift_shafts">#REF!</definedName>
    <definedName name="VOLUME_GF___Double_Volume_internal_Reception">#REF!</definedName>
    <definedName name="VOLUME_GF___FOH___Circulation">#REF!</definedName>
    <definedName name="VOLUME_GF___FOH___Guest_Circulation">#REF!</definedName>
    <definedName name="VOLUME_GF___FOH___Guestroom_Terrace">#REF!</definedName>
    <definedName name="VOLUME_GF___FOH___Guestrooms">#REF!</definedName>
    <definedName name="VOLUME_GF___FOH___Hotel_Port_Corchere">#REF!</definedName>
    <definedName name="VOLUME_GF___FOH___Lobby_Bar___Lounge">#REF!</definedName>
    <definedName name="VOLUME_GF___FOH___Lobby_Bar___Lounge_Toilets">#REF!</definedName>
    <definedName name="VOLUME_GF___FOH___Reception_and_Lobby_BR_Terrace">#REF!</definedName>
    <definedName name="VOLUME_GF___FOH___Reception_Lobby">#REF!</definedName>
    <definedName name="VOLUME_GF___FOH___Speciality_Restaurant_01_Roof_Terrace">#REF!</definedName>
    <definedName name="VOLUME_GF___FOH___Wind_Lobby">#REF!</definedName>
    <definedName name="VOLUME_GF__15mm_dia._CWS_Buried_Underground">#REF!</definedName>
    <definedName name="VOLUME_GF__25mm_dia._CWS_20mm_dia_HSW">#REF!</definedName>
    <definedName name="VOLUME_GF__32_dia._CWS_Main_Buried_underground">#REF!</definedName>
    <definedName name="VOLUME_GF__32mm_dia_BCWS_25mm_dia_HWS">#REF!</definedName>
    <definedName name="VOLUME_GF_Bell_Captain">#REF!</definedName>
    <definedName name="VOLUME_GF_BOH_Service___Utility_area">#REF!</definedName>
    <definedName name="VOLUME_GF_BOH_Staircase">#REF!</definedName>
    <definedName name="VOLUME_GF_Business_Center">#REF!</definedName>
    <definedName name="VOLUME_GF_Double_Vol._at_Parking_ramp__2.5m_high_">#REF!</definedName>
    <definedName name="VOLUME_GF_Double_Volume">#REF!</definedName>
    <definedName name="VOLUME_GF_ENT._LOBBY_TO_LUGGAGE_BELL_CAPT">#REF!</definedName>
    <definedName name="VOLUME_GF_External_Double_doors__FOH_">#REF!</definedName>
    <definedName name="VOLUME_GF_External_Revolving_doors__FOH_">#REF!</definedName>
    <definedName name="VOLUME_GF_External_Single_doors__BOH_">#REF!</definedName>
    <definedName name="VOLUME_GF_External_Single_doors__FOH_">#REF!</definedName>
    <definedName name="VOLUME_GF_FOH_Circulation_Area">#REF!</definedName>
    <definedName name="VOLUME_GF_FOH_Staircase">#REF!</definedName>
    <definedName name="VOLUME_GF_Front_Office">#REF!</definedName>
    <definedName name="VOLUME_GF_Guest_Core">#REF!</definedName>
    <definedName name="VOLUME_GF_Guest_Rooms">#REF!</definedName>
    <definedName name="VOLUME_GF_HGR_BOH">#REF!</definedName>
    <definedName name="VOLUME_GF_HGR_Circulation">#REF!</definedName>
    <definedName name="VOLUME_GF_HGR_Covered_Balcony">#REF!</definedName>
    <definedName name="VOLUME_GF_HGR_Fire_Staircase">#REF!</definedName>
    <definedName name="VOLUME_GF_Internal_Single_doors__BOH_">#REF!</definedName>
    <definedName name="VOLUME_GF_Internal_Single_doors__FOH_">#REF!</definedName>
    <definedName name="VOLUME_GF_Lift_Shaft">#REF!</definedName>
    <definedName name="VOLUME_GF_Lobby_Bar">#REF!</definedName>
    <definedName name="VOLUME_GF_Lobby_Lounge">#REF!</definedName>
    <definedName name="VOLUME_GF_Lobby_Lounge_pantry">#REF!</definedName>
    <definedName name="VOLUME_GF_Luggage_Room">#REF!</definedName>
    <definedName name="VOLUME_GF_MEP_Area">#REF!</definedName>
    <definedName name="VOLUME_GF_Prayer_Room">#REF!</definedName>
    <definedName name="VOLUME_GF_Public_Toilets">#REF!</definedName>
    <definedName name="VOLUME_GF_Ramp_B1_to_GF">#REF!</definedName>
    <definedName name="VOLUME_GF_Ramp_GF_to_B1">#REF!</definedName>
    <definedName name="VOLUME_GF_Reception">#REF!</definedName>
    <definedName name="VOLUME_GF_Roller_shutter_doors__BOH_">#REF!</definedName>
    <definedName name="VOLUME_GF_Service_Core">#REF!</definedName>
    <definedName name="VOLUME_GF_Toilet_cubicle_doors">#REF!</definedName>
    <definedName name="VOLUME_GF_Toilet_to_Prayer_rooms">#REF!</definedName>
    <definedName name="VOLUME_GF_Voids_Dead_areas">#REF!</definedName>
    <definedName name="VOLUME_GFA">#REF!</definedName>
    <definedName name="VOLUME_GFA__GF_">#REF!</definedName>
    <definedName name="VOLUME_GFA__lvl_1_">#REF!</definedName>
    <definedName name="VOLUME_GFA__lvl_2_">#REF!</definedName>
    <definedName name="VOLUME_GFA__lvl_3_">#REF!</definedName>
    <definedName name="VOLUME_GFA__Podium_1_">#REF!</definedName>
    <definedName name="VOLUME_GFA__Podium_2_">#REF!</definedName>
    <definedName name="VOLUME_GFA__Roof_">#REF!</definedName>
    <definedName name="VOLUME_GIFA">#REF!</definedName>
    <definedName name="VOLUME_GIFA__GF_">#REF!</definedName>
    <definedName name="VOLUME_GIFA__lvl_1_">#REF!</definedName>
    <definedName name="VOLUME_GIFA__lvl_2_">#REF!</definedName>
    <definedName name="VOLUME_GIFA__Podium_1_">#REF!</definedName>
    <definedName name="VOLUME_GIFA__Podium_2_">#REF!</definedName>
    <definedName name="VOLUME_GIFA__Roof_">#REF!</definedName>
    <definedName name="VOLUME_Hotel_F_B__GF_">#REF!</definedName>
    <definedName name="VOLUME_IA_001mPF_BA_A_U00___lift_lobby">#REF!</definedName>
    <definedName name="VOLUME_IA_001mPF_BA_A_U00___lift_shaft">#REF!</definedName>
    <definedName name="VOLUME_IA_001mPF_BB_B_U00___double_vol._e.t.s._rm.">#REF!</definedName>
    <definedName name="VOLUME_IA_001mPF_BB_B_U00___double_volume">#REF!</definedName>
    <definedName name="VOLUME_IA_001mPF_BB_B_U00___electrical_rm.">#REF!</definedName>
    <definedName name="VOLUME_IA_001mPF_BB_B_U00___f.e._stairs">#REF!</definedName>
    <definedName name="VOLUME_IA_001mPF_BB_B_U00___f.h.c.">#REF!</definedName>
    <definedName name="VOLUME_IA_001mPF_BB_B_U00___garbage_rm.">#REF!</definedName>
    <definedName name="VOLUME_IA_001mPF_BB_B_U00___services_trans._area">#REF!</definedName>
    <definedName name="VOLUME_IA_001mPF_BB_B_U00___shaft">#REF!</definedName>
    <definedName name="VOLUME_IA_001mPF_BB_B_U00___stair_3">#REF!</definedName>
    <definedName name="VOLUME_IA_001mPF_BB_B_U00___telephone_rm.">#REF!</definedName>
    <definedName name="VOLUME_IA_001mPF_BB_B_U00___void">#REF!</definedName>
    <definedName name="VOLUME_IA_001mPF_BB_C_U00___driveway">#REF!</definedName>
    <definedName name="VOLUME_IA_001mPF_BB_C_U00___driveway_ramp">#REF!</definedName>
    <definedName name="VOLUME_IA_001mPF_BB_C_U00___driveway_zebra_lines">#REF!</definedName>
    <definedName name="VOLUME_IA_001mPF_BB_C_U00___parking_bay">#REF!</definedName>
    <definedName name="VOLUME_IA_001mPF_BB_C_U00___sidewalk">#REF!</definedName>
    <definedName name="VOLUME_IA_001mPF_BB_C_U00___sidewalk_ramp">#REF!</definedName>
    <definedName name="VOLUME_IA_001PF_BA_A_U00___lift_lobby">#REF!</definedName>
    <definedName name="VOLUME_IA_001PF_BA_A_U00___lift_shaft">#REF!</definedName>
    <definedName name="VOLUME_IA_001PF_BA_B_U00___electrical_rm.">#REF!</definedName>
    <definedName name="VOLUME_IA_001PF_BA_B_U00___f.e._stairs">#REF!</definedName>
    <definedName name="VOLUME_IA_001PF_BA_B_U00___f.h.c.">#REF!</definedName>
    <definedName name="VOLUME_IA_001PF_BA_B_U00___garbage_rm.">#REF!</definedName>
    <definedName name="VOLUME_IA_001PF_BA_B_U00___shaft">#REF!</definedName>
    <definedName name="VOLUME_IA_001PF_BA_B_U00___stair_3">#REF!</definedName>
    <definedName name="VOLUME_IA_001PF_BA_B_U00___telephone_rm.">#REF!</definedName>
    <definedName name="VOLUME_IA_001PF_BA_C_U00___driveway">#REF!</definedName>
    <definedName name="VOLUME_IA_001PF_BA_C_U00___driveway_zebra_line">#REF!</definedName>
    <definedName name="VOLUME_IA_001PF_BA_C_U00___parking_bay">#REF!</definedName>
    <definedName name="VOLUME_IA_001PF_BA_C_U00___sidewalk">#REF!</definedName>
    <definedName name="VOLUME_IA_002PF_BA_A_U00___lift_lobby">#REF!</definedName>
    <definedName name="VOLUME_IA_002PF_BA_A_U00___lift_shaft">#REF!</definedName>
    <definedName name="VOLUME_IA_002PF_BA_B_U00___electrical_rm.">#REF!</definedName>
    <definedName name="VOLUME_IA_002PF_BA_B_U00___f.e._stairs">#REF!</definedName>
    <definedName name="VOLUME_IA_002PF_BA_B_U00___f.h.c.">#REF!</definedName>
    <definedName name="VOLUME_IA_002PF_BA_B_U00___garbage_rm.">#REF!</definedName>
    <definedName name="VOLUME_IA_002PF_BA_B_U00___shaft">#REF!</definedName>
    <definedName name="VOLUME_IA_002PF_BA_B_U00___stair_3">#REF!</definedName>
    <definedName name="VOLUME_IA_002PF_BA_B_U00___telephone_rm.">#REF!</definedName>
    <definedName name="VOLUME_IA_002PF_BA_C_U00___driveway">#REF!</definedName>
    <definedName name="VOLUME_IA_002PF_BA_C_U00___driveway_zebra_line">#REF!</definedName>
    <definedName name="VOLUME_IA_002PF_BA_C_U00___parking_bay">#REF!</definedName>
    <definedName name="VOLUME_IA_002PF_BA_C_U00___sidewalk">#REF!</definedName>
    <definedName name="VOLUME_IA_003PF_BA_A_U00___lift_lobby">#REF!</definedName>
    <definedName name="VOLUME_IA_003PF_BA_A_U00___lift_shaft">#REF!</definedName>
    <definedName name="VOLUME_IA_003PF_BA_B_U00___electrical_rm.">#REF!</definedName>
    <definedName name="VOLUME_IA_003PF_BA_B_U00___f.e._stairs">#REF!</definedName>
    <definedName name="VOLUME_IA_003PF_BA_B_U00___f.h.c.">#REF!</definedName>
    <definedName name="VOLUME_IA_003PF_BA_B_U00___garbage_rm.">#REF!</definedName>
    <definedName name="VOLUME_IA_003PF_BA_B_U00___plant_rm.">#REF!</definedName>
    <definedName name="VOLUME_IA_003PF_BA_B_U00___shaft">#REF!</definedName>
    <definedName name="VOLUME_IA_003PF_BA_B_U00___stair_3">#REF!</definedName>
    <definedName name="VOLUME_IA_003PF_BA_B_U00___telephone_rm.">#REF!</definedName>
    <definedName name="VOLUME_IA_003PF_BA_C_U00___driveway">#REF!</definedName>
    <definedName name="VOLUME_IA_003PF_BA_C_U00___driveway_zebra_line">#REF!</definedName>
    <definedName name="VOLUME_IA_003PF_BA_C_U00___parking_bay">#REF!</definedName>
    <definedName name="VOLUME_IA_003PF_BA_C_U00___sidewalk">#REF!</definedName>
    <definedName name="VOLUME_IA_00AF_AB_U00___cafe">#REF!</definedName>
    <definedName name="VOLUME_IA_00AF_AB_U00___cafe_pantry">#REF!</definedName>
    <definedName name="VOLUME_IA_00AF_AB_U00___corridor">#REF!</definedName>
    <definedName name="VOLUME_IA_00AF_AB_U00___game_rm.">#REF!</definedName>
    <definedName name="VOLUME_IA_00AF_AB_U00___game_rm._store">#REF!</definedName>
    <definedName name="VOLUME_IA_00AF_AB_U00___gym_female">#REF!</definedName>
    <definedName name="VOLUME_IA_00AF_AB_U00___gym_female_lobby">#REF!</definedName>
    <definedName name="VOLUME_IA_00AF_AB_U00___gym_female_shaft">#REF!</definedName>
    <definedName name="VOLUME_IA_00AF_AB_U00___gym_female_store">#REF!</definedName>
    <definedName name="VOLUME_IA_00AF_AB_U00___gym_female_void">#REF!</definedName>
    <definedName name="VOLUME_IA_00AF_AB_U00___gym_male">#REF!</definedName>
    <definedName name="VOLUME_IA_00AF_AB_U00___gym_male_lobby">#REF!</definedName>
    <definedName name="VOLUME_IA_00AF_AB_U00___gym_male_shaft">#REF!</definedName>
    <definedName name="VOLUME_IA_00AF_AB_U00___gym_male_store">#REF!</definedName>
    <definedName name="VOLUME_IA_00AF_AB_U00___gym_male_void">#REF!</definedName>
    <definedName name="VOLUME_IA_00AF_AB_U00___handicap_toi._female">#REF!</definedName>
    <definedName name="VOLUME_IA_00AF_AB_U00___handicap_toi._male">#REF!</definedName>
    <definedName name="VOLUME_IA_00AF_AB_U00___lift_lobby">#REF!</definedName>
    <definedName name="VOLUME_IA_00AF_AB_U00___lift_shaft">#REF!</definedName>
    <definedName name="VOLUME_IA_00AF_AB_U00___multi_purpose_rm.">#REF!</definedName>
    <definedName name="VOLUME_IA_00AF_AB_U00___multi_purpose_shaft">#REF!</definedName>
    <definedName name="VOLUME_IA_00AF_AB_U00___multi_purpose_store">#REF!</definedName>
    <definedName name="VOLUME_IA_00AF_AB_U00___spa_f._hallway">#REF!</definedName>
    <definedName name="VOLUME_IA_00AF_AB_U00___spa_f._heater_rm.">#REF!</definedName>
    <definedName name="VOLUME_IA_00AF_AB_U00___spa_f._lobby">#REF!</definedName>
    <definedName name="VOLUME_IA_00AF_AB_U00___spa_f._lockers">#REF!</definedName>
    <definedName name="VOLUME_IA_00AF_AB_U00___spa_f._massage_rm.">#REF!</definedName>
    <definedName name="VOLUME_IA_00AF_AB_U00___spa_f._rec.">#REF!</definedName>
    <definedName name="VOLUME_IA_00AF_AB_U00___spa_f._sauna">#REF!</definedName>
    <definedName name="VOLUME_IA_00AF_AB_U00___spa_f._shaft">#REF!</definedName>
    <definedName name="VOLUME_IA_00AF_AB_U00___spa_f._shower_toilet">#REF!</definedName>
    <definedName name="VOLUME_IA_00AF_AB_U00___spa_f._steam_rm.">#REF!</definedName>
    <definedName name="VOLUME_IA_00AF_AB_U00___spa_m._hallway">#REF!</definedName>
    <definedName name="VOLUME_IA_00AF_AB_U00___spa_m._heater_rm.">#REF!</definedName>
    <definedName name="VOLUME_IA_00AF_AB_U00___spa_m._lobby">#REF!</definedName>
    <definedName name="VOLUME_IA_00AF_AB_U00___spa_m._lockers">#REF!</definedName>
    <definedName name="VOLUME_IA_00AF_AB_U00___spa_m._massage_rm.">#REF!</definedName>
    <definedName name="VOLUME_IA_00AF_AB_U00___spa_m._rec.">#REF!</definedName>
    <definedName name="VOLUME_IA_00AF_AB_U00___spa_m._sauna">#REF!</definedName>
    <definedName name="VOLUME_IA_00AF_AB_U00___spa_m._shaft">#REF!</definedName>
    <definedName name="VOLUME_IA_00AF_AB_U00___spa_m._shower_toilet">#REF!</definedName>
    <definedName name="VOLUME_IA_00AF_AB_U00___spa_m._steam_rm.">#REF!</definedName>
    <definedName name="VOLUME_IA_00AF_AC_U00___electrical_rm.">#REF!</definedName>
    <definedName name="VOLUME_IA_00AF_AC_U00___f.e._stair">#REF!</definedName>
    <definedName name="VOLUME_IA_00AF_AC_U00___fhc">#REF!</definedName>
    <definedName name="VOLUME_IA_00AF_AC_U00___garbage_rm.">#REF!</definedName>
    <definedName name="VOLUME_IA_00AF_AC_U00___shaft">#REF!</definedName>
    <definedName name="VOLUME_IA_00AF_AC_U00___stair_3">#REF!</definedName>
    <definedName name="VOLUME_IA_00AF_AC_U00___store_rm.">#REF!</definedName>
    <definedName name="VOLUME_IA_00AF_AC_U00___telephone_rm.">#REF!</definedName>
    <definedName name="VOLUME_IA_00B1F_BD_B_U00___double_volume">#REF!</definedName>
    <definedName name="VOLUME_IA_00B1F_BD_B_U00___f.e._stairs">#REF!</definedName>
    <definedName name="VOLUME_IA_00B1F_BD_B_U00___f.h.c.">#REF!</definedName>
    <definedName name="VOLUME_IA_00B1F_BD_B_U00___fire_pump_rm.">#REF!</definedName>
    <definedName name="VOLUME_IA_00B1F_BD_B_U00___lobby_rm.">#REF!</definedName>
    <definedName name="VOLUME_IA_00B1F_BD_B_U00___lobby_rm._ent.">#REF!</definedName>
    <definedName name="VOLUME_IA_00B1F_BD_B_U00___shaft">#REF!</definedName>
    <definedName name="VOLUME_IA_00B1F_BD_B_U00___stair_3">#REF!</definedName>
    <definedName name="VOLUME_IA_00B1F_BD_B_U00___tech._rm.">#REF!</definedName>
    <definedName name="VOLUME_IA_00B1F_BD_C_U00___double_volume">#REF!</definedName>
    <definedName name="VOLUME_IA_00B1F_BD_C_U00___driveway">#REF!</definedName>
    <definedName name="VOLUME_IA_00B1F_BD_C_U00___driveway_ramp_1">#REF!</definedName>
    <definedName name="VOLUME_IA_00B1F_BD_C_U00___driveway_zebra_lines">#REF!</definedName>
    <definedName name="VOLUME_IA_00B1F_BD_C_U00___parking_bay">#REF!</definedName>
    <definedName name="VOLUME_IA_00B1F_BD_C_U00___sidewalk">#REF!</definedName>
    <definedName name="VOLUME_IA_00B1F_BD_C_U00___sidewalk_ramp">#REF!</definedName>
    <definedName name="VOLUME_IA_00B1iF_BD_A_U00___lift_lobby">#REF!</definedName>
    <definedName name="VOLUME_IA_00B1iF_BD_A_U00___lift_shaft">#REF!</definedName>
    <definedName name="VOLUME_IA_00B1iF_BD_B_U00___electrical_rm.">#REF!</definedName>
    <definedName name="VOLUME_IA_00B1iF_BD_B_U00___f.e._stairs">#REF!</definedName>
    <definedName name="VOLUME_IA_00B1iF_BD_B_U00___f.h.c.">#REF!</definedName>
    <definedName name="VOLUME_IA_00B1iF_BD_B_U00___l.v._rm.">#REF!</definedName>
    <definedName name="VOLUME_IA_00B1iF_BD_B_U00___main_tel._rm.">#REF!</definedName>
    <definedName name="VOLUME_IA_00B1iF_BD_B_U00___shaft">#REF!</definedName>
    <definedName name="VOLUME_IA_00B1iF_BD_B_U00___stair_4">#REF!</definedName>
    <definedName name="VOLUME_IA_00B1iF_BD_B_U00___storage_1">#REF!</definedName>
    <definedName name="VOLUME_IA_00B1iF_BD_B_U00___tech._rm.1">#REF!</definedName>
    <definedName name="VOLUME_IA_00B1iF_BD_B_U00___tech._rm.2">#REF!</definedName>
    <definedName name="VOLUME_IA_00B1iF_BD_B_U00___tech._rm.3">#REF!</definedName>
    <definedName name="VOLUME_IA_00B1iF_BD_B_U00___water_tank_1_double_volume">#REF!</definedName>
    <definedName name="VOLUME_IA_00B1iF_BD_B_U00___water_tank_2_double_volume">#REF!</definedName>
    <definedName name="VOLUME_IA_00B1iF_BD_B_U00___water_tank_3_double_volume">#REF!</definedName>
    <definedName name="VOLUME_IA_00B1iF_BD_B_U00___water_tank_4_double_volume">#REF!</definedName>
    <definedName name="VOLUME_IA_00B1iF_BD_C_U00___driveway">#REF!</definedName>
    <definedName name="VOLUME_IA_00B1iF_BD_C_U00___driveway_zebra_lines">#REF!</definedName>
    <definedName name="VOLUME_IA_00B1iF_BD_C_U00___parking_bay">#REF!</definedName>
    <definedName name="VOLUME_IA_00B1iF_BD_C_U00___sidewalk">#REF!</definedName>
    <definedName name="VOLUME_IA_00B2F_BD_A_U00___lift_lobby">#REF!</definedName>
    <definedName name="VOLUME_IA_00B2F_BD_A_U00___lift_shaft">#REF!</definedName>
    <definedName name="VOLUME_IA_00B2F_BD_B_U00___electrical_rm.">#REF!</definedName>
    <definedName name="VOLUME_IA_00B2F_BD_B_U00___f.e._stair">#REF!</definedName>
    <definedName name="VOLUME_IA_00B2F_BD_B_U00___f.h.c.">#REF!</definedName>
    <definedName name="VOLUME_IA_00B2F_BD_B_U00___mechanical_rm.1">#REF!</definedName>
    <definedName name="VOLUME_IA_00B2F_BD_B_U00___pump_rm.">#REF!</definedName>
    <definedName name="VOLUME_IA_00B2F_BD_B_U00___pump_rm._2">#REF!</definedName>
    <definedName name="VOLUME_IA_00B2F_BD_B_U00___shaft">#REF!</definedName>
    <definedName name="VOLUME_IA_00B2F_BD_B_U00___stair_4">#REF!</definedName>
    <definedName name="VOLUME_IA_00B2F_BD_B_U00___store_rm.1">#REF!</definedName>
    <definedName name="VOLUME_IA_00B2F_BD_B_U00___store_rm.2">#REF!</definedName>
    <definedName name="VOLUME_IA_00B2F_BD_B_U00___store_rm.3">#REF!</definedName>
    <definedName name="VOLUME_IA_00B2F_BD_B_U00___store_rm.4">#REF!</definedName>
    <definedName name="VOLUME_IA_00B2F_BD_B_U00___store_rm.5">#REF!</definedName>
    <definedName name="VOLUME_IA_00B2F_BD_B_U00___tech_rm.1">#REF!</definedName>
    <definedName name="VOLUME_IA_00B2F_BD_B_U00___tech_rm.2">#REF!</definedName>
    <definedName name="VOLUME_IA_00B2F_BD_B_U00___tech_rm.3">#REF!</definedName>
    <definedName name="VOLUME_IA_00B2F_BD_B_U00___water_tank__1">#REF!</definedName>
    <definedName name="VOLUME_IA_00B2F_BD_B_U00___water_tank__2">#REF!</definedName>
    <definedName name="VOLUME_IA_00B2F_BD_B_U00___water_tank__3">#REF!</definedName>
    <definedName name="VOLUME_IA_00B2F_BD_B_U00___water_tank__4">#REF!</definedName>
    <definedName name="VOLUME_IA_00B2F_BD_C_U00___driveway_1">#REF!</definedName>
    <definedName name="VOLUME_IA_00B2F_BD_C_U00___driveway_1___zebra_line">#REF!</definedName>
    <definedName name="VOLUME_IA_00B2F_BD_C_U00___parking_bay_1">#REF!</definedName>
    <definedName name="VOLUME_IA_00B2F_BD_C_U00___sidewalk_1">#REF!</definedName>
    <definedName name="VOLUME_IA_00BF_BC_A_U00___entrance_lobby">#REF!</definedName>
    <definedName name="VOLUME_IA_00BF_BC_A_U00___lift_lobby">#REF!</definedName>
    <definedName name="VOLUME_IA_00BF_BC_A_U00___lift_shaft">#REF!</definedName>
    <definedName name="VOLUME_IA_00BF_BC_A_U00___main_entrance">#REF!</definedName>
    <definedName name="VOLUME_IA_00BF_BC_B_U00___b.m.s._rm.">#REF!</definedName>
    <definedName name="VOLUME_IA_00BF_BC_B_U00___e.t.s_rm.">#REF!</definedName>
    <definedName name="VOLUME_IA_00BF_BC_B_U00___e.t.s_rm._hallway">#REF!</definedName>
    <definedName name="VOLUME_IA_00BF_BC_B_U00___e.t.s_rm.1">#REF!</definedName>
    <definedName name="VOLUME_IA_00BF_BC_B_U00___elect._rm">#REF!</definedName>
    <definedName name="VOLUME_IA_00BF_BC_B_U00___elect._rm_1">#REF!</definedName>
    <definedName name="VOLUME_IA_00BF_BC_B_U00___f.e._stair">#REF!</definedName>
    <definedName name="VOLUME_IA_00BF_BC_B_U00___f.e._stair_corridor">#REF!</definedName>
    <definedName name="VOLUME_IA_00BF_BC_B_U00___f.e._stair_corridor_lobby">#REF!</definedName>
    <definedName name="VOLUME_IA_00BF_BC_B_U00___f.h.c.">#REF!</definedName>
    <definedName name="VOLUME_IA_00BF_BC_B_U00___g.s.m._rm.">#REF!</definedName>
    <definedName name="VOLUME_IA_00BF_BC_B_U00___garbage_rm.">#REF!</definedName>
    <definedName name="VOLUME_IA_00BF_BC_B_U00___garbage_rm._ramp">#REF!</definedName>
    <definedName name="VOLUME_IA_00BF_BC_B_U00___generator_rm.">#REF!</definedName>
    <definedName name="VOLUME_IA_00BF_BC_B_U00___guard_rm.">#REF!</definedName>
    <definedName name="VOLUME_IA_00BF_BC_B_U00___guard_rm._toilet">#REF!</definedName>
    <definedName name="VOLUME_IA_00BF_BC_B_U00___h.v._rm.">#REF!</definedName>
    <definedName name="VOLUME_IA_00BF_BC_B_U00___platform">#REF!</definedName>
    <definedName name="VOLUME_IA_00BF_BC_B_U00___shaft">#REF!</definedName>
    <definedName name="VOLUME_IA_00BF_BC_B_U00___stairs_3">#REF!</definedName>
    <definedName name="VOLUME_IA_00BF_BC_B_U00___tech._area_1">#REF!</definedName>
    <definedName name="VOLUME_IA_00BF_BC_B_U00___tech._area_2">#REF!</definedName>
    <definedName name="VOLUME_IA_00BF_BC_B_U00___tech._area_3">#REF!</definedName>
    <definedName name="VOLUME_IA_00BF_BC_B_U00___tech._area_3_lobby">#REF!</definedName>
    <definedName name="VOLUME_IA_00BF_BC_B_U00___tel_rm.">#REF!</definedName>
    <definedName name="VOLUME_IA_00BF_BC_B_U00___toilet">#REF!</definedName>
    <definedName name="VOLUME_IA_00BF_BC_B_U00___toilet_female">#REF!</definedName>
    <definedName name="VOLUME_IA_00BF_BC_B_U00___toilet_lobby">#REF!</definedName>
    <definedName name="VOLUME_IA_00BF_BC_B_U00___toilet_male">#REF!</definedName>
    <definedName name="VOLUME_IA_00BF_BC_B_U00___transformer_rm.">#REF!</definedName>
    <definedName name="VOLUME_IA_00BF_BC_C_U00___double_volume">#REF!</definedName>
    <definedName name="VOLUME_IA_00BF_BC_C_U00___driveway_1">#REF!</definedName>
    <definedName name="VOLUME_IA_00BF_BC_C_U00___driveway_ramp">#REF!</definedName>
    <definedName name="VOLUME_IA_00BF_BC_C_U00___driveway_zebra_line">#REF!</definedName>
    <definedName name="VOLUME_IA_00BF_BC_C_U00___sidewalk_1">#REF!</definedName>
    <definedName name="VOLUME_IA_00BF_BC_C_U00___sidewalk_1_ramp">#REF!</definedName>
    <definedName name="VOLUME_IA_00BF_BC_C_U00___void">#REF!</definedName>
    <definedName name="VOLUME_IA_01F_AA_U01___BR1_lobby">#REF!</definedName>
    <definedName name="VOLUME_IA_01F_AA_U01___BR1_rm.">#REF!</definedName>
    <definedName name="VOLUME_IA_01F_AA_U01___BR1_t_b">#REF!</definedName>
    <definedName name="VOLUME_IA_01F_AA_U01___BR2_dresser">#REF!</definedName>
    <definedName name="VOLUME_IA_01F_AA_U01___BR2_lobby">#REF!</definedName>
    <definedName name="VOLUME_IA_01F_AA_U01___BR2_rm.">#REF!</definedName>
    <definedName name="VOLUME_IA_01F_AA_U01___BR2_t_b">#REF!</definedName>
    <definedName name="VOLUME_IA_01F_AA_U01___corridor">#REF!</definedName>
    <definedName name="VOLUME_IA_01F_AA_U01___foyer">#REF!</definedName>
    <definedName name="VOLUME_IA_01F_AA_U01___kitchen">#REF!</definedName>
    <definedName name="VOLUME_IA_01F_AA_U01___living_dining">#REF!</definedName>
    <definedName name="VOLUME_IA_01F_AA_U01___maids_rm.">#REF!</definedName>
    <definedName name="VOLUME_IA_01F_AA_U01___maids_toi.">#REF!</definedName>
    <definedName name="VOLUME_IA_01F_AA_U01___shaft">#REF!</definedName>
    <definedName name="VOLUME_IA_01F_AA_U01___toilet">#REF!</definedName>
    <definedName name="VOLUME_IA_01F_AA_U01___utility_rm.">#REF!</definedName>
    <definedName name="VOLUME_IA_01F_AA_U01___void">#REF!</definedName>
    <definedName name="VOLUME_IA_01F_AA_U02___BR1_dresser">#REF!</definedName>
    <definedName name="VOLUME_IA_01F_AA_U02___BR1_rm.">#REF!</definedName>
    <definedName name="VOLUME_IA_01F_AA_U02___BR1_t_b">#REF!</definedName>
    <definedName name="VOLUME_IA_01F_AA_U02___BR2_lobby">#REF!</definedName>
    <definedName name="VOLUME_IA_01F_AA_U02___BR2_rm.">#REF!</definedName>
    <definedName name="VOLUME_IA_01F_AA_U02___BR2_t_b">#REF!</definedName>
    <definedName name="VOLUME_IA_01F_AA_U02___corridor">#REF!</definedName>
    <definedName name="VOLUME_IA_01F_AA_U02___foyer">#REF!</definedName>
    <definedName name="VOLUME_IA_01F_AA_U02___kitchen">#REF!</definedName>
    <definedName name="VOLUME_IA_01F_AA_U02___living_dining">#REF!</definedName>
    <definedName name="VOLUME_IA_01F_AA_U02___maids_rm.">#REF!</definedName>
    <definedName name="VOLUME_IA_01F_AA_U02___maids_toi.">#REF!</definedName>
    <definedName name="VOLUME_IA_01F_AA_U02___shaft">#REF!</definedName>
    <definedName name="VOLUME_IA_01F_AA_U02___toilet">#REF!</definedName>
    <definedName name="VOLUME_IA_01F_AA_U02___utility_rm.">#REF!</definedName>
    <definedName name="VOLUME_IA_01F_AA_U02___void">#REF!</definedName>
    <definedName name="VOLUME_IA_01F_AA_U03___BR1_dresser">#REF!</definedName>
    <definedName name="VOLUME_IA_01F_AA_U03___BR1_lobby">#REF!</definedName>
    <definedName name="VOLUME_IA_01F_AA_U03___BR1_rm.">#REF!</definedName>
    <definedName name="VOLUME_IA_01F_AA_U03___BR1_store">#REF!</definedName>
    <definedName name="VOLUME_IA_01F_AA_U03___BR1_t_b">#REF!</definedName>
    <definedName name="VOLUME_IA_01F_AA_U03___foyer">#REF!</definedName>
    <definedName name="VOLUME_IA_01F_AA_U03___kitchen">#REF!</definedName>
    <definedName name="VOLUME_IA_01F_AA_U03___living_dining">#REF!</definedName>
    <definedName name="VOLUME_IA_01F_AA_U03___shaft">#REF!</definedName>
    <definedName name="VOLUME_IA_01F_AA_U03___storage">#REF!</definedName>
    <definedName name="VOLUME_IA_01F_AA_U03___toilet">#REF!</definedName>
    <definedName name="VOLUME_IA_01F_AA_U03___utility_rm.">#REF!</definedName>
    <definedName name="VOLUME_IA_01F_AA_U03___void">#REF!</definedName>
    <definedName name="VOLUME_IA_01F_AA_U04___BR1_dresser">#REF!</definedName>
    <definedName name="VOLUME_IA_01F_AA_U04___BR1_lobby">#REF!</definedName>
    <definedName name="VOLUME_IA_01F_AA_U04___BR1_rm.">#REF!</definedName>
    <definedName name="VOLUME_IA_01F_AA_U04___BR1_store">#REF!</definedName>
    <definedName name="VOLUME_IA_01F_AA_U04___BR1_t_b">#REF!</definedName>
    <definedName name="VOLUME_IA_01F_AA_U04___foyer">#REF!</definedName>
    <definedName name="VOLUME_IA_01F_AA_U04___kitchen">#REF!</definedName>
    <definedName name="VOLUME_IA_01F_AA_U04___living_dining">#REF!</definedName>
    <definedName name="VOLUME_IA_01F_AA_U04___shaft">#REF!</definedName>
    <definedName name="VOLUME_IA_01F_AA_U04___storage">#REF!</definedName>
    <definedName name="VOLUME_IA_01F_AA_U04___toilet">#REF!</definedName>
    <definedName name="VOLUME_IA_01F_AA_U04___utility_rm.">#REF!</definedName>
    <definedName name="VOLUME_IA_01F_AA_U04___void">#REF!</definedName>
    <definedName name="VOLUME_IA_01F_AA_U05___corridor">#REF!</definedName>
    <definedName name="VOLUME_IA_01F_AA_U05___foyer">#REF!</definedName>
    <definedName name="VOLUME_IA_01F_AA_U05___kitchen">#REF!</definedName>
    <definedName name="VOLUME_IA_01F_AA_U05___living_dining">#REF!</definedName>
    <definedName name="VOLUME_IA_01F_AA_U05___maids_lobby">#REF!</definedName>
    <definedName name="VOLUME_IA_01F_AA_U05___maids_rm.">#REF!</definedName>
    <definedName name="VOLUME_IA_01F_AA_U05___maids_toi.">#REF!</definedName>
    <definedName name="VOLUME_IA_01F_AA_U05___shaft">#REF!</definedName>
    <definedName name="VOLUME_IA_01F_AA_U05___stairs">#REF!</definedName>
    <definedName name="VOLUME_IA_01F_AA_U05___toilet">#REF!</definedName>
    <definedName name="VOLUME_IA_01F_AA_U05___utility_rm.">#REF!</definedName>
    <definedName name="VOLUME_IA_01F_AA_U06___BR1_lobby">#REF!</definedName>
    <definedName name="VOLUME_IA_01F_AA_U06___BR1_rm.">#REF!</definedName>
    <definedName name="VOLUME_IA_01F_AA_U06___BR1_t_b">#REF!</definedName>
    <definedName name="VOLUME_IA_01F_AA_U06___BR2_dresser">#REF!</definedName>
    <definedName name="VOLUME_IA_01F_AA_U06___BR2_lobby">#REF!</definedName>
    <definedName name="VOLUME_IA_01F_AA_U06___BR2_rm.">#REF!</definedName>
    <definedName name="VOLUME_IA_01F_AA_U06___BR2_t_b">#REF!</definedName>
    <definedName name="VOLUME_IA_01F_AA_U06___BR3_dresser">#REF!</definedName>
    <definedName name="VOLUME_IA_01F_AA_U06___BR3_lobby">#REF!</definedName>
    <definedName name="VOLUME_IA_01F_AA_U06___BR3_rm.">#REF!</definedName>
    <definedName name="VOLUME_IA_01F_AA_U06___BR3_t_b">#REF!</definedName>
    <definedName name="VOLUME_IA_01F_AA_U06___corridor">#REF!</definedName>
    <definedName name="VOLUME_IA_01F_AA_U06___foyer">#REF!</definedName>
    <definedName name="VOLUME_IA_01F_AA_U06___kitchen">#REF!</definedName>
    <definedName name="VOLUME_IA_01F_AA_U06___living_dining">#REF!</definedName>
    <definedName name="VOLUME_IA_01F_AA_U06___maids_rm.">#REF!</definedName>
    <definedName name="VOLUME_IA_01F_AA_U06___maids_toi.">#REF!</definedName>
    <definedName name="VOLUME_IA_01F_AA_U06___shaft">#REF!</definedName>
    <definedName name="VOLUME_IA_01F_AA_U06___toilet">#REF!</definedName>
    <definedName name="VOLUME_IA_01F_AA_U06___utility_rm.">#REF!</definedName>
    <definedName name="VOLUME_IA_01F_AB_U00___corridor">#REF!</definedName>
    <definedName name="VOLUME_IA_01F_AB_U00___lift_lobby">#REF!</definedName>
    <definedName name="VOLUME_IA_01F_AB_U00___lift_shaft">#REF!</definedName>
    <definedName name="VOLUME_IA_01F_AC_U00___electrical_rm.">#REF!</definedName>
    <definedName name="VOLUME_IA_01F_AC_U00___f.e._stair">#REF!</definedName>
    <definedName name="VOLUME_IA_01F_AC_U00___f.h.c.">#REF!</definedName>
    <definedName name="VOLUME_IA_01F_AC_U00___garbage_rm.">#REF!</definedName>
    <definedName name="VOLUME_IA_01F_AC_U00___shaft">#REF!</definedName>
    <definedName name="VOLUME_IA_01F_AC_U00___telephone_rm.">#REF!</definedName>
    <definedName name="VOLUME_IA_02F_AA_U01___BR1_lobby">#REF!</definedName>
    <definedName name="VOLUME_IA_02F_AA_U01___BR1_rm.">#REF!</definedName>
    <definedName name="VOLUME_IA_02F_AA_U01___BR1_t_b">#REF!</definedName>
    <definedName name="VOLUME_IA_02F_AA_U01___BR2_dresser">#REF!</definedName>
    <definedName name="VOLUME_IA_02F_AA_U01___BR2_lobby">#REF!</definedName>
    <definedName name="VOLUME_IA_02F_AA_U01___BR2_rm.">#REF!</definedName>
    <definedName name="VOLUME_IA_02F_AA_U01___BR2_t_b">#REF!</definedName>
    <definedName name="VOLUME_IA_02F_AA_U01___corridor">#REF!</definedName>
    <definedName name="VOLUME_IA_02F_AA_U01___foyer">#REF!</definedName>
    <definedName name="VOLUME_IA_02F_AA_U01___kitchen">#REF!</definedName>
    <definedName name="VOLUME_IA_02F_AA_U01___living_dining">#REF!</definedName>
    <definedName name="VOLUME_IA_02F_AA_U01___maids_rm.">#REF!</definedName>
    <definedName name="VOLUME_IA_02F_AA_U01___maids_toi.">#REF!</definedName>
    <definedName name="VOLUME_IA_02F_AA_U01___shaft">#REF!</definedName>
    <definedName name="VOLUME_IA_02F_AA_U01___toilet">#REF!</definedName>
    <definedName name="VOLUME_IA_02F_AA_U01___utility_rm.">#REF!</definedName>
    <definedName name="VOLUME_IA_02F_AA_U01___void">#REF!</definedName>
    <definedName name="VOLUME_IA_02F_AA_U02___BR1_dresser">#REF!</definedName>
    <definedName name="VOLUME_IA_02F_AA_U02___BR1_rm.">#REF!</definedName>
    <definedName name="VOLUME_IA_02F_AA_U02___BR1_t_b">#REF!</definedName>
    <definedName name="VOLUME_IA_02F_AA_U02___BR2_lobby">#REF!</definedName>
    <definedName name="VOLUME_IA_02F_AA_U02___BR2_rm.">#REF!</definedName>
    <definedName name="VOLUME_IA_02F_AA_U02___BR2_t_b">#REF!</definedName>
    <definedName name="VOLUME_IA_02F_AA_U02___corridor">#REF!</definedName>
    <definedName name="VOLUME_IA_02F_AA_U02___foyer">#REF!</definedName>
    <definedName name="VOLUME_IA_02F_AA_U02___kitchen">#REF!</definedName>
    <definedName name="VOLUME_IA_02F_AA_U02___living_dining">#REF!</definedName>
    <definedName name="VOLUME_IA_02F_AA_U02___maids_rm.">#REF!</definedName>
    <definedName name="VOLUME_IA_02F_AA_U02___maids_toi.">#REF!</definedName>
    <definedName name="VOLUME_IA_02F_AA_U02___shaft">#REF!</definedName>
    <definedName name="VOLUME_IA_02F_AA_U02___toilet">#REF!</definedName>
    <definedName name="VOLUME_IA_02F_AA_U02___utility_rm.">#REF!</definedName>
    <definedName name="VOLUME_IA_02F_AA_U02___void">#REF!</definedName>
    <definedName name="VOLUME_IA_02F_AA_U05___BR1_rm.">#REF!</definedName>
    <definedName name="VOLUME_IA_02F_AA_U05___BR1_t_b">#REF!</definedName>
    <definedName name="VOLUME_IA_02F_AA_U05___BR2_lobby">#REF!</definedName>
    <definedName name="VOLUME_IA_02F_AA_U05___BR2_rm.">#REF!</definedName>
    <definedName name="VOLUME_IA_02F_AA_U05___BR2_t_b">#REF!</definedName>
    <definedName name="VOLUME_IA_02F_AA_U05___double_vol.">#REF!</definedName>
    <definedName name="VOLUME_IA_02F_AA_U05___foyer">#REF!</definedName>
    <definedName name="VOLUME_IA_02F_AA_U05___living_rm.">#REF!</definedName>
    <definedName name="VOLUME_IA_02F_AA_U05___shaft">#REF!</definedName>
    <definedName name="VOLUME_IA_02F_AA_U05___stairs">#REF!</definedName>
    <definedName name="VOLUME_IA_02F_AA_U05___void">#REF!</definedName>
    <definedName name="VOLUME_IA_02F_AA_U06___BR1_lobby">#REF!</definedName>
    <definedName name="VOLUME_IA_02F_AA_U06___BR1_rm.">#REF!</definedName>
    <definedName name="VOLUME_IA_02F_AA_U06___BR1_t_b">#REF!</definedName>
    <definedName name="VOLUME_IA_02F_AA_U06___BR2_dresser">#REF!</definedName>
    <definedName name="VOLUME_IA_02F_AA_U06___BR2_lobby">#REF!</definedName>
    <definedName name="VOLUME_IA_02F_AA_U06___BR2_rm.">#REF!</definedName>
    <definedName name="VOLUME_IA_02F_AA_U06___BR2_t_b">#REF!</definedName>
    <definedName name="VOLUME_IA_02F_AA_U06___BR3_dresser">#REF!</definedName>
    <definedName name="VOLUME_IA_02F_AA_U06___BR3_lobby">#REF!</definedName>
    <definedName name="VOLUME_IA_02F_AA_U06___BR3_rm.">#REF!</definedName>
    <definedName name="VOLUME_IA_02F_AA_U06___BR3_t_b">#REF!</definedName>
    <definedName name="VOLUME_IA_02F_AA_U06___corridor">#REF!</definedName>
    <definedName name="VOLUME_IA_02F_AA_U06___foyer">#REF!</definedName>
    <definedName name="VOLUME_IA_02F_AA_U06___kitchen">#REF!</definedName>
    <definedName name="VOLUME_IA_02F_AA_U06___living_dining">#REF!</definedName>
    <definedName name="VOLUME_IA_02F_AA_U06___maids_rm.">#REF!</definedName>
    <definedName name="VOLUME_IA_02F_AA_U06___maids_toi.">#REF!</definedName>
    <definedName name="VOLUME_IA_02F_AA_U06___shaft">#REF!</definedName>
    <definedName name="VOLUME_IA_02F_AA_U06___toilet">#REF!</definedName>
    <definedName name="VOLUME_IA_02F_AA_U06___utility_rm.">#REF!</definedName>
    <definedName name="VOLUME_IA_03F_AA_U05___corridor">#REF!</definedName>
    <definedName name="VOLUME_IA_03F_AA_U05___foyer">#REF!</definedName>
    <definedName name="VOLUME_IA_03F_AA_U05___kitchen">#REF!</definedName>
    <definedName name="VOLUME_IA_03F_AA_U05___living_dining">#REF!</definedName>
    <definedName name="VOLUME_IA_03F_AA_U05___maids_lobby">#REF!</definedName>
    <definedName name="VOLUME_IA_03F_AA_U05___maids_rm.">#REF!</definedName>
    <definedName name="VOLUME_IA_03F_AA_U05___maids_toi.">#REF!</definedName>
    <definedName name="VOLUME_IA_03F_AA_U05___shaft">#REF!</definedName>
    <definedName name="VOLUME_IA_03F_AA_U05___stairs">#REF!</definedName>
    <definedName name="VOLUME_IA_03F_AA_U05___toilet">#REF!</definedName>
    <definedName name="VOLUME_IA_03F_AA_U05___utility_rm.">#REF!</definedName>
    <definedName name="VOLUME_IA_05F_AA_U01___BR1_lobby">#REF!</definedName>
    <definedName name="VOLUME_IA_05F_AA_U01___BR1_rm.">#REF!</definedName>
    <definedName name="VOLUME_IA_05F_AA_U01___BR1_t_b">#REF!</definedName>
    <definedName name="VOLUME_IA_05F_AA_U01___BR2_dresser">#REF!</definedName>
    <definedName name="VOLUME_IA_05F_AA_U01___BR2_lobby">#REF!</definedName>
    <definedName name="VOLUME_IA_05F_AA_U01___BR2_rm.">#REF!</definedName>
    <definedName name="VOLUME_IA_05F_AA_U01___BR2_t_b">#REF!</definedName>
    <definedName name="VOLUME_IA_05F_AA_U01___corridor">#REF!</definedName>
    <definedName name="VOLUME_IA_05F_AA_U01___foyer">#REF!</definedName>
    <definedName name="VOLUME_IA_05F_AA_U01___kitchen">#REF!</definedName>
    <definedName name="VOLUME_IA_05F_AA_U01___living_dining">#REF!</definedName>
    <definedName name="VOLUME_IA_05F_AA_U01___maids_rm.">#REF!</definedName>
    <definedName name="VOLUME_IA_05F_AA_U01___maids_toi.">#REF!</definedName>
    <definedName name="VOLUME_IA_05F_AA_U01___shaft">#REF!</definedName>
    <definedName name="VOLUME_IA_05F_AA_U01___toilet">#REF!</definedName>
    <definedName name="VOLUME_IA_05F_AA_U01___utility_rm.">#REF!</definedName>
    <definedName name="VOLUME_IA_05F_AA_U01___void">#REF!</definedName>
    <definedName name="VOLUME_IA_05F_AA_U02___BR1_dresser">#REF!</definedName>
    <definedName name="VOLUME_IA_05F_AA_U02___BR1_rm.">#REF!</definedName>
    <definedName name="VOLUME_IA_05F_AA_U02___BR1_t_b">#REF!</definedName>
    <definedName name="VOLUME_IA_05F_AA_U02___BR2_lobby">#REF!</definedName>
    <definedName name="VOLUME_IA_05F_AA_U02___BR2_rm.">#REF!</definedName>
    <definedName name="VOLUME_IA_05F_AA_U02___BR2_t_b">#REF!</definedName>
    <definedName name="VOLUME_IA_05F_AA_U02___corridor">#REF!</definedName>
    <definedName name="VOLUME_IA_05F_AA_U02___foyer">#REF!</definedName>
    <definedName name="VOLUME_IA_05F_AA_U02___kitchen">#REF!</definedName>
    <definedName name="VOLUME_IA_05F_AA_U02___living_dining">#REF!</definedName>
    <definedName name="VOLUME_IA_05F_AA_U02___maids_rm.">#REF!</definedName>
    <definedName name="VOLUME_IA_05F_AA_U02___maids_toi.">#REF!</definedName>
    <definedName name="VOLUME_IA_05F_AA_U02___shaft">#REF!</definedName>
    <definedName name="VOLUME_IA_05F_AA_U02___toilet">#REF!</definedName>
    <definedName name="VOLUME_IA_05F_AA_U02___utility_rm.">#REF!</definedName>
    <definedName name="VOLUME_IA_05F_AA_U02___void">#REF!</definedName>
    <definedName name="VOLUME_IA_05F_AA_U05___corridor">#REF!</definedName>
    <definedName name="VOLUME_IA_05F_AA_U05___foyer">#REF!</definedName>
    <definedName name="VOLUME_IA_05F_AA_U05___kitchen">#REF!</definedName>
    <definedName name="VOLUME_IA_05F_AA_U05___living_dining">#REF!</definedName>
    <definedName name="VOLUME_IA_05F_AA_U05___maids_lobby">#REF!</definedName>
    <definedName name="VOLUME_IA_05F_AA_U05___maids_rm.">#REF!</definedName>
    <definedName name="VOLUME_IA_05F_AA_U05___maids_toi.">#REF!</definedName>
    <definedName name="VOLUME_IA_05F_AA_U05___shaft">#REF!</definedName>
    <definedName name="VOLUME_IA_05F_AA_U05___stairs">#REF!</definedName>
    <definedName name="VOLUME_IA_05F_AA_U05___toilet">#REF!</definedName>
    <definedName name="VOLUME_IA_05F_AA_U05___utility_rm.">#REF!</definedName>
    <definedName name="VOLUME_IA_05F_AA_U06___BR1_lobby">#REF!</definedName>
    <definedName name="VOLUME_IA_05F_AA_U06___BR1_rm.">#REF!</definedName>
    <definedName name="VOLUME_IA_05F_AA_U06___BR1_t_b">#REF!</definedName>
    <definedName name="VOLUME_IA_05F_AA_U06___BR2_dresser">#REF!</definedName>
    <definedName name="VOLUME_IA_05F_AA_U06___BR2_lobby">#REF!</definedName>
    <definedName name="VOLUME_IA_05F_AA_U06___BR2_rm.">#REF!</definedName>
    <definedName name="VOLUME_IA_05F_AA_U06___BR2_t_b">#REF!</definedName>
    <definedName name="VOLUME_IA_05F_AA_U06___BR3_dresser">#REF!</definedName>
    <definedName name="VOLUME_IA_05F_AA_U06___BR3_lobby">#REF!</definedName>
    <definedName name="VOLUME_IA_05F_AA_U06___BR3_rm.">#REF!</definedName>
    <definedName name="VOLUME_IA_05F_AA_U06___BR3_t_b">#REF!</definedName>
    <definedName name="VOLUME_IA_05F_AA_U06___corridor">#REF!</definedName>
    <definedName name="VOLUME_IA_05F_AA_U06___foyer">#REF!</definedName>
    <definedName name="VOLUME_IA_05F_AA_U06___kitchen">#REF!</definedName>
    <definedName name="VOLUME_IA_05F_AA_U06___living_dining">#REF!</definedName>
    <definedName name="VOLUME_IA_05F_AA_U06___maids_rm.">#REF!</definedName>
    <definedName name="VOLUME_IA_05F_AA_U06___maids_toi.">#REF!</definedName>
    <definedName name="VOLUME_IA_05F_AA_U06___shaft">#REF!</definedName>
    <definedName name="VOLUME_IA_05F_AA_U06___toilet">#REF!</definedName>
    <definedName name="VOLUME_IA_05F_AA_U06___utility_rm.">#REF!</definedName>
    <definedName name="VOLUME_IA_06F_AA_U05___BR1_rm.">#REF!</definedName>
    <definedName name="VOLUME_IA_06F_AA_U05___BR1_t_b">#REF!</definedName>
    <definedName name="VOLUME_IA_06F_AA_U05___BR2_lobby">#REF!</definedName>
    <definedName name="VOLUME_IA_06F_AA_U05___BR2_rm.">#REF!</definedName>
    <definedName name="VOLUME_IA_06F_AA_U05___BR2_t_b">#REF!</definedName>
    <definedName name="VOLUME_IA_06F_AA_U05___double_vol.">#REF!</definedName>
    <definedName name="VOLUME_IA_06F_AA_U05___foyer">#REF!</definedName>
    <definedName name="VOLUME_IA_06F_AA_U05___living_rm.">#REF!</definedName>
    <definedName name="VOLUME_IA_06F_AA_U05___shaft">#REF!</definedName>
    <definedName name="VOLUME_IA_06F_AA_U05___stairs">#REF!</definedName>
    <definedName name="VOLUME_IA_06F_AA_U05___void">#REF!</definedName>
    <definedName name="VOLUME_IA_06F_AA_U06___BR1_lobby">#REF!</definedName>
    <definedName name="VOLUME_IA_06F_AA_U06___BR1_rm.">#REF!</definedName>
    <definedName name="VOLUME_IA_06F_AA_U06___BR1_t_b">#REF!</definedName>
    <definedName name="VOLUME_IA_06F_AA_U06___BR2_dresser">#REF!</definedName>
    <definedName name="VOLUME_IA_06F_AA_U06___BR2_lobby">#REF!</definedName>
    <definedName name="VOLUME_IA_06F_AA_U06___BR2_rm.">#REF!</definedName>
    <definedName name="VOLUME_IA_06F_AA_U06___BR2_t_b">#REF!</definedName>
    <definedName name="VOLUME_IA_06F_AA_U06___BR3_dresser">#REF!</definedName>
    <definedName name="VOLUME_IA_06F_AA_U06___BR3_lobby">#REF!</definedName>
    <definedName name="VOLUME_IA_06F_AA_U06___BR3_rm.">#REF!</definedName>
    <definedName name="VOLUME_IA_06F_AA_U06___BR3_t_b">#REF!</definedName>
    <definedName name="VOLUME_IA_06F_AA_U06___corridor">#REF!</definedName>
    <definedName name="VOLUME_IA_06F_AA_U06___foyer">#REF!</definedName>
    <definedName name="VOLUME_IA_06F_AA_U06___kitchen">#REF!</definedName>
    <definedName name="VOLUME_IA_06F_AA_U06___living_dining">#REF!</definedName>
    <definedName name="VOLUME_IA_06F_AA_U06___maids_rm.">#REF!</definedName>
    <definedName name="VOLUME_IA_06F_AA_U06___maids_toi.">#REF!</definedName>
    <definedName name="VOLUME_IA_06F_AA_U06___shaft">#REF!</definedName>
    <definedName name="VOLUME_IA_06F_AA_U06___toilet">#REF!</definedName>
    <definedName name="VOLUME_IA_06F_AA_U06___utility_rm.">#REF!</definedName>
    <definedName name="VOLUME_IA_07F_AA_U03___BR1_dresser">#REF!</definedName>
    <definedName name="VOLUME_IA_07F_AA_U03___BR1_lobby">#REF!</definedName>
    <definedName name="VOLUME_IA_07F_AA_U03___BR1_rm.">#REF!</definedName>
    <definedName name="VOLUME_IA_07F_AA_U03___BR1_store">#REF!</definedName>
    <definedName name="VOLUME_IA_07F_AA_U03___BR1_t_b">#REF!</definedName>
    <definedName name="VOLUME_IA_07F_AA_U03___foyer">#REF!</definedName>
    <definedName name="VOLUME_IA_07F_AA_U03___kitchen">#REF!</definedName>
    <definedName name="VOLUME_IA_07F_AA_U03___living_dining">#REF!</definedName>
    <definedName name="VOLUME_IA_07F_AA_U03___shaft">#REF!</definedName>
    <definedName name="VOLUME_IA_07F_AA_U03___storage">#REF!</definedName>
    <definedName name="VOLUME_IA_07F_AA_U03___toilet">#REF!</definedName>
    <definedName name="VOLUME_IA_07F_AA_U03___utility_rm.">#REF!</definedName>
    <definedName name="VOLUME_IA_07F_AA_U03___void">#REF!</definedName>
    <definedName name="VOLUME_IA_07F_AA_U04___BR1_dresser">#REF!</definedName>
    <definedName name="VOLUME_IA_07F_AA_U04___BR1_lobby">#REF!</definedName>
    <definedName name="VOLUME_IA_07F_AA_U04___BR1_rm.">#REF!</definedName>
    <definedName name="VOLUME_IA_07F_AA_U04___BR1_store">#REF!</definedName>
    <definedName name="VOLUME_IA_07F_AA_U04___BR1_t_b">#REF!</definedName>
    <definedName name="VOLUME_IA_07F_AA_U04___foyer">#REF!</definedName>
    <definedName name="VOLUME_IA_07F_AA_U04___kitchen">#REF!</definedName>
    <definedName name="VOLUME_IA_07F_AA_U04___living_dining">#REF!</definedName>
    <definedName name="VOLUME_IA_07F_AA_U04___shaft">#REF!</definedName>
    <definedName name="VOLUME_IA_07F_AA_U04___storage">#REF!</definedName>
    <definedName name="VOLUME_IA_07F_AA_U04___toilet">#REF!</definedName>
    <definedName name="VOLUME_IA_07F_AA_U04___utility_rm.">#REF!</definedName>
    <definedName name="VOLUME_IA_07F_AA_U04___void">#REF!</definedName>
    <definedName name="VOLUME_IA_07F_AA_U06___BR1_lobby">#REF!</definedName>
    <definedName name="VOLUME_IA_07F_AA_U06___BR1_rm.">#REF!</definedName>
    <definedName name="VOLUME_IA_07F_AA_U06___BR1_t_b">#REF!</definedName>
    <definedName name="VOLUME_IA_07F_AA_U06___BR2_dresser">#REF!</definedName>
    <definedName name="VOLUME_IA_07F_AA_U06___BR2_lobby">#REF!</definedName>
    <definedName name="VOLUME_IA_07F_AA_U06___BR2_rm.">#REF!</definedName>
    <definedName name="VOLUME_IA_07F_AA_U06___BR2_t_b">#REF!</definedName>
    <definedName name="VOLUME_IA_07F_AA_U06___BR3_dresser">#REF!</definedName>
    <definedName name="VOLUME_IA_07F_AA_U06___BR3_lobby">#REF!</definedName>
    <definedName name="VOLUME_IA_07F_AA_U06___BR3_rm.">#REF!</definedName>
    <definedName name="VOLUME_IA_07F_AA_U06___BR3_t_b">#REF!</definedName>
    <definedName name="VOLUME_IA_07F_AA_U06___corridor">#REF!</definedName>
    <definedName name="VOLUME_IA_07F_AA_U06___foyer">#REF!</definedName>
    <definedName name="VOLUME_IA_07F_AA_U06___kitchen">#REF!</definedName>
    <definedName name="VOLUME_IA_07F_AA_U06___living_dining">#REF!</definedName>
    <definedName name="VOLUME_IA_07F_AA_U06___maids_rm.">#REF!</definedName>
    <definedName name="VOLUME_IA_07F_AA_U06___maids_toi.">#REF!</definedName>
    <definedName name="VOLUME_IA_07F_AA_U06___shaft">#REF!</definedName>
    <definedName name="VOLUME_IA_07F_AA_U06___toilet">#REF!</definedName>
    <definedName name="VOLUME_IA_07F_AA_U06___utility_rm.">#REF!</definedName>
    <definedName name="VOLUME_IA_08F_AA_U03___BR1_dresser">#REF!</definedName>
    <definedName name="VOLUME_IA_08F_AA_U03___BR1_lobby">#REF!</definedName>
    <definedName name="VOLUME_IA_08F_AA_U03___BR1_rm.">#REF!</definedName>
    <definedName name="VOLUME_IA_08F_AA_U03___BR1_t_b">#REF!</definedName>
    <definedName name="VOLUME_IA_08F_AA_U03___foyer">#REF!</definedName>
    <definedName name="VOLUME_IA_08F_AA_U03___kitchen">#REF!</definedName>
    <definedName name="VOLUME_IA_08F_AA_U03___living_dining">#REF!</definedName>
    <definedName name="VOLUME_IA_08F_AA_U03___shaft">#REF!</definedName>
    <definedName name="VOLUME_IA_08F_AA_U03___storage">#REF!</definedName>
    <definedName name="VOLUME_IA_08F_AA_U03___toilet">#REF!</definedName>
    <definedName name="VOLUME_IA_08F_AA_U03___utility_rm.">#REF!</definedName>
    <definedName name="VOLUME_IA_08F_AA_U04___BR1_dresser">#REF!</definedName>
    <definedName name="VOLUME_IA_08F_AA_U04___BR1_lobby">#REF!</definedName>
    <definedName name="VOLUME_IA_08F_AA_U04___BR1_rm.">#REF!</definedName>
    <definedName name="VOLUME_IA_08F_AA_U04___BR1_t_b">#REF!</definedName>
    <definedName name="VOLUME_IA_08F_AA_U04___foyer">#REF!</definedName>
    <definedName name="VOLUME_IA_08F_AA_U04___kitchen">#REF!</definedName>
    <definedName name="VOLUME_IA_08F_AA_U04___living_dining">#REF!</definedName>
    <definedName name="VOLUME_IA_08F_AA_U04___shaft">#REF!</definedName>
    <definedName name="VOLUME_IA_08F_AA_U04___storage">#REF!</definedName>
    <definedName name="VOLUME_IA_08F_AA_U04___toilet">#REF!</definedName>
    <definedName name="VOLUME_IA_08F_AA_U04___utility_rm.">#REF!</definedName>
    <definedName name="VOLUME_IA_08F_AA_U06___BR1_lobby">#REF!</definedName>
    <definedName name="VOLUME_IA_08F_AA_U06___BR1_rm.">#REF!</definedName>
    <definedName name="VOLUME_IA_08F_AA_U06___BR1_t_b">#REF!</definedName>
    <definedName name="VOLUME_IA_08F_AA_U06___BR2_dresser">#REF!</definedName>
    <definedName name="VOLUME_IA_08F_AA_U06___BR2_lobby">#REF!</definedName>
    <definedName name="VOLUME_IA_08F_AA_U06___BR2_rm.">#REF!</definedName>
    <definedName name="VOLUME_IA_08F_AA_U06___BR2_t_b">#REF!</definedName>
    <definedName name="VOLUME_IA_08F_AA_U06___BR3_dresser">#REF!</definedName>
    <definedName name="VOLUME_IA_08F_AA_U06___BR3_lobby">#REF!</definedName>
    <definedName name="VOLUME_IA_08F_AA_U06___BR3_rm.">#REF!</definedName>
    <definedName name="VOLUME_IA_08F_AA_U06___BR3_t_b">#REF!</definedName>
    <definedName name="VOLUME_IA_08F_AA_U06___corridor">#REF!</definedName>
    <definedName name="VOLUME_IA_08F_AA_U06___foyer">#REF!</definedName>
    <definedName name="VOLUME_IA_08F_AA_U06___kitchen">#REF!</definedName>
    <definedName name="VOLUME_IA_08F_AA_U06___living_dining">#REF!</definedName>
    <definedName name="VOLUME_IA_08F_AA_U06___maids_rm.">#REF!</definedName>
    <definedName name="VOLUME_IA_08F_AA_U06___maids_toi.">#REF!</definedName>
    <definedName name="VOLUME_IA_08F_AA_U06___shaft">#REF!</definedName>
    <definedName name="VOLUME_IA_08F_AA_U06___toilet">#REF!</definedName>
    <definedName name="VOLUME_IA_08F_AA_U06___utility_rm.">#REF!</definedName>
    <definedName name="VOLUME_IA_09F_AA_U06___BR1_lobby">#REF!</definedName>
    <definedName name="VOLUME_IA_09F_AA_U06___BR1_rm.">#REF!</definedName>
    <definedName name="VOLUME_IA_09F_AA_U06___BR1_t_b">#REF!</definedName>
    <definedName name="VOLUME_IA_09F_AA_U06___BR2_dresser">#REF!</definedName>
    <definedName name="VOLUME_IA_09F_AA_U06___BR2_lobby">#REF!</definedName>
    <definedName name="VOLUME_IA_09F_AA_U06___BR2_rm.">#REF!</definedName>
    <definedName name="VOLUME_IA_09F_AA_U06___BR2_t_b">#REF!</definedName>
    <definedName name="VOLUME_IA_09F_AA_U06___BR3_dresser">#REF!</definedName>
    <definedName name="VOLUME_IA_09F_AA_U06___BR3_lobby">#REF!</definedName>
    <definedName name="VOLUME_IA_09F_AA_U06___BR3_rm.">#REF!</definedName>
    <definedName name="VOLUME_IA_09F_AA_U06___BR3_t_b">#REF!</definedName>
    <definedName name="VOLUME_IA_09F_AA_U06___corridor">#REF!</definedName>
    <definedName name="VOLUME_IA_09F_AA_U06___foyer">#REF!</definedName>
    <definedName name="VOLUME_IA_09F_AA_U06___kitchen">#REF!</definedName>
    <definedName name="VOLUME_IA_09F_AA_U06___living_dining">#REF!</definedName>
    <definedName name="VOLUME_IA_09F_AA_U06___maids_rm.">#REF!</definedName>
    <definedName name="VOLUME_IA_09F_AA_U06___maids_toi.">#REF!</definedName>
    <definedName name="VOLUME_IA_09F_AA_U06___shaft">#REF!</definedName>
    <definedName name="VOLUME_IA_09F_AA_U06___toilet">#REF!</definedName>
    <definedName name="VOLUME_IA_09F_AA_U06___utility_rm.">#REF!</definedName>
    <definedName name="VOLUME_IA_11F_AA_U01___BR1_lobby">#REF!</definedName>
    <definedName name="VOLUME_IA_11F_AA_U01___BR1_rm.">#REF!</definedName>
    <definedName name="VOLUME_IA_11F_AA_U01___BR1_t_b">#REF!</definedName>
    <definedName name="VOLUME_IA_11F_AA_U01___BR2_dresser">#REF!</definedName>
    <definedName name="VOLUME_IA_11F_AA_U01___BR2_lobby">#REF!</definedName>
    <definedName name="VOLUME_IA_11F_AA_U01___BR2_rm.">#REF!</definedName>
    <definedName name="VOLUME_IA_11F_AA_U01___BR2_t_b">#REF!</definedName>
    <definedName name="VOLUME_IA_11F_AA_U01___corridor">#REF!</definedName>
    <definedName name="VOLUME_IA_11F_AA_U01___foyer">#REF!</definedName>
    <definedName name="VOLUME_IA_11F_AA_U01___kitchen">#REF!</definedName>
    <definedName name="VOLUME_IA_11F_AA_U01___living_dining">#REF!</definedName>
    <definedName name="VOLUME_IA_11F_AA_U01___maids_rm.">#REF!</definedName>
    <definedName name="VOLUME_IA_11F_AA_U01___maids_toi.">#REF!</definedName>
    <definedName name="VOLUME_IA_11F_AA_U01___shaft">#REF!</definedName>
    <definedName name="VOLUME_IA_11F_AA_U01___toilet">#REF!</definedName>
    <definedName name="VOLUME_IA_11F_AA_U01___utility_rm.">#REF!</definedName>
    <definedName name="VOLUME_IA_11F_AA_U01___void">#REF!</definedName>
    <definedName name="VOLUME_IA_11F_AA_U02___BR1_dresser">#REF!</definedName>
    <definedName name="VOLUME_IA_11F_AA_U02___BR1_rm.">#REF!</definedName>
    <definedName name="VOLUME_IA_11F_AA_U02___BR1_t_b">#REF!</definedName>
    <definedName name="VOLUME_IA_11F_AA_U02___BR2_lobby">#REF!</definedName>
    <definedName name="VOLUME_IA_11F_AA_U02___BR2_rm.">#REF!</definedName>
    <definedName name="VOLUME_IA_11F_AA_U02___BR2_t_b">#REF!</definedName>
    <definedName name="VOLUME_IA_11F_AA_U02___corridor">#REF!</definedName>
    <definedName name="VOLUME_IA_11F_AA_U02___foyer">#REF!</definedName>
    <definedName name="VOLUME_IA_11F_AA_U02___kitchen">#REF!</definedName>
    <definedName name="VOLUME_IA_11F_AA_U02___living_dining">#REF!</definedName>
    <definedName name="VOLUME_IA_11F_AA_U02___maids_rm.">#REF!</definedName>
    <definedName name="VOLUME_IA_11F_AA_U02___maids_toi.">#REF!</definedName>
    <definedName name="VOLUME_IA_11F_AA_U02___shaft">#REF!</definedName>
    <definedName name="VOLUME_IA_11F_AA_U02___toilet">#REF!</definedName>
    <definedName name="VOLUME_IA_11F_AA_U02___utility_rm.">#REF!</definedName>
    <definedName name="VOLUME_IA_11F_AA_U02___void">#REF!</definedName>
    <definedName name="VOLUME_IA_11F_AA_U03___BR1_dresser">#REF!</definedName>
    <definedName name="VOLUME_IA_11F_AA_U03___BR1_lobby">#REF!</definedName>
    <definedName name="VOLUME_IA_11F_AA_U03___BR1_rm.">#REF!</definedName>
    <definedName name="VOLUME_IA_11F_AA_U03___BR1_t_b">#REF!</definedName>
    <definedName name="VOLUME_IA_11F_AA_U03___foyer">#REF!</definedName>
    <definedName name="VOLUME_IA_11F_AA_U03___kitchen">#REF!</definedName>
    <definedName name="VOLUME_IA_11F_AA_U03___living_dining">#REF!</definedName>
    <definedName name="VOLUME_IA_11F_AA_U03___shaft">#REF!</definedName>
    <definedName name="VOLUME_IA_11F_AA_U03___storage">#REF!</definedName>
    <definedName name="VOLUME_IA_11F_AA_U03___toilet">#REF!</definedName>
    <definedName name="VOLUME_IA_11F_AA_U03___utility_rm.">#REF!</definedName>
    <definedName name="VOLUME_IA_11F_AA_U04___BR1_dresser">#REF!</definedName>
    <definedName name="VOLUME_IA_11F_AA_U04___BR1_lobby">#REF!</definedName>
    <definedName name="VOLUME_IA_11F_AA_U04___BR1_rm.">#REF!</definedName>
    <definedName name="VOLUME_IA_11F_AA_U04___BR1_t_b">#REF!</definedName>
    <definedName name="VOLUME_IA_11F_AA_U04___foyer">#REF!</definedName>
    <definedName name="VOLUME_IA_11F_AA_U04___kitchen">#REF!</definedName>
    <definedName name="VOLUME_IA_11F_AA_U04___living_dining">#REF!</definedName>
    <definedName name="VOLUME_IA_11F_AA_U04___shaft">#REF!</definedName>
    <definedName name="VOLUME_IA_11F_AA_U04___storage">#REF!</definedName>
    <definedName name="VOLUME_IA_11F_AA_U04___toilet">#REF!</definedName>
    <definedName name="VOLUME_IA_11F_AA_U04___utility_rm.">#REF!</definedName>
    <definedName name="VOLUME_IA_11F_AA_U06___BR1_lobby">#REF!</definedName>
    <definedName name="VOLUME_IA_11F_AA_U06___BR1_rm.">#REF!</definedName>
    <definedName name="VOLUME_IA_11F_AA_U06___BR1_t_b">#REF!</definedName>
    <definedName name="VOLUME_IA_11F_AA_U06___BR2_dresser">#REF!</definedName>
    <definedName name="VOLUME_IA_11F_AA_U06___BR2_lobby">#REF!</definedName>
    <definedName name="VOLUME_IA_11F_AA_U06___BR2_rm.">#REF!</definedName>
    <definedName name="VOLUME_IA_11F_AA_U06___BR2_t_b">#REF!</definedName>
    <definedName name="VOLUME_IA_11F_AA_U06___BR3_dresser">#REF!</definedName>
    <definedName name="VOLUME_IA_11F_AA_U06___BR3_lobby">#REF!</definedName>
    <definedName name="VOLUME_IA_11F_AA_U06___BR3_rm.">#REF!</definedName>
    <definedName name="VOLUME_IA_11F_AA_U06___BR3_t_b">#REF!</definedName>
    <definedName name="VOLUME_IA_11F_AA_U06___corridor">#REF!</definedName>
    <definedName name="VOLUME_IA_11F_AA_U06___foyer">#REF!</definedName>
    <definedName name="VOLUME_IA_11F_AA_U06___kitchen">#REF!</definedName>
    <definedName name="VOLUME_IA_11F_AA_U06___living_dining">#REF!</definedName>
    <definedName name="VOLUME_IA_11F_AA_U06___maids_rm.">#REF!</definedName>
    <definedName name="VOLUME_IA_11F_AA_U06___maids_toi.">#REF!</definedName>
    <definedName name="VOLUME_IA_11F_AA_U06___shaft">#REF!</definedName>
    <definedName name="VOLUME_IA_11F_AA_U06___toilet">#REF!</definedName>
    <definedName name="VOLUME_IA_11F_AA_U06___utility_rm.">#REF!</definedName>
    <definedName name="VOLUME_IA_11F_AB_U00___corridor">#REF!</definedName>
    <definedName name="VOLUME_IA_11F_AB_U00___lift_lobby">#REF!</definedName>
    <definedName name="VOLUME_IA_11F_AB_U00___lift_shaft">#REF!</definedName>
    <definedName name="VOLUME_IA_11F_AC_U00___electrical_rm.">#REF!</definedName>
    <definedName name="VOLUME_IA_11F_AC_U00___f.e._stair">#REF!</definedName>
    <definedName name="VOLUME_IA_11F_AC_U00___f.h.c.">#REF!</definedName>
    <definedName name="VOLUME_IA_11F_AC_U00___garbage_rm.">#REF!</definedName>
    <definedName name="VOLUME_IA_11F_AC_U00___shaft">#REF!</definedName>
    <definedName name="VOLUME_IA_11F_AC_U00___telephone_rm.">#REF!</definedName>
    <definedName name="VOLUME_IA_31F_AA_U01___BR1_lobby">#REF!</definedName>
    <definedName name="VOLUME_IA_31F_AA_U01___BR1_rm.">#REF!</definedName>
    <definedName name="VOLUME_IA_31F_AA_U01___BR1_t_b">#REF!</definedName>
    <definedName name="VOLUME_IA_31F_AA_U01___BR2_dresser">#REF!</definedName>
    <definedName name="VOLUME_IA_31F_AA_U01___BR2_lobby">#REF!</definedName>
    <definedName name="VOLUME_IA_31F_AA_U01___BR2_rm.">#REF!</definedName>
    <definedName name="VOLUME_IA_31F_AA_U01___BR2_t_b">#REF!</definedName>
    <definedName name="VOLUME_IA_31F_AA_U01___corridor">#REF!</definedName>
    <definedName name="VOLUME_IA_31F_AA_U01___foyer">#REF!</definedName>
    <definedName name="VOLUME_IA_31F_AA_U01___kitchen">#REF!</definedName>
    <definedName name="VOLUME_IA_31F_AA_U01___living_dining">#REF!</definedName>
    <definedName name="VOLUME_IA_31F_AA_U01___maids_rm.">#REF!</definedName>
    <definedName name="VOLUME_IA_31F_AA_U01___maids_toi.">#REF!</definedName>
    <definedName name="VOLUME_IA_31F_AA_U01___shaft">#REF!</definedName>
    <definedName name="VOLUME_IA_31F_AA_U01___toilet">#REF!</definedName>
    <definedName name="VOLUME_IA_31F_AA_U01___utility_rm.">#REF!</definedName>
    <definedName name="VOLUME_IA_31F_AA_U01___void">#REF!</definedName>
    <definedName name="VOLUME_IA_31F_AA_U02___BR1_dresser">#REF!</definedName>
    <definedName name="VOLUME_IA_31F_AA_U02___BR1_rm.">#REF!</definedName>
    <definedName name="VOLUME_IA_31F_AA_U02___BR1_t_b">#REF!</definedName>
    <definedName name="VOLUME_IA_31F_AA_U02___BR2_lobby">#REF!</definedName>
    <definedName name="VOLUME_IA_31F_AA_U02___BR2_rm.">#REF!</definedName>
    <definedName name="VOLUME_IA_31F_AA_U02___BR2_t_b">#REF!</definedName>
    <definedName name="VOLUME_IA_31F_AA_U02___corridor">#REF!</definedName>
    <definedName name="VOLUME_IA_31F_AA_U02___foyer">#REF!</definedName>
    <definedName name="VOLUME_IA_31F_AA_U02___kitchen">#REF!</definedName>
    <definedName name="VOLUME_IA_31F_AA_U02___living_dining">#REF!</definedName>
    <definedName name="VOLUME_IA_31F_AA_U02___maids_rm.">#REF!</definedName>
    <definedName name="VOLUME_IA_31F_AA_U02___maids_toi.">#REF!</definedName>
    <definedName name="VOLUME_IA_31F_AA_U02___shaft">#REF!</definedName>
    <definedName name="VOLUME_IA_31F_AA_U02___toilet">#REF!</definedName>
    <definedName name="VOLUME_IA_31F_AA_U02___utility_rm.">#REF!</definedName>
    <definedName name="VOLUME_IA_31F_AA_U02___void">#REF!</definedName>
    <definedName name="VOLUME_IA_31F_AA_U03___BR1_dresser">#REF!</definedName>
    <definedName name="VOLUME_IA_31F_AA_U03___BR1_lobby">#REF!</definedName>
    <definedName name="VOLUME_IA_31F_AA_U03___BR1_rm.">#REF!</definedName>
    <definedName name="VOLUME_IA_31F_AA_U03___BR1_t_b">#REF!</definedName>
    <definedName name="VOLUME_IA_31F_AA_U03___foyer">#REF!</definedName>
    <definedName name="VOLUME_IA_31F_AA_U03___kitchen">#REF!</definedName>
    <definedName name="VOLUME_IA_31F_AA_U03___living_dining">#REF!</definedName>
    <definedName name="VOLUME_IA_31F_AA_U03___shaft">#REF!</definedName>
    <definedName name="VOLUME_IA_31F_AA_U03___storage">#REF!</definedName>
    <definedName name="VOLUME_IA_31F_AA_U03___toilet">#REF!</definedName>
    <definedName name="VOLUME_IA_31F_AA_U03___utility_rm.">#REF!</definedName>
    <definedName name="VOLUME_IA_31F_AA_U04___BR1_dresser">#REF!</definedName>
    <definedName name="VOLUME_IA_31F_AA_U04___BR1_lobby">#REF!</definedName>
    <definedName name="VOLUME_IA_31F_AA_U04___BR1_rm.">#REF!</definedName>
    <definedName name="VOLUME_IA_31F_AA_U04___BR1_t_b">#REF!</definedName>
    <definedName name="VOLUME_IA_31F_AA_U04___foyer">#REF!</definedName>
    <definedName name="VOLUME_IA_31F_AA_U04___kitchen">#REF!</definedName>
    <definedName name="VOLUME_IA_31F_AA_U04___living_dining">#REF!</definedName>
    <definedName name="VOLUME_IA_31F_AA_U04___shaft">#REF!</definedName>
    <definedName name="VOLUME_IA_31F_AA_U04___storage">#REF!</definedName>
    <definedName name="VOLUME_IA_31F_AA_U04___toilet">#REF!</definedName>
    <definedName name="VOLUME_IA_31F_AA_U04___utility_rm.">#REF!</definedName>
    <definedName name="VOLUME_IA_31F_AA_U05___corridor">#REF!</definedName>
    <definedName name="VOLUME_IA_31F_AA_U05___foyer">#REF!</definedName>
    <definedName name="VOLUME_IA_31F_AA_U05___kitchen">#REF!</definedName>
    <definedName name="VOLUME_IA_31F_AA_U05___living_dining">#REF!</definedName>
    <definedName name="VOLUME_IA_31F_AA_U05___maids_lobby">#REF!</definedName>
    <definedName name="VOLUME_IA_31F_AA_U05___maids_rm.">#REF!</definedName>
    <definedName name="VOLUME_IA_31F_AA_U05___maids_toi.">#REF!</definedName>
    <definedName name="VOLUME_IA_31F_AA_U05___shaft">#REF!</definedName>
    <definedName name="VOLUME_IA_31F_AA_U05___stairs">#REF!</definedName>
    <definedName name="VOLUME_IA_31F_AA_U05___toilet">#REF!</definedName>
    <definedName name="VOLUME_IA_31F_AA_U05___utility_rm.">#REF!</definedName>
    <definedName name="VOLUME_IA_31F_AA_U06___BR1_lobby">#REF!</definedName>
    <definedName name="VOLUME_IA_31F_AA_U06___BR1_rm.">#REF!</definedName>
    <definedName name="VOLUME_IA_31F_AA_U06___BR1_t_b">#REF!</definedName>
    <definedName name="VOLUME_IA_31F_AA_U06___BR2_dresser">#REF!</definedName>
    <definedName name="VOLUME_IA_31F_AA_U06___BR2_lobby">#REF!</definedName>
    <definedName name="VOLUME_IA_31F_AA_U06___BR2_rm.">#REF!</definedName>
    <definedName name="VOLUME_IA_31F_AA_U06___BR2_t_b">#REF!</definedName>
    <definedName name="VOLUME_IA_31F_AA_U06___corridor">#REF!</definedName>
    <definedName name="VOLUME_IA_31F_AA_U06___foyer">#REF!</definedName>
    <definedName name="VOLUME_IA_31F_AA_U06___kitchen">#REF!</definedName>
    <definedName name="VOLUME_IA_31F_AA_U06___living_dining">#REF!</definedName>
    <definedName name="VOLUME_IA_31F_AA_U06___maids_rm.">#REF!</definedName>
    <definedName name="VOLUME_IA_31F_AA_U06___maids_toi.">#REF!</definedName>
    <definedName name="VOLUME_IA_31F_AA_U06___shaft">#REF!</definedName>
    <definedName name="VOLUME_IA_31F_AA_U06___solaria">#REF!</definedName>
    <definedName name="VOLUME_IA_31F_AA_U06___stair">#REF!</definedName>
    <definedName name="VOLUME_IA_31F_AA_U06___toilet">#REF!</definedName>
    <definedName name="VOLUME_IA_31F_AA_U06___utility_rm.">#REF!</definedName>
    <definedName name="VOLUME_IA_31F_AA_U06___void">#REF!</definedName>
    <definedName name="VOLUME_IA_31F_AB_U00___corridor">#REF!</definedName>
    <definedName name="VOLUME_IA_31F_AB_U00___lift_lobby">#REF!</definedName>
    <definedName name="VOLUME_IA_31F_AB_U00___lift_shaft">#REF!</definedName>
    <definedName name="VOLUME_IA_31F_AC_U00___electrical_rm.">#REF!</definedName>
    <definedName name="VOLUME_IA_31F_AC_U00___f.e._stair">#REF!</definedName>
    <definedName name="VOLUME_IA_31F_AC_U00___f.h.c.">#REF!</definedName>
    <definedName name="VOLUME_IA_31F_AC_U00___garbage_rm.">#REF!</definedName>
    <definedName name="VOLUME_IA_31F_AC_U00___shaft">#REF!</definedName>
    <definedName name="VOLUME_IA_31F_AC_U00___telephone_rm.">#REF!</definedName>
    <definedName name="VOLUME_IA_32F_AA_U05___BR1_rm.">#REF!</definedName>
    <definedName name="VOLUME_IA_32F_AA_U05___BR1_t_b">#REF!</definedName>
    <definedName name="VOLUME_IA_32F_AA_U05___BR2_lobby">#REF!</definedName>
    <definedName name="VOLUME_IA_32F_AA_U05___BR2_rm.">#REF!</definedName>
    <definedName name="VOLUME_IA_32F_AA_U05___BR2_t_b">#REF!</definedName>
    <definedName name="VOLUME_IA_32F_AA_U05___double_vol.">#REF!</definedName>
    <definedName name="VOLUME_IA_32F_AA_U05___foyer">#REF!</definedName>
    <definedName name="VOLUME_IA_32F_AA_U05___living_rm.">#REF!</definedName>
    <definedName name="VOLUME_IA_32F_AA_U05___shaft">#REF!</definedName>
    <definedName name="VOLUME_IA_32F_AA_U05___stairs">#REF!</definedName>
    <definedName name="VOLUME_IA_32F_AA_U05___void">#REF!</definedName>
    <definedName name="VOLUME_IA_32F_AA_U06___BR1_lobby">#REF!</definedName>
    <definedName name="VOLUME_IA_32F_AA_U06___BR1_rm.">#REF!</definedName>
    <definedName name="VOLUME_IA_32F_AA_U06___BR1_t_b">#REF!</definedName>
    <definedName name="VOLUME_IA_32F_AA_U06___BR2_dresser">#REF!</definedName>
    <definedName name="VOLUME_IA_32F_AA_U06___BR2_lobby">#REF!</definedName>
    <definedName name="VOLUME_IA_32F_AA_U06___BR2_rm.">#REF!</definedName>
    <definedName name="VOLUME_IA_32F_AA_U06___BR2_t_b">#REF!</definedName>
    <definedName name="VOLUME_IA_32F_AA_U06___corridor">#REF!</definedName>
    <definedName name="VOLUME_IA_32F_AA_U06___double_vol.">#REF!</definedName>
    <definedName name="VOLUME_IA_32F_AA_U06___jacuzzi_area">#REF!</definedName>
    <definedName name="VOLUME_IA_32F_AA_U06___living_foyer">#REF!</definedName>
    <definedName name="VOLUME_IA_32F_AA_U06___pantry">#REF!</definedName>
    <definedName name="VOLUME_IA_32F_AA_U06___shaft">#REF!</definedName>
    <definedName name="VOLUME_IA_32F_AA_U06___stair">#REF!</definedName>
    <definedName name="VOLUME_IA_32F_AA_U06___study">#REF!</definedName>
    <definedName name="VOLUME_IA_33RF_AC_U00___electrical_rm.">#REF!</definedName>
    <definedName name="VOLUME_IA_33RF_AC_U00___f.e._stair">#REF!</definedName>
    <definedName name="VOLUME_IA_33RF_AC_U00___g.s.m._rm.">#REF!</definedName>
    <definedName name="VOLUME_IA_33RF_AC_U00___lift_shaft">#REF!</definedName>
    <definedName name="VOLUME_IA_33RF_AC_U00___shaft">#REF!</definedName>
    <definedName name="VOLUME_IA_33RF_AC_U00___tech._rm.">#REF!</definedName>
    <definedName name="VOLUME_IA_33RF_AC_U00___telephone_rm.">#REF!</definedName>
    <definedName name="VOLUME_IA_33RF_AC_U00___water_tank">#REF!</definedName>
    <definedName name="VOLUME_IA_34uRF_AC_U00___machine_rm.">#REF!</definedName>
    <definedName name="VOLUME_IA_34uRF_AC_U00___machine_rm._lobby">#REF!</definedName>
    <definedName name="VOLUME_IA_34uRF_AC_U00___pump_rm.">#REF!</definedName>
    <definedName name="VOLUME_IA_34uRF_AC_U00___r.c._water_tank">#REF!</definedName>
    <definedName name="VOLUME_IA_34uRF_AC_U00___shaft">#REF!</definedName>
    <definedName name="VOLUME_Intelligent_Water_Meter_by_DEWA">#REF!</definedName>
    <definedName name="VOLUME_Internal_Ceiling_Finishes__Bulkhead">#REF!</definedName>
    <definedName name="VOLUME_Internal_Ceiling_Finishes__PF01">#REF!</definedName>
    <definedName name="VOLUME_Internal_Ceiling_Finishes__PF02">#REF!</definedName>
    <definedName name="VOLUME_Internal_Ceiling_Finishes__PH01">#REF!</definedName>
    <definedName name="VOLUME_Internal_Doors__D_02">#REF!</definedName>
    <definedName name="VOLUME_Internal_Doors__D_03">#REF!</definedName>
    <definedName name="VOLUME_Internal_Doors__D_04">#REF!</definedName>
    <definedName name="VOLUME_Internal_Doors__D_06">#REF!</definedName>
    <definedName name="VOLUME_Internal_Floor_Finishes__FF01">#REF!</definedName>
    <definedName name="VOLUME_Internal_Floor_Finishes__FF03">#REF!</definedName>
    <definedName name="VOLUME_Internal_Floor_Finishes__FF05">#REF!</definedName>
    <definedName name="VOLUME_Internal_Floor_Finishes__Wet_Areas">#REF!</definedName>
    <definedName name="VOLUME_Internal_Wall__Blockwork___BW_1">#REF!</definedName>
    <definedName name="VOLUME_Internal_Wall__Blockwork___BW_2">#REF!</definedName>
    <definedName name="VOLUME_Internal_Wall__Blockwork___BW_3">#REF!</definedName>
    <definedName name="VOLUME_Internal_Wall__Threshold">#REF!</definedName>
    <definedName name="VOLUME_Internal_Wall_Finishes__PF03">#REF!</definedName>
    <definedName name="VOLUME_Internal_Wall_Finishes__PF04">#REF!</definedName>
    <definedName name="VOLUME_Internal_Wall_Finishes__Render">#REF!</definedName>
    <definedName name="VOLUME_Internal_Wall_Finishes__W01">#REF!</definedName>
    <definedName name="VOLUME_Internal_Wall_Finishes__W03">#REF!</definedName>
    <definedName name="VOLUME_Internal_Wall_Finishes__WF05">#REF!</definedName>
    <definedName name="VOLUME_Internal_Wall_Finishes__WF07">#REF!</definedName>
    <definedName name="VOLUME_Isolation_Valve">#REF!</definedName>
    <definedName name="VOLUME_L0__TW1_250">#REF!</definedName>
    <definedName name="VOLUME_L0__TW2_200">#REF!</definedName>
    <definedName name="VOLUME_L0__TW3_300">#REF!</definedName>
    <definedName name="VOLUME_L0__TW3_400">#REF!</definedName>
    <definedName name="VOLUME_L0__TW4_500">#REF!</definedName>
    <definedName name="VOLUME_L0__TW4_600">#REF!</definedName>
    <definedName name="VOLUME_L0__W1__300">#REF!</definedName>
    <definedName name="VOLUME_L0__W1_300_Door_Overhead">#REF!</definedName>
    <definedName name="VOLUME_L0_Beams">#REF!</definedName>
    <definedName name="VOLUME_L0_DP1_3000x3000x350">#REF!</definedName>
    <definedName name="VOLUME_L0_DP2_3000x1750x350">#REF!</definedName>
    <definedName name="VOLUME_L0_DP5_3000x3000x400">#REF!</definedName>
    <definedName name="VOLUME_L0_DP6_6500x4000x550">#REF!</definedName>
    <definedName name="VOLUME_L0_DP7_3500x1900x400">#REF!</definedName>
    <definedName name="VOLUME_L0_Ramp">#REF!</definedName>
    <definedName name="VOLUME_L0_Slab_200">#REF!</definedName>
    <definedName name="VOLUME_L0_Slab_220">#REF!</definedName>
    <definedName name="VOLUME_L0_Slab_240">#REF!</definedName>
    <definedName name="VOLUME_L0_Slab_250">#REF!</definedName>
    <definedName name="VOLUME_L0_Slab_260">#REF!</definedName>
    <definedName name="VOLUME_L0_Slab_400">#REF!</definedName>
    <definedName name="VOLUME_L0_Slab_450">#REF!</definedName>
    <definedName name="VOLUME_L00__Column_C1">#REF!</definedName>
    <definedName name="VOLUME_L00__Column_C10">#REF!</definedName>
    <definedName name="VOLUME_L00__Column_C11">#REF!</definedName>
    <definedName name="VOLUME_L00__Column_C12">#REF!</definedName>
    <definedName name="VOLUME_L00__Column_C2">#REF!</definedName>
    <definedName name="VOLUME_L00__Column_C3">#REF!</definedName>
    <definedName name="VOLUME_L00__Column_C4">#REF!</definedName>
    <definedName name="VOLUME_L00__Column_C5">#REF!</definedName>
    <definedName name="VOLUME_L00__Column_C6">#REF!</definedName>
    <definedName name="VOLUME_L00__Column_C7">#REF!</definedName>
    <definedName name="VOLUME_L00__Column_C8">#REF!</definedName>
    <definedName name="VOLUME_L00__Column_C9">#REF!</definedName>
    <definedName name="VOLUME_L00__Column_FC1">#REF!</definedName>
    <definedName name="VOLUME_L00__Column_TC1">#REF!</definedName>
    <definedName name="VOLUME_L00__Column_TC2">#REF!</definedName>
    <definedName name="VOLUME_L00__Column_TC3">#REF!</definedName>
    <definedName name="VOLUME_L00__Column_TC4">#REF!</definedName>
    <definedName name="VOLUME_L00__Column_TC5">#REF!</definedName>
    <definedName name="VOLUME_L01__Column_C10">#REF!</definedName>
    <definedName name="VOLUME_L01__Column_C6">#REF!</definedName>
    <definedName name="VOLUME_L01__Column_C7">#REF!</definedName>
    <definedName name="VOLUME_L01__Column_TC1">#REF!</definedName>
    <definedName name="VOLUME_L01__Column_TC2">#REF!</definedName>
    <definedName name="VOLUME_L01__Column_TC3">#REF!</definedName>
    <definedName name="VOLUME_L01__Column_TC4">#REF!</definedName>
    <definedName name="VOLUME_L01__Column_TC5">#REF!</definedName>
    <definedName name="VOLUME_L02__Column_TC1">#REF!</definedName>
    <definedName name="VOLUME_L02__Column_TC2">#REF!</definedName>
    <definedName name="VOLUME_L02__Column_TC3">#REF!</definedName>
    <definedName name="VOLUME_L02__Column_TC4">#REF!</definedName>
    <definedName name="VOLUME_L02__Column_TC5">#REF!</definedName>
    <definedName name="VOLUME_L02_to_L03__CORE_Typical">#REF!</definedName>
    <definedName name="VOLUME_L03_to_L05__CORE_TYPICAL">#REF!</definedName>
    <definedName name="VOLUME_L03_to_L05__Opening">#REF!</definedName>
    <definedName name="VOLUME_L05_to_L14__CORE_Typical">#REF!</definedName>
    <definedName name="VOLUME_L1__TW1_250">#REF!</definedName>
    <definedName name="VOLUME_L1__TW2_200">#REF!</definedName>
    <definedName name="VOLUME_L1__TW3_300">#REF!</definedName>
    <definedName name="VOLUME_L1__TW4_600">#REF!</definedName>
    <definedName name="VOLUME_L1__TW5_300">#REF!</definedName>
    <definedName name="VOLUME_L1_Beams">#REF!</definedName>
    <definedName name="VOLUME_L1_DP">#REF!</definedName>
    <definedName name="VOLUME_L1_DP1_3000x3000x350">#REF!</definedName>
    <definedName name="VOLUME_L1_DP11_3250x1750x350">#REF!</definedName>
    <definedName name="VOLUME_L1_DP13_3250x1750x600">#REF!</definedName>
    <definedName name="VOLUME_L1_DP14_3000x3000x600">#REF!</definedName>
    <definedName name="VOLUME_L1_DP15_3500x3500x600">#REF!</definedName>
    <definedName name="VOLUME_L1_DP3_3500x1900x350">#REF!</definedName>
    <definedName name="VOLUME_L1_DP4_3500x3500x400">#REF!</definedName>
    <definedName name="VOLUME_L1_DP8_8000x5500x600">#REF!</definedName>
    <definedName name="VOLUME_L1_Slab_200">#REF!</definedName>
    <definedName name="VOLUME_L1_Slab_240">#REF!</definedName>
    <definedName name="VOLUME_L1_Slab_280">#REF!</definedName>
    <definedName name="VOLUME_L1_Slab_360">#REF!</definedName>
    <definedName name="VOLUME_L14__COMFLOR_100">#REF!</definedName>
    <definedName name="VOLUME_L14__CONC_SLAB">#REF!</definedName>
    <definedName name="VOLUME_L14__RC_CORE_VOIDS">#REF!</definedName>
    <definedName name="VOLUME_L15__COMFLOR_100">#REF!</definedName>
    <definedName name="VOLUME_L15__HEA_320">#REF!</definedName>
    <definedName name="VOLUME_L15__HEB_160">#REF!</definedName>
    <definedName name="VOLUME_L15__HEM_180">#REF!</definedName>
    <definedName name="VOLUME_L15__RHS_400x200x16">#REF!</definedName>
    <definedName name="VOLUME_L15__TW1_250">#REF!</definedName>
    <definedName name="VOLUME_L15__TW2_200">#REF!</definedName>
    <definedName name="VOLUME_L15__TW3_300">#REF!</definedName>
    <definedName name="VOLUME_L15__TW4_600">#REF!</definedName>
    <definedName name="VOLUME_L15__TW5_300">#REF!</definedName>
    <definedName name="VOLUME_L15_Beams">#REF!</definedName>
    <definedName name="VOLUME_L15_Slab_250">#REF!</definedName>
    <definedName name="VOLUME_L15_Slab_400">#REF!</definedName>
    <definedName name="VOLUME_L15_to_L16__CONC_SLAB">#REF!</definedName>
    <definedName name="VOLUME_L16__COMFLOR_100">#REF!</definedName>
    <definedName name="VOLUME_L16__HEA_320">#REF!</definedName>
    <definedName name="VOLUME_L16__HEB_160">#REF!</definedName>
    <definedName name="VOLUME_L16__HEM_180">#REF!</definedName>
    <definedName name="VOLUME_L16__RHS_400x200x16">#REF!</definedName>
    <definedName name="VOLUME_L16__TW1_250">#REF!</definedName>
    <definedName name="VOLUME_L16__TW2_200">#REF!</definedName>
    <definedName name="VOLUME_L16__TW3_300">#REF!</definedName>
    <definedName name="VOLUME_L16__TW4_600">#REF!</definedName>
    <definedName name="VOLUME_L16_Beams">#REF!</definedName>
    <definedName name="VOLUME_L16_Slab_200">#REF!</definedName>
    <definedName name="VOLUME_L16_Slab_240">#REF!</definedName>
    <definedName name="VOLUME_L16_Slab_280">#REF!</definedName>
    <definedName name="VOLUME_L17__COMFLOR_100">#REF!</definedName>
    <definedName name="VOLUME_L17__HEA_320">#REF!</definedName>
    <definedName name="VOLUME_L17__HEB_160">#REF!</definedName>
    <definedName name="VOLUME_L17__HEM_180">#REF!</definedName>
    <definedName name="VOLUME_L17__RHS_400x200x16">#REF!</definedName>
    <definedName name="VOLUME_L17__TW1_250">#REF!</definedName>
    <definedName name="VOLUME_L17__TW2_200">#REF!</definedName>
    <definedName name="VOLUME_L17__TW3_300">#REF!</definedName>
    <definedName name="VOLUME_L17__TW4_600">#REF!</definedName>
    <definedName name="VOLUME_L17_Beams">#REF!</definedName>
    <definedName name="VOLUME_L17_Slab_200">#REF!</definedName>
    <definedName name="VOLUME_L17_Slab_240">#REF!</definedName>
    <definedName name="VOLUME_L17_Slab_280">#REF!</definedName>
    <definedName name="VOLUME_L17_to_L35__CONC_SLAB">#REF!</definedName>
    <definedName name="VOLUME_L18__COMFLOR_100">#REF!</definedName>
    <definedName name="VOLUME_L18__HEA_320">#REF!</definedName>
    <definedName name="VOLUME_L18__HEB_160">#REF!</definedName>
    <definedName name="VOLUME_L18__HEM_180">#REF!</definedName>
    <definedName name="VOLUME_L18__RC_CORE_VOIDS">#REF!</definedName>
    <definedName name="VOLUME_L18__RHS_400x200x16">#REF!</definedName>
    <definedName name="VOLUME_L19__COMFLOR_100">#REF!</definedName>
    <definedName name="VOLUME_L19__HEA_320">#REF!</definedName>
    <definedName name="VOLUME_L19__HEB_160">#REF!</definedName>
    <definedName name="VOLUME_L19__HEM_180">#REF!</definedName>
    <definedName name="VOLUME_L19__RHS_400x200x16">#REF!</definedName>
    <definedName name="VOLUME_L2___1000x1500mm">#REF!</definedName>
    <definedName name="VOLUME_L2___1000x1500mm_curved">#REF!</definedName>
    <definedName name="VOLUME_L2___1200x1200x1500mm">#REF!</definedName>
    <definedName name="VOLUME_L2___1200x1500mm">#REF!</definedName>
    <definedName name="VOLUME_L2___1200x3000x1500mm">#REF!</definedName>
    <definedName name="VOLUME_L2___1500x1500x1500mm">#REF!</definedName>
    <definedName name="VOLUME_L2___1800x1800x1500mm">#REF!</definedName>
    <definedName name="VOLUME_L2___1800x4500x1500mm">#REF!</definedName>
    <definedName name="VOLUME_L2___400mm_raft_slab">#REF!</definedName>
    <definedName name="VOLUME_L2___400mm_Retaining_wall">#REF!</definedName>
    <definedName name="VOLUME_L2___400mm_Retaining_wall_curved">#REF!</definedName>
    <definedName name="VOLUME_L2___400x1500mm">#REF!</definedName>
    <definedName name="VOLUME_L2___500mm_Retaining_wall">#REF!</definedName>
    <definedName name="VOLUME_L2___500mm_Retaining_wall_curved">#REF!</definedName>
    <definedName name="VOLUME_L2___600mm_diameter">#REF!</definedName>
    <definedName name="VOLUME_L2___750mm_diameter">#REF!</definedName>
    <definedName name="VOLUME_L2___800x1500mm">#REF!</definedName>
    <definedName name="VOLUME_L2___900mm_diameter">#REF!</definedName>
    <definedName name="VOLUME_L2___Pilecaps">#REF!</definedName>
    <definedName name="VOLUME_L2__Column__550dia__assumed_size_as_per_plan_">#REF!</definedName>
    <definedName name="VOLUME_L2__TW1_250">#REF!</definedName>
    <definedName name="VOLUME_L2__TW2_200">#REF!</definedName>
    <definedName name="VOLUME_L2__TW3_300">#REF!</definedName>
    <definedName name="VOLUME_L2__TW4_600">#REF!</definedName>
    <definedName name="VOLUME_L2__TW5_300">#REF!</definedName>
    <definedName name="VOLUME_L2__Wall__250__assumed_">#REF!</definedName>
    <definedName name="VOLUME_L2__Wall__250_curved__assumed_">#REF!</definedName>
    <definedName name="VOLUME_L2_Beams">#REF!</definedName>
    <definedName name="VOLUME_L2_Slab_200">#REF!</definedName>
    <definedName name="VOLUME_L2_Slab_240">#REF!</definedName>
    <definedName name="VOLUME_L2_Slab_280">#REF!</definedName>
    <definedName name="VOLUME_L20__COMFLOR_100">#REF!</definedName>
    <definedName name="VOLUME_L20__HEA_320">#REF!</definedName>
    <definedName name="VOLUME_L20__HEB_160">#REF!</definedName>
    <definedName name="VOLUME_L20__HEM_180">#REF!</definedName>
    <definedName name="VOLUME_L20__RHS_400x400x16">#REF!</definedName>
    <definedName name="VOLUME_L21__COMFLOR_100">#REF!</definedName>
    <definedName name="VOLUME_L21__HEA_320">#REF!</definedName>
    <definedName name="VOLUME_L21__HEB_160">#REF!</definedName>
    <definedName name="VOLUME_L21__HEM_180">#REF!</definedName>
    <definedName name="VOLUME_L21__RHS_400x400x16">#REF!</definedName>
    <definedName name="VOLUME_L22__COMFLOR_100">#REF!</definedName>
    <definedName name="VOLUME_L22__HEA_320">#REF!</definedName>
    <definedName name="VOLUME_L22__HEB_160">#REF!</definedName>
    <definedName name="VOLUME_L22__HEM_180">#REF!</definedName>
    <definedName name="VOLUME_L22__RHS_400x400x16">#REF!</definedName>
    <definedName name="VOLUME_L23__COMFLOR_100">#REF!</definedName>
    <definedName name="VOLUME_L23__HEA_320">#REF!</definedName>
    <definedName name="VOLUME_L23__HEB_160">#REF!</definedName>
    <definedName name="VOLUME_L23__HEM_180">#REF!</definedName>
    <definedName name="VOLUME_L23__RHS_400x400x16">#REF!</definedName>
    <definedName name="VOLUME_L24__COMFLOR_100">#REF!</definedName>
    <definedName name="VOLUME_L24__HEA_320">#REF!</definedName>
    <definedName name="VOLUME_L24__HEB_160">#REF!</definedName>
    <definedName name="VOLUME_L24__HEM_180">#REF!</definedName>
    <definedName name="VOLUME_L24__RHS_400x400x16">#REF!</definedName>
    <definedName name="VOLUME_L25__COMFLOR_100">#REF!</definedName>
    <definedName name="VOLUME_L25__HEA_320">#REF!</definedName>
    <definedName name="VOLUME_L25__HEB_160">#REF!</definedName>
    <definedName name="VOLUME_L25__HEM_180">#REF!</definedName>
    <definedName name="VOLUME_L25__RHS_400x200x16">#REF!</definedName>
    <definedName name="VOLUME_L26__COMFLOR_100">#REF!</definedName>
    <definedName name="VOLUME_L26__HEA_320">#REF!</definedName>
    <definedName name="VOLUME_L26__HEB_160">#REF!</definedName>
    <definedName name="VOLUME_L26__HEM_180">#REF!</definedName>
    <definedName name="VOLUME_L26__RC_CORE_VOIDS">#REF!</definedName>
    <definedName name="VOLUME_L26__RHS_400x200x16">#REF!</definedName>
    <definedName name="VOLUME_L27__COMFLOR_100">#REF!</definedName>
    <definedName name="VOLUME_L27__HEA_320">#REF!</definedName>
    <definedName name="VOLUME_L27__HEB_160">#REF!</definedName>
    <definedName name="VOLUME_L27__HEM_180">#REF!</definedName>
    <definedName name="VOLUME_L27__RHS_400x200x16">#REF!</definedName>
    <definedName name="VOLUME_L28__COMFLOR_100">#REF!</definedName>
    <definedName name="VOLUME_L28__HEA_320">#REF!</definedName>
    <definedName name="VOLUME_L28__HEB_160">#REF!</definedName>
    <definedName name="VOLUME_L28__HEM_180">#REF!</definedName>
    <definedName name="VOLUME_L28__rHS_400x200x16">#REF!</definedName>
    <definedName name="VOLUME_L29__COMFLOR_100">#REF!</definedName>
    <definedName name="VOLUME_L29__HEA_320">#REF!</definedName>
    <definedName name="VOLUME_L29__HEB_160">#REF!</definedName>
    <definedName name="VOLUME_L29__HEM_180">#REF!</definedName>
    <definedName name="VOLUME_L29__RHS_400x200x16">#REF!</definedName>
    <definedName name="VOLUME_L3___1000x1500mm">#REF!</definedName>
    <definedName name="VOLUME_L3___1200x1200x1500mm">#REF!</definedName>
    <definedName name="VOLUME_L3___1200x3000x1500mm">#REF!</definedName>
    <definedName name="VOLUME_L3___1500x1500mm">#REF!</definedName>
    <definedName name="VOLUME_L3___1500x3000x1500mm">#REF!</definedName>
    <definedName name="VOLUME_L3___1800x1800x1500mm">#REF!</definedName>
    <definedName name="VOLUME_L3___1800x4500x1500mm">#REF!</definedName>
    <definedName name="VOLUME_L3___400mm_Retaining_wall">#REF!</definedName>
    <definedName name="VOLUME_L3___400mm_Retaining_wall_curved">#REF!</definedName>
    <definedName name="VOLUME_L3___500mm_thick_W3_curved">#REF!</definedName>
    <definedName name="VOLUME_L3___600mm_diameter">#REF!</definedName>
    <definedName name="VOLUME_L3___650mm_thick_W4_curved">#REF!</definedName>
    <definedName name="VOLUME_L3___700x1500mm">#REF!</definedName>
    <definedName name="VOLUME_L3___700x1500mm_curved">#REF!</definedName>
    <definedName name="VOLUME_L3___800x1500mm">#REF!</definedName>
    <definedName name="VOLUME_L3___800x1500mm_curved">#REF!</definedName>
    <definedName name="VOLUME_L3___900mm_diameter">#REF!</definedName>
    <definedName name="VOLUME_L3___Pilecaps">#REF!</definedName>
    <definedName name="VOLUME_L3__Beam__1000x800__assumed_">#REF!</definedName>
    <definedName name="VOLUME_L3__Beam__1100x800__assumed_">#REF!</definedName>
    <definedName name="VOLUME_L3__Beam__1300x800__assumed_">#REF!</definedName>
    <definedName name="VOLUME_L3__Beam__700x800__assumed_">#REF!</definedName>
    <definedName name="VOLUME_L3__Beam__800x800__assumed_">#REF!</definedName>
    <definedName name="VOLUME_L3__C1__800x800">#REF!</definedName>
    <definedName name="VOLUME_L3__C10__400x1000">#REF!</definedName>
    <definedName name="VOLUME_L3__C2__600x1200__assumed_size_as_per_plan_">#REF!</definedName>
    <definedName name="VOLUME_L3__C2__800x800">#REF!</definedName>
    <definedName name="VOLUME_L3__C3__800dia">#REF!</definedName>
    <definedName name="VOLUME_L3__C4__600x600">#REF!</definedName>
    <definedName name="VOLUME_L3__C5__400x400">#REF!</definedName>
    <definedName name="VOLUME_L3__C6__600x1200">#REF!</definedName>
    <definedName name="VOLUME_L3__C7__600x800">#REF!</definedName>
    <definedName name="VOLUME_L3__C8__550dia">#REF!</definedName>
    <definedName name="VOLUME_L3__C9__600dia">#REF!</definedName>
    <definedName name="VOLUME_L3__Column_Head__3000x3000x400">#REF!</definedName>
    <definedName name="VOLUME_L3__TW1_250">#REF!</definedName>
    <definedName name="VOLUME_L3__TW2_200">#REF!</definedName>
    <definedName name="VOLUME_L3__TW3_300">#REF!</definedName>
    <definedName name="VOLUME_L3__TW4_600">#REF!</definedName>
    <definedName name="VOLUME_L3__TW5_300">#REF!</definedName>
    <definedName name="VOLUME_L3__W1__250">#REF!</definedName>
    <definedName name="VOLUME_L3__W1__250_curved">#REF!</definedName>
    <definedName name="VOLUME_L3_Beams">#REF!</definedName>
    <definedName name="VOLUME_L3_Slab_200">#REF!</definedName>
    <definedName name="VOLUME_L3_Slab_240">#REF!</definedName>
    <definedName name="VOLUME_L3_Slab_280">#REF!</definedName>
    <definedName name="VOLUME_L30__COMFLOR_100">#REF!</definedName>
    <definedName name="VOLUME_L30__HEA_320">#REF!</definedName>
    <definedName name="VOLUME_L30__HEB_160">#REF!</definedName>
    <definedName name="VOLUME_L30__HEM_180">#REF!</definedName>
    <definedName name="VOLUME_L30__RHS_400x200x16">#REF!</definedName>
    <definedName name="VOLUME_L30__TW1_250">#REF!</definedName>
    <definedName name="VOLUME_L30__TW2_200">#REF!</definedName>
    <definedName name="VOLUME_L30__TW3_300">#REF!</definedName>
    <definedName name="VOLUME_L30__TW4_600">#REF!</definedName>
    <definedName name="VOLUME_L30_Beams">#REF!</definedName>
    <definedName name="VOLUME_L30_Slab_200">#REF!</definedName>
    <definedName name="VOLUME_L30_Slab_240">#REF!</definedName>
    <definedName name="VOLUME_L30_Slab_280">#REF!</definedName>
    <definedName name="VOLUME_L31__COMFLOR_100">#REF!</definedName>
    <definedName name="VOLUME_L31__HEA_320">#REF!</definedName>
    <definedName name="VOLUME_L31__HEB_160">#REF!</definedName>
    <definedName name="VOLUME_L31__HEM_180">#REF!</definedName>
    <definedName name="VOLUME_L31__RHS_400x200x16">#REF!</definedName>
    <definedName name="VOLUME_L31__TW1_250">#REF!</definedName>
    <definedName name="VOLUME_L31__TW2_200">#REF!</definedName>
    <definedName name="VOLUME_L31__TW3_300">#REF!</definedName>
    <definedName name="VOLUME_L31__TW4_600">#REF!</definedName>
    <definedName name="VOLUME_L31__TW5_300">#REF!</definedName>
    <definedName name="VOLUME_L31_Beams">#REF!</definedName>
    <definedName name="VOLUME_L31_Slab_200">#REF!</definedName>
    <definedName name="VOLUME_L31_Slab_240">#REF!</definedName>
    <definedName name="VOLUME_L31_Slab_280">#REF!</definedName>
    <definedName name="VOLUME_L32__RC_SLAB_500mm_THICK">#REF!</definedName>
    <definedName name="VOLUME_L33__COMFLOR_100">#REF!</definedName>
    <definedName name="VOLUME_L33__HEA_320">#REF!</definedName>
    <definedName name="VOLUME_L33__HEB_160">#REF!</definedName>
    <definedName name="VOLUME_L33__HEM_180">#REF!</definedName>
    <definedName name="VOLUME_L33__RHS_400x200x16">#REF!</definedName>
    <definedName name="VOLUME_L34__COMFLOR_100">#REF!</definedName>
    <definedName name="VOLUME_L34__HEA_320">#REF!</definedName>
    <definedName name="VOLUME_L34__HEB_160">#REF!</definedName>
    <definedName name="VOLUME_L34__HEM_180">#REF!</definedName>
    <definedName name="VOLUME_L34__RHS_400x200x16">#REF!</definedName>
    <definedName name="VOLUME_L35__COMFLOR_100">#REF!</definedName>
    <definedName name="VOLUME_L35__HEA_320">#REF!</definedName>
    <definedName name="VOLUME_L35__HEB_160">#REF!</definedName>
    <definedName name="VOLUME_L35__HEM_180">#REF!</definedName>
    <definedName name="VOLUME_L35__RHS_400x200x16">#REF!</definedName>
    <definedName name="VOLUME_L36__COMFLOR_100">#REF!</definedName>
    <definedName name="VOLUME_L36__CONC_SLAB">#REF!</definedName>
    <definedName name="VOLUME_L36__HEA_320">#REF!</definedName>
    <definedName name="VOLUME_L36__HEB_160">#REF!</definedName>
    <definedName name="VOLUME_L36__HEM_180">#REF!</definedName>
    <definedName name="VOLUME_L36__RHS_400x200x16">#REF!</definedName>
    <definedName name="VOLUME_L36__TW1_250">#REF!</definedName>
    <definedName name="VOLUME_L36__TW2_200">#REF!</definedName>
    <definedName name="VOLUME_L36__TW3_300">#REF!</definedName>
    <definedName name="VOLUME_L36__TW5_300">#REF!</definedName>
    <definedName name="VOLUME_L36_Beams">#REF!</definedName>
    <definedName name="VOLUME_L36_Slab_200">#REF!</definedName>
    <definedName name="VOLUME_L36_Slab_240">#REF!</definedName>
    <definedName name="VOLUME_L36_Slab_280">#REF!</definedName>
    <definedName name="VOLUME_L36_Slab_500">#REF!</definedName>
    <definedName name="VOLUME_L37__COMFLOR_100">#REF!</definedName>
    <definedName name="VOLUME_L37__HEA_320">#REF!</definedName>
    <definedName name="VOLUME_L37__HEB_160">#REF!</definedName>
    <definedName name="VOLUME_L37__HEM_180">#REF!</definedName>
    <definedName name="VOLUME_L37__RHS_400x200x16">#REF!</definedName>
    <definedName name="VOLUME_L37__TW1_250">#REF!</definedName>
    <definedName name="VOLUME_L37__TW2_200">#REF!</definedName>
    <definedName name="VOLUME_L37__TW3_300">#REF!</definedName>
    <definedName name="VOLUME_L37__TW5_300">#REF!</definedName>
    <definedName name="VOLUME_L37_Beams">#REF!</definedName>
    <definedName name="VOLUME_L37_Slab_200">#REF!</definedName>
    <definedName name="VOLUME_L37_Slab_350">#REF!</definedName>
    <definedName name="VOLUME_L38__Bracing_Elemnt_Passing_Lift_Over_Run">#REF!</definedName>
    <definedName name="VOLUME_L38__COMFLOR_100">#REF!</definedName>
    <definedName name="VOLUME_L38__HEA_320">#REF!</definedName>
    <definedName name="VOLUME_L38__HEB_160">#REF!</definedName>
    <definedName name="VOLUME_L38__HEM_180">#REF!</definedName>
    <definedName name="VOLUME_L38__RHS_400x200x16">#REF!</definedName>
    <definedName name="VOLUME_L38__TW1_250">#REF!</definedName>
    <definedName name="VOLUME_L38__TW2_200">#REF!</definedName>
    <definedName name="VOLUME_L38__TW3_300">#REF!</definedName>
    <definedName name="VOLUME_L38__TW5_300">#REF!</definedName>
    <definedName name="VOLUME_L38_Beams">#REF!</definedName>
    <definedName name="VOLUME_L38_Slab_200">#REF!</definedName>
    <definedName name="VOLUME_L38_Slab_350">#REF!</definedName>
    <definedName name="VOLUME_L39__2nd_Layer__HEA_320">#REF!</definedName>
    <definedName name="VOLUME_L39__2nd_Layer__HEB_160">#REF!</definedName>
    <definedName name="VOLUME_L39__2nd_Layer__HEM_180">#REF!</definedName>
    <definedName name="VOLUME_L39__2nd_Layer__RHS_400x200x16">#REF!</definedName>
    <definedName name="VOLUME_L39__Bracing_Elemnt_Passing_Lift_Over_Run">#REF!</definedName>
    <definedName name="VOLUME_L39__COMFLOR_100">#REF!</definedName>
    <definedName name="VOLUME_L39__HEA_320">#REF!</definedName>
    <definedName name="VOLUME_L39__HEB_160">#REF!</definedName>
    <definedName name="VOLUME_L39__HEM_180">#REF!</definedName>
    <definedName name="VOLUME_L39__RHS_400x200x16">#REF!</definedName>
    <definedName name="VOLUME_L4___1000x1500mm_curved">#REF!</definedName>
    <definedName name="VOLUME_L4___1500x1500x1500mm">#REF!</definedName>
    <definedName name="VOLUME_L4___600mm_diameter">#REF!</definedName>
    <definedName name="VOLUME_L4___750mm_diameter">#REF!</definedName>
    <definedName name="VOLUME_L4___800x1500mm">#REF!</definedName>
    <definedName name="VOLUME_L4___800x1500mm_curved">#REF!</definedName>
    <definedName name="VOLUME_L4__B1__800x600">#REF!</definedName>
    <definedName name="VOLUME_L4__B1__800x600_curved">#REF!</definedName>
    <definedName name="VOLUME_L4__B2__800x1000">#REF!</definedName>
    <definedName name="VOLUME_L4__B2__800x1000_curved">#REF!</definedName>
    <definedName name="VOLUME_L4__B3__800x1300">#REF!</definedName>
    <definedName name="VOLUME_L4__B3__800x1300_curved">#REF!</definedName>
    <definedName name="VOLUME_L4__B4__1500x1600_curved">#REF!</definedName>
    <definedName name="VOLUME_L4__Beam__300x600__assumed_">#REF!</definedName>
    <definedName name="VOLUME_L4__C3__800dia">#REF!</definedName>
    <definedName name="VOLUME_L4__C6__550dia__assumed_size_as_per_plan_">#REF!</definedName>
    <definedName name="VOLUME_L4__C9__600dia">#REF!</definedName>
    <definedName name="VOLUME_L4__Column_Head__4000x4000x400">#REF!</definedName>
    <definedName name="VOLUME_L4__W1__250">#REF!</definedName>
    <definedName name="VOLUME_L4__W1__250_curved">#REF!</definedName>
    <definedName name="VOLUME_L4__W2__350">#REF!</definedName>
    <definedName name="VOLUME_L4__W2__350_curved">#REF!</definedName>
    <definedName name="VOLUME_L40__2nd_Layer__RHS_400x200x16">#REF!</definedName>
    <definedName name="VOLUME_L40__Bracing_Elemnt_Passing_Lift_Over_Run">#REF!</definedName>
    <definedName name="VOLUME_L40__COMFLOR_100">#REF!</definedName>
    <definedName name="VOLUME_L40__HEB_320">#REF!</definedName>
    <definedName name="VOLUME_L40__RHS_400x200x16">#REF!</definedName>
    <definedName name="VOLUME_L40__RHS_450x450x25">#REF!</definedName>
    <definedName name="VOLUME_L40__RHS_500x300x20">#REF!</definedName>
    <definedName name="VOLUME_L40__Trussing_spanning_column_restrai">#REF!</definedName>
    <definedName name="VOLUME_L41__2nd_Layer__RHS_400x200x16">#REF!</definedName>
    <definedName name="VOLUME_L41__Bracing_Elemnt_Passing_Lift_Over_Run">#REF!</definedName>
    <definedName name="VOLUME_L41__COMFLOR_100">#REF!</definedName>
    <definedName name="VOLUME_L41__Flying_Strut">#REF!</definedName>
    <definedName name="VOLUME_L41__HEB_320">#REF!</definedName>
    <definedName name="VOLUME_L41__RHS_400x200x16">#REF!</definedName>
    <definedName name="VOLUME_L41__RHS_450x450x25">#REF!</definedName>
    <definedName name="VOLUME_L41__RHS_500x300x20">#REF!</definedName>
    <definedName name="VOLUME_L42__2nd_Layer__RHS_400x200x16">#REF!</definedName>
    <definedName name="VOLUME_L42__COMFLOR_100">#REF!</definedName>
    <definedName name="VOLUME_L42__HEB_320">#REF!</definedName>
    <definedName name="VOLUME_L42__RHS_400x420x16">#REF!</definedName>
    <definedName name="VOLUME_L42__RHS_450x450x25">#REF!</definedName>
    <definedName name="VOLUME_L42__RHS_500x300x20">#REF!</definedName>
    <definedName name="VOLUME_L43__COMFLOR_100">#REF!</definedName>
    <definedName name="VOLUME_L43__HE_320">#REF!</definedName>
    <definedName name="VOLUME_L44__COMFLOR_100">#REF!</definedName>
    <definedName name="VOLUME_L44__HEA_320">#REF!</definedName>
    <definedName name="VOLUME_L45__COMFLOR_100">#REF!</definedName>
    <definedName name="VOLUME_L46__COMFLOR_100">#REF!</definedName>
    <definedName name="VOLUME_L47__COMFLOR_100">#REF!</definedName>
    <definedName name="VOLUME_L48__RC_SLAB_350mm_THICK">#REF!</definedName>
    <definedName name="VOLUME_L49__COMFLOR_100">#REF!</definedName>
    <definedName name="VOLUME_L49__HEB_260">#REF!</definedName>
    <definedName name="VOLUME_L5___Slab_on_grade">#REF!</definedName>
    <definedName name="VOLUME_L5__B1__500x1300_curved">#REF!</definedName>
    <definedName name="VOLUME_L5__B2__800x1300">#REF!</definedName>
    <definedName name="VOLUME_L5__B2__800x1300_curved">#REF!</definedName>
    <definedName name="VOLUME_L5__B3__800x1100">#REF!</definedName>
    <definedName name="VOLUME_L5__B3__800x1100_curved">#REF!</definedName>
    <definedName name="VOLUME_L5__B4__800x1600">#REF!</definedName>
    <definedName name="VOLUME_L5__B5__400x800">#REF!</definedName>
    <definedName name="VOLUME_L5__B6__600x1250">#REF!</definedName>
    <definedName name="VOLUME_L5__B6__600x1250_curved">#REF!</definedName>
    <definedName name="VOLUME_L5__B7__800x1250">#REF!</definedName>
    <definedName name="VOLUME_L5__B7__800x1250_curved">#REF!</definedName>
    <definedName name="VOLUME_L5__B8__1400x1250_curved">#REF!</definedName>
    <definedName name="VOLUME_L5__B9__1800x1250">#REF!</definedName>
    <definedName name="VOLUME_L5__B9__1800x1250_curved">#REF!</definedName>
    <definedName name="VOLUME_L5__Beam__800x1600_curved__assumed_">#REF!</definedName>
    <definedName name="VOLUME_L50__COMFLOR_100">#REF!</definedName>
    <definedName name="VOLUME_L50__HEB_260">#REF!</definedName>
    <definedName name="VOLUME_L51__COMFLOR_100">#REF!</definedName>
    <definedName name="VOLUME_Land_Area">#REF!</definedName>
    <definedName name="VOLUME_Lettable_Area__lvl_3_">#REF!</definedName>
    <definedName name="VOLUME_Lettable_areas__lvl_2_">#REF!</definedName>
    <definedName name="VOLUME_Level_3_balcony_handrails">#REF!</definedName>
    <definedName name="VOLUME_Lift_voids__GF_">#REF!</definedName>
    <definedName name="VOLUME_Lift_voids__lvl_1_">#REF!</definedName>
    <definedName name="VOLUME_Lift_voids__lvl_2_">#REF!</definedName>
    <definedName name="VOLUME_Lift_voids__lvl_3_">#REF!</definedName>
    <definedName name="VOLUME_Lift_voids__Podium_1_">#REF!</definedName>
    <definedName name="VOLUME_Lift_Voids__Podium_2_">#REF!</definedName>
    <definedName name="VOLUME_Lift_voids__Roof_">#REF!</definedName>
    <definedName name="VOLUME_Louver_1A">#REF!</definedName>
    <definedName name="VOLUME_lvl_1__BOH_">#REF!</definedName>
    <definedName name="VOLUME_lvl_1__Car_Park_">#REF!</definedName>
    <definedName name="VOLUME_lvl_1__Externals_">#REF!</definedName>
    <definedName name="VOLUME_lvl_1__FOH_Areas_">#REF!</definedName>
    <definedName name="VOLUME_lvl_1__FOH_Circulation_">#REF!</definedName>
    <definedName name="VOLUME_lvl_1__GFA_">#REF!</definedName>
    <definedName name="VOLUME_lvl_1__GIFA_">#REF!</definedName>
    <definedName name="VOLUME_lvl_1__offices_">#REF!</definedName>
    <definedName name="VOLUME_lvl_1__Stairs_">#REF!</definedName>
    <definedName name="VOLUME_lvl_1__vertical_storage_">#REF!</definedName>
    <definedName name="VOLUME_lvl_1__Voids_">#REF!</definedName>
    <definedName name="VOLUME_lvl_1__WCs_">#REF!</definedName>
    <definedName name="VOLUME_lvl_1_BOH">#REF!</definedName>
    <definedName name="VOLUME_lvl_1_Doors_Internal_Double__FOH_">#REF!</definedName>
    <definedName name="VOLUME_lvl_1_Doors_Internal_Single__BOH_">#REF!</definedName>
    <definedName name="VOLUME_lvl_1_Doors_Internal_Single__FOH_">#REF!</definedName>
    <definedName name="VOLUME_lvl_1_External_Double_door__FOH_">#REF!</definedName>
    <definedName name="VOLUME_lvl_1_External_double_doors__FOH_">#REF!</definedName>
    <definedName name="VOLUME_lvl_1_FOH">#REF!</definedName>
    <definedName name="VOLUME_lvl_1_GFA">#REF!</definedName>
    <definedName name="VOLUME_lvl_1_GIFA">#REF!</definedName>
    <definedName name="VOLUME_lvl_1_Internal_Double_doors__BOH_">#REF!</definedName>
    <definedName name="VOLUME_lvl_1_Internal_double_doors__FOH_">#REF!</definedName>
    <definedName name="VOLUME_lvl_1_Internal_single_doors__BOH_">#REF!</definedName>
    <definedName name="VOLUME_lvl_1_Internal_single_doors__FOH_">#REF!</definedName>
    <definedName name="VOLUME_lvl_1_Internal_single_doors__Stairs_">#REF!</definedName>
    <definedName name="VOLUME_lvl_1_Offices">#REF!</definedName>
    <definedName name="VOLUME_lvl_1_Stairs">#REF!</definedName>
    <definedName name="VOLUME_lvl_1_Store">#REF!</definedName>
    <definedName name="VOLUME_lvl_1_Voids">#REF!</definedName>
    <definedName name="VOLUME_lvl_2__Apartments_">#REF!</definedName>
    <definedName name="VOLUME_lvl_2__BOH_">#REF!</definedName>
    <definedName name="VOLUME_lvl_2__FOH_Circulation_">#REF!</definedName>
    <definedName name="VOLUME_lvl_2__GFA_">#REF!</definedName>
    <definedName name="VOLUME_lvl_2__GIFA_">#REF!</definedName>
    <definedName name="VOLUME_lvl_2__Stairs_">#REF!</definedName>
    <definedName name="VOLUME_lvl_2__Voids_">#REF!</definedName>
    <definedName name="VOLUME_lvl_2_External_dble_doors__FOH_">#REF!</definedName>
    <definedName name="VOLUME_lvl_2_Internal_dble_doors__Aprt_">#REF!</definedName>
    <definedName name="VOLUME_lvl_2_Internal_double_doors__BOH_">#REF!</definedName>
    <definedName name="VOLUME_lvl_2_Internal_Single_doors__Apartments_">#REF!</definedName>
    <definedName name="VOLUME_lvl_2_Internal_Single_doors__Apartments_Entrances_">#REF!</definedName>
    <definedName name="VOLUME_lvl_2_Internal_single_doors__Aprt_">#REF!</definedName>
    <definedName name="VOLUME_lvl_2_Internal_single_doors__Aprt_Entrance_">#REF!</definedName>
    <definedName name="VOLUME_lvl_2_Internal_Single_doors__BOH_">#REF!</definedName>
    <definedName name="VOLUME_lvl_2_Internal_Sliding_doors__Apartments_">#REF!</definedName>
    <definedName name="VOLUME_lvl_2_Internal_sliding_doors__Aprt_">#REF!</definedName>
    <definedName name="VOLUME_lvl_3__Apartments_">#REF!</definedName>
    <definedName name="VOLUME_lvl_3__BOH_">#REF!</definedName>
    <definedName name="VOLUME_lvl_3__Car_Park_">#REF!</definedName>
    <definedName name="VOLUME_lvl_3__FOH_Circulation_">#REF!</definedName>
    <definedName name="VOLUME_lvl_3__GFA_">#REF!</definedName>
    <definedName name="VOLUME_lvl_3__GIFA_">#REF!</definedName>
    <definedName name="VOLUME_lvl_3__Stairs_">#REF!</definedName>
    <definedName name="VOLUME_lvl_3__voids_">#REF!</definedName>
    <definedName name="VOLUME_lvl_3_External_balcony_doors__Aprt_">#REF!</definedName>
    <definedName name="VOLUME_lvl_3_Internal_dble_doors__Aprt_">#REF!</definedName>
    <definedName name="VOLUME_lvl_3_Internal_Double_doors__BOH_">#REF!</definedName>
    <definedName name="VOLUME_lvl_3_Internal_Single_doors__Apartment_">#REF!</definedName>
    <definedName name="VOLUME_lvl_3_Internal_Single_doors__Apartment_entrances_">#REF!</definedName>
    <definedName name="VOLUME_lvl_3_Internal_single_doors__Aprt_">#REF!</definedName>
    <definedName name="VOLUME_lvl_3_Internal_single_doors__Aprt_entrance_">#REF!</definedName>
    <definedName name="VOLUME_lvl_3_Internal_Single_doors__BOH_">#REF!</definedName>
    <definedName name="VOLUME_lvl_3_Internal_Single_doors__FOH_">#REF!</definedName>
    <definedName name="VOLUME_lvl_3_Internal_Sliding_doors__Apartment_">#REF!</definedName>
    <definedName name="VOLUME_lvl_3_Internal_sliding_doors__Aprt_">#REF!</definedName>
    <definedName name="VOLUME_lvl_5__BOH_">#REF!</definedName>
    <definedName name="VOLUME_lvl_5__Externals_">#REF!</definedName>
    <definedName name="VOLUME_lvl_5__GFA_">#REF!</definedName>
    <definedName name="VOLUME_lvl_5__GIFA_">#REF!</definedName>
    <definedName name="VOLUME_lvl_5__Stairs_">#REF!</definedName>
    <definedName name="VOLUME_lvl_5__voids_">#REF!</definedName>
    <definedName name="VOLUME_lvl_5_External_Single_Door__BOH_">#REF!</definedName>
    <definedName name="VOLUME_lvl_6__BOH_">#REF!</definedName>
    <definedName name="VOLUME_lvl_6__Externals_">#REF!</definedName>
    <definedName name="VOLUME_lvl_6__FOH_amenities_">#REF!</definedName>
    <definedName name="VOLUME_lvl_6__FOH_Circulation_">#REF!</definedName>
    <definedName name="VOLUME_lvl_6__GFA_">#REF!</definedName>
    <definedName name="VOLUME_lvl_6__GIFA_">#REF!</definedName>
    <definedName name="VOLUME_lvl_6__Pool_">#REF!</definedName>
    <definedName name="VOLUME_lvl_6__Roof___Pool_deck_">#REF!</definedName>
    <definedName name="VOLUME_lvl_6__Stairs_">#REF!</definedName>
    <definedName name="VOLUME_lvl_6__Voids_">#REF!</definedName>
    <definedName name="VOLUME_lvl_6_External_double_doors__BOH_">#REF!</definedName>
    <definedName name="VOLUME_lvl_6_External_double_doors__FOH_">#REF!</definedName>
    <definedName name="VOLUME_lvl_6_External_single_doors__BOH_">#REF!</definedName>
    <definedName name="VOLUME_lvl_6_Internal_Single_doors__BOH_">#REF!</definedName>
    <definedName name="VOLUME_lvl_6_Internal_Single_doors__FOH_">#REF!</definedName>
    <definedName name="VOLUME_M01__Column_C1">#REF!</definedName>
    <definedName name="VOLUME_M01__Column_C10">#REF!</definedName>
    <definedName name="VOLUME_M01__Column_C11">#REF!</definedName>
    <definedName name="VOLUME_M01__Column_C12">#REF!</definedName>
    <definedName name="VOLUME_M01__Column_C2">#REF!</definedName>
    <definedName name="VOLUME_M01__Column_C3">#REF!</definedName>
    <definedName name="VOLUME_M01__Column_C4">#REF!</definedName>
    <definedName name="VOLUME_M01__Column_C5">#REF!</definedName>
    <definedName name="VOLUME_M01__Column_C6">#REF!</definedName>
    <definedName name="VOLUME_M01__Column_C7">#REF!</definedName>
    <definedName name="VOLUME_M01__Column_C8">#REF!</definedName>
    <definedName name="VOLUME_M01__Column_C9">#REF!</definedName>
    <definedName name="VOLUME_M01__Column_FC1">#REF!</definedName>
    <definedName name="VOLUME_M01__Column_TC1">#REF!</definedName>
    <definedName name="VOLUME_M01__Column_TC2">#REF!</definedName>
    <definedName name="VOLUME_M01__Column_TC3">#REF!</definedName>
    <definedName name="VOLUME_M01__Column_TC4">#REF!</definedName>
    <definedName name="VOLUME_M01__Column_TC5">#REF!</definedName>
    <definedName name="VOLUME_M1__TW1_250">#REF!</definedName>
    <definedName name="VOLUME_M1__TW2_200">#REF!</definedName>
    <definedName name="VOLUME_M1__TW3_300">#REF!</definedName>
    <definedName name="VOLUME_M1__TW3_400">#REF!</definedName>
    <definedName name="VOLUME_M1__TW4_500">#REF!</definedName>
    <definedName name="VOLUME_M1__TW4_600">#REF!</definedName>
    <definedName name="VOLUME_M1__TW5_300">#REF!</definedName>
    <definedName name="VOLUME_M1_Beams">#REF!</definedName>
    <definedName name="VOLUME_M1_DP">#REF!</definedName>
    <definedName name="VOLUME_M1_DP1">#REF!</definedName>
    <definedName name="VOLUME_M1_DP10">#REF!</definedName>
    <definedName name="VOLUME_M1_DP2">#REF!</definedName>
    <definedName name="VOLUME_M1_DP3">#REF!</definedName>
    <definedName name="VOLUME_M1_DP4">#REF!</definedName>
    <definedName name="VOLUME_M1_DP7">#REF!</definedName>
    <definedName name="VOLUME_M1_DP8">#REF!</definedName>
    <definedName name="VOLUME_M1_DP9">#REF!</definedName>
    <definedName name="VOLUME_M1_Ramp">#REF!</definedName>
    <definedName name="VOLUME_M1_Slab_200">#REF!</definedName>
    <definedName name="VOLUME_M1_Slab_220">#REF!</definedName>
    <definedName name="VOLUME_M1_Slab_250">#REF!</definedName>
    <definedName name="VOLUME_M1_Slab_280">#REF!</definedName>
    <definedName name="VOLUME_Mezz">#REF!</definedName>
    <definedName name="VOLUME_Mezzanine___BOH___Admin_Support">#REF!</definedName>
    <definedName name="VOLUME_Mezzanine___BOH___Administration_Offices">#REF!</definedName>
    <definedName name="VOLUME_Mezzanine___BOH___Administration_Offices_Toilet">#REF!</definedName>
    <definedName name="VOLUME_Mezzanine___BOH___Conference___Meeting">#REF!</definedName>
    <definedName name="VOLUME_Mezzanine___BOH___Event_Center_Core">#REF!</definedName>
    <definedName name="VOLUME_Mezzanine___BOH___Event_Center_Core_lift_shafts">#REF!</definedName>
    <definedName name="VOLUME_Mezzanine___BOH___Event_Center_Pantry___Service">#REF!</definedName>
    <definedName name="VOLUME_Mezzanine___BOH___Event_Center_Service">#REF!</definedName>
    <definedName name="VOLUME_Mezzanine___BOH___Finance___Accounting">#REF!</definedName>
    <definedName name="VOLUME_Mezzanine___BOH___Fire_Escape_Stairs">#REF!</definedName>
    <definedName name="VOLUME_Mezzanine___BOH___Guest_Core">#REF!</definedName>
    <definedName name="VOLUME_Mezzanine___BOH___Guest_Core_lift_shafts">#REF!</definedName>
    <definedName name="VOLUME_Mezzanine___BOH___Reservation___PABX">#REF!</definedName>
    <definedName name="VOLUME_Mezzanine___BOH___Service_Core">#REF!</definedName>
    <definedName name="VOLUME_Mezzanine___BOH___Service_Core_ducts">#REF!</definedName>
    <definedName name="VOLUME_Mezzanine___BOH___Service_Core_lift_shafts">#REF!</definedName>
    <definedName name="VOLUME_Mezzanine___BOH___Staff_Core">#REF!</definedName>
    <definedName name="VOLUME_Mezzanine___BOH___Staff_Core_lift_shafts">#REF!</definedName>
    <definedName name="VOLUME_Mezzanine___Double_Volume__Conference___Meeting_">#REF!</definedName>
    <definedName name="VOLUME_Mezzanine___Double_Volume__Lobby_Bar_">#REF!</definedName>
    <definedName name="VOLUME_Mezzanine___Double_Volume__Reception_Lobby_">#REF!</definedName>
    <definedName name="VOLUME_Mezzanine___FOH___Ball_Room">#REF!</definedName>
    <definedName name="VOLUME_Mezzanine___FOH___Ball_Room_Pre_Function">#REF!</definedName>
    <definedName name="VOLUME_Mezzanine___FOH___Circulation">#REF!</definedName>
    <definedName name="VOLUME_Mezzanine___FOH___Guestroom_Terrace">#REF!</definedName>
    <definedName name="VOLUME_Mezzanine___FOH___Guestrooms">#REF!</definedName>
    <definedName name="VOLUME_MF_Admin._Offices_area">#REF!</definedName>
    <definedName name="VOLUME_MF_BOH_Service_and_Utility_area">#REF!</definedName>
    <definedName name="VOLUME_MF_BOH_Staircase">#REF!</definedName>
    <definedName name="VOLUME_MF_Circulation_Corr._to_Admin._Offices">#REF!</definedName>
    <definedName name="VOLUME_MF_Guest_Core">#REF!</definedName>
    <definedName name="VOLUME_MF_Guestrooms">#REF!</definedName>
    <definedName name="VOLUME_MF_HGR_BOH">#REF!</definedName>
    <definedName name="VOLUME_MF_HGR_Circulation">#REF!</definedName>
    <definedName name="VOLUME_MF_HGR_Covered_Balcony">#REF!</definedName>
    <definedName name="VOLUME_MF_HGR_Fire_Staircase">#REF!</definedName>
    <definedName name="VOLUME_MF_Lift_Shaft">#REF!</definedName>
    <definedName name="VOLUME_MF_Roof_of_MEP_area">#REF!</definedName>
    <definedName name="VOLUME_MF_Services_Core">#REF!</definedName>
    <definedName name="VOLUME_MF_Voids___Dead_space">#REF!</definedName>
    <definedName name="VOLUME_Non_return_valve">#REF!</definedName>
    <definedName name="VOLUME_Open_Terrace___2F">#REF!</definedName>
    <definedName name="VOLUME_Open_Terrace___3F">#REF!</definedName>
    <definedName name="VOLUME_Open_Terrace___4F">#REF!</definedName>
    <definedName name="VOLUME_Parapet_capping">#REF!</definedName>
    <definedName name="VOLUME_Parapet_capping_1CRF">#REF!</definedName>
    <definedName name="VOLUME_Parapet_capping1BRF">#REF!</definedName>
    <definedName name="VOLUME_Pedestrian_Access">#REF!</definedName>
    <definedName name="VOLUME_PLATE___1F">#REF!</definedName>
    <definedName name="VOLUME_PLATE___2F">#REF!</definedName>
    <definedName name="VOLUME_PLATE___3F">#REF!</definedName>
    <definedName name="VOLUME_PLATE___4F">#REF!</definedName>
    <definedName name="VOLUME_PLATE___5F">#REF!</definedName>
    <definedName name="VOLUME_PLATE___B1">#REF!</definedName>
    <definedName name="VOLUME_PLATE___B2">#REF!</definedName>
    <definedName name="VOLUME_PLATE___GF">#REF!</definedName>
    <definedName name="VOLUME_PLATE___MF">#REF!</definedName>
    <definedName name="VOLUME_Plot_Area">#REF!</definedName>
    <definedName name="VOLUME_Pod_1_Internal_single_doors__BOH_">#REF!</definedName>
    <definedName name="VOLUME_Pod_1_Internal_single_doors__FOH_">#REF!</definedName>
    <definedName name="VOLUME_Pod_2___Internal_single_doors__BOH_">#REF!</definedName>
    <definedName name="VOLUME_Pod_2___Internal_single_doors__FOH_">#REF!</definedName>
    <definedName name="VOLUME_Pond">#REF!</definedName>
    <definedName name="VOLUME_Public_Toilets__GF_">#REF!</definedName>
    <definedName name="VOLUME_Raft___13800mm_thick_raft">#REF!</definedName>
    <definedName name="VOLUME_Rainwater_Drain">#REF!</definedName>
    <definedName name="VOLUME_Rainwater_Drain_GF">#REF!</definedName>
    <definedName name="VOLUME_Rainwater_Drain_Pipe">#REF!</definedName>
    <definedName name="VOLUME_RF__Isolation_Valve">#REF!</definedName>
    <definedName name="VOLUME_Roof__Canopies">#REF!</definedName>
    <definedName name="VOLUME_Roof__Suspened_Roof">#REF!</definedName>
    <definedName name="VOLUME_Roof_External_single_doors__FOH_">#REF!</definedName>
    <definedName name="VOLUME_Roof_Internal_Single_doors__BOH_">#REF!</definedName>
    <definedName name="VOLUME_Roof_Internal_single_doors__FOH_">#REF!</definedName>
    <definedName name="VOLUME_Roof_Terrace___3F">#REF!</definedName>
    <definedName name="VOLUME_Roof_Terrace___4F">#REF!</definedName>
    <definedName name="VOLUME_Roof_Terrace___5F">#REF!</definedName>
    <definedName name="VOLUME_RWO">#REF!</definedName>
    <definedName name="VOLUME_Sellable">#REF!</definedName>
    <definedName name="VOLUME_Shops__GF_">#REF!</definedName>
    <definedName name="VOLUME_Stairs__GF_">#REF!</definedName>
    <definedName name="VOLUME_Stairs__lvl_1_">#REF!</definedName>
    <definedName name="VOLUME_Stairs__lvl_2_">#REF!</definedName>
    <definedName name="VOLUME_Stairs__lvl_3_">#REF!</definedName>
    <definedName name="VOLUME_Stairs__Podium_1_">#REF!</definedName>
    <definedName name="VOLUME_Stairs__Podium_2_">#REF!</definedName>
    <definedName name="VOLUME_Stairs__riser___Ceramic_floor_tile_ff05">#REF!</definedName>
    <definedName name="VOLUME_Stairs__Risers_150mm___Ceramic_Floor_tile_FF05___Copy">#REF!</definedName>
    <definedName name="VOLUME_stairs__Roof_">#REF!</definedName>
    <definedName name="VOLUME_Stairs__Skirting">#REF!</definedName>
    <definedName name="VOLUME_Stairs__step_200mm___Ceramic_Floor_tile_FF05">#REF!</definedName>
    <definedName name="VOLUME_STRUT_RAFT">#REF!</definedName>
    <definedName name="VOLUME_Studio_2_burner_hob">#REF!</definedName>
    <definedName name="VOLUME_Studio_balcony">#REF!</definedName>
    <definedName name="VOLUME_Studio_bath_tub">#REF!</definedName>
    <definedName name="VOLUME_Studio_bath_tub_mixer">#REF!</definedName>
    <definedName name="VOLUME_Studio_Bathroom">#REF!</definedName>
    <definedName name="VOLUME_Studio_Bedroom">#REF!</definedName>
    <definedName name="VOLUME_Studio_kitchen_sink">#REF!</definedName>
    <definedName name="VOLUME_Studio_kitchen_sink_mixer">#REF!</definedName>
    <definedName name="VOLUME_studio_kitchen_units">#REF!</definedName>
    <definedName name="VOLUME_Studio_mirror">#REF!</definedName>
    <definedName name="VOLUME_Studio_NIA">#REF!</definedName>
    <definedName name="VOLUME_Studio_vanitys">#REF!</definedName>
    <definedName name="VOLUME_Studio_wardrobe">#REF!</definedName>
    <definedName name="VOLUME_Studio_Wash_basin">#REF!</definedName>
    <definedName name="VOLUME_Studio_Wash_basin_mixer">#REF!</definedName>
    <definedName name="VOLUME_Studio_Washing_machine">#REF!</definedName>
    <definedName name="VOLUME_Studio_WC">#REF!</definedName>
    <definedName name="VOLUME_T.C._A_01AF">#REF!</definedName>
    <definedName name="VOLUME_T.C._A_01F___U01">#REF!</definedName>
    <definedName name="VOLUME_T.C._A_01F___U02">#REF!</definedName>
    <definedName name="VOLUME_T.C._A_01F___U03">#REF!</definedName>
    <definedName name="VOLUME_T.C._A_01F___U04">#REF!</definedName>
    <definedName name="VOLUME_T.C._A_01F___U05">#REF!</definedName>
    <definedName name="VOLUME_T.C._A_01F___U06">#REF!</definedName>
    <definedName name="VOLUME_T.C._A_02F___04F___U01">#REF!</definedName>
    <definedName name="VOLUME_T.C._A_02F___04F___U02">#REF!</definedName>
    <definedName name="VOLUME_T.C._A_02F___04F___U03">#REF!</definedName>
    <definedName name="VOLUME_T.C._A_02F___04F___U04">#REF!</definedName>
    <definedName name="VOLUME_T.C._A_02F___04F___U06">#REF!</definedName>
    <definedName name="VOLUME_T.C._A_03F___U01">#REF!</definedName>
    <definedName name="VOLUME_T.C._A_03F___U02">#REF!</definedName>
    <definedName name="VOLUME_T.C._A_03F___U03">#REF!</definedName>
    <definedName name="VOLUME_T.C._A_03F___U04">#REF!</definedName>
    <definedName name="VOLUME_T.C._A_03F___U05">#REF!</definedName>
    <definedName name="VOLUME_T.C._A_03F___U06">#REF!</definedName>
    <definedName name="VOLUME_T.C._A_05F___U01">#REF!</definedName>
    <definedName name="VOLUME_T.C._A_05F___U02">#REF!</definedName>
    <definedName name="VOLUME_T.C._A_05F___U03">#REF!</definedName>
    <definedName name="VOLUME_T.C._A_05F___U04">#REF!</definedName>
    <definedName name="VOLUME_T.C._A_05F___U05">#REF!</definedName>
    <definedName name="VOLUME_T.C._A_05F___U06">#REF!</definedName>
    <definedName name="VOLUME_T.C._A_06F___U01">#REF!</definedName>
    <definedName name="VOLUME_T.C._A_06F___U02">#REF!</definedName>
    <definedName name="VOLUME_T.C._A_06F___U03">#REF!</definedName>
    <definedName name="VOLUME_T.C._A_06F___U04">#REF!</definedName>
    <definedName name="VOLUME_T.C._A_06F___U06">#REF!</definedName>
    <definedName name="VOLUME_T.C._A_07F___U01">#REF!</definedName>
    <definedName name="VOLUME_T.C._A_07F___U02">#REF!</definedName>
    <definedName name="VOLUME_T.C._A_07F___U03">#REF!</definedName>
    <definedName name="VOLUME_T.C._A_07F___U04">#REF!</definedName>
    <definedName name="VOLUME_T.C._A_07F___U05">#REF!</definedName>
    <definedName name="VOLUME_T.C._A_07F___U06">#REF!</definedName>
    <definedName name="VOLUME_T.C._A_08f___10F___U01">#REF!</definedName>
    <definedName name="VOLUME_T.C._A_08f___10F___U02">#REF!</definedName>
    <definedName name="VOLUME_T.C._A_08f___10F___U03">#REF!</definedName>
    <definedName name="VOLUME_T.C._A_08f___10F___U04">#REF!</definedName>
    <definedName name="VOLUME_T.C._A_08f___10F___U06">#REF!</definedName>
    <definedName name="VOLUME_T.C._A_09F___U01">#REF!</definedName>
    <definedName name="VOLUME_T.C._A_09F___U02">#REF!</definedName>
    <definedName name="VOLUME_T.C._A_09F___U03">#REF!</definedName>
    <definedName name="VOLUME_T.C._A_09F___U04">#REF!</definedName>
    <definedName name="VOLUME_T.C._A_09F___U05">#REF!</definedName>
    <definedName name="VOLUME_T.C._A_09F___U06">#REF!</definedName>
    <definedName name="VOLUME_T.C._A_11F___U01">#REF!</definedName>
    <definedName name="VOLUME_T.C._A_11F___U02">#REF!</definedName>
    <definedName name="VOLUME_T.C._A_11F___U03">#REF!</definedName>
    <definedName name="VOLUME_T.C._A_11F___U04">#REF!</definedName>
    <definedName name="VOLUME_T.C._A_11F___U05">#REF!</definedName>
    <definedName name="VOLUME_T.C._A_11F___U06">#REF!</definedName>
    <definedName name="VOLUME_T.C._A_12F___U01">#REF!</definedName>
    <definedName name="VOLUME_T.C._A_12F___U02">#REF!</definedName>
    <definedName name="VOLUME_T.C._A_12F___U03">#REF!</definedName>
    <definedName name="VOLUME_T.C._A_12F___U04">#REF!</definedName>
    <definedName name="VOLUME_T.C._A_12F___U06">#REF!</definedName>
    <definedName name="VOLUME_T.C._A_31F___U01">#REF!</definedName>
    <definedName name="VOLUME_T.C._A_31F___U02">#REF!</definedName>
    <definedName name="VOLUME_T.C._A_31F___U03">#REF!</definedName>
    <definedName name="VOLUME_T.C._A_31F___U04">#REF!</definedName>
    <definedName name="VOLUME_T.C._B_GF___main_entrance">#REF!</definedName>
    <definedName name="VOLUME_T.C._B_GF___near_escape_corridor">#REF!</definedName>
    <definedName name="VOLUME_T.C._B_GF___near_ramp">#REF!</definedName>
    <definedName name="VOLUME_T.C._B_GF___near_tech._area">#REF!</definedName>
    <definedName name="VOLUME_T.C._B_GF___stair_3">#REF!</definedName>
    <definedName name="VOLUME_T.U._A_01AF">#REF!</definedName>
    <definedName name="VOLUME_T.U._A_01AF___swimming_pool">#REF!</definedName>
    <definedName name="VOLUME_T.U._A_07F___U03">#REF!</definedName>
    <definedName name="VOLUME_T.U._A_07F___U04">#REF!</definedName>
    <definedName name="VOLUME_T.U._A_31F___U02">#REF!</definedName>
    <definedName name="VOLUME_T.U._A_31F___U05">#REF!</definedName>
    <definedName name="VOLUME_T.U._A_32F___U01">#REF!</definedName>
    <definedName name="VOLUME_T.U._A_32F___U02">#REF!</definedName>
    <definedName name="VOLUME_T.U._A_32F___U03">#REF!</definedName>
    <definedName name="VOLUME_T.U._A_32F___U04">#REF!</definedName>
    <definedName name="VOLUME_T.U._A_33F__">#REF!</definedName>
    <definedName name="VOLUME_T.U._A_35uRF__">#REF!</definedName>
    <definedName name="VOLUME_T.U._B_GF___external_double_volume">#REF!</definedName>
    <definedName name="VOLUME_T.U._B_GF___external_driveway">#REF!</definedName>
    <definedName name="VOLUME_T.U._B_GF___external_ramp">#REF!</definedName>
    <definedName name="VOLUME_T.U._B_GF___external_sidewalk">#REF!</definedName>
    <definedName name="VOLUME_T.U._B_GF___external_stair">#REF!</definedName>
    <definedName name="VOLUME_T.U._B_GF___external_stair___ramp">#REF!</definedName>
    <definedName name="VOLUME_T.U._B_P2F__waterfall">#REF!</definedName>
    <definedName name="VOLUME_Test_Length">#REF!</definedName>
    <definedName name="VOLUME_TH__L02__Column_500_x_1000">#REF!</definedName>
    <definedName name="VOLUME_TH__L02__Column_500_x_1100">#REF!</definedName>
    <definedName name="VOLUME_TH__L02__Column_500_x_1200">#REF!</definedName>
    <definedName name="VOLUME_TH__L02__TW1_250">#REF!</definedName>
    <definedName name="VOLUME_TH__L03__Column_500_x_1000">#REF!</definedName>
    <definedName name="VOLUME_TH__L03__Column_500_x_1100">#REF!</definedName>
    <definedName name="VOLUME_TH__L03__Column_500_x_1200">#REF!</definedName>
    <definedName name="VOLUME_TH__L03__TW1_250">#REF!</definedName>
    <definedName name="VOLUME_TH_L02_Beams">#REF!</definedName>
    <definedName name="VOLUME_TH_L02_Slab_200">#REF!</definedName>
    <definedName name="VOLUME_TH_L02_Slab_250">#REF!</definedName>
    <definedName name="VOLUME_TH_L02_Slab_300">#REF!</definedName>
    <definedName name="VOLUME_TH_L03_Beams">#REF!</definedName>
    <definedName name="VOLUME_TH_L03_Slab_250">#REF!</definedName>
    <definedName name="VOLUME_TH2_V2__Shared_Unit_1_2____1000g_Polystyrene_Sheet_to_Footing">#REF!</definedName>
    <definedName name="VOLUME_TH2_V2__Shared_Unit_1_2____200mm_thk_Suitable_Well_Graded_Compacted_Materiall_90__to_footing">#REF!</definedName>
    <definedName name="VOLUME_TH2_V2__Shared_Unit_1_2____50mm_thk_PCC_to_Footing">#REF!</definedName>
    <definedName name="VOLUME_TH2_V2__Shared_Unit_1_2____Excavation_to_Footing">#REF!</definedName>
    <definedName name="VOLUME_TH2_V2__Shared_Unit_1_2____Soil_Compaction_to_Footing">#REF!</definedName>
    <definedName name="VOLUME_TH2_V2__Shared_Unit_1_2___Concrete_to_Beams__FF">#REF!</definedName>
    <definedName name="VOLUME_TH2_V2__Shared_Unit_1_2___Concrete_to_Beams_GF">#REF!</definedName>
    <definedName name="VOLUME_TH2_V2__Shared_Unit_1_2___Concrete_to_Colum_FF">#REF!</definedName>
    <definedName name="VOLUME_TH2_V2__Shared_Unit_1_2___Concrete_to_Column_below_grade">#REF!</definedName>
    <definedName name="VOLUME_TH2_V2__Shared_Unit_1_2___Concrete_to_Column_GF">#REF!</definedName>
    <definedName name="VOLUME_TH2_V2__Shared_Unit_1_2___Concrete_to_Column_RF">#REF!</definedName>
    <definedName name="VOLUME_TH2_V2__Shared_Unit_1_2___Concrete_to_Footing">#REF!</definedName>
    <definedName name="VOLUME_TH2_V2__Shared_Unit_1_2___Concrete_to_Grade_Beam">#REF!</definedName>
    <definedName name="VOLUME_TH2_V2__Shared_Unit_1_2___Concrete_to_ST_Beams">#REF!</definedName>
    <definedName name="VOLUME_TH2_V2__Shared_Unit_1_2___Excavation_to_ST_Beam">#REF!</definedName>
    <definedName name="VOLUME_TH2_V2__Shared_Unit_1_2___Formworks_to_Sides_of_Beams_FF">#REF!</definedName>
    <definedName name="VOLUME_TH2_V2__Shared_Unit_1_2___Formworks_to_Sides_of_Beams_GF">#REF!</definedName>
    <definedName name="VOLUME_TH2_V2__Shared_Unit_1_2___Formworks_to_Sides_of_Colum___Copy">#REF!</definedName>
    <definedName name="VOLUME_TH2_V2__Shared_Unit_1_2___Formworks_to_Sides_of_Column_GF">#REF!</definedName>
    <definedName name="VOLUME_TH2_V2__Shared_Unit_1_2___Formworks_to_Sides_of_Column_RF">#REF!</definedName>
    <definedName name="VOLUME_TH2_V2__Shared_Unit_1_2___Formworks_to_Sides_of_Columns">#REF!</definedName>
    <definedName name="VOLUME_TH2_V2__Shared_Unit_1_2___Formworks_to_Sides_of_Grade_Beams">#REF!</definedName>
    <definedName name="VOLUME_TH2_V2__Shared_Unit_1_2___Formworks_to_Soffit_of_Beams_FF">#REF!</definedName>
    <definedName name="VOLUME_TH2_V2__Shared_Unit_1_2___Formworks_to_Soffit_of_Beams_GF">#REF!</definedName>
    <definedName name="VOLUME_TH2_V2__Shared_Unit_1_2___Formworks_to_Soffit_of_Grade_Beams">#REF!</definedName>
    <definedName name="VOLUME_TH2_V2__Shared_Unit_1_2___Reinforcement_to_Column">#REF!</definedName>
    <definedName name="VOLUME_TH2_V2__Shared_Unit_1_2___Reinforcement_to_Footing">#REF!</definedName>
    <definedName name="VOLUME_TH2_V2__Unit_1____1000g_polystyrene_Sheet_to_footing">#REF!</definedName>
    <definedName name="VOLUME_TH2_V2__Unit_1____200_thk._Suitable_Well_Graded_Compacted_Materials_to_Footing">#REF!</definedName>
    <definedName name="VOLUME_TH2_V2__Unit_1____50_mm_thk_PCC_to_footing">#REF!</definedName>
    <definedName name="VOLUME_TH2_V2__Unit_1____Excavation_to_Footing">#REF!</definedName>
    <definedName name="VOLUME_TH2_V2__Unit_1____Soil_Compaction_to_Footing">#REF!</definedName>
    <definedName name="VOLUME_TH2_V2__Unit_1___Compacted_Soil_95__ready_to_receive_pavers">#REF!</definedName>
    <definedName name="VOLUME_TH2_V2__Unit_1___Concrete_to_Beams_FF">#REF!</definedName>
    <definedName name="VOLUME_TH2_V2__Unit_1___Concrete_to_Beams_GF">#REF!</definedName>
    <definedName name="VOLUME_TH2_V2__Unit_1___Concrete_to_Column_below_grade">#REF!</definedName>
    <definedName name="VOLUME_TH2_V2__Unit_1___Concrete_to_Column_FF">#REF!</definedName>
    <definedName name="VOLUME_TH2_V2__Unit_1___Concrete_to_Column_GF">#REF!</definedName>
    <definedName name="VOLUME_TH2_V2__Unit_1___Concrete_to_Column_RF">#REF!</definedName>
    <definedName name="VOLUME_TH2_V2__Unit_1___Concrete_to_entry_slabs">#REF!</definedName>
    <definedName name="VOLUME_TH2_V2__Unit_1___Concrete_to_Footing">#REF!</definedName>
    <definedName name="VOLUME_TH2_V2__Unit_1___Concrete_to_Grade_Beams">#REF!</definedName>
    <definedName name="VOLUME_TH2_V2__Unit_1___Concrete_to_Grade_Slab">#REF!</definedName>
    <definedName name="VOLUME_TH2_V2__Unit_1___Concrete_to_Roof">#REF!</definedName>
    <definedName name="VOLUME_TH2_V2__Unit_1___Concrete_to_Roof_Slab_GF">#REF!</definedName>
    <definedName name="VOLUME_TH2_V2__Unit_1___Concrete_to_ST_Beams">#REF!</definedName>
    <definedName name="VOLUME_TH2_V2__Unit_1___Concrete_to_steps">#REF!</definedName>
    <definedName name="VOLUME_TH2_V2__Unit_1___Concrete_to_Suspended_Slab_GF">#REF!</definedName>
    <definedName name="VOLUME_TH2_V2__Unit_1___Concrete_to_Suspended_Slabs_FF">#REF!</definedName>
    <definedName name="VOLUME_TH2_V2__Unit_1___Concrete_to_terrace_slabs">#REF!</definedName>
    <definedName name="VOLUME_TH2_V2__Unit_1___Excavation_to_Footing">#REF!</definedName>
    <definedName name="VOLUME_TH2_V2__Unit_1___Excavation_to_ST_Beams">#REF!</definedName>
    <definedName name="VOLUME_TH2_V2__Unit_1___Formworks_to_Roof">#REF!</definedName>
    <definedName name="VOLUME_TH2_V2__Unit_1___Formworks_to_Roof_Slab_GF">#REF!</definedName>
    <definedName name="VOLUME_TH2_V2__Unit_1___Formworks_to_Sides_Beams_FF">#REF!</definedName>
    <definedName name="VOLUME_TH2_V2__Unit_1___Formworks_to_Sides_of_Beams_GF">#REF!</definedName>
    <definedName name="VOLUME_TH2_V2__Unit_1___Formworks_to_Sides_of_Column">#REF!</definedName>
    <definedName name="VOLUME_TH2_V2__Unit_1___Formworks_to_Sides_of_Column_FF___Copy">#REF!</definedName>
    <definedName name="VOLUME_TH2_V2__Unit_1___Formworks_to_Sides_of_Column_RF">#REF!</definedName>
    <definedName name="VOLUME_TH2_V2__Unit_1___Formworks_to_Sides_of_Columns_GF">#REF!</definedName>
    <definedName name="VOLUME_TH2_V2__Unit_1___Formworks_to_Sides_of_Grade_Beams">#REF!</definedName>
    <definedName name="VOLUME_TH2_V2__Unit_1___Formworks_to_Soffit_of_Beams_FF">#REF!</definedName>
    <definedName name="VOLUME_TH2_V2__Unit_1___Formworks_to_Soffit_of_Beams_GF">#REF!</definedName>
    <definedName name="VOLUME_TH2_V2__Unit_1___Formworks_to_Soffit_of_Grade_Beams">#REF!</definedName>
    <definedName name="VOLUME_TH2_V2__Unit_1___Formworks_to_Suspended_Slab__FF">#REF!</definedName>
    <definedName name="VOLUME_TH2_V2__Unit_1___Formworks_to_Suspended_Slab_GF">#REF!</definedName>
    <definedName name="VOLUME_TH2_V2__Unit_1___Reinforcement_to_Column_below_grade">#REF!</definedName>
    <definedName name="VOLUME_TH2_V2__Unit_1___Reinforcement_to_Footing">#REF!</definedName>
    <definedName name="VOLUME_TH2_V2__Unit_1___Reinforcement_to_ST_Beams">#REF!</definedName>
    <definedName name="VOLUME_TH2_V2__Unit_2____1000g_Polystyrene_to_Footing">#REF!</definedName>
    <definedName name="VOLUME_TH2_V2__Unit_2____200_mm_thk_Suitable_Well_Graded_Compacted_Materials_to_Footing">#REF!</definedName>
    <definedName name="VOLUME_TH2_V2__Unit_2____50_mm_thk_PCC_to_Footing">#REF!</definedName>
    <definedName name="VOLUME_TH2_V2__Unit_2____Excavation_to_Footing">#REF!</definedName>
    <definedName name="VOLUME_TH2_V2__Unit_2____Soil_Compaction_to_Footing">#REF!</definedName>
    <definedName name="VOLUME_TH2_V2__Unit_2___Compacted_Soil_95__ready_t_o_receive_pavers">#REF!</definedName>
    <definedName name="VOLUME_TH2_V2__Unit_2___Concrete_to_Beams_FF">#REF!</definedName>
    <definedName name="VOLUME_TH2_V2__Unit_2___Concrete_to_Beams_GF">#REF!</definedName>
    <definedName name="VOLUME_TH2_V2__Unit_2___Concrete_to_Column_below_grade">#REF!</definedName>
    <definedName name="VOLUME_TH2_V2__Unit_2___Concrete_to_Column_FF">#REF!</definedName>
    <definedName name="VOLUME_TH2_V2__Unit_2___Concrete_to_Column_RF">#REF!</definedName>
    <definedName name="VOLUME_TH2_V2__Unit_2___Concrete_to_Columns_GF">#REF!</definedName>
    <definedName name="VOLUME_TH2_V2__Unit_2___Concrete_to_entry_slabs">#REF!</definedName>
    <definedName name="VOLUME_TH2_V2__Unit_2___Concrete_to_Footing">#REF!</definedName>
    <definedName name="VOLUME_TH2_V2__UNit_2___Concrete_to_Grade_Beam">#REF!</definedName>
    <definedName name="VOLUME_TH2_V2__Unit_2___Concrete_to_Grade_Slab">#REF!</definedName>
    <definedName name="VOLUME_TH2_V2__Unit_2___Concrete_to_Roof">#REF!</definedName>
    <definedName name="VOLUME_TH2_V2__Unit_2___Concrete_to_Roof_Slab_GF">#REF!</definedName>
    <definedName name="VOLUME_TH2_V2__Unit_2___Concrete_to_ST_Beams">#REF!</definedName>
    <definedName name="VOLUME_TH2_V2__Unit_2___Concrete_to_steps">#REF!</definedName>
    <definedName name="VOLUME_TH2_V2__Unit_2___Concrete_to_Suspended_Slab__FF">#REF!</definedName>
    <definedName name="VOLUME_TH2_V2__Unit_2___Concrete_to_Suspended_Slab_GF">#REF!</definedName>
    <definedName name="VOLUME_TH2_V2__Unit_2___Concrete_to_terrace_slabs">#REF!</definedName>
    <definedName name="VOLUME_TH2_V2__Unit_2___Excavation_to_Footing">#REF!</definedName>
    <definedName name="VOLUME_TH2_V2__Unit_2___Excavation_to_ST_Beams">#REF!</definedName>
    <definedName name="VOLUME_TH2_V2__Unit_2___Formworks_to_Roof">#REF!</definedName>
    <definedName name="VOLUME_TH2_V2__Unit_2___Formworks_to_Roof_Slab_GF">#REF!</definedName>
    <definedName name="VOLUME_TH2_V2__Unit_2___Formworks_to_Sides_of_Beams_FF">#REF!</definedName>
    <definedName name="VOLUME_TH2_V2__Unit_2___Formworks_to_Sides_of_Beams_GF">#REF!</definedName>
    <definedName name="VOLUME_TH2_V2__Unit_2___Formworks_to_Sides_of_Column">#REF!</definedName>
    <definedName name="VOLUME_TH2_V2__Unit_2___Formworks_to_Sides_of_Column_FF___Copy">#REF!</definedName>
    <definedName name="VOLUME_TH2_V2__Unit_2___Formworks_to_Sides_of_Column_RF">#REF!</definedName>
    <definedName name="VOLUME_TH2_V2__Unit_2___Formworks_to_Sides_of_Columns_GF">#REF!</definedName>
    <definedName name="VOLUME_TH2_V2__UNit_2___Formworks_to_Sides_of_Grade_Beam">#REF!</definedName>
    <definedName name="VOLUME_TH2_V2__Unit_2___Formworks_to_Soffit_of_Beam_FF">#REF!</definedName>
    <definedName name="VOLUME_TH2_V2__Unit_2___Formworks_to_Soffit_of_Beams_GF">#REF!</definedName>
    <definedName name="VOLUME_TH2_V2__UNit_2___Formworks_to_Soffit_of_Grade_Beam">#REF!</definedName>
    <definedName name="VOLUME_TH2_V2__Unit_2___Formworks_to_Suspended_Slab_FF">#REF!</definedName>
    <definedName name="VOLUME_TH2_V2__Unit_2___Formworks_to_Suspended_Slab_GF">#REF!</definedName>
    <definedName name="VOLUME_TH2_V2__Unit_2___Reinforcement_to_Column_below_grade">#REF!</definedName>
    <definedName name="VOLUME_TH2_V2__Unit_2___Reinforcement_to_Footing">#REF!</definedName>
    <definedName name="VOLUME_TH2_V2__Unit_2__Reinforcement_to_ST_Beams">#REF!</definedName>
    <definedName name="VOLUME_TH2_V2__units_1___Blockworks_100mm_thick">#REF!</definedName>
    <definedName name="VOLUME_TH2_V2__units_1___Blockworks_BW_1">#REF!</definedName>
    <definedName name="VOLUME_TH2_V2__units_1___Blockworks_BW_2">#REF!</definedName>
    <definedName name="VOLUME_TH2_V2__units_1___Blockworks_BW_3">#REF!</definedName>
    <definedName name="VOLUME_TH2_V2__units_1___Blockworks_BW_3_External">#REF!</definedName>
    <definedName name="VOLUME_TH2_V2__units_1___Blockworks_BW_4">#REF!</definedName>
    <definedName name="VOLUME_TH2_V2__units_1___Ceiling_Finishes__390mm_high_BH">#REF!</definedName>
    <definedName name="VOLUME_TH2_V2__units_1___Ceiling_Finishes__450mm_high_BH">#REF!</definedName>
    <definedName name="VOLUME_TH2_V2__units_1___Ceiling_Finishes__460mm_high_BH">#REF!</definedName>
    <definedName name="VOLUME_TH2_V2__units_1___Ceiling_Finishes__490mm_high_BH">#REF!</definedName>
    <definedName name="VOLUME_TH2_V2__units_1___Ceiling_Finishes__560mm_high_BH">#REF!</definedName>
    <definedName name="VOLUME_TH2_V2__units_1___Ceiling_Finishes_Plaster_w__Paint__Moisture_">#REF!</definedName>
    <definedName name="VOLUME_TH2_V2__units_1___Ceiling_Finishes_Plaster_w__Paint_PF01">#REF!</definedName>
    <definedName name="VOLUME_TH2_V2__units_1___Ceiling_Finishes_Plasterboard_w__Paint_PF01">#REF!</definedName>
    <definedName name="VOLUME_TH2_V2__units_1___Ceiling_Finishes_Plasterboard_w__Paint_PF02">#REF!</definedName>
    <definedName name="VOLUME_TH2_V2__units_1___Floor_Finishes_Ceramic_Tiles">#REF!</definedName>
    <definedName name="VOLUME_TH2_V2__units_1___Floor_Finishes_FF01">#REF!</definedName>
    <definedName name="VOLUME_TH2_V2__units_1___Floor_Finishes_FF03">#REF!</definedName>
    <definedName name="VOLUME_TH2_V2__units_1___Floor_Finishes_Interlock">#REF!</definedName>
    <definedName name="VOLUME_TH2_V2__units_1___Floor_Finishes_Pavers">#REF!</definedName>
    <definedName name="VOLUME_TH2_V2__units_1___Floor_Finishes_Pavers_Kerbs">#REF!</definedName>
    <definedName name="VOLUME_TH2_V2__units_1___Floor_Finishes_Screed_only">#REF!</definedName>
    <definedName name="VOLUME_TH2_V2__units_1___Handrail__1100mm_high">#REF!</definedName>
    <definedName name="VOLUME_TH2_V2__units_1___Roof_Finishes_Precast_Concrete">#REF!</definedName>
    <definedName name="VOLUME_TH2_V2__units_1___Roof_Finishes_Waterproofing_w__Paint">#REF!</definedName>
    <definedName name="VOLUME_TH2_V2__units_1___Skirting_External">#REF!</definedName>
    <definedName name="VOLUME_TH2_V2__units_1___Skirting_FF01">#REF!</definedName>
    <definedName name="VOLUME_TH2_V2__units_1___Staircase_Finishes_FF05">#REF!</definedName>
    <definedName name="VOLUME_TH2_V2__units_1___Type_AL_01__1000_x_2100mm_high">#REF!</definedName>
    <definedName name="VOLUME_TH2_V2__units_1___Type_AL_02__600_x_1350mm_high">#REF!</definedName>
    <definedName name="VOLUME_TH2_V2__units_1___Type_AL_03__350_x_1350mm_high">#REF!</definedName>
    <definedName name="VOLUME_TH2_V2__units_1___Type_AL_04__800_x_1350mm_high">#REF!</definedName>
    <definedName name="VOLUME_TH2_V2__units_1___Type_D_01__1100_x_2400mm_high">#REF!</definedName>
    <definedName name="VOLUME_TH2_V2__units_1___Type_D_02__900_x_2200mm_high">#REF!</definedName>
    <definedName name="VOLUME_TH2_V2__units_1___Type_D_03__850_x_2200mm_high">#REF!</definedName>
    <definedName name="VOLUME_TH2_V2__units_1___Type_D_03__850_x_2200mm_high_Internal">#REF!</definedName>
    <definedName name="VOLUME_TH2_V2__units_1___Type_D_04__900_x_2200mm_high">#REF!</definedName>
    <definedName name="VOLUME_TH2_V2__units_1___Type_GL_01__750_x_1250mm_high">#REF!</definedName>
    <definedName name="VOLUME_TH2_V2__units_1___Type_GL_02__600_x_1250mm_high">#REF!</definedName>
    <definedName name="VOLUME_TH2_V2__units_1___Type_GL_03__2225_x_3750mm_high__corner">#REF!</definedName>
    <definedName name="VOLUME_TH2_V2__units_1___Type_GL_04__2200_x_2700mm_high">#REF!</definedName>
    <definedName name="VOLUME_TH2_V2__units_1___Type_GL_05__2700_x_2550mm_high__corner">#REF!</definedName>
    <definedName name="VOLUME_TH2_V2__units_1___Type_GL_06__1400_x_1250mm_high">#REF!</definedName>
    <definedName name="VOLUME_TH2_V2__units_1___Type_GL_16__2400_x_2400mm_high__corner">#REF!</definedName>
    <definedName name="VOLUME_TH2_V2__units_1___Type_GL_17__750_x_2550mm_high">#REF!</definedName>
    <definedName name="VOLUME_TH2_V2__units_1___Type_GL_18__750_x_2100mm_high">#REF!</definedName>
    <definedName name="VOLUME_TH2_V2__units_1___Type_GL_19__700_x_1250mm_high">#REF!</definedName>
    <definedName name="VOLUME_TH2_V2__units_1___Type_GL_20__2850_x_2400mm_high">#REF!</definedName>
    <definedName name="VOLUME_TH2_V2__units_1___Type_GL_21__1400_x_2400mm_high">#REF!</definedName>
    <definedName name="VOLUME_TH2_V2__units_1___Type_GL_22__900_x_2200mm_high">#REF!</definedName>
    <definedName name="VOLUME_TH2_V2__units_1___Type_GL_23__1900_x_2700mm_high">#REF!</definedName>
    <definedName name="VOLUME_TH2_V2__units_1___Wall_Finishes_PF03">#REF!</definedName>
    <definedName name="VOLUME_TH2_V2__units_1___Wall_Finishes_PF04">#REF!</definedName>
    <definedName name="VOLUME_TH2_V2__units_1___Wall_Finishes_Plaster_w__paint">#REF!</definedName>
    <definedName name="VOLUME_TH2_V2__units_1___Wall_Finishes_Plaster_w__paint__dark_">#REF!</definedName>
    <definedName name="VOLUME_TH2_V2__units_1___Wall_Finishes_SS">#REF!</definedName>
    <definedName name="VOLUME_TH2_V2__units_1___Wall_Finishes_WF01">#REF!</definedName>
    <definedName name="VOLUME_TH2_V2__units_1___Wall_Finishes_WF02">#REF!</definedName>
    <definedName name="VOLUME_TH2_V2__units_1___Wall_Finishes_WF03">#REF!</definedName>
    <definedName name="VOLUME_TH2_V2__units_1___Wall_Finishes_WF04">#REF!</definedName>
    <definedName name="VOLUME_TH2_V2__units_1___Wall_Finishes_WF05">#REF!</definedName>
    <definedName name="VOLUME_TH2_V2__units_1___Wall_Finishes_WF06">#REF!</definedName>
    <definedName name="VOLUME_TH2_V2__units_1___Wall_Finishes_WF07">#REF!</definedName>
    <definedName name="VOLUME_TH2_V2__units_1___Wall_Finishes_WF08">#REF!</definedName>
    <definedName name="VOLUME_TH2_V2__units_1___Wall_Insulation">#REF!</definedName>
    <definedName name="VOLUME_TH2_V2__units_1___Waterproofing_to_walls">#REF!</definedName>
    <definedName name="VOLUME_TH2_V2__units_1___Waterproofing_to_wet_areas">#REF!</definedName>
    <definedName name="VOLUME_Trees___Around_Perimeter">#REF!</definedName>
    <definedName name="VOLUME_Trees___Inside_Plot">#REF!</definedName>
    <definedName name="VOLUME_TYPICAL__ADDL_SLAB">#REF!</definedName>
    <definedName name="VOLUME_TYPICAL__HEB_100">#REF!</definedName>
    <definedName name="VOLUME_TYPICAL__HEB_160">#REF!</definedName>
    <definedName name="VOLUME_TYPICAL__L_150x150x15">#REF!</definedName>
    <definedName name="VOLUME_TYPICAL__MEP_FLOOR">#REF!</definedName>
    <definedName name="VOLUME_Unallocated_Rooms">#REF!</definedName>
    <definedName name="VOLUME_uPVC_Sewage_Pipe_1F">#REF!</definedName>
    <definedName name="VOLUME_uPVC_Sewage_Pipe_GF">#REF!</definedName>
    <definedName name="VOLUME_uPVC_Waste_Pipe_1F">#REF!</definedName>
    <definedName name="VOLUME_uPVC_Waste_Pipe_1F_collection">#REF!</definedName>
    <definedName name="VOLUME_uPVC_Waste_Pipe_GF">#REF!</definedName>
    <definedName name="VOLUME_uPVC_Waste_Pipe_GF_Collection">#REF!</definedName>
    <definedName name="VOLUME_Water_Feature">#REF!</definedName>
    <definedName name="VOLUME_Water_Hammer_Arrestor">#REF!</definedName>
    <definedName name="VOLUME_Water_jets">#REF!</definedName>
    <definedName name="volww">#REF!</definedName>
    <definedName name="vostatus">#REF!</definedName>
    <definedName name="vp" localSheetId="1">#REF!</definedName>
    <definedName name="vp">#REF!</definedName>
    <definedName name="vps" localSheetId="1">#REF!</definedName>
    <definedName name="vps">#REF!</definedName>
    <definedName name="vr" localSheetId="1">"Page "&amp;IF(ISNA(MATCH(ROW(),[1]!COUNT_TH2_V2__units_1___Type_D_04__900_x_2200mm_high,1)),1,MATCH(ROW(),[1]!COUNT_TH2_V2__units_1___Type_D_04__900_x_2200mm_high,1)+1)&amp;" of " &amp; [1]!CUSTOM1_Shops__GF_ + 0*NOW()</definedName>
    <definedName name="vr">"Page "&amp;IF(ISNA(MATCH(ROW(),RowAfterpgbrk,1)),1,MATCH(ROW(),RowAfterpgbrk,1)+1)&amp;" of " &amp; TotPageCount + 0*NOW()</definedName>
    <definedName name="vresbtynumnjthbgvf">#REF!</definedName>
    <definedName name="VRFbud1">#REF!</definedName>
    <definedName name="VRFclass1">#REF!</definedName>
    <definedName name="vsasgfsghxas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D" localSheetId="1" hidden="1">{#N/A,#N/A,TRUE,"Cover";#N/A,#N/A,TRUE,"Conts";#N/A,#N/A,TRUE,"VOS";#N/A,#N/A,TRUE,"Warrington";#N/A,#N/A,TRUE,"Widnes"}</definedName>
    <definedName name="VSD" hidden="1">{#N/A,#N/A,TRUE,"Cover";#N/A,#N/A,TRUE,"Conts";#N/A,#N/A,TRUE,"VOS";#N/A,#N/A,TRUE,"Warrington";#N/A,#N/A,TRUE,"Widnes"}</definedName>
    <definedName name="VSFDVV">#N/A</definedName>
    <definedName name="Vsigma">#REF!</definedName>
    <definedName name="VT" localSheetId="1">#REF!</definedName>
    <definedName name="VT">#REF!</definedName>
    <definedName name="Vternom">#REF!</definedName>
    <definedName name="Vua">#REF!</definedName>
    <definedName name="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gv" localSheetId="1">BlankMacro1</definedName>
    <definedName name="vvgv">BlankMacro1</definedName>
    <definedName name="VVV" localSheetId="1">#REF!</definedName>
    <definedName name="VVV">#REF!</definedName>
    <definedName name="VVVV">#REF!</definedName>
    <definedName name="VVVVV">#REF!</definedName>
    <definedName name="VVVVVV">#REF!</definedName>
    <definedName name="VVVVVVV">#REF!</definedName>
    <definedName name="VVVVVVVV">#REF!</definedName>
    <definedName name="VVVVVVVVV">#REF!</definedName>
    <definedName name="VVVVVVVVVV">#REF!</definedName>
    <definedName name="vvvvvvvvvvvvvvv">#REF!</definedName>
    <definedName name="vvvvvvvvvvvvvvvvvvvvvvvvvvvvvvvvvv" hidden="1">#REF!</definedName>
    <definedName name="Vz">#REF!</definedName>
    <definedName name="W">#REF!</definedName>
    <definedName name="W_1">#REF!</definedName>
    <definedName name="W_2">#REF!</definedName>
    <definedName name="W_22">#REF!</definedName>
    <definedName name="w_rate">#REF!</definedName>
    <definedName name="W.F">#REF!</definedName>
    <definedName name="W0">#REF!</definedName>
    <definedName name="W1_Table">#REF!</definedName>
    <definedName name="W15_">#N/A</definedName>
    <definedName name="w1r48sj" localSheetId="1">#REF!</definedName>
    <definedName name="w1r48sj">#REF!</definedName>
    <definedName name="w26te" localSheetId="1" hidden="1">{#N/A,#N/A,TRUE,"Cover";#N/A,#N/A,TRUE,"Conts";#N/A,#N/A,TRUE,"VOS";#N/A,#N/A,TRUE,"Warrington";#N/A,#N/A,TRUE,"Widnes"}</definedName>
    <definedName name="w26te" hidden="1">{#N/A,#N/A,TRUE,"Cover";#N/A,#N/A,TRUE,"Conts";#N/A,#N/A,TRUE,"VOS";#N/A,#N/A,TRUE,"Warrington";#N/A,#N/A,TRUE,"Widnes"}</definedName>
    <definedName name="w26te_1" localSheetId="1" hidden="1">{#N/A,#N/A,TRUE,"Cover";#N/A,#N/A,TRUE,"Conts";#N/A,#N/A,TRUE,"VOS";#N/A,#N/A,TRUE,"Warrington";#N/A,#N/A,TRUE,"Widnes"}</definedName>
    <definedName name="w26te_1" hidden="1">{#N/A,#N/A,TRUE,"Cover";#N/A,#N/A,TRUE,"Conts";#N/A,#N/A,TRUE,"VOS";#N/A,#N/A,TRUE,"Warrington";#N/A,#N/A,TRUE,"Widnes"}</definedName>
    <definedName name="w2iqj" localSheetId="1">BlankMacro1</definedName>
    <definedName name="w2iqj">BlankMacro1</definedName>
    <definedName name="W3_">#N/A</definedName>
    <definedName name="w34frsw" localSheetId="1">#REF!</definedName>
    <definedName name="w34frsw">#REF!</definedName>
    <definedName name="w3t344t" localSheetId="1" hidden="1">{#N/A,#N/A,FALSE,"표지목차"}</definedName>
    <definedName name="w3t344t" hidden="1">{#N/A,#N/A,FALSE,"표지목차"}</definedName>
    <definedName name="W6_">#N/A</definedName>
    <definedName name="w6y" localSheetId="1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6y_1" localSheetId="1" hidden="1">{#N/A,#N/A,TRUE,"Cover";#N/A,#N/A,TRUE,"Conts";#N/A,#N/A,TRUE,"VOS";#N/A,#N/A,TRUE,"Warrington";#N/A,#N/A,TRUE,"Widnes"}</definedName>
    <definedName name="w6y_1" hidden="1">{#N/A,#N/A,TRUE,"Cover";#N/A,#N/A,TRUE,"Conts";#N/A,#N/A,TRUE,"VOS";#N/A,#N/A,TRUE,"Warrington";#N/A,#N/A,TRUE,"Widnes"}</definedName>
    <definedName name="W70000000000000_1">0</definedName>
    <definedName name="WA">4.5-0.7</definedName>
    <definedName name="waddf">#REF!</definedName>
    <definedName name="Waehrung" localSheetId="1">[1]!CUSTOM3_B1__Column_C1</definedName>
    <definedName name="Waehrung">[1]!Waehrung</definedName>
    <definedName name="waff" localSheetId="1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ff_1" localSheetId="1" hidden="1">{#N/A,#N/A,TRUE,"Cover";#N/A,#N/A,TRUE,"Conts";#N/A,#N/A,TRUE,"VOS";#N/A,#N/A,TRUE,"Warrington";#N/A,#N/A,TRUE,"Widnes"}</definedName>
    <definedName name="waff_1" hidden="1">{#N/A,#N/A,TRUE,"Cover";#N/A,#N/A,TRUE,"Conts";#N/A,#N/A,TRUE,"VOS";#N/A,#N/A,TRUE,"Warrington";#N/A,#N/A,TRUE,"Widnes"}</definedName>
    <definedName name="Wafi_Diesel_">#REF!</definedName>
    <definedName name="WAGE" localSheetId="1">#REF!</definedName>
    <definedName name="WAGE">#REF!</definedName>
    <definedName name="Währung">#REF!</definedName>
    <definedName name="Währung_Z">#REF!</definedName>
    <definedName name="Waiting">"Picture 1"</definedName>
    <definedName name="wall" localSheetId="1">#REF!</definedName>
    <definedName name="wall">#REF!</definedName>
    <definedName name="WALL__FINISHES">#REF!</definedName>
    <definedName name="Wall_Fin">#REF!</definedName>
    <definedName name="Wall_Finishes" localSheetId="1">#REF!</definedName>
    <definedName name="Wall_Finishes">#REF!</definedName>
    <definedName name="Wall_Painting" localSheetId="1">#REF!</definedName>
    <definedName name="Wall_Painting">#REF!</definedName>
    <definedName name="WALL420">#REF!</definedName>
    <definedName name="WALLAREA__C1A__Standard_Guestroom" localSheetId="1">#REF!</definedName>
    <definedName name="WALLAREA__C1A__Standard_Guestroom">#REF!</definedName>
    <definedName name="WALLAREA__C1C__Junior_Suites" localSheetId="1">#REF!</definedName>
    <definedName name="WALLAREA__C1C__Junior_Suites">#REF!</definedName>
    <definedName name="WALLAREA__C1D__One_Bedroom_Suites" localSheetId="1">#REF!</definedName>
    <definedName name="WALLAREA__C1D__One_Bedroom_Suites">#REF!</definedName>
    <definedName name="WALLAREA__C1E__Two_bedroom_Suites">#REF!</definedName>
    <definedName name="WALLAREA__C1F1__Public_Circulation_Areas">#REF!</definedName>
    <definedName name="WALLAREA__C1G4__Shafts">#REF!</definedName>
    <definedName name="WALLAREA__C1G6__Fire_Escape_Stairs">#REF!</definedName>
    <definedName name="WALLAREA__C1H1__Standard_Guestrooms">#REF!</definedName>
    <definedName name="WALLAREA__C1H3__Junior_Suites">#REF!</definedName>
    <definedName name="WALLAREA__C1H4__One_Bedroom_Suites">#REF!</definedName>
    <definedName name="WALLAREA__C1H5__Two_Bedroom_Suites">#REF!</definedName>
    <definedName name="WALLAREA__C1H6__One_Bedroom_Suites_Type_2">#REF!</definedName>
    <definedName name="WALLAREA__C1I__General_Works_Guestrooms">#REF!</definedName>
    <definedName name="WALLAREA__C1J__One_Bedroom_Suites_Type_2">#REF!</definedName>
    <definedName name="WALLAREA__C2A2__Arrival_and_Reception_Lobby">#REF!</definedName>
    <definedName name="WALLAREA__C2A3__Front_Offices___Concierge">#REF!</definedName>
    <definedName name="WALLAREA__C2A4__Luggage_Scanner">#REF!</definedName>
    <definedName name="WALLAREA__C2A5__Hotel_Retail">#REF!</definedName>
    <definedName name="WALLAREA__C2A6__Prayer_Rooms">#REF!</definedName>
    <definedName name="WALLAREA__C2A7__Kids_Club">#REF!</definedName>
    <definedName name="WALLAREA__C2A8__Public_Toilets">#REF!</definedName>
    <definedName name="WALLAREA__C2A9__Changing_Rooms">#REF!</definedName>
    <definedName name="WALLAREA__C2C1__Hotel_Restaurant">#REF!</definedName>
    <definedName name="WALLAREA__C2C2__Lobby_Lounge">#REF!</definedName>
    <definedName name="WALLAREA__C2C3__Lobby_Bar">#REF!</definedName>
    <definedName name="WALLAREA__C2C4__Lobby_Bar___Covered_Terrace">#REF!</definedName>
    <definedName name="WALLAREA__C2C5__Speciality_Restaurant__1">#REF!</definedName>
    <definedName name="WALLAREA__C2C6__Speciality_Restaurant__2">#REF!</definedName>
    <definedName name="WALLAREA__C2C7__Speciality_Restaurant__2___Covered_Terrace">#REF!</definedName>
    <definedName name="WALLAREA__C2C8__Pool_Bar___Grill">#REF!</definedName>
    <definedName name="WALLAREA__C2D2__Gymnasium">#REF!</definedName>
    <definedName name="WALLAREA__C2G1__Circulation">#REF!</definedName>
    <definedName name="WALLAREA__C2G2__Outdoor_Lobby">#REF!</definedName>
    <definedName name="WALLAREA__C3A1__Front_Offices">#REF!</definedName>
    <definedName name="WALLAREA__C3A2__Administration_Offices">#REF!</definedName>
    <definedName name="WALLAREA__C3A3__Accounting_Offices">#REF!</definedName>
    <definedName name="WALLAREA__C3A4__Human_Resources_and_Training">#REF!</definedName>
    <definedName name="WALLAREA__C3B__IT_Department">#REF!</definedName>
    <definedName name="WALLAREA__C3C1__Kitchen___Main_Kitchen">#REF!</definedName>
    <definedName name="WALLAREA__C3C2__Kitchen___Speciality_Restaurant__1">#REF!</definedName>
    <definedName name="WALLAREA__C3C3__Kitchen___Speciality_Restaurant__2">#REF!</definedName>
    <definedName name="WALLAREA__C3C5__Pantry___Lobby_Bar">#REF!</definedName>
    <definedName name="WALLAREA__C3D__Housekeeping_and_Linen">#REF!</definedName>
    <definedName name="WALLAREA__C3E__Central_Laundry___Dry_Cleaning___Valet_Only">#REF!</definedName>
    <definedName name="WALLAREA__C3F5__Dining_Room_Seating">#REF!</definedName>
    <definedName name="WALLAREA__C3F8__Staff_Changing_Rooms">#REF!</definedName>
    <definedName name="WALLAREA__C3F9__Staff_Prayer_Rooms">#REF!</definedName>
    <definedName name="WALLAREA__C3G__Maintenance_and_Engineering">#REF!</definedName>
    <definedName name="WALLAREA__C3H1__Plant_and_Equipment_Rooms">#REF!</definedName>
    <definedName name="WALLAREA__C3H2__MEP_Shafts">#REF!</definedName>
    <definedName name="WALLAREA__C3J__Security">#REF!</definedName>
    <definedName name="WALLAREA__C3K__Purchasing__Goods_Receiving_and_Storage">#REF!</definedName>
    <definedName name="WALLAREA__C3L__BOH_Circulation_Areas">#REF!</definedName>
    <definedName name="WALLAREA__C4B__General_Works_Parking">#REF!</definedName>
    <definedName name="WALLAREA__C5__Unallocated_Rooms">#REF!</definedName>
    <definedName name="WALLAREA__G1__Conference_Centre">#REF!</definedName>
    <definedName name="WALLAREA__G1A__Conference_Hall">#REF!</definedName>
    <definedName name="WALLAREA__G1B__Reception">#REF!</definedName>
    <definedName name="WALLAREA__G1C__Meeting_Rooms">#REF!</definedName>
    <definedName name="WALLAREA__G2__Pre_function">#REF!</definedName>
    <definedName name="WALLAREA__G3__Toilets">#REF!</definedName>
    <definedName name="WALLAREA__G4__FOH_Circulation">#REF!</definedName>
    <definedName name="WALLAREA__G5__BOH_Circulation">#REF!</definedName>
    <definedName name="WALLAREA__G6__Fire_Escape_Stairs">#REF!</definedName>
    <definedName name="WALLAREA__G7__Plant_and_Equipment_Rooms">#REF!</definedName>
    <definedName name="WALLAREA__G8__Storage">#REF!</definedName>
    <definedName name="WALLAREA__G9__Kitchen_and_Service_Area">#REF!</definedName>
    <definedName name="WALLAREA_1_bed_Balcony_area">#REF!</definedName>
    <definedName name="WALLAREA_1_bed_bath_screen">#REF!</definedName>
    <definedName name="WALLAREA_1_bed_bath_shelf">#REF!</definedName>
    <definedName name="WALLAREA_1_bed_Bath_tub">#REF!</definedName>
    <definedName name="WALLAREA_1_bed_Bath_tub_mixer">#REF!</definedName>
    <definedName name="WALLAREA_1_bed_Bathroom_area">#REF!</definedName>
    <definedName name="WALLAREA_1_bed_Bedroom_area">#REF!</definedName>
    <definedName name="WALLAREA_1_bed_Cistern_cover">#REF!</definedName>
    <definedName name="WALLAREA_1_bed_Cooker_hob">#REF!</definedName>
    <definedName name="WALLAREA_1_bed_Fridge_freezer">#REF!</definedName>
    <definedName name="WALLAREA_1_bed_Kitchen_sink">#REF!</definedName>
    <definedName name="WALLAREA_1_bed_Kitchen_sink_mixer">#REF!</definedName>
    <definedName name="WALLAREA_1_bed_kitchen_units">#REF!</definedName>
    <definedName name="WALLAREA_1_bed_living_area">#REF!</definedName>
    <definedName name="WALLAREA_1_bed_mirror">#REF!</definedName>
    <definedName name="WALLAREA_1_bed_NIA">#REF!</definedName>
    <definedName name="WALLAREA_1_bed_Oven">#REF!</definedName>
    <definedName name="WALLAREA_1_bed_shower_mixer">#REF!</definedName>
    <definedName name="WALLAREA_1_bed_vanitys">#REF!</definedName>
    <definedName name="WALLAREA_1_bed_Wardrobes">#REF!</definedName>
    <definedName name="WALLAREA_1_bed_Wash_basin">#REF!</definedName>
    <definedName name="WALLAREA_1_bed_Wash_basin_mixer">#REF!</definedName>
    <definedName name="WALLAREA_1_bed_Washing_machine">#REF!</definedName>
    <definedName name="WALLAREA_1_bed_WC">#REF!</definedName>
    <definedName name="WALLAREA_110_mm_dia._RWP">#REF!</definedName>
    <definedName name="WALLAREA_110mm_dia_RWP">#REF!</definedName>
    <definedName name="WALLAREA_110mm_dia._opening_for_rain_water">#REF!</definedName>
    <definedName name="WALLAREA_110mm_dia._Rainwater_pipe">#REF!</definedName>
    <definedName name="WALLAREA_15mm_dia_Copper_pipe">#REF!</definedName>
    <definedName name="WALLAREA_15mm_dia._CWS_Buried_Underground">#REF!</definedName>
    <definedName name="WALLAREA_1F__25mm_dia._BCWS_Pipe">#REF!</definedName>
    <definedName name="WALLAREA_1F__25mm_dia._HWS_Pipe">#REF!</definedName>
    <definedName name="WALLAREA_1F__Isolation_valve">#REF!</definedName>
    <definedName name="WALLAREA_1F__Water_Hammer_Arrestor">#REF!</definedName>
    <definedName name="WALLAREA_1F_BOH_Service_and_Utility_area">#REF!</definedName>
    <definedName name="WALLAREA_1F_BOH_Staircase">#REF!</definedName>
    <definedName name="WALLAREA_1F_Guest_Core">#REF!</definedName>
    <definedName name="WALLAREA_1F_Guestrooms">#REF!</definedName>
    <definedName name="WALLAREA_1F_HGR_BOH">#REF!</definedName>
    <definedName name="WALLAREA_1F_HGR_Circulation">#REF!</definedName>
    <definedName name="WALLAREA_1F_HGR_Covered_Balcony">#REF!</definedName>
    <definedName name="WALLAREA_1F_HGR_Fire_Staircase">#REF!</definedName>
    <definedName name="WALLAREA_1F_HGR_Open_Terrace">#REF!</definedName>
    <definedName name="WALLAREA_1F_Lift_Shaft">#REF!</definedName>
    <definedName name="WALLAREA_1F_Roof_Terrace">#REF!</definedName>
    <definedName name="WALLAREA_1F_Services_Core">#REF!</definedName>
    <definedName name="WALLAREA_1F_Void___Dead_space">#REF!</definedName>
    <definedName name="WALLAREA_1st_Floor">#REF!</definedName>
    <definedName name="WALLAREA_1st_Floor___BOH___FIre_Escape_Stairs">#REF!</definedName>
    <definedName name="WALLAREA_1st_Floor___BOH___Guest_Core">#REF!</definedName>
    <definedName name="WALLAREA_1st_Floor___BOH___Guest_Core_lifts">#REF!</definedName>
    <definedName name="WALLAREA_1st_Floor___BOH___Service_Core">#REF!</definedName>
    <definedName name="WALLAREA_1st_Floor___BOH___Service_Core_ducts">#REF!</definedName>
    <definedName name="WALLAREA_1st_Floor___BOH___Service_Core_lift_shafts">#REF!</definedName>
    <definedName name="WALLAREA_1st_Floor___FOH___Guest_Circulation">#REF!</definedName>
    <definedName name="WALLAREA_1st_Floor___FOH___Guestroom_Terrace">#REF!</definedName>
    <definedName name="WALLAREA_1st_Floor___FOH___Guestrooms">#REF!</definedName>
    <definedName name="WALLAREA_1st_Floor___Guest_Core_ducts">#REF!</definedName>
    <definedName name="WALLAREA_2_bed_2nd_bathroom_area" localSheetId="1">#REF!</definedName>
    <definedName name="WALLAREA_2_bed_2nd_bathroom_area">#REF!</definedName>
    <definedName name="WALLAREA_2_bed_2nd_bedroom_area">#REF!</definedName>
    <definedName name="WALLAREA_2_bed_4_burner_hob">#REF!</definedName>
    <definedName name="WALLAREA_2_bed_Balcony_area">#REF!</definedName>
    <definedName name="WALLAREA_2_bed_bath_screen">#REF!</definedName>
    <definedName name="WALLAREA_2_bed_bath_tub">#REF!</definedName>
    <definedName name="WALLAREA_2_bed_bath_tub_mixer">#REF!</definedName>
    <definedName name="WALLAREA_2_bed_bidet">#REF!</definedName>
    <definedName name="WALLAREA_2_bed_cistern_cover">#REF!</definedName>
    <definedName name="WALLAREA_2_bed_fridge_freezer">#REF!</definedName>
    <definedName name="WALLAREA_2_bed_kitchen_sink">#REF!</definedName>
    <definedName name="WALLAREA_2_bed_kitchen_sink_mixer">#REF!</definedName>
    <definedName name="WALLAREA_2_bed_Kitchen_units">#REF!</definedName>
    <definedName name="WALLAREA_2_bed_living_area">#REF!</definedName>
    <definedName name="WALLAREA_2_bed_Master_bathroom_area">#REF!</definedName>
    <definedName name="WALLAREA_2_bed_Master_bedroom_area">#REF!</definedName>
    <definedName name="WALLAREA_2_bed_mirror">#REF!</definedName>
    <definedName name="WALLAREA_2_bed_NIA">#REF!</definedName>
    <definedName name="WALLAREA_2_bed_shower_mixer_set">#REF!</definedName>
    <definedName name="WALLAREA_2_bed_shower_partition_inc_door">#REF!</definedName>
    <definedName name="WALLAREA_2_bed_vanity_unit">#REF!</definedName>
    <definedName name="WALLAREA_2_bed_wardrobes">#REF!</definedName>
    <definedName name="WALLAREA_2_bed_wash_basin">#REF!</definedName>
    <definedName name="WALLAREA_2_bed_wash_basin_mixer">#REF!</definedName>
    <definedName name="WALLAREA_2_bed_washing_machine">#REF!</definedName>
    <definedName name="WALLAREA_2_bed_WC">#REF!</definedName>
    <definedName name="WALLAREA_2.2.1___Upper_Floors_240mm_thk_slab">#REF!</definedName>
    <definedName name="WALLAREA_2.2.1___Upper_Floors_300mm_thk_slab">#REF!</definedName>
    <definedName name="WALLAREA_2.3.1___Stairs__FF05_Steps_280mm">#REF!</definedName>
    <definedName name="WALLAREA_2.3.2___Stairs__FF05_Risers_170mm">#REF!</definedName>
    <definedName name="WALLAREA_2.3.3___Stairs__FF05_Skirting_100mm_high">#REF!</definedName>
    <definedName name="WALLAREA_2.3.4___Stairs__Balustrade___Fixed_to_floor">#REF!</definedName>
    <definedName name="WALLAREA_2.3.4___Stairs__Balustrade___Handrails_50mm_to_wall">#REF!</definedName>
    <definedName name="WALLAREA_2.3.4___Stairs__Balustrade___Sloping_Fixed_to_floor">#REF!</definedName>
    <definedName name="WALLAREA_2.4.1___Roof___Shuttering__Paint_incl_waterproofing_to_roof_canopies">#REF!</definedName>
    <definedName name="WALLAREA_2.4.1___Roof___Shuttering__Precast_cement_incl_waterproofing">#REF!</definedName>
    <definedName name="WALLAREA_2.4.1___Roof___Shuttering__Suspended_Reinforced_Concrete_Slab">#REF!</definedName>
    <definedName name="WALLAREA_2.4.2___Roof___Shuttering__Roof_Access_panel_750mmx900mm">#REF!</definedName>
    <definedName name="WALLAREA_20mm_dia_Bib_tap">#REF!</definedName>
    <definedName name="WALLAREA_20mm_dia_HSW_pipe">#REF!</definedName>
    <definedName name="WALLAREA_25mm_dia_BCWS_pipe">#REF!</definedName>
    <definedName name="WALLAREA_25mm_dia_HSW_pipe">#REF!</definedName>
    <definedName name="WALLAREA_2F_BOH_Roof_Terrace">#REF!</definedName>
    <definedName name="WALLAREA_2F_BOH_Service_and_Utility_area">#REF!</definedName>
    <definedName name="WALLAREA_2F_BOH_Staircase">#REF!</definedName>
    <definedName name="WALLAREA_2F_Guest_Core">#REF!</definedName>
    <definedName name="WALLAREA_2F_Guestrooms">#REF!</definedName>
    <definedName name="WALLAREA_2F_HGR_BOH">#REF!</definedName>
    <definedName name="WALLAREA_2F_HGR_Circulation">#REF!</definedName>
    <definedName name="WALLAREA_2F_HGR_Covered_Balcony">#REF!</definedName>
    <definedName name="WALLAREA_2F_HGR_Fire_Staircase">#REF!</definedName>
    <definedName name="WALLAREA_2F_Lift_Shaft">#REF!</definedName>
    <definedName name="WALLAREA_2F_Services_Core">#REF!</definedName>
    <definedName name="WALLAREA_2F_Voids___Dead_space">#REF!</definedName>
    <definedName name="WALLAREA_2nd_Floor">#REF!</definedName>
    <definedName name="WALLAREA_2nd_Floor___BOH___Event_Center_Core">#REF!</definedName>
    <definedName name="WALLAREA_2nd_Floor___BOH___Event_Center_Core_lift_shafts">#REF!</definedName>
    <definedName name="WALLAREA_2nd_Floor___BOH___Event_Center_Service">#REF!</definedName>
    <definedName name="WALLAREA_2nd_Floor___BOH___Event_Center_Service_lift_shafts">#REF!</definedName>
    <definedName name="WALLAREA_2nd_Floor___BOH___Fire_Escape_Stairs">#REF!</definedName>
    <definedName name="WALLAREA_2nd_Floor___BOH___Guest_Core">#REF!</definedName>
    <definedName name="WALLAREA_2nd_Floor___BOH___Guest_Core_ducts">#REF!</definedName>
    <definedName name="WALLAREA_2nd_Floor___BOH___Guest_Core_lift_shafts">#REF!</definedName>
    <definedName name="WALLAREA_2nd_Floor___BOH___Service_Core">#REF!</definedName>
    <definedName name="WALLAREA_2nd_Floor___BOH___Service_Core_ducts">#REF!</definedName>
    <definedName name="WALLAREA_2nd_Floor___BOH___Service_Core_lift_shafts">#REF!</definedName>
    <definedName name="WALLAREA_2nd_Floor___FOH___Guestroom_Circulation">#REF!</definedName>
    <definedName name="WALLAREA_2nd_Floor___FOH___Guestroom_Terrace">#REF!</definedName>
    <definedName name="WALLAREA_2nd_Floor___FOH___Guestrooms">#REF!</definedName>
    <definedName name="WALLAREA_3.1__External_Walls" localSheetId="1">#REF!</definedName>
    <definedName name="WALLAREA_3.1__External_Walls">#REF!</definedName>
    <definedName name="WALLAREA_3.1.1___BW2__150mm_thk">#REF!</definedName>
    <definedName name="WALLAREA_3.1.1___BW3__200mm_thk">#REF!</definedName>
    <definedName name="WALLAREA_3.1.1___BW4__250mm_thk">#REF!</definedName>
    <definedName name="WALLAREA_3.2.2___Timber__D_01___1600mmx2250mm" localSheetId="1">#REF!</definedName>
    <definedName name="WALLAREA_3.2.2___Timber__D_01___1600mmx2250mm">#REF!</definedName>
    <definedName name="WALLAREA_3.2.2___Timber__D_02___1000mmx2200mm" localSheetId="1">#REF!</definedName>
    <definedName name="WALLAREA_3.2.2___Timber__D_02___1000mmx2200mm">#REF!</definedName>
    <definedName name="WALLAREA_3.2.2___Timber__D_04___1100mmx2200mm">#REF!</definedName>
    <definedName name="WALLAREA_3.3.1___GL01___800mmx1350mm">#REF!</definedName>
    <definedName name="WALLAREA_3.3.1___GL02___2350mmx2600mm">#REF!</definedName>
    <definedName name="WALLAREA_3.3.1___GL03___2500mmx2600mm">#REF!</definedName>
    <definedName name="WALLAREA_3.3.1___GL04___2000mmx2600mm">#REF!</definedName>
    <definedName name="WALLAREA_3.3.1___GL05___2600mmx2700mm">#REF!</definedName>
    <definedName name="WALLAREA_3.3.1___GL06___3600mmx2700mm">#REF!</definedName>
    <definedName name="WALLAREA_3.3.1___GL07___1600mmx1350mm">#REF!</definedName>
    <definedName name="WALLAREA_3.3.1___GL08___800mmx1350mm">#REF!</definedName>
    <definedName name="WALLAREA_3.3.1___GL09___500mmx1200mm">#REF!</definedName>
    <definedName name="WALLAREA_3.3.1___GL10___3600mmx2700mm">#REF!</definedName>
    <definedName name="WALLAREA_3.3.1___GL11___2100mmx2700mm">#REF!</definedName>
    <definedName name="WALLAREA_3.3.1___GL12___1600mmx2700mm">#REF!</definedName>
    <definedName name="WALLAREA_3.3.1___GL13___1200mmx1800mm">#REF!</definedName>
    <definedName name="WALLAREA_3.3.1___GL14___1000mmx1500mm">#REF!</definedName>
    <definedName name="WALLAREA_3.3.1___GL15___5000mmx2700mm">#REF!</definedName>
    <definedName name="WALLAREA_3.3.1___GL16___1700mmx1350mm">#REF!</definedName>
    <definedName name="WALLAREA_3.3.1___GL17___600mmx1200mm">#REF!</definedName>
    <definedName name="WALLAREA_3.4.1___Cement_render_and_paint">#REF!</definedName>
    <definedName name="WALLAREA_3.4.2___50mmthk_Insulation">#REF!</definedName>
    <definedName name="WALLAREA_3.4.3___External_Soffits">#REF!</definedName>
    <definedName name="WALLAREA_3.4.5___Metal_railing_to_balcony">#REF!</definedName>
    <definedName name="WALLAREA_32_dia._CWS_Main_Buried_underground" localSheetId="1">#REF!</definedName>
    <definedName name="WALLAREA_32_dia._CWS_Main_Buried_underground">#REF!</definedName>
    <definedName name="WALLAREA_32mm_dia_BCWS">#REF!</definedName>
    <definedName name="WALLAREA_32mm_dia_BCWS_pipe">#REF!</definedName>
    <definedName name="WALLAREA_32mm_dia_BCWS_Riser">#REF!</definedName>
    <definedName name="WALLAREA_32mm_dia_HSW_pipe">#REF!</definedName>
    <definedName name="WALLAREA_32mm_dia_HSW_Riser">#REF!</definedName>
    <definedName name="WALLAREA_3F_BOH_Service___Utility_area">#REF!</definedName>
    <definedName name="WALLAREA_3F_BOH_Staircase">#REF!</definedName>
    <definedName name="WALLAREA_3F_Guest_Core">#REF!</definedName>
    <definedName name="WALLAREA_3F_Guestrooms">#REF!</definedName>
    <definedName name="WALLAREA_3F_HGR_BOH">#REF!</definedName>
    <definedName name="WALLAREA_3F_HGR_Circulation">#REF!</definedName>
    <definedName name="WALLAREA_3F_HGR_Covered_Balcony">#REF!</definedName>
    <definedName name="WALLAREA_3F_HGR_Fire_Staircase">#REF!</definedName>
    <definedName name="WALLAREA_3F_Lift_Shaft">#REF!</definedName>
    <definedName name="WALLAREA_3F_Services_Core">#REF!</definedName>
    <definedName name="WALLAREA_3F_Voids___Dead_space">#REF!</definedName>
    <definedName name="WALLAREA_3rd_Floor">#REF!</definedName>
    <definedName name="WALLAREA_3rd_Floor___BOH___Fire_Escape_Stairs">#REF!</definedName>
    <definedName name="WALLAREA_3rd_Floor___BOH___Guest_Core">#REF!</definedName>
    <definedName name="WALLAREA_3rd_Floor___BOH___Guest_Core_ducts">#REF!</definedName>
    <definedName name="WALLAREA_3rd_Floor___BOH___Guest_Core_lift_shafts">#REF!</definedName>
    <definedName name="WALLAREA_3rd_Floor___BOH___Service_Core">#REF!</definedName>
    <definedName name="WALLAREA_3rd_Floor___BOH___Service_Core_ducts">#REF!</definedName>
    <definedName name="WALLAREA_3rd_Floor___BOH___Service_Core_lift_shafts">#REF!</definedName>
    <definedName name="WALLAREA_3rd_Floor___FOH___Guest_Circulation">#REF!</definedName>
    <definedName name="WALLAREA_3rd_Floor___FOH___Guestroom_Terrace">#REF!</definedName>
    <definedName name="WALLAREA_3rd_Floor___FOH___Guestrooms">#REF!</definedName>
    <definedName name="WALLAREA_4.1.1___BW1__100mm_thk">#REF!</definedName>
    <definedName name="WALLAREA_4.1.1___BW2__150mm_thk">#REF!</definedName>
    <definedName name="WALLAREA_4.1.1___BW3__200mm_thk">#REF!</definedName>
    <definedName name="WALLAREA_4.1.2___Allow_for_joint_sealant">#REF!</definedName>
    <definedName name="WALLAREA_4.2.1___D_02__1000mm_x_2200mm">#REF!</definedName>
    <definedName name="WALLAREA_4.2.1___D_03__900mm_x_2200mm">#REF!</definedName>
    <definedName name="WALLAREA_4.2.1___D_04">#REF!</definedName>
    <definedName name="WALLAREA_4.2.2___Utility_Cupboard">#REF!</definedName>
    <definedName name="WALLAREA_4F_BOH_Service___Utility_area" localSheetId="1">#REF!</definedName>
    <definedName name="WALLAREA_4F_BOH_Service___Utility_area">#REF!</definedName>
    <definedName name="WALLAREA_4F_BOH_Staircase" localSheetId="1">#REF!</definedName>
    <definedName name="WALLAREA_4F_BOH_Staircase">#REF!</definedName>
    <definedName name="WALLAREA_4F_Guest_Core" localSheetId="1">#REF!</definedName>
    <definedName name="WALLAREA_4F_Guest_Core">#REF!</definedName>
    <definedName name="WALLAREA_4F_Guestrooms">#REF!</definedName>
    <definedName name="WALLAREA_4F_HGR_BOH">#REF!</definedName>
    <definedName name="WALLAREA_4F_HGR_Circulation">#REF!</definedName>
    <definedName name="WALLAREA_4F_HGR_Covered_Balcony">#REF!</definedName>
    <definedName name="WALLAREA_4F_HGR_Fire_Staircase">#REF!</definedName>
    <definedName name="WALLAREA_4F_Lift_Shaft">#REF!</definedName>
    <definedName name="WALLAREA_4F_Services_Core">#REF!</definedName>
    <definedName name="WALLAREA_4F_Voids___Dead_space">#REF!</definedName>
    <definedName name="WALLAREA_4th_Floor___BOH___Fire_Escape_Stairs">#REF!</definedName>
    <definedName name="WALLAREA_4th_Floor___BOH___Guest_Core">#REF!</definedName>
    <definedName name="WALLAREA_4th_Floor___BOH___Guest_Core_ducts">#REF!</definedName>
    <definedName name="WALLAREA_4th_Floor___BOH___Guest_Core_lift_shafts">#REF!</definedName>
    <definedName name="WALLAREA_4th_Floor___BOH___Service_Core">#REF!</definedName>
    <definedName name="WALLAREA_4th_Floor___BOH___Service_Core_ducts">#REF!</definedName>
    <definedName name="WALLAREA_4th_Floor___BOH___Service_Core_lift_shafts">#REF!</definedName>
    <definedName name="WALLAREA_4th_Floor___FOH___Guestroom_Circulation">#REF!</definedName>
    <definedName name="WALLAREA_4th_Floor___FOH___Guestroom_Terrace">#REF!</definedName>
    <definedName name="WALLAREA_4th_Floor___FOH___Guestrooms">#REF!</definedName>
    <definedName name="WALLAREA_4th_Floor___FOH___Roof_Top_Pantry">#REF!</definedName>
    <definedName name="WALLAREA_4th_Floor___FOH___Roof_Top_Restaurant">#REF!</definedName>
    <definedName name="WALLAREA_4th_Floor___FOH___Roof_Top_Toilets">#REF!</definedName>
    <definedName name="WALLAREA_4th_Floor___Roof_Top_Restaurant_open_terrace">#REF!</definedName>
    <definedName name="WALLAREA_5.1.2___Paint_to_walls__PF03">#REF!</definedName>
    <definedName name="WALLAREA_5.1.2___Paint_to_walls__PF04">#REF!</definedName>
    <definedName name="WALLAREA_5.1.3___Ceramic_Tiles_to_walls__WF01">#REF!</definedName>
    <definedName name="WALLAREA_5.1.3___Ceramic_Tiles_to_walls__WF03">#REF!</definedName>
    <definedName name="WALLAREA_5.1.3___Ceramic_Tiles_to_walls__WF05">#REF!</definedName>
    <definedName name="WALLAREA_5.1.3___Ceramic_Tiles_to_walls__WF07">#REF!</definedName>
    <definedName name="WALLAREA_5.1.4___Waterproofing_to_wet_areas">#REF!</definedName>
    <definedName name="WALLAREA_5.2.2___FF01__Porcelian_Tiles">#REF!</definedName>
    <definedName name="WALLAREA_5.2.2___FF01__Porcelian_Tiles_Skirting">#REF!</definedName>
    <definedName name="WALLAREA_5.2.3___FF03__Ceramic_Tiles">#REF!</definedName>
    <definedName name="WALLAREA_5.2.3___FF03__Ceramic_Tiles____Balconies">#REF!</definedName>
    <definedName name="WALLAREA_5.2.3___FF03__Ceramic_Tiles____Waterproofing_to_wet_areas">#REF!</definedName>
    <definedName name="WALLAREA_5.2.3___FF03__Ceramic_Tiles_Skirting">#REF!</definedName>
    <definedName name="WALLAREA_5.2.4___Threshold_Allowance_100mm_200mm_thk">#REF!</definedName>
    <definedName name="WALLAREA_5.3.1___PF01__Gypsum_Board">#REF!</definedName>
    <definedName name="WALLAREA_5.3.1___PF01__Slab_Soffits">#REF!</definedName>
    <definedName name="WALLAREA_5.3.1___PF03__Gypsum_Board">#REF!</definedName>
    <definedName name="WALLAREA_5.3.2___Bulkheads">#REF!</definedName>
    <definedName name="WALLAREA_50mm_dia_WP">#REF!</definedName>
    <definedName name="WALLAREA_50mm_dia._Balcony_Drain" localSheetId="1">#REF!</definedName>
    <definedName name="WALLAREA_50mm_dia._Balcony_Drain">#REF!</definedName>
    <definedName name="WALLAREA_5A_CEILING">#REF!</definedName>
    <definedName name="WALLAREA_5A_FS01">#REF!</definedName>
    <definedName name="WALLAREA_5A_FS02">#REF!</definedName>
    <definedName name="WALLAREA_5A_FS02_2F">#REF!</definedName>
    <definedName name="WALLAREA_5A_FS03">#REF!</definedName>
    <definedName name="WALLAREA_5A_FS03_AREA">#REF!</definedName>
    <definedName name="WALLAREA_5A_FS03_GRILL">#REF!</definedName>
    <definedName name="WALLAREA_5A_FS04">#REF!</definedName>
    <definedName name="WALLAREA_5A_FS04_1F">#REF!</definedName>
    <definedName name="WALLAREA_5A_FS04_2F">#REF!</definedName>
    <definedName name="WALLAREA_5A_FS05">#REF!</definedName>
    <definedName name="WALLAREA_5A_FS05_RF">#REF!</definedName>
    <definedName name="WALLAREA_5A_FS07">#REF!</definedName>
    <definedName name="WALLAREA_5A_FS08">#REF!</definedName>
    <definedName name="WALLAREA_5A_FS08_RF">#REF!</definedName>
    <definedName name="WALLAREA_5A_FS12_1F">#REF!</definedName>
    <definedName name="WALLAREA_5A_FS15_2F">#REF!</definedName>
    <definedName name="WALLAREA_5A_FS16">#REF!</definedName>
    <definedName name="WALLAREA_5B_FS01">#REF!</definedName>
    <definedName name="WALLAREA_5B_FS02_1F">#REF!</definedName>
    <definedName name="WALLAREA_5B_FS02_RF">#REF!</definedName>
    <definedName name="WALLAREA_5B_FS03">#REF!</definedName>
    <definedName name="WALLAREA_5B_FS03_AREA">#REF!</definedName>
    <definedName name="WALLAREA_5B_FS03_GRILL">#REF!</definedName>
    <definedName name="WALLAREA_5B_FS03_RF">#REF!</definedName>
    <definedName name="WALLAREA_5B_FS04_1F">#REF!</definedName>
    <definedName name="WALLAREA_5B_FS04_2F">#REF!</definedName>
    <definedName name="WALLAREA_5B_FS04_RF">#REF!</definedName>
    <definedName name="WALLAREA_5B_FS05">#REF!</definedName>
    <definedName name="WALLAREA_5B_FS05_GARDEN">#REF!</definedName>
    <definedName name="WALLAREA_5B_FS05_PARAPET">#REF!</definedName>
    <definedName name="WALLAREA_5B_FS06">#REF!</definedName>
    <definedName name="WALLAREA_5B_FS07_1F">#REF!</definedName>
    <definedName name="WALLAREA_5B_FS08_RF">#REF!</definedName>
    <definedName name="WALLAREA_5B_FS11_1F">#REF!</definedName>
    <definedName name="WALLAREA_5B_FS11_2F">#REF!</definedName>
    <definedName name="WALLAREA_5B_FS12_2F">#REF!</definedName>
    <definedName name="WALLAREA_5B_FS15_1F">#REF!</definedName>
    <definedName name="WALLAREA_5B_FS15_2F">#REF!</definedName>
    <definedName name="WALLAREA_5B_FS15_RF">#REF!</definedName>
    <definedName name="WALLAREA_5B_FS16">#REF!</definedName>
    <definedName name="WALLAREA_5B_LOUVRE">#REF!</definedName>
    <definedName name="WALLAREA_5B_PARAPET_COPING">#REF!</definedName>
    <definedName name="WALLAREA_5C_FS01">#REF!</definedName>
    <definedName name="WALLAREA_5C_FS02">#REF!</definedName>
    <definedName name="WALLAREA_5C_FS02_1F">#REF!</definedName>
    <definedName name="WALLAREA_5C_FS02_COPING">#REF!</definedName>
    <definedName name="WALLAREA_5C_FS03">#REF!</definedName>
    <definedName name="WALLAREA_5C_FS03_GRILL">#REF!</definedName>
    <definedName name="WALLAREA_5C_FS05_RF">#REF!</definedName>
    <definedName name="WALLAREA_5C_FS07_RF">#REF!</definedName>
    <definedName name="WALLAREA_5C_FS08_1F">#REF!</definedName>
    <definedName name="WALLAREA_5C_FS08_RF">#REF!</definedName>
    <definedName name="WALLAREA_5C_FS16">#REF!</definedName>
    <definedName name="WALLAREA_5C_LINK_BRIDGE">#REF!</definedName>
    <definedName name="WALLAREA_5F_BOH_Circulation">#REF!</definedName>
    <definedName name="WALLAREA_5F_BOH_Service___Utility_area">#REF!</definedName>
    <definedName name="WALLAREA_5F_BOH_Staircase">#REF!</definedName>
    <definedName name="WALLAREA_5F_Lift_Shaft">#REF!</definedName>
    <definedName name="WALLAREA_5F_MEP">#REF!</definedName>
    <definedName name="WALLAREA_5F_Services_Core">#REF!</definedName>
    <definedName name="WALLAREA_5F_Voids___Dead_area">#REF!</definedName>
    <definedName name="WALLAREA_6.1.1___U_Shaped_Base_Cabinet___3400___2250___2300_x_700_x_900">#REF!</definedName>
    <definedName name="WALLAREA_6.1.2___Kitchen_Wall_Cabinet_____600_x340_x_830">#REF!</definedName>
    <definedName name="WALLAREA_6.1.2___Kitchen_Wall_Cabinet_____650_x340_x_830">#REF!</definedName>
    <definedName name="WALLAREA_6.1.2___Kitchen_Wall_Cabinet_____850_x340_x_830">#REF!</definedName>
    <definedName name="WALLAREA_6.1.2___Kitchen_Wall_Cabinet_____900_x340_x_400">#REF!</definedName>
    <definedName name="WALLAREA_6.1.3___Cooker_Hood__4_series">#REF!</definedName>
    <definedName name="WALLAREA_6.2.1___Wardrobe__1000mm_x_600mm__walkin_">#REF!</definedName>
    <definedName name="WALLAREA_6.2.1___Wardrobe__2000mm_x_600mm__Bed3_">#REF!</definedName>
    <definedName name="WALLAREA_6.2.1___Wardrobe__2200mm_x_600mm__Bed2_">#REF!</definedName>
    <definedName name="WALLAREA_6.2.1___Wardrobe_L_shape__2500mm___2300mm_x_600mm__walkin_">#REF!</definedName>
    <definedName name="WALLAREA_6.3.1___Base_Cabinet__1000mm_x_600mm_x_900mm">#REF!</definedName>
    <definedName name="WALLAREA_6.3.1___Base_Cabinet__1800mm_x_600mm_x_900m">#REF!</definedName>
    <definedName name="WALLAREA_6.3.1___Base_Cabinet__1900mm_x_600mm_x_900m">#REF!</definedName>
    <definedName name="WALLAREA_82mm_dia_Vent_pipe_1F" localSheetId="1">#REF!</definedName>
    <definedName name="WALLAREA_82mm_dia_Vent_pipe_1F">#REF!</definedName>
    <definedName name="WALLAREA_82mm_dia_Vent_pipe_GF">#REF!</definedName>
    <definedName name="WALLAREA_AM_Beams">#REF!</definedName>
    <definedName name="WALLAREA_AM_Slab_1200">#REF!</definedName>
    <definedName name="WALLAREA_AM_Slab_300">#REF!</definedName>
    <definedName name="WALLAREA_Assume_Roof">#REF!</definedName>
    <definedName name="WALLAREA_Assumed_Stair_Roof">#REF!</definedName>
    <definedName name="WALLAREA_B1">#REF!</definedName>
    <definedName name="WALLAREA_B1___BOH____Loading_Unloading">#REF!</definedName>
    <definedName name="WALLAREA_B1___BOH____Service_Corridor">#REF!</definedName>
    <definedName name="WALLAREA_B1___BOH___Bulk_Storage">#REF!</definedName>
    <definedName name="WALLAREA_B1___BOH___Event_Center_Core">#REF!</definedName>
    <definedName name="WALLAREA_B1___BOH___Event_Center_Core_lift_shafts">#REF!</definedName>
    <definedName name="WALLAREA_B1___BOH___Event_Center_Kitchen">#REF!</definedName>
    <definedName name="WALLAREA_B1___BOH___Event_Center_Service">#REF!</definedName>
    <definedName name="WALLAREA_B1___BOH___Fire_Escape_Stairs">#REF!</definedName>
    <definedName name="WALLAREA_B1___BOH___Food___Beverage_Dept">#REF!</definedName>
    <definedName name="WALLAREA_B1___BOH___General_Areas">#REF!</definedName>
    <definedName name="WALLAREA_B1___BOH___Guest_Core">#REF!</definedName>
    <definedName name="WALLAREA_B1___BOH___Guest_Core_ducts">#REF!</definedName>
    <definedName name="WALLAREA_B1___BOH___Guest_Core_lift_shafts">#REF!</definedName>
    <definedName name="WALLAREA_B1___BOH___Human_Resources">#REF!</definedName>
    <definedName name="WALLAREA_B1___BOH___Main_Kitchen">#REF!</definedName>
    <definedName name="WALLAREA_B1___BOH___Pool_Bar___Grill_Pantry">#REF!</definedName>
    <definedName name="WALLAREA_B1___BOH___Ramp__B1___GF_">#REF!</definedName>
    <definedName name="WALLAREA_B1___BOH___Ramp_B1_to_B2__loading_unloading_">#REF!</definedName>
    <definedName name="WALLAREA_B1___BOH___Receiving___Purchasing">#REF!</definedName>
    <definedName name="WALLAREA_B1___BOH___Service_Core">#REF!</definedName>
    <definedName name="WALLAREA_B1___BOH___Service_Core_ducts">#REF!</definedName>
    <definedName name="WALLAREA_B1___BOH___Service_Core_lift_shaft">#REF!</definedName>
    <definedName name="WALLAREA_B1___BOH___Service_Corridor">#REF!</definedName>
    <definedName name="WALLAREA_B1___BOH___Speciality_Restaurant_01_Pantry">#REF!</definedName>
    <definedName name="WALLAREA_B1___BOH___Staff_Core">#REF!</definedName>
    <definedName name="WALLAREA_B1___BOH___Staff_Core_lift_shafts">#REF!</definedName>
    <definedName name="WALLAREA_B1___BOH___Staff_Facilities">#REF!</definedName>
    <definedName name="WALLAREA_B1___BOH___Waste_Management">#REF!</definedName>
    <definedName name="WALLAREA_B1___Double_Volume_internal_Plant_RM">#REF!</definedName>
    <definedName name="WALLAREA_B1___FOH____Day_Care_Center">#REF!</definedName>
    <definedName name="WALLAREA_B1___FOH___All_Day_Dining">#REF!</definedName>
    <definedName name="WALLAREA_B1___FOH___Circulation">#REF!</definedName>
    <definedName name="WALLAREA_B1___FOH___Day_Care_Center_Terrace">#REF!</definedName>
    <definedName name="WALLAREA_B1___FOH___Guest_Circulation">#REF!</definedName>
    <definedName name="WALLAREA_B1___FOH___Guestroom_Terrace">#REF!</definedName>
    <definedName name="WALLAREA_B1___FOH___Guestrooms">#REF!</definedName>
    <definedName name="WALLAREA_B1___FOH___Gym">#REF!</definedName>
    <definedName name="WALLAREA_B1___FOH___Pool_Bar___Grill">#REF!</definedName>
    <definedName name="WALLAREA_B1___FOH___Pool_Bar___Grill_Terrace">#REF!</definedName>
    <definedName name="WALLAREA_B1___FOH___Spa">#REF!</definedName>
    <definedName name="WALLAREA_B1___FOH___Speciality_Restauarant_02_Toilets">#REF!</definedName>
    <definedName name="WALLAREA_B1___FOH___Speciality_Restaurant_01">#REF!</definedName>
    <definedName name="WALLAREA_B1___FOH___Speciality_Restaurant_02">#REF!</definedName>
    <definedName name="WALLAREA_B1___FOH___Speciality_Restaurant_02_Terrace__covered_terrace_area_">#REF!</definedName>
    <definedName name="WALLAREA_B1___FOH___Speciality_Restaurant_02_Terrace__open_terrace_area_">#REF!</definedName>
    <definedName name="WALLAREA_B1___Parking">#REF!</definedName>
    <definedName name="WALLAREA_B1__BOH_">#REF!</definedName>
    <definedName name="WALLAREA_B1__Car_Park_">#REF!</definedName>
    <definedName name="WALLAREA_B1__Column_C1">#REF!</definedName>
    <definedName name="WALLAREA_B1__Column_C10">#REF!</definedName>
    <definedName name="WALLAREA_B1__Column_C11">#REF!</definedName>
    <definedName name="WALLAREA_B1__Column_C12">#REF!</definedName>
    <definedName name="WALLAREA_B1__Column_C2">#REF!</definedName>
    <definedName name="WALLAREA_B1__Column_C3">#REF!</definedName>
    <definedName name="WALLAREA_B1__Column_C4">#REF!</definedName>
    <definedName name="WALLAREA_B1__Column_C5">#REF!</definedName>
    <definedName name="WALLAREA_B1__Column_C6">#REF!</definedName>
    <definedName name="WALLAREA_B1__Column_C7">#REF!</definedName>
    <definedName name="WALLAREA_B1__Column_C8">#REF!</definedName>
    <definedName name="WALLAREA_B1__Column_C9">#REF!</definedName>
    <definedName name="WALLAREA_B1__Column_TC1">#REF!</definedName>
    <definedName name="WALLAREA_B1__Column_TC2">#REF!</definedName>
    <definedName name="WALLAREA_B1__Column_TC3">#REF!</definedName>
    <definedName name="WALLAREA_B1__Column_TC4">#REF!</definedName>
    <definedName name="WALLAREA_B1__Column_TC5">#REF!</definedName>
    <definedName name="WALLAREA_B1__FOH_circulation_">#REF!</definedName>
    <definedName name="WALLAREA_B1__GIFA_">#REF!</definedName>
    <definedName name="WALLAREA_B1__RW1_400">#REF!</definedName>
    <definedName name="WALLAREA_B1__RW2_600">#REF!</definedName>
    <definedName name="WALLAREA_B1__Stairs_">#REF!</definedName>
    <definedName name="WALLAREA_B1__TW1_250">#REF!</definedName>
    <definedName name="WALLAREA_B1__TW2_200">#REF!</definedName>
    <definedName name="WALLAREA_B1__TW3_300">#REF!</definedName>
    <definedName name="WALLAREA_B1__TW3_400">#REF!</definedName>
    <definedName name="WALLAREA_B1__TW4_500">#REF!</definedName>
    <definedName name="WALLAREA_B1__TW4_500_Door_Overhead">#REF!</definedName>
    <definedName name="WALLAREA_B1__TW4_600">#REF!</definedName>
    <definedName name="WALLAREA_B1__voids_">#REF!</definedName>
    <definedName name="WALLAREA_B1__W1__300">#REF!</definedName>
    <definedName name="WALLAREA_B1__W1_300_Door_Overhead">#REF!</definedName>
    <definedName name="WALLAREA_B1_Beams">#REF!</definedName>
    <definedName name="WALLAREA_B1_BOH">#REF!</definedName>
    <definedName name="WALLAREA_B1_BOH_Area" localSheetId="1">#REF!</definedName>
    <definedName name="WALLAREA_B1_BOH_Area">#REF!</definedName>
    <definedName name="WALLAREA_B1_BOH_Service___Utility_area" localSheetId="1">#REF!</definedName>
    <definedName name="WALLAREA_B1_BOH_Service___Utility_area">#REF!</definedName>
    <definedName name="WALLAREA_B1_Car_Park" localSheetId="1">#REF!</definedName>
    <definedName name="WALLAREA_B1_Car_Park">#REF!</definedName>
    <definedName name="WALLAREA_B1_Double_Internal_Doors__BOH_" localSheetId="1">#REF!</definedName>
    <definedName name="WALLAREA_B1_Double_Internal_Doors__BOH_">#REF!</definedName>
    <definedName name="WALLAREA_B1_Double_Internal_Doors__FOH_">#REF!</definedName>
    <definedName name="WALLAREA_B1_Double_Volume_area" localSheetId="1">#REF!</definedName>
    <definedName name="WALLAREA_B1_Double_Volume_area">#REF!</definedName>
    <definedName name="WALLAREA_B1_Executive_Club" localSheetId="1">#REF!</definedName>
    <definedName name="WALLAREA_B1_Executive_Club">#REF!</definedName>
    <definedName name="WALLAREA_B1_FOH_Circulation" localSheetId="1">#REF!</definedName>
    <definedName name="WALLAREA_B1_FOH_Circulation">#REF!</definedName>
    <definedName name="WALLAREA_B1_FOH_Circulation_area" localSheetId="1">#REF!</definedName>
    <definedName name="WALLAREA_B1_FOH_Circulation_area">#REF!</definedName>
    <definedName name="WALLAREA_B1_FOH_Lobby" localSheetId="1">#REF!</definedName>
    <definedName name="WALLAREA_B1_FOH_Lobby">#REF!</definedName>
    <definedName name="WALLAREA_B1_GIFA" localSheetId="1">#REF!</definedName>
    <definedName name="WALLAREA_B1_GIFA">#REF!</definedName>
    <definedName name="WALLAREA_B1_Guest_Core" localSheetId="1">#REF!</definedName>
    <definedName name="WALLAREA_B1_Guest_Core">#REF!</definedName>
    <definedName name="WALLAREA_B1_Gym" localSheetId="1">#REF!</definedName>
    <definedName name="WALLAREA_B1_Gym">#REF!</definedName>
    <definedName name="WALLAREA_B1_Gym_Toilets" localSheetId="1">#REF!</definedName>
    <definedName name="WALLAREA_B1_Gym_Toilets">#REF!</definedName>
    <definedName name="WALLAREA_B1_Internal_Double_doors__BOH_">#REF!</definedName>
    <definedName name="WALLAREA_B1_Internal_Double_doors__FOH_">#REF!</definedName>
    <definedName name="WALLAREA_B1_Internal_Single_doors__BOH_">#REF!</definedName>
    <definedName name="WALLAREA_B1_Kids_Area">#REF!</definedName>
    <definedName name="WALLAREA_B1_Kitchen">#REF!</definedName>
    <definedName name="WALLAREA_B1_Lift_Shaft">#REF!</definedName>
    <definedName name="WALLAREA_B1_Main_Restaurant">#REF!</definedName>
    <definedName name="WALLAREA_B1_MEP_Area">#REF!</definedName>
    <definedName name="WALLAREA_B1_Mezz">#REF!</definedName>
    <definedName name="WALLAREA_B1_Mezzanine___BOH___Event_Center_Admin">#REF!</definedName>
    <definedName name="WALLAREA_B1_Mezzanine___BOH___Event_Center_Core">#REF!</definedName>
    <definedName name="WALLAREA_B1_Mezzanine___BOH___Event_Center_Valet">#REF!</definedName>
    <definedName name="WALLAREA_B1_Mezzanine___BOH___Event_Service_Core_lift_shafts">#REF!</definedName>
    <definedName name="WALLAREA_B1_Mezzanine___BOH___Fire_Escape_Stairs">#REF!</definedName>
    <definedName name="WALLAREA_B1_Mezzanine___BOH___General_Areas">#REF!</definedName>
    <definedName name="WALLAREA_B1_Mezzanine___BOH___Guest_Core">#REF!</definedName>
    <definedName name="WALLAREA_B1_Mezzanine___BOH___Guest_Core_ducts">#REF!</definedName>
    <definedName name="WALLAREA_B1_Mezzanine___BOH___Guest_Core_lift_shafts">#REF!</definedName>
    <definedName name="WALLAREA_B1_Mezzanine___BOH___RMU">#REF!</definedName>
    <definedName name="WALLAREA_B1_Mezzanine___BOH___Service_Core">#REF!</definedName>
    <definedName name="WALLAREA_B1_Mezzanine___BOH___Service_Core_ducts">#REF!</definedName>
    <definedName name="WALLAREA_B1_Mezzanine___BOH___Service_Core_lift_shafts">#REF!</definedName>
    <definedName name="WALLAREA_B1_Mezzanine___Double_Volume__left_wing_">#REF!</definedName>
    <definedName name="WALLAREA_B1_Mezzanine___Double_Volume__left_wing_stairs___">#REF!</definedName>
    <definedName name="WALLAREA_B1_Mezzanine___Double_Volume__main_hotel___">#REF!</definedName>
    <definedName name="WALLAREA_B1_Mezzanine___Double_Volume__right_wing_">#REF!</definedName>
    <definedName name="WALLAREA_B1_Mezzanine___Double_Volume__right_wing_stairs___">#REF!</definedName>
    <definedName name="WALLAREA_B1_Mezzanine___Double_Volume__Speciality_Restaurant___">#REF!</definedName>
    <definedName name="WALLAREA_B1_Mezzanine___FOH___Business_Center">#REF!</definedName>
    <definedName name="WALLAREA_B1_Mezzanine___FOH___Circulation">#REF!</definedName>
    <definedName name="WALLAREA_B1_Mezzanine___FOH___Event_Center_Core_lift_shafts">#REF!</definedName>
    <definedName name="WALLAREA_B1_Mezzanine___FOH___Event_Center_Port_Corchere">#REF!</definedName>
    <definedName name="WALLAREA_B1_Mezzanine___FOH___Event_Center_Reception">#REF!</definedName>
    <definedName name="WALLAREA_B1_Mezzanine___FOH___Event_Center_Wind_Lobby">#REF!</definedName>
    <definedName name="WALLAREA_B1_Mezzanine___FOH___Guestroom_Terrace">#REF!</definedName>
    <definedName name="WALLAREA_B1_Mezzanine___FOH___Guestrooms">#REF!</definedName>
    <definedName name="WALLAREA_B1_Mezzanine___FOH___Meeting_Prefunction">#REF!</definedName>
    <definedName name="WALLAREA_B1_Mezzanine___FOH___Meeting_Rooms">#REF!</definedName>
    <definedName name="WALLAREA_B1_Mezzanine___FOH___Meeting_Rooms_Pantry">#REF!</definedName>
    <definedName name="WALLAREA_B1_Mezzanine___FOH___Meeting_Rooms_Terrace">#REF!</definedName>
    <definedName name="WALLAREA_B1_Mezzanine___FOH___Meeting_Rooms_Toilet">#REF!</definedName>
    <definedName name="WALLAREA_B1_Mezzanine___FOH___Retail">#REF!</definedName>
    <definedName name="WALLAREA_B1_Parking_area">#REF!</definedName>
    <definedName name="WALLAREA_B1_Public_Toilets">#REF!</definedName>
    <definedName name="WALLAREA_B1_Ramp">#REF!</definedName>
    <definedName name="WALLAREA_B1_Service_Lift_Lobby">#REF!</definedName>
    <definedName name="WALLAREA_B1_Services_Core">#REF!</definedName>
    <definedName name="WALLAREA_B1_Single_Internal_Doors__BOH_">#REF!</definedName>
    <definedName name="WALLAREA_B1_Slab_200" localSheetId="1">#REF!</definedName>
    <definedName name="WALLAREA_B1_Slab_200">#REF!</definedName>
    <definedName name="WALLAREA_B1_Slab_220">#REF!</definedName>
    <definedName name="WALLAREA_B1_Slab_240">#REF!</definedName>
    <definedName name="WALLAREA_B1_Slab_260">#REF!</definedName>
    <definedName name="WALLAREA_B1_Spa">#REF!</definedName>
    <definedName name="WALLAREA_B1_Speciality_Kitchen">#REF!</definedName>
    <definedName name="WALLAREA_B1_Speciality_Restaurant">#REF!</definedName>
    <definedName name="WALLAREA_B1_Staicase_Lobby">#REF!</definedName>
    <definedName name="WALLAREA_B1_Staircase">#REF!</definedName>
    <definedName name="WALLAREA_B1_Stairs">#REF!</definedName>
    <definedName name="WALLAREA_B1_Voids" localSheetId="1">#REF!</definedName>
    <definedName name="WALLAREA_B1_Voids">#REF!</definedName>
    <definedName name="WALLAREA_B2" localSheetId="1">#REF!</definedName>
    <definedName name="WALLAREA_B2">#REF!</definedName>
    <definedName name="WALLAREA_B2___BOH____Tank" localSheetId="1">#REF!</definedName>
    <definedName name="WALLAREA_B2___BOH____Tank">#REF!</definedName>
    <definedName name="WALLAREA_B2___BOH___AHU">#REF!</definedName>
    <definedName name="WALLAREA_B2___BOH___Engineering___Maintenance">#REF!</definedName>
    <definedName name="WALLAREA_B2___BOH___Event_Center_Core">#REF!</definedName>
    <definedName name="WALLAREA_B2___BOH___Event_Center_Core_lift_shafts">#REF!</definedName>
    <definedName name="WALLAREA_B2___BOH___Fire_Escape_Stairs">#REF!</definedName>
    <definedName name="WALLAREA_B2___BOH___Guest_Core">#REF!</definedName>
    <definedName name="WALLAREA_B2___BOH___Guest_Core_lift_shafts">#REF!</definedName>
    <definedName name="WALLAREA_B2___BOH___Heat_Exchange">#REF!</definedName>
    <definedName name="WALLAREA_B2___BOH___IT_Department">#REF!</definedName>
    <definedName name="WALLAREA_B2___BOH___Laundry___Housekeeping">#REF!</definedName>
    <definedName name="WALLAREA_B2___BOH___LV_Room">#REF!</definedName>
    <definedName name="WALLAREA_B2___BOH___Plant">#REF!</definedName>
    <definedName name="WALLAREA_B2___BOH___Pump_Room">#REF!</definedName>
    <definedName name="WALLAREA_B2___BOH___Ramp_B2_to_B1">#REF!</definedName>
    <definedName name="WALLAREA_B2___BOH___Ramp_B2_to_B1__loading___unloading_">#REF!</definedName>
    <definedName name="WALLAREA_B2___BOH___Service_Core">#REF!</definedName>
    <definedName name="WALLAREA_B2___BOH___Service_Core_duct">#REF!</definedName>
    <definedName name="WALLAREA_B2___BOH___Service_Core_lift_shafts">#REF!</definedName>
    <definedName name="WALLAREA_B2___BOH___Service_Corridor">#REF!</definedName>
    <definedName name="WALLAREA_B2___BOH___Substation">#REF!</definedName>
    <definedName name="WALLAREA_B2___BOH___Unknown_areas">#REF!</definedName>
    <definedName name="WALLAREA_B2___FOH___Pool_Toilets">#REF!</definedName>
    <definedName name="WALLAREA_B2___FOH___Speciality_Restaurant_01_Toilets">#REF!</definedName>
    <definedName name="WALLAREA_B2___Parking">#REF!</definedName>
    <definedName name="WALLAREA_B2__BOH_">#REF!</definedName>
    <definedName name="WALLAREA_B2__Car_Parking_">#REF!</definedName>
    <definedName name="WALLAREA_B2__Column_C1">#REF!</definedName>
    <definedName name="WALLAREA_B2__Column_C10">#REF!</definedName>
    <definedName name="WALLAREA_B2__Column_C11">#REF!</definedName>
    <definedName name="WALLAREA_B2__Column_C12">#REF!</definedName>
    <definedName name="WALLAREA_B2__Column_C2">#REF!</definedName>
    <definedName name="WALLAREA_B2__Column_C3">#REF!</definedName>
    <definedName name="WALLAREA_B2__Column_C4">#REF!</definedName>
    <definedName name="WALLAREA_B2__Column_C5">#REF!</definedName>
    <definedName name="WALLAREA_B2__Column_C6">#REF!</definedName>
    <definedName name="WALLAREA_B2__Column_C7">#REF!</definedName>
    <definedName name="WALLAREA_B2__Column_C8">#REF!</definedName>
    <definedName name="WALLAREA_B2__Column_C9">#REF!</definedName>
    <definedName name="WALLAREA_B2__Column_TC1">#REF!</definedName>
    <definedName name="WALLAREA_B2__Column_TC2">#REF!</definedName>
    <definedName name="WALLAREA_B2__Column_TC3">#REF!</definedName>
    <definedName name="WALLAREA_B2__Column_TC4">#REF!</definedName>
    <definedName name="WALLAREA_B2__Column_TC5">#REF!</definedName>
    <definedName name="WALLAREA_B2__FOH_Circulation_">#REF!</definedName>
    <definedName name="WALLAREA_B2__GIFA_">#REF!</definedName>
    <definedName name="WALLAREA_B2__Loading__Unloading_Area">#REF!</definedName>
    <definedName name="WALLAREA_B2__RW1_400">#REF!</definedName>
    <definedName name="WALLAREA_B2__RW2_600">#REF!</definedName>
    <definedName name="WALLAREA_B2__Stairs_">#REF!</definedName>
    <definedName name="WALLAREA_B2__TW1_250">#REF!</definedName>
    <definedName name="WALLAREA_B2__TW2_200">#REF!</definedName>
    <definedName name="WALLAREA_B2__TW3_300">#REF!</definedName>
    <definedName name="WALLAREA_B2__TW3_400">#REF!</definedName>
    <definedName name="WALLAREA_B2__TW4_500">#REF!</definedName>
    <definedName name="WALLAREA_B2__TW4_600">#REF!</definedName>
    <definedName name="WALLAREA_B2__Voids_">#REF!</definedName>
    <definedName name="WALLAREA_B2__W1__300">#REF!</definedName>
    <definedName name="WALLAREA_B2__W1__300_Door_Overhead">#REF!</definedName>
    <definedName name="WALLAREA_B2_BOH">#REF!</definedName>
    <definedName name="WALLAREA_B2_BOH___Services_Area" localSheetId="1">#REF!</definedName>
    <definedName name="WALLAREA_B2_BOH___Services_Area">#REF!</definedName>
    <definedName name="WALLAREA_B2_BOH_Area" localSheetId="1">#REF!</definedName>
    <definedName name="WALLAREA_B2_BOH_Area">#REF!</definedName>
    <definedName name="WALLAREA_B2_Car_Park" localSheetId="1">#REF!</definedName>
    <definedName name="WALLAREA_B2_Car_Park">#REF!</definedName>
    <definedName name="WALLAREA_B2_Dirty_Room" localSheetId="1">#REF!</definedName>
    <definedName name="WALLAREA_B2_Dirty_Room">#REF!</definedName>
    <definedName name="WALLAREA_B2_Double_Internal_Doors__BOH_" localSheetId="1">#REF!</definedName>
    <definedName name="WALLAREA_B2_Double_Internal_Doors__BOH_">#REF!</definedName>
    <definedName name="WALLAREA_B2_Double_Internal_Doors__FOH_" localSheetId="1">#REF!</definedName>
    <definedName name="WALLAREA_B2_Double_Internal_Doors__FOH_">#REF!</definedName>
    <definedName name="WALLAREA_B2_FOH" localSheetId="1">#REF!</definedName>
    <definedName name="WALLAREA_B2_FOH">#REF!</definedName>
    <definedName name="WALLAREA_B2_GIFA">#REF!</definedName>
    <definedName name="WALLAREA_B2_Kitchen" localSheetId="1">#REF!</definedName>
    <definedName name="WALLAREA_B2_Kitchen">#REF!</definedName>
    <definedName name="WALLAREA_B2_Lift_Shaft" localSheetId="1">#REF!</definedName>
    <definedName name="WALLAREA_B2_Lift_Shaft">#REF!</definedName>
    <definedName name="WALLAREA_B2_MEP_Area" localSheetId="1">#REF!</definedName>
    <definedName name="WALLAREA_B2_MEP_Area">#REF!</definedName>
    <definedName name="WALLAREA_B2_Raft_2500">#REF!</definedName>
    <definedName name="WALLAREA_B2_Raft_600">#REF!</definedName>
    <definedName name="WALLAREA_B2_Services_Core">#REF!</definedName>
    <definedName name="WALLAREA_B2_Single_Internal_Doors__BOH_">#REF!</definedName>
    <definedName name="WALLAREA_B2_Staircase" localSheetId="1">#REF!</definedName>
    <definedName name="WALLAREA_B2_Staircase">#REF!</definedName>
    <definedName name="WALLAREA_B2_Stairs" localSheetId="1">#REF!</definedName>
    <definedName name="WALLAREA_B2_Stairs">#REF!</definedName>
    <definedName name="WALLAREA_B2_Voids" localSheetId="1">#REF!</definedName>
    <definedName name="WALLAREA_B2_Voids">#REF!</definedName>
    <definedName name="WALLAREA_B3_Beams" localSheetId="1">#REF!</definedName>
    <definedName name="WALLAREA_B3_Beams">#REF!</definedName>
    <definedName name="WALLAREA_B3_Wall">#REF!</definedName>
    <definedName name="WALLAREA_B3_Wall_Link">#REF!</definedName>
    <definedName name="WALLAREA_B4_Beams">#REF!</definedName>
    <definedName name="WALLAREA_B4_Tower_Wall___same_as_B5">#REF!</definedName>
    <definedName name="WALLAREA_B4_Wall_Length">#REF!</definedName>
    <definedName name="WALLAREA_B4_Wall_Link">#REF!</definedName>
    <definedName name="WALLAREA_B5_Beams">#REF!</definedName>
    <definedName name="WALLAREA_B5_Tower_Wall">#REF!</definedName>
    <definedName name="WALLAREA_B5_Wall_Length">#REF!</definedName>
    <definedName name="WALLAREA_B5_Wall_Link">#REF!</definedName>
    <definedName name="WALLAREA_B6_Beams">#REF!</definedName>
    <definedName name="WALLAREA_B7_Tower_Wall">#REF!</definedName>
    <definedName name="WALLAREA_B7_Wall_Length">#REF!</definedName>
    <definedName name="WALLAREA_B7_Wall_Link">#REF!</definedName>
    <definedName name="WALLAREA_Balconies_Entry">#REF!</definedName>
    <definedName name="WALLAREA_Balcony_Drain">#REF!</definedName>
    <definedName name="WALLAREA_Bib_Tap">#REF!</definedName>
    <definedName name="WALLAREA_BOH__GF_">#REF!</definedName>
    <definedName name="WALLAREA_BOH__Podium_1_">#REF!</definedName>
    <definedName name="WALLAREA_BOH__Podium_2_">#REF!</definedName>
    <definedName name="WALLAREA_BOH__Roof_">#REF!</definedName>
    <definedName name="WALLAREA_BOH_areas__lvl_1_">#REF!</definedName>
    <definedName name="WALLAREA_BOH_areas__lvl_2_">#REF!</definedName>
    <definedName name="WALLAREA_BOH_areas__lvl_3_">#REF!</definedName>
    <definedName name="WALLAREA_BUA">#REF!</definedName>
    <definedName name="WALLAREA_Bypass_Valve__Normally_Closed_">#REF!</definedName>
    <definedName name="WALLAREA_Cable_Foundation_Length">#REF!</definedName>
    <definedName name="WALLAREA_Cable_raft">#REF!</definedName>
    <definedName name="WALLAREA_Cable_Retaining_wall">#REF!</definedName>
    <definedName name="WALLAREA_Cable_Waterproofing">#REF!</definedName>
    <definedName name="WALLAREA_capping">#REF!</definedName>
    <definedName name="WALLAREA_Car_Park__Podium_1_">#REF!</definedName>
    <definedName name="WALLAREA_Car_Park__Podium_2_">#REF!</definedName>
    <definedName name="WALLAREA_Car_Parking__lvl_1_">#REF!</definedName>
    <definedName name="WALLAREA_Conference_Centre">#REF!</definedName>
    <definedName name="WALLAREA_Counterweight">#REF!</definedName>
    <definedName name="WALLAREA_DP1_3000x3000x350">#REF!</definedName>
    <definedName name="WALLAREA_DP11_3250x1750x350">#REF!</definedName>
    <definedName name="WALLAREA_DP2_3000x1750x350">#REF!</definedName>
    <definedName name="WALLAREA_DP3_3500x1900x350">#REF!</definedName>
    <definedName name="WALLAREA_DP5_3000x3000x400">#REF!</definedName>
    <definedName name="WALLAREA_DP6_6500x4000x550">#REF!</definedName>
    <definedName name="WALLAREA_DP7_3500x1900x400">#REF!</definedName>
    <definedName name="WALLAREA_Entrance_lobby__GF_">#REF!</definedName>
    <definedName name="WALLAREA_External_areas__lvl_2_">#REF!</definedName>
    <definedName name="WALLAREA_External_areas__Roof_">#REF!</definedName>
    <definedName name="WALLAREA_External_Doors__AL_01">#REF!</definedName>
    <definedName name="WALLAREA_External_Doors__AL_02">#REF!</definedName>
    <definedName name="WALLAREA_External_Doors__AL_03">#REF!</definedName>
    <definedName name="WALLAREA_External_Doors__AL_04">#REF!</definedName>
    <definedName name="WALLAREA_External_Doors__AL_05">#REF!</definedName>
    <definedName name="WALLAREA_External_Doors__D_01">#REF!</definedName>
    <definedName name="WALLAREA_External_Doors__D_02">#REF!</definedName>
    <definedName name="WALLAREA_External_Doors__D_05">#REF!</definedName>
    <definedName name="WALLAREA_External_Doors__Threshold">#REF!</definedName>
    <definedName name="WALLAREA_External_Floor_Finishes__Interlocking_Paving">#REF!</definedName>
    <definedName name="WALLAREA_External_Wall__Blockwork___BW_2">#REF!</definedName>
    <definedName name="WALLAREA_External_Wall__Blockwork___BW_3">#REF!</definedName>
    <definedName name="WALLAREA_External_Wall__Blockwork___BW_4">#REF!</definedName>
    <definedName name="WALLAREA_External_Wall_Finishes__50mm_thk_insulation">#REF!</definedName>
    <definedName name="WALLAREA_External_Wall_finishes__Cast_Aluminium_handrail___Balustrade">#REF!</definedName>
    <definedName name="WALLAREA_External_Wall_Finishes__Cement_render___Paint">#REF!</definedName>
    <definedName name="WALLAREA_External_Wall_finishes__Elevation_projection_with_painted_finish">#REF!</definedName>
    <definedName name="WALLAREA_External_Wall_Finishes__Skirting">#REF!</definedName>
    <definedName name="WALLAREA_External_Wall_finishes__Soffits">#REF!</definedName>
    <definedName name="WALLAREA_External_Window__GL_01">#REF!</definedName>
    <definedName name="WALLAREA_External_Window__GL_02">#REF!</definedName>
    <definedName name="WALLAREA_External_Window__GL_02_a">#REF!</definedName>
    <definedName name="WALLAREA_External_Window__GL_03">#REF!</definedName>
    <definedName name="WALLAREA_External_Window__GL_04">#REF!</definedName>
    <definedName name="WALLAREA_External_Window__GL_05">#REF!</definedName>
    <definedName name="WALLAREA_External_Window__GL_06">#REF!</definedName>
    <definedName name="WALLAREA_External_Window__GL_07">#REF!</definedName>
    <definedName name="WALLAREA_External_Window__GL_08">#REF!</definedName>
    <definedName name="WALLAREA_External_Window__GL_16">#REF!</definedName>
    <definedName name="WALLAREA_External_Window__GL_18">#REF!</definedName>
    <definedName name="WALLAREA_External_Window__GL_19">#REF!</definedName>
    <definedName name="WALLAREA_External_Window__GL_19_a">#REF!</definedName>
    <definedName name="WALLAREA_External_Window__GL_20">#REF!</definedName>
    <definedName name="WALLAREA_External_Window__GL_21">#REF!</definedName>
    <definedName name="WALLAREA_External_Window__GL_22">#REF!</definedName>
    <definedName name="WALLAREA_External_Window__GL_23">#REF!</definedName>
    <definedName name="WALLAREA_External_Window__GL_24">#REF!</definedName>
    <definedName name="WALLAREA_External_Window__GL_25">#REF!</definedName>
    <definedName name="WALLAREA_Fence">#REF!</definedName>
    <definedName name="WALLAREA_Floor_Plate___B1_Mezzanine">#REF!</definedName>
    <definedName name="WALLAREA_Floor_Plate___Basement_1">#REF!</definedName>
    <definedName name="WALLAREA_Floor_Plate___Basement_2">#REF!</definedName>
    <definedName name="WALLAREA_Floor_Plate___First_Floor">#REF!</definedName>
    <definedName name="WALLAREA_Floor_Plate___Fourth_Floor">#REF!</definedName>
    <definedName name="WALLAREA_Floor_Plate___Ground_Floor">#REF!</definedName>
    <definedName name="WALLAREA_Floor_Plate___Mezanine_Floor">#REF!</definedName>
    <definedName name="WALLAREA_Floor_Plate___Second_Floor">#REF!</definedName>
    <definedName name="WALLAREA_Floor_Plate___Third_Floor">#REF!</definedName>
    <definedName name="WALLAREA_FOH_areas__GF_">#REF!</definedName>
    <definedName name="WALLAREA_FOH_Areas__Roof_">#REF!</definedName>
    <definedName name="WALLAREA_FOH_Circulation__GF_">#REF!</definedName>
    <definedName name="WALLAREA_FOH_circulation__lvl_1_">#REF!</definedName>
    <definedName name="WALLAREA_FOH_circulation__lvl_2_">#REF!</definedName>
    <definedName name="WALLAREA_FOH_Circulation__lvl_3_">#REF!</definedName>
    <definedName name="WALLAREA_FOH_Circulation__Podium_1_">#REF!</definedName>
    <definedName name="WALLAREA_FOH_Circulation__Podium_2_">#REF!</definedName>
    <definedName name="WALLAREA_FOH_Circulation__Roof_">#REF!</definedName>
    <definedName name="WALLAREA_FP_A_00AF">#REF!</definedName>
    <definedName name="WALLAREA_FP_A_01F">#REF!</definedName>
    <definedName name="WALLAREA_FP_A_02F___4F">#REF!</definedName>
    <definedName name="WALLAREA_FP_A_03F">#REF!</definedName>
    <definedName name="WALLAREA_FP_A_05F">#REF!</definedName>
    <definedName name="WALLAREA_FP_A_06F">#REF!</definedName>
    <definedName name="WALLAREA_FP_A_07F">#REF!</definedName>
    <definedName name="WALLAREA_FP_A_08F___10F">#REF!</definedName>
    <definedName name="WALLAREA_FP_A_09F">#REF!</definedName>
    <definedName name="WALLAREA_FP_A_11F_to_29F_alt_">#REF!</definedName>
    <definedName name="WALLAREA_FP_A_12F_to_30F_alt_">#REF!</definedName>
    <definedName name="WALLAREA_FP_A_31F">#REF!</definedName>
    <definedName name="WALLAREA_FP_A_32F">#REF!</definedName>
    <definedName name="WALLAREA_FP_A_33RF__">#REF!</definedName>
    <definedName name="WALLAREA_FP_A_34uRF__">#REF!</definedName>
    <definedName name="WALLAREA_FP_A_35uRF__">#REF!</definedName>
    <definedName name="WALLAREA_FP_B_00BF_1">#REF!</definedName>
    <definedName name="WALLAREA_FP_B_00BF_1_intermediate">#REF!</definedName>
    <definedName name="WALLAREA_FP_B_00BF_2">#REF!</definedName>
    <definedName name="WALLAREA_FP_B_00GF">#REF!</definedName>
    <definedName name="WALLAREA_FP_B_00MF">#REF!</definedName>
    <definedName name="WALLAREA_FP_B_00PF___1">#REF!</definedName>
    <definedName name="WALLAREA_FP_B_00PF___2">#REF!</definedName>
    <definedName name="WALLAREA_FP_B_00PF___3">#REF!</definedName>
    <definedName name="WALLAREA_FS01">#REF!</definedName>
    <definedName name="WALLAREA_FS01_1B">#REF!</definedName>
    <definedName name="WALLAREA_FS01_1C">#REF!</definedName>
    <definedName name="WALLAREA_FS012_1B2">#REF!</definedName>
    <definedName name="WALLAREA_FS02_1A">#REF!</definedName>
    <definedName name="WALLAREA_FS02_1B">#REF!</definedName>
    <definedName name="WALLAREA_FS02_1B_RF">#REF!</definedName>
    <definedName name="WALLAREA_FS02_1B1">#REF!</definedName>
    <definedName name="WALLAREA_FS02_1C">#REF!</definedName>
    <definedName name="WALLAREA_FS02_1C1">#REF!</definedName>
    <definedName name="WALLAREA_FS03_1A">#REF!</definedName>
    <definedName name="WALLAREA_FS03_1B">#REF!</definedName>
    <definedName name="WALLAREA_FS03_1C">#REF!</definedName>
    <definedName name="WALLAREA_FS04">#REF!</definedName>
    <definedName name="WALLAREA_FS04_1A">#REF!</definedName>
    <definedName name="WALLAREA_FS04_1B">#REF!</definedName>
    <definedName name="WALLAREA_FS04_1B1">#REF!</definedName>
    <definedName name="WALLAREA_FS04_1B2">#REF!</definedName>
    <definedName name="WALLAREA_FS04_1C">#REF!</definedName>
    <definedName name="WALLAREA_FS04_1C1">#REF!</definedName>
    <definedName name="WALLAREA_FS04_1C2">#REF!</definedName>
    <definedName name="WALLAREA_FS04_Rail">#REF!</definedName>
    <definedName name="WALLAREA_FS05_1A">#REF!</definedName>
    <definedName name="WALLAREA_FS05_1A_RF">#REF!</definedName>
    <definedName name="WALLAREA_FS05_1B">#REF!</definedName>
    <definedName name="WALLAREA_FS05_1B1">#REF!</definedName>
    <definedName name="WALLAREA_FS05_1B2">#REF!</definedName>
    <definedName name="WALLAREA_FS05_1C">#REF!</definedName>
    <definedName name="WALLAREA_FS05_1C_RF">#REF!</definedName>
    <definedName name="WALLAREA_FS05_1C1">#REF!</definedName>
    <definedName name="WALLAREA_FS05_1C2">#REF!</definedName>
    <definedName name="WALLAREA_FS05_GARDEN">#REF!</definedName>
    <definedName name="WALLAREA_FS05_GARDEN_1C">#REF!</definedName>
    <definedName name="WALLAREA_FS05_IB_RF">#REF!</definedName>
    <definedName name="WALLAREA_FS06_1A">#REF!</definedName>
    <definedName name="WALLAREA_FS06_1C_RF">#REF!</definedName>
    <definedName name="WALLAREA_FS06_RF">#REF!</definedName>
    <definedName name="WALLAREA_FS06_Skybridge">#REF!</definedName>
    <definedName name="WALLAREA_FS07_1B1">#REF!</definedName>
    <definedName name="WALLAREA_FS07_1C">#REF!</definedName>
    <definedName name="WALLAREA_FS11_1B1">#REF!</definedName>
    <definedName name="WALLAREA_FS11_1B2">#REF!</definedName>
    <definedName name="WALLAREA_FS11_1C1">#REF!</definedName>
    <definedName name="WALLAREA_FS11_1C2">#REF!</definedName>
    <definedName name="WALLAREA_FS12_1C2">#REF!</definedName>
    <definedName name="WALLAREA_FS12_IC_RF">#REF!</definedName>
    <definedName name="WALLAREA_FS12_RAIL_1C">#REF!</definedName>
    <definedName name="WALLAREA_FS12_RAIL_RF">#REF!</definedName>
    <definedName name="WALLAREA_FS12_RF">#REF!</definedName>
    <definedName name="WALLAREA_Garage">#REF!</definedName>
    <definedName name="WALLAREA_Garden">#REF!</definedName>
    <definedName name="WALLAREA_GF">#REF!</definedName>
    <definedName name="WALLAREA_GF___BOH____General_areas">#REF!</definedName>
    <definedName name="WALLAREA_GF___BOH___Admin_Support">#REF!</definedName>
    <definedName name="WALLAREA_GF___BOH___Boiler_Room">#REF!</definedName>
    <definedName name="WALLAREA_GF___BOH___Ducts">#REF!</definedName>
    <definedName name="WALLAREA_GF___BOH___Executive_Offices">#REF!</definedName>
    <definedName name="WALLAREA_GF___BOH___Fire_Escape_Stairs">#REF!</definedName>
    <definedName name="WALLAREA_GF___BOH___Front_Desk">#REF!</definedName>
    <definedName name="WALLAREA_GF___BOH___Front_Office_Devision">#REF!</definedName>
    <definedName name="WALLAREA_GF___BOH___Guest_Core">#REF!</definedName>
    <definedName name="WALLAREA_GF___BOH___Guest_Core_ducts">#REF!</definedName>
    <definedName name="WALLAREA_GF___BOH___Guest_Core_lift_shafts">#REF!</definedName>
    <definedName name="WALLAREA_GF___BOH___Lobby_Bar_Pantry">#REF!</definedName>
    <definedName name="WALLAREA_GF___BOH___Luggage">#REF!</definedName>
    <definedName name="WALLAREA_GF___BOH___Prayer_Rooms">#REF!</definedName>
    <definedName name="WALLAREA_GF___BOH___Sales_Offices">#REF!</definedName>
    <definedName name="WALLAREA_GF___BOH___Security_and_Valet">#REF!</definedName>
    <definedName name="WALLAREA_GF___BOH___Service_Core">#REF!</definedName>
    <definedName name="WALLAREA_GF___BOH___Service_Core_ducts">#REF!</definedName>
    <definedName name="WALLAREA_GF___BOH___Staff_Core">#REF!</definedName>
    <definedName name="WALLAREA_GF___BOH___Staff_Core_lift_shafts">#REF!</definedName>
    <definedName name="WALLAREA_GF___Double_Volume_internal_Reception">#REF!</definedName>
    <definedName name="WALLAREA_GF___FOH___Circulation">#REF!</definedName>
    <definedName name="WALLAREA_GF___FOH___Guest_Circulation">#REF!</definedName>
    <definedName name="WALLAREA_GF___FOH___Guestroom_Terrace">#REF!</definedName>
    <definedName name="WALLAREA_GF___FOH___Guestrooms">#REF!</definedName>
    <definedName name="WALLAREA_GF___FOH___Hotel_Port_Corchere">#REF!</definedName>
    <definedName name="WALLAREA_GF___FOH___Lobby_Bar___Lounge">#REF!</definedName>
    <definedName name="WALLAREA_GF___FOH___Lobby_Bar___Lounge_Toilets">#REF!</definedName>
    <definedName name="WALLAREA_GF___FOH___Reception_and_Lobby_BR_Terrace">#REF!</definedName>
    <definedName name="WALLAREA_GF___FOH___Reception_Lobby">#REF!</definedName>
    <definedName name="WALLAREA_GF___FOH___Speciality_Restaurant_01_Roof_Terrace">#REF!</definedName>
    <definedName name="WALLAREA_GF___FOH___Wind_Lobby">#REF!</definedName>
    <definedName name="WALLAREA_GF__15mm_dia._CWS_Buried_Underground">#REF!</definedName>
    <definedName name="WALLAREA_GF__25mm_dia._CWS_20mm_dia_HSW">#REF!</definedName>
    <definedName name="WALLAREA_GF__32_dia._CWS_Main_Buried_underground">#REF!</definedName>
    <definedName name="WALLAREA_GF__32mm_dia_BCWS_25mm_dia_HWS">#REF!</definedName>
    <definedName name="WALLAREA_GF_Bell_Captain">#REF!</definedName>
    <definedName name="WALLAREA_GF_BOH_Service___Utility_area">#REF!</definedName>
    <definedName name="WALLAREA_GF_BOH_Staircase">#REF!</definedName>
    <definedName name="WALLAREA_GF_Business_Center">#REF!</definedName>
    <definedName name="WALLAREA_GF_Double_Vol._at_Parking_ramp__2.5m_high_">#REF!</definedName>
    <definedName name="WALLAREA_GF_Double_Volume">#REF!</definedName>
    <definedName name="WALLAREA_GF_ENT._LOBBY_TO_LUGGAGE_BELL_CAPT">#REF!</definedName>
    <definedName name="WALLAREA_GF_External_Double_doors__FOH_">#REF!</definedName>
    <definedName name="WALLAREA_GF_External_Revolving_doors__FOH_">#REF!</definedName>
    <definedName name="WALLAREA_GF_External_Single_doors__BOH_">#REF!</definedName>
    <definedName name="WALLAREA_GF_External_Single_doors__FOH_">#REF!</definedName>
    <definedName name="WALLAREA_GF_FOH_Circulation_Area">#REF!</definedName>
    <definedName name="WALLAREA_GF_FOH_Staircase">#REF!</definedName>
    <definedName name="WALLAREA_GF_Front_Office">#REF!</definedName>
    <definedName name="WALLAREA_GF_Guest_Core">#REF!</definedName>
    <definedName name="WALLAREA_GF_Guest_Rooms">#REF!</definedName>
    <definedName name="WALLAREA_GF_HGR_BOH">#REF!</definedName>
    <definedName name="WALLAREA_GF_HGR_Circulation">#REF!</definedName>
    <definedName name="WALLAREA_GF_HGR_Covered_Balcony">#REF!</definedName>
    <definedName name="WALLAREA_GF_HGR_Fire_Staircase">#REF!</definedName>
    <definedName name="WALLAREA_GF_Internal_Single_doors__BOH_">#REF!</definedName>
    <definedName name="WALLAREA_GF_Internal_Single_doors__FOH_">#REF!</definedName>
    <definedName name="WALLAREA_GF_Lift_Shaft">#REF!</definedName>
    <definedName name="WALLAREA_GF_Lobby_Bar">#REF!</definedName>
    <definedName name="WALLAREA_GF_Lobby_Lounge">#REF!</definedName>
    <definedName name="WALLAREA_GF_Lobby_Lounge_pantry">#REF!</definedName>
    <definedName name="WALLAREA_GF_Luggage_Room">#REF!</definedName>
    <definedName name="WALLAREA_GF_MEP_Area">#REF!</definedName>
    <definedName name="WALLAREA_GF_Prayer_Room">#REF!</definedName>
    <definedName name="WALLAREA_GF_Public_Toilets">#REF!</definedName>
    <definedName name="WALLAREA_GF_Ramp_B1_to_GF">#REF!</definedName>
    <definedName name="WALLAREA_GF_Ramp_GF_to_B1">#REF!</definedName>
    <definedName name="WALLAREA_GF_Reception">#REF!</definedName>
    <definedName name="WALLAREA_GF_Roller_shutter_doors__BOH_">#REF!</definedName>
    <definedName name="WALLAREA_GF_Service_Core">#REF!</definedName>
    <definedName name="WALLAREA_GF_Toilet_cubicle_doors">#REF!</definedName>
    <definedName name="WALLAREA_GF_Toilet_to_Prayer_rooms">#REF!</definedName>
    <definedName name="WALLAREA_GF_Voids_Dead_areas">#REF!</definedName>
    <definedName name="WALLAREA_GFA">#REF!</definedName>
    <definedName name="WALLAREA_GFA__GF_">#REF!</definedName>
    <definedName name="WALLAREA_GFA__lvl_1_">#REF!</definedName>
    <definedName name="WALLAREA_GFA__lvl_2_">#REF!</definedName>
    <definedName name="WALLAREA_GFA__lvl_3_">#REF!</definedName>
    <definedName name="WALLAREA_GFA__Podium_1_">#REF!</definedName>
    <definedName name="WALLAREA_GFA__Podium_2_">#REF!</definedName>
    <definedName name="WALLAREA_GFA__Roof_">#REF!</definedName>
    <definedName name="WALLAREA_GIFA">#REF!</definedName>
    <definedName name="WALLAREA_GIFA__GF_">#REF!</definedName>
    <definedName name="WALLAREA_GIFA__lvl_1_">#REF!</definedName>
    <definedName name="WALLAREA_GIFA__lvl_2_">#REF!</definedName>
    <definedName name="WALLAREA_GIFA__Podium_1_">#REF!</definedName>
    <definedName name="WALLAREA_GIFA__Podium_2_">#REF!</definedName>
    <definedName name="WALLAREA_GIFA__Roof_">#REF!</definedName>
    <definedName name="WALLAREA_GR1__150mm_Thk_Hollow_Block_Wall">#REF!</definedName>
    <definedName name="WALLAREA_GR1__Wall_Finishes___Dark_mirror_finish_w_black">#REF!</definedName>
    <definedName name="WALLAREA_GR1__Wall_Finishes___Glass_panel">#REF!</definedName>
    <definedName name="WALLAREA_GR1__Wall_Finishes___High_Gloss_laquered_warm_grey">#REF!</definedName>
    <definedName name="WALLAREA_GR1__Wall_Finishes___Light_Box_with_printed_Art">#REF!</definedName>
    <definedName name="WALLAREA_GR1__Wall_Finishes___Painted_Finish">#REF!</definedName>
    <definedName name="WALLAREA_GR1__Wall_Finishes___PU_Leather_Finish_w_double">#REF!</definedName>
    <definedName name="WALLAREA_GR1__Wall_Finishes___Sandblasted_Granite">#REF!</definedName>
    <definedName name="WALLAREA_GR1__Wall_Finishes___Wall_Stone_finish">#REF!</definedName>
    <definedName name="WALLAREA_GR2__150mm_Tkh_Hollow_Block_Wall">#REF!</definedName>
    <definedName name="WALLAREA_GR2__50mm_Tkh_Hollow_Block_Wall___Copy">#REF!</definedName>
    <definedName name="WALLAREA_GR2__Wall_Finishes___Dark_mirror_finish_w_b">#REF!</definedName>
    <definedName name="WALLAREA_GR2__Wall_Finishes___Glass_panel">#REF!</definedName>
    <definedName name="WALLAREA_GR2__Wall_Finishes___Painted_Finish">#REF!</definedName>
    <definedName name="WALLAREA_GR2__Wall_Finishes___Sandblasted_Granite">#REF!</definedName>
    <definedName name="WALLAREA_GR2__Wall_Finishes___Wall_Stone_finish">#REF!</definedName>
    <definedName name="WALLAREA_GR8__100mm_thk_hollow_block">#REF!</definedName>
    <definedName name="WALLAREA_GR8__150mm_thk_hollow_block">#REF!</definedName>
    <definedName name="WALLAREA_Hotel_F_B__GF_" localSheetId="1">#REF!</definedName>
    <definedName name="WALLAREA_Hotel_F_B__GF_">#REF!</definedName>
    <definedName name="WALLAREA_IA_001mPF_BA_A_U00___lift_lobby">#REF!</definedName>
    <definedName name="WALLAREA_IA_001mPF_BA_A_U00___lift_shaft">#REF!</definedName>
    <definedName name="WALLAREA_IA_001mPF_BB_B_U00___double_vol._e.t.s._rm.">#REF!</definedName>
    <definedName name="WALLAREA_IA_001mPF_BB_B_U00___double_volume">#REF!</definedName>
    <definedName name="WALLAREA_IA_001mPF_BB_B_U00___electrical_rm.">#REF!</definedName>
    <definedName name="WALLAREA_IA_001mPF_BB_B_U00___f.e._stairs">#REF!</definedName>
    <definedName name="WALLAREA_IA_001mPF_BB_B_U00___f.h.c.">#REF!</definedName>
    <definedName name="WALLAREA_IA_001mPF_BB_B_U00___garbage_rm.">#REF!</definedName>
    <definedName name="WALLAREA_IA_001mPF_BB_B_U00___services_trans._area">#REF!</definedName>
    <definedName name="WALLAREA_IA_001mPF_BB_B_U00___shaft">#REF!</definedName>
    <definedName name="WALLAREA_IA_001mPF_BB_B_U00___stair_3">#REF!</definedName>
    <definedName name="WALLAREA_IA_001mPF_BB_B_U00___telephone_rm.">#REF!</definedName>
    <definedName name="WALLAREA_IA_001mPF_BB_B_U00___void">#REF!</definedName>
    <definedName name="WALLAREA_IA_001mPF_BB_C_U00___driveway">#REF!</definedName>
    <definedName name="WALLAREA_IA_001mPF_BB_C_U00___driveway_ramp">#REF!</definedName>
    <definedName name="WALLAREA_IA_001mPF_BB_C_U00___driveway_zebra_lines">#REF!</definedName>
    <definedName name="WALLAREA_IA_001mPF_BB_C_U00___parking_bay">#REF!</definedName>
    <definedName name="WALLAREA_IA_001mPF_BB_C_U00___sidewalk">#REF!</definedName>
    <definedName name="WALLAREA_IA_001mPF_BB_C_U00___sidewalk_ramp">#REF!</definedName>
    <definedName name="WALLAREA_IA_001PF_BA_A_U00___lift_lobby">#REF!</definedName>
    <definedName name="WALLAREA_IA_001PF_BA_A_U00___lift_shaft">#REF!</definedName>
    <definedName name="WALLAREA_IA_001PF_BA_B_U00___electrical_rm.">#REF!</definedName>
    <definedName name="WALLAREA_IA_001PF_BA_B_U00___f.e._stairs">#REF!</definedName>
    <definedName name="WALLAREA_IA_001PF_BA_B_U00___f.h.c.">#REF!</definedName>
    <definedName name="WALLAREA_IA_001PF_BA_B_U00___garbage_rm.">#REF!</definedName>
    <definedName name="WALLAREA_IA_001PF_BA_B_U00___shaft">#REF!</definedName>
    <definedName name="WALLAREA_IA_001PF_BA_B_U00___stair_3">#REF!</definedName>
    <definedName name="WALLAREA_IA_001PF_BA_B_U00___telephone_rm.">#REF!</definedName>
    <definedName name="WALLAREA_IA_001PF_BA_C_U00___driveway">#REF!</definedName>
    <definedName name="WALLAREA_IA_001PF_BA_C_U00___driveway_zebra_line">#REF!</definedName>
    <definedName name="WALLAREA_IA_001PF_BA_C_U00___parking_bay">#REF!</definedName>
    <definedName name="WALLAREA_IA_001PF_BA_C_U00___sidewalk">#REF!</definedName>
    <definedName name="WALLAREA_IA_002PF_BA_A_U00___lift_lobby">#REF!</definedName>
    <definedName name="WALLAREA_IA_002PF_BA_A_U00___lift_shaft">#REF!</definedName>
    <definedName name="WALLAREA_IA_002PF_BA_B_U00___electrical_rm.">#REF!</definedName>
    <definedName name="WALLAREA_IA_002PF_BA_B_U00___f.e._stairs">#REF!</definedName>
    <definedName name="WALLAREA_IA_002PF_BA_B_U00___f.h.c.">#REF!</definedName>
    <definedName name="WALLAREA_IA_002PF_BA_B_U00___garbage_rm.">#REF!</definedName>
    <definedName name="WALLAREA_IA_002PF_BA_B_U00___shaft">#REF!</definedName>
    <definedName name="WALLAREA_IA_002PF_BA_B_U00___stair_3">#REF!</definedName>
    <definedName name="WALLAREA_IA_002PF_BA_B_U00___telephone_rm.">#REF!</definedName>
    <definedName name="WALLAREA_IA_002PF_BA_C_U00___driveway">#REF!</definedName>
    <definedName name="WALLAREA_IA_002PF_BA_C_U00___driveway_zebra_line">#REF!</definedName>
    <definedName name="WALLAREA_IA_002PF_BA_C_U00___parking_bay">#REF!</definedName>
    <definedName name="WALLAREA_IA_002PF_BA_C_U00___sidewalk">#REF!</definedName>
    <definedName name="WALLAREA_IA_003PF_BA_A_U00___lift_lobby">#REF!</definedName>
    <definedName name="WALLAREA_IA_003PF_BA_A_U00___lift_shaft">#REF!</definedName>
    <definedName name="WALLAREA_IA_003PF_BA_B_U00___electrical_rm.">#REF!</definedName>
    <definedName name="WALLAREA_IA_003PF_BA_B_U00___f.e._stairs">#REF!</definedName>
    <definedName name="WALLAREA_IA_003PF_BA_B_U00___f.h.c.">#REF!</definedName>
    <definedName name="WALLAREA_IA_003PF_BA_B_U00___garbage_rm.">#REF!</definedName>
    <definedName name="WALLAREA_IA_003PF_BA_B_U00___plant_rm.">#REF!</definedName>
    <definedName name="WALLAREA_IA_003PF_BA_B_U00___shaft">#REF!</definedName>
    <definedName name="WALLAREA_IA_003PF_BA_B_U00___stair_3">#REF!</definedName>
    <definedName name="WALLAREA_IA_003PF_BA_B_U00___telephone_rm.">#REF!</definedName>
    <definedName name="WALLAREA_IA_003PF_BA_C_U00___driveway">#REF!</definedName>
    <definedName name="WALLAREA_IA_003PF_BA_C_U00___driveway_zebra_line">#REF!</definedName>
    <definedName name="WALLAREA_IA_003PF_BA_C_U00___parking_bay">#REF!</definedName>
    <definedName name="WALLAREA_IA_003PF_BA_C_U00___sidewalk">#REF!</definedName>
    <definedName name="WALLAREA_IA_00AF_AB_U00___cafe">#REF!</definedName>
    <definedName name="WALLAREA_IA_00AF_AB_U00___cafe_pantry">#REF!</definedName>
    <definedName name="WALLAREA_IA_00AF_AB_U00___corridor">#REF!</definedName>
    <definedName name="WALLAREA_IA_00AF_AB_U00___game_rm.">#REF!</definedName>
    <definedName name="WALLAREA_IA_00AF_AB_U00___game_rm._store">#REF!</definedName>
    <definedName name="WALLAREA_IA_00AF_AB_U00___gym_female">#REF!</definedName>
    <definedName name="WALLAREA_IA_00AF_AB_U00___gym_female_lobby">#REF!</definedName>
    <definedName name="WALLAREA_IA_00AF_AB_U00___gym_female_shaft">#REF!</definedName>
    <definedName name="WALLAREA_IA_00AF_AB_U00___gym_female_store">#REF!</definedName>
    <definedName name="WALLAREA_IA_00AF_AB_U00___gym_female_void">#REF!</definedName>
    <definedName name="WALLAREA_IA_00AF_AB_U00___gym_male">#REF!</definedName>
    <definedName name="WALLAREA_IA_00AF_AB_U00___gym_male_lobby">#REF!</definedName>
    <definedName name="WALLAREA_IA_00AF_AB_U00___gym_male_shaft">#REF!</definedName>
    <definedName name="WALLAREA_IA_00AF_AB_U00___gym_male_store">#REF!</definedName>
    <definedName name="WALLAREA_IA_00AF_AB_U00___gym_male_void">#REF!</definedName>
    <definedName name="WALLAREA_IA_00AF_AB_U00___handicap_toi._female">#REF!</definedName>
    <definedName name="WALLAREA_IA_00AF_AB_U00___handicap_toi._male">#REF!</definedName>
    <definedName name="WALLAREA_IA_00AF_AB_U00___lift_lobby">#REF!</definedName>
    <definedName name="WALLAREA_IA_00AF_AB_U00___lift_shaft">#REF!</definedName>
    <definedName name="WALLAREA_IA_00AF_AB_U00___multi_purpose_rm.">#REF!</definedName>
    <definedName name="WALLAREA_IA_00AF_AB_U00___multi_purpose_shaft">#REF!</definedName>
    <definedName name="WALLAREA_IA_00AF_AB_U00___multi_purpose_store">#REF!</definedName>
    <definedName name="WALLAREA_IA_00AF_AB_U00___spa_f._hallway">#REF!</definedName>
    <definedName name="WALLAREA_IA_00AF_AB_U00___spa_f._heater_rm.">#REF!</definedName>
    <definedName name="WALLAREA_IA_00AF_AB_U00___spa_f._lobby">#REF!</definedName>
    <definedName name="WALLAREA_IA_00AF_AB_U00___spa_f._lockers">#REF!</definedName>
    <definedName name="WALLAREA_IA_00AF_AB_U00___spa_f._massage_rm.">#REF!</definedName>
    <definedName name="WALLAREA_IA_00AF_AB_U00___spa_f._rec.">#REF!</definedName>
    <definedName name="WALLAREA_IA_00AF_AB_U00___spa_f._sauna">#REF!</definedName>
    <definedName name="WALLAREA_IA_00AF_AB_U00___spa_f._shaft">#REF!</definedName>
    <definedName name="WALLAREA_IA_00AF_AB_U00___spa_f._shower_toilet">#REF!</definedName>
    <definedName name="WALLAREA_IA_00AF_AB_U00___spa_f._steam_rm.">#REF!</definedName>
    <definedName name="WALLAREA_IA_00AF_AB_U00___spa_m._hallway">#REF!</definedName>
    <definedName name="WALLAREA_IA_00AF_AB_U00___spa_m._heater_rm.">#REF!</definedName>
    <definedName name="WALLAREA_IA_00AF_AB_U00___spa_m._lobby">#REF!</definedName>
    <definedName name="WALLAREA_IA_00AF_AB_U00___spa_m._lockers">#REF!</definedName>
    <definedName name="WALLAREA_IA_00AF_AB_U00___spa_m._massage_rm.">#REF!</definedName>
    <definedName name="WALLAREA_IA_00AF_AB_U00___spa_m._rec.">#REF!</definedName>
    <definedName name="WALLAREA_IA_00AF_AB_U00___spa_m._sauna">#REF!</definedName>
    <definedName name="WALLAREA_IA_00AF_AB_U00___spa_m._shaft">#REF!</definedName>
    <definedName name="WALLAREA_IA_00AF_AB_U00___spa_m._shower_toilet">#REF!</definedName>
    <definedName name="WALLAREA_IA_00AF_AB_U00___spa_m._steam_rm.">#REF!</definedName>
    <definedName name="WALLAREA_IA_00AF_AC_U00___electrical_rm.">#REF!</definedName>
    <definedName name="WALLAREA_IA_00AF_AC_U00___f.e._stair">#REF!</definedName>
    <definedName name="WALLAREA_IA_00AF_AC_U00___fhc">#REF!</definedName>
    <definedName name="WALLAREA_IA_00AF_AC_U00___garbage_rm.">#REF!</definedName>
    <definedName name="WALLAREA_IA_00AF_AC_U00___shaft">#REF!</definedName>
    <definedName name="WALLAREA_IA_00AF_AC_U00___stair_3">#REF!</definedName>
    <definedName name="WALLAREA_IA_00AF_AC_U00___store_rm.">#REF!</definedName>
    <definedName name="WALLAREA_IA_00AF_AC_U00___telephone_rm.">#REF!</definedName>
    <definedName name="WALLAREA_IA_00B1F_BD_B_U00___double_volume">#REF!</definedName>
    <definedName name="WALLAREA_IA_00B1F_BD_B_U00___f.e._stairs">#REF!</definedName>
    <definedName name="WALLAREA_IA_00B1F_BD_B_U00___f.h.c.">#REF!</definedName>
    <definedName name="WALLAREA_IA_00B1F_BD_B_U00___fire_pump_rm.">#REF!</definedName>
    <definedName name="WALLAREA_IA_00B1F_BD_B_U00___lobby_rm.">#REF!</definedName>
    <definedName name="WALLAREA_IA_00B1F_BD_B_U00___lobby_rm._ent.">#REF!</definedName>
    <definedName name="WALLAREA_IA_00B1F_BD_B_U00___shaft">#REF!</definedName>
    <definedName name="WALLAREA_IA_00B1F_BD_B_U00___stair_3">#REF!</definedName>
    <definedName name="WALLAREA_IA_00B1F_BD_B_U00___tech._rm.">#REF!</definedName>
    <definedName name="WALLAREA_IA_00B1F_BD_C_U00___double_volume">#REF!</definedName>
    <definedName name="WALLAREA_IA_00B1F_BD_C_U00___driveway">#REF!</definedName>
    <definedName name="WALLAREA_IA_00B1F_BD_C_U00___driveway_ramp_1">#REF!</definedName>
    <definedName name="WALLAREA_IA_00B1F_BD_C_U00___driveway_zebra_lines">#REF!</definedName>
    <definedName name="WALLAREA_IA_00B1F_BD_C_U00___parking_bay">#REF!</definedName>
    <definedName name="WALLAREA_IA_00B1F_BD_C_U00___sidewalk">#REF!</definedName>
    <definedName name="WALLAREA_IA_00B1F_BD_C_U00___sidewalk_ramp">#REF!</definedName>
    <definedName name="WALLAREA_IA_00B1iF_BD_A_U00___lift_lobby">#REF!</definedName>
    <definedName name="WALLAREA_IA_00B1iF_BD_A_U00___lift_shaft">#REF!</definedName>
    <definedName name="WALLAREA_IA_00B1iF_BD_B_U00___electrical_rm.">#REF!</definedName>
    <definedName name="WALLAREA_IA_00B1iF_BD_B_U00___f.e._stairs">#REF!</definedName>
    <definedName name="WALLAREA_IA_00B1iF_BD_B_U00___f.h.c.">#REF!</definedName>
    <definedName name="WALLAREA_IA_00B1iF_BD_B_U00___l.v._rm.">#REF!</definedName>
    <definedName name="WALLAREA_IA_00B1iF_BD_B_U00___main_tel._rm.">#REF!</definedName>
    <definedName name="WALLAREA_IA_00B1iF_BD_B_U00___shaft">#REF!</definedName>
    <definedName name="WALLAREA_IA_00B1iF_BD_B_U00___stair_4">#REF!</definedName>
    <definedName name="WALLAREA_IA_00B1iF_BD_B_U00___storage_1">#REF!</definedName>
    <definedName name="WALLAREA_IA_00B1iF_BD_B_U00___tech._rm.1">#REF!</definedName>
    <definedName name="WALLAREA_IA_00B1iF_BD_B_U00___tech._rm.2">#REF!</definedName>
    <definedName name="WALLAREA_IA_00B1iF_BD_B_U00___tech._rm.3">#REF!</definedName>
    <definedName name="WALLAREA_IA_00B1iF_BD_B_U00___water_tank_1_double_volume">#REF!</definedName>
    <definedName name="WALLAREA_IA_00B1iF_BD_B_U00___water_tank_2_double_volume">#REF!</definedName>
    <definedName name="WALLAREA_IA_00B1iF_BD_B_U00___water_tank_3_double_volume">#REF!</definedName>
    <definedName name="WALLAREA_IA_00B1iF_BD_B_U00___water_tank_4_double_volume">#REF!</definedName>
    <definedName name="WALLAREA_IA_00B1iF_BD_C_U00___driveway">#REF!</definedName>
    <definedName name="WALLAREA_IA_00B1iF_BD_C_U00___driveway_zebra_lines">#REF!</definedName>
    <definedName name="WALLAREA_IA_00B1iF_BD_C_U00___parking_bay">#REF!</definedName>
    <definedName name="WALLAREA_IA_00B1iF_BD_C_U00___sidewalk">#REF!</definedName>
    <definedName name="WALLAREA_IA_00B2F_BD_A_U00___lift_lobby">#REF!</definedName>
    <definedName name="WALLAREA_IA_00B2F_BD_A_U00___lift_shaft">#REF!</definedName>
    <definedName name="WALLAREA_IA_00B2F_BD_B_U00___electrical_rm.">#REF!</definedName>
    <definedName name="WALLAREA_IA_00B2F_BD_B_U00___f.e._stair">#REF!</definedName>
    <definedName name="WALLAREA_IA_00B2F_BD_B_U00___f.h.c.">#REF!</definedName>
    <definedName name="WALLAREA_IA_00B2F_BD_B_U00___mechanical_rm.1">#REF!</definedName>
    <definedName name="WALLAREA_IA_00B2F_BD_B_U00___pump_rm.">#REF!</definedName>
    <definedName name="WALLAREA_IA_00B2F_BD_B_U00___pump_rm._2">#REF!</definedName>
    <definedName name="WALLAREA_IA_00B2F_BD_B_U00___shaft">#REF!</definedName>
    <definedName name="WALLAREA_IA_00B2F_BD_B_U00___stair_4">#REF!</definedName>
    <definedName name="WALLAREA_IA_00B2F_BD_B_U00___store_rm.1">#REF!</definedName>
    <definedName name="WALLAREA_IA_00B2F_BD_B_U00___store_rm.2">#REF!</definedName>
    <definedName name="WALLAREA_IA_00B2F_BD_B_U00___store_rm.3">#REF!</definedName>
    <definedName name="WALLAREA_IA_00B2F_BD_B_U00___store_rm.4">#REF!</definedName>
    <definedName name="WALLAREA_IA_00B2F_BD_B_U00___store_rm.5">#REF!</definedName>
    <definedName name="WALLAREA_IA_00B2F_BD_B_U00___tech_rm.1">#REF!</definedName>
    <definedName name="WALLAREA_IA_00B2F_BD_B_U00___tech_rm.2">#REF!</definedName>
    <definedName name="WALLAREA_IA_00B2F_BD_B_U00___tech_rm.3">#REF!</definedName>
    <definedName name="WALLAREA_IA_00B2F_BD_B_U00___water_tank__1">#REF!</definedName>
    <definedName name="WALLAREA_IA_00B2F_BD_B_U00___water_tank__2">#REF!</definedName>
    <definedName name="WALLAREA_IA_00B2F_BD_B_U00___water_tank__3">#REF!</definedName>
    <definedName name="WALLAREA_IA_00B2F_BD_B_U00___water_tank__4">#REF!</definedName>
    <definedName name="WALLAREA_IA_00B2F_BD_C_U00___driveway_1">#REF!</definedName>
    <definedName name="WALLAREA_IA_00B2F_BD_C_U00___driveway_1___zebra_line">#REF!</definedName>
    <definedName name="WALLAREA_IA_00B2F_BD_C_U00___parking_bay_1">#REF!</definedName>
    <definedName name="WALLAREA_IA_00B2F_BD_C_U00___sidewalk_1">#REF!</definedName>
    <definedName name="WALLAREA_IA_00BF_BC_A_U00___entrance_lobby">#REF!</definedName>
    <definedName name="WALLAREA_IA_00BF_BC_A_U00___lift_lobby">#REF!</definedName>
    <definedName name="WALLAREA_IA_00BF_BC_A_U00___lift_shaft">#REF!</definedName>
    <definedName name="WALLAREA_IA_00BF_BC_A_U00___main_entrance">#REF!</definedName>
    <definedName name="WALLAREA_IA_00BF_BC_B_U00___b.m.s._rm.">#REF!</definedName>
    <definedName name="WALLAREA_IA_00BF_BC_B_U00___e.t.s_rm.">#REF!</definedName>
    <definedName name="WALLAREA_IA_00BF_BC_B_U00___e.t.s_rm._hallway">#REF!</definedName>
    <definedName name="WALLAREA_IA_00BF_BC_B_U00___e.t.s_rm.1">#REF!</definedName>
    <definedName name="WALLAREA_IA_00BF_BC_B_U00___elect._rm">#REF!</definedName>
    <definedName name="WALLAREA_IA_00BF_BC_B_U00___elect._rm_1">#REF!</definedName>
    <definedName name="WALLAREA_IA_00BF_BC_B_U00___f.e._stair">#REF!</definedName>
    <definedName name="WALLAREA_IA_00BF_BC_B_U00___f.e._stair_corridor">#REF!</definedName>
    <definedName name="WALLAREA_IA_00BF_BC_B_U00___f.e._stair_corridor_lobby">#REF!</definedName>
    <definedName name="WALLAREA_IA_00BF_BC_B_U00___f.h.c.">#REF!</definedName>
    <definedName name="WALLAREA_IA_00BF_BC_B_U00___g.s.m._rm.">#REF!</definedName>
    <definedName name="WALLAREA_IA_00BF_BC_B_U00___garbage_rm.">#REF!</definedName>
    <definedName name="WALLAREA_IA_00BF_BC_B_U00___garbage_rm._ramp">#REF!</definedName>
    <definedName name="WALLAREA_IA_00BF_BC_B_U00___generator_rm.">#REF!</definedName>
    <definedName name="WALLAREA_IA_00BF_BC_B_U00___guard_rm.">#REF!</definedName>
    <definedName name="WALLAREA_IA_00BF_BC_B_U00___guard_rm._toilet">#REF!</definedName>
    <definedName name="WALLAREA_IA_00BF_BC_B_U00___h.v._rm.">#REF!</definedName>
    <definedName name="WALLAREA_IA_00BF_BC_B_U00___platform">#REF!</definedName>
    <definedName name="WALLAREA_IA_00BF_BC_B_U00___shaft">#REF!</definedName>
    <definedName name="WALLAREA_IA_00BF_BC_B_U00___stairs_3">#REF!</definedName>
    <definedName name="WALLAREA_IA_00BF_BC_B_U00___tech._area_1">#REF!</definedName>
    <definedName name="WALLAREA_IA_00BF_BC_B_U00___tech._area_2">#REF!</definedName>
    <definedName name="WALLAREA_IA_00BF_BC_B_U00___tech._area_3">#REF!</definedName>
    <definedName name="WALLAREA_IA_00BF_BC_B_U00___tech._area_3_lobby">#REF!</definedName>
    <definedName name="WALLAREA_IA_00BF_BC_B_U00___tel_rm.">#REF!</definedName>
    <definedName name="WALLAREA_IA_00BF_BC_B_U00___toilet">#REF!</definedName>
    <definedName name="WALLAREA_IA_00BF_BC_B_U00___toilet_female">#REF!</definedName>
    <definedName name="WALLAREA_IA_00BF_BC_B_U00___toilet_lobby">#REF!</definedName>
    <definedName name="WALLAREA_IA_00BF_BC_B_U00___toilet_male">#REF!</definedName>
    <definedName name="WALLAREA_IA_00BF_BC_B_U00___transformer_rm.">#REF!</definedName>
    <definedName name="WALLAREA_IA_00BF_BC_C_U00___double_volume">#REF!</definedName>
    <definedName name="WALLAREA_IA_00BF_BC_C_U00___driveway_1">#REF!</definedName>
    <definedName name="WALLAREA_IA_00BF_BC_C_U00___driveway_ramp">#REF!</definedName>
    <definedName name="WALLAREA_IA_00BF_BC_C_U00___driveway_zebra_line">#REF!</definedName>
    <definedName name="WALLAREA_IA_00BF_BC_C_U00___sidewalk_1">#REF!</definedName>
    <definedName name="WALLAREA_IA_00BF_BC_C_U00___sidewalk_1_ramp">#REF!</definedName>
    <definedName name="WALLAREA_IA_00BF_BC_C_U00___void">#REF!</definedName>
    <definedName name="WALLAREA_IA_01F_AA_U01___BR1_lobby">#REF!</definedName>
    <definedName name="WALLAREA_IA_01F_AA_U01___BR1_rm.">#REF!</definedName>
    <definedName name="WALLAREA_IA_01F_AA_U01___BR1_t_b">#REF!</definedName>
    <definedName name="WALLAREA_IA_01F_AA_U01___BR2_dresser">#REF!</definedName>
    <definedName name="WALLAREA_IA_01F_AA_U01___BR2_lobby">#REF!</definedName>
    <definedName name="WALLAREA_IA_01F_AA_U01___BR2_rm.">#REF!</definedName>
    <definedName name="WALLAREA_IA_01F_AA_U01___BR2_t_b">#REF!</definedName>
    <definedName name="WALLAREA_IA_01F_AA_U01___corridor">#REF!</definedName>
    <definedName name="WALLAREA_IA_01F_AA_U01___foyer">#REF!</definedName>
    <definedName name="WALLAREA_IA_01F_AA_U01___kitchen">#REF!</definedName>
    <definedName name="WALLAREA_IA_01F_AA_U01___living_dining">#REF!</definedName>
    <definedName name="WALLAREA_IA_01F_AA_U01___maids_rm.">#REF!</definedName>
    <definedName name="WALLAREA_IA_01F_AA_U01___maids_toi.">#REF!</definedName>
    <definedName name="WALLAREA_IA_01F_AA_U01___shaft">#REF!</definedName>
    <definedName name="WALLAREA_IA_01F_AA_U01___toilet">#REF!</definedName>
    <definedName name="WALLAREA_IA_01F_AA_U01___utility_rm.">#REF!</definedName>
    <definedName name="WALLAREA_IA_01F_AA_U01___void">#REF!</definedName>
    <definedName name="WALLAREA_IA_01F_AA_U02___BR1_dresser">#REF!</definedName>
    <definedName name="WALLAREA_IA_01F_AA_U02___BR1_rm.">#REF!</definedName>
    <definedName name="WALLAREA_IA_01F_AA_U02___BR1_t_b">#REF!</definedName>
    <definedName name="WALLAREA_IA_01F_AA_U02___BR2_lobby">#REF!</definedName>
    <definedName name="WALLAREA_IA_01F_AA_U02___BR2_rm.">#REF!</definedName>
    <definedName name="WALLAREA_IA_01F_AA_U02___BR2_t_b">#REF!</definedName>
    <definedName name="WALLAREA_IA_01F_AA_U02___corridor">#REF!</definedName>
    <definedName name="WALLAREA_IA_01F_AA_U02___foyer">#REF!</definedName>
    <definedName name="WALLAREA_IA_01F_AA_U02___kitchen">#REF!</definedName>
    <definedName name="WALLAREA_IA_01F_AA_U02___living_dining">#REF!</definedName>
    <definedName name="WALLAREA_IA_01F_AA_U02___maids_rm.">#REF!</definedName>
    <definedName name="WALLAREA_IA_01F_AA_U02___maids_toi.">#REF!</definedName>
    <definedName name="WALLAREA_IA_01F_AA_U02___shaft">#REF!</definedName>
    <definedName name="WALLAREA_IA_01F_AA_U02___toilet">#REF!</definedName>
    <definedName name="WALLAREA_IA_01F_AA_U02___utility_rm.">#REF!</definedName>
    <definedName name="WALLAREA_IA_01F_AA_U02___void">#REF!</definedName>
    <definedName name="WALLAREA_IA_01F_AA_U03___BR1_dresser">#REF!</definedName>
    <definedName name="WALLAREA_IA_01F_AA_U03___BR1_lobby">#REF!</definedName>
    <definedName name="WALLAREA_IA_01F_AA_U03___BR1_rm.">#REF!</definedName>
    <definedName name="WALLAREA_IA_01F_AA_U03___BR1_store">#REF!</definedName>
    <definedName name="WALLAREA_IA_01F_AA_U03___BR1_t_b">#REF!</definedName>
    <definedName name="WALLAREA_IA_01F_AA_U03___foyer">#REF!</definedName>
    <definedName name="WALLAREA_IA_01F_AA_U03___kitchen">#REF!</definedName>
    <definedName name="WALLAREA_IA_01F_AA_U03___living_dining">#REF!</definedName>
    <definedName name="WALLAREA_IA_01F_AA_U03___shaft">#REF!</definedName>
    <definedName name="WALLAREA_IA_01F_AA_U03___storage">#REF!</definedName>
    <definedName name="WALLAREA_IA_01F_AA_U03___toilet">#REF!</definedName>
    <definedName name="WALLAREA_IA_01F_AA_U03___utility_rm.">#REF!</definedName>
    <definedName name="WALLAREA_IA_01F_AA_U03___void">#REF!</definedName>
    <definedName name="WALLAREA_IA_01F_AA_U04___BR1_dresser">#REF!</definedName>
    <definedName name="WALLAREA_IA_01F_AA_U04___BR1_lobby">#REF!</definedName>
    <definedName name="WALLAREA_IA_01F_AA_U04___BR1_rm.">#REF!</definedName>
    <definedName name="WALLAREA_IA_01F_AA_U04___BR1_store">#REF!</definedName>
    <definedName name="WALLAREA_IA_01F_AA_U04___BR1_t_b">#REF!</definedName>
    <definedName name="WALLAREA_IA_01F_AA_U04___foyer">#REF!</definedName>
    <definedName name="WALLAREA_IA_01F_AA_U04___kitchen">#REF!</definedName>
    <definedName name="WALLAREA_IA_01F_AA_U04___living_dining">#REF!</definedName>
    <definedName name="WALLAREA_IA_01F_AA_U04___shaft">#REF!</definedName>
    <definedName name="WALLAREA_IA_01F_AA_U04___storage">#REF!</definedName>
    <definedName name="WALLAREA_IA_01F_AA_U04___toilet">#REF!</definedName>
    <definedName name="WALLAREA_IA_01F_AA_U04___utility_rm.">#REF!</definedName>
    <definedName name="WALLAREA_IA_01F_AA_U04___void">#REF!</definedName>
    <definedName name="WALLAREA_IA_01F_AA_U05___corridor">#REF!</definedName>
    <definedName name="WALLAREA_IA_01F_AA_U05___foyer">#REF!</definedName>
    <definedName name="WALLAREA_IA_01F_AA_U05___kitchen">#REF!</definedName>
    <definedName name="WALLAREA_IA_01F_AA_U05___living_dining">#REF!</definedName>
    <definedName name="WALLAREA_IA_01F_AA_U05___maids_lobby">#REF!</definedName>
    <definedName name="WALLAREA_IA_01F_AA_U05___maids_rm.">#REF!</definedName>
    <definedName name="WALLAREA_IA_01F_AA_U05___maids_toi.">#REF!</definedName>
    <definedName name="WALLAREA_IA_01F_AA_U05___shaft">#REF!</definedName>
    <definedName name="WALLAREA_IA_01F_AA_U05___stairs">#REF!</definedName>
    <definedName name="WALLAREA_IA_01F_AA_U05___toilet">#REF!</definedName>
    <definedName name="WALLAREA_IA_01F_AA_U05___utility_rm.">#REF!</definedName>
    <definedName name="WALLAREA_IA_01F_AA_U06___BR1_lobby">#REF!</definedName>
    <definedName name="WALLAREA_IA_01F_AA_U06___BR1_rm.">#REF!</definedName>
    <definedName name="WALLAREA_IA_01F_AA_U06___BR1_t_b">#REF!</definedName>
    <definedName name="WALLAREA_IA_01F_AA_U06___BR2_dresser">#REF!</definedName>
    <definedName name="WALLAREA_IA_01F_AA_U06___BR2_lobby">#REF!</definedName>
    <definedName name="WALLAREA_IA_01F_AA_U06___BR2_rm.">#REF!</definedName>
    <definedName name="WALLAREA_IA_01F_AA_U06___BR2_t_b">#REF!</definedName>
    <definedName name="WALLAREA_IA_01F_AA_U06___BR3_dresser">#REF!</definedName>
    <definedName name="WALLAREA_IA_01F_AA_U06___BR3_lobby">#REF!</definedName>
    <definedName name="WALLAREA_IA_01F_AA_U06___BR3_rm.">#REF!</definedName>
    <definedName name="WALLAREA_IA_01F_AA_U06___BR3_t_b">#REF!</definedName>
    <definedName name="WALLAREA_IA_01F_AA_U06___corridor">#REF!</definedName>
    <definedName name="WALLAREA_IA_01F_AA_U06___foyer">#REF!</definedName>
    <definedName name="WALLAREA_IA_01F_AA_U06___kitchen">#REF!</definedName>
    <definedName name="WALLAREA_IA_01F_AA_U06___living_dining">#REF!</definedName>
    <definedName name="WALLAREA_IA_01F_AA_U06___maids_rm.">#REF!</definedName>
    <definedName name="WALLAREA_IA_01F_AA_U06___maids_toi.">#REF!</definedName>
    <definedName name="WALLAREA_IA_01F_AA_U06___shaft">#REF!</definedName>
    <definedName name="WALLAREA_IA_01F_AA_U06___toilet">#REF!</definedName>
    <definedName name="WALLAREA_IA_01F_AA_U06___utility_rm.">#REF!</definedName>
    <definedName name="WALLAREA_IA_01F_AB_U00___corridor">#REF!</definedName>
    <definedName name="WALLAREA_IA_01F_AB_U00___lift_lobby">#REF!</definedName>
    <definedName name="WALLAREA_IA_01F_AB_U00___lift_shaft">#REF!</definedName>
    <definedName name="WALLAREA_IA_01F_AC_U00___electrical_rm.">#REF!</definedName>
    <definedName name="WALLAREA_IA_01F_AC_U00___f.e._stair">#REF!</definedName>
    <definedName name="WALLAREA_IA_01F_AC_U00___f.h.c.">#REF!</definedName>
    <definedName name="WALLAREA_IA_01F_AC_U00___garbage_rm.">#REF!</definedName>
    <definedName name="WALLAREA_IA_01F_AC_U00___shaft">#REF!</definedName>
    <definedName name="WALLAREA_IA_01F_AC_U00___telephone_rm.">#REF!</definedName>
    <definedName name="WALLAREA_IA_02F_AA_U01___BR1_lobby">#REF!</definedName>
    <definedName name="WALLAREA_IA_02F_AA_U01___BR1_rm.">#REF!</definedName>
    <definedName name="WALLAREA_IA_02F_AA_U01___BR1_t_b">#REF!</definedName>
    <definedName name="WALLAREA_IA_02F_AA_U01___BR2_dresser">#REF!</definedName>
    <definedName name="WALLAREA_IA_02F_AA_U01___BR2_lobby">#REF!</definedName>
    <definedName name="WALLAREA_IA_02F_AA_U01___BR2_rm.">#REF!</definedName>
    <definedName name="WALLAREA_IA_02F_AA_U01___BR2_t_b">#REF!</definedName>
    <definedName name="WALLAREA_IA_02F_AA_U01___corridor">#REF!</definedName>
    <definedName name="WALLAREA_IA_02F_AA_U01___foyer">#REF!</definedName>
    <definedName name="WALLAREA_IA_02F_AA_U01___kitchen">#REF!</definedName>
    <definedName name="WALLAREA_IA_02F_AA_U01___living_dining">#REF!</definedName>
    <definedName name="WALLAREA_IA_02F_AA_U01___maids_rm.">#REF!</definedName>
    <definedName name="WALLAREA_IA_02F_AA_U01___maids_toi.">#REF!</definedName>
    <definedName name="WALLAREA_IA_02F_AA_U01___shaft">#REF!</definedName>
    <definedName name="WALLAREA_IA_02F_AA_U01___toilet">#REF!</definedName>
    <definedName name="WALLAREA_IA_02F_AA_U01___utility_rm.">#REF!</definedName>
    <definedName name="WALLAREA_IA_02F_AA_U01___void">#REF!</definedName>
    <definedName name="WALLAREA_IA_02F_AA_U02___BR1_dresser">#REF!</definedName>
    <definedName name="WALLAREA_IA_02F_AA_U02___BR1_rm.">#REF!</definedName>
    <definedName name="WALLAREA_IA_02F_AA_U02___BR1_t_b">#REF!</definedName>
    <definedName name="WALLAREA_IA_02F_AA_U02___BR2_lobby">#REF!</definedName>
    <definedName name="WALLAREA_IA_02F_AA_U02___BR2_rm.">#REF!</definedName>
    <definedName name="WALLAREA_IA_02F_AA_U02___BR2_t_b">#REF!</definedName>
    <definedName name="WALLAREA_IA_02F_AA_U02___corridor">#REF!</definedName>
    <definedName name="WALLAREA_IA_02F_AA_U02___foyer">#REF!</definedName>
    <definedName name="WALLAREA_IA_02F_AA_U02___kitchen">#REF!</definedName>
    <definedName name="WALLAREA_IA_02F_AA_U02___living_dining">#REF!</definedName>
    <definedName name="WALLAREA_IA_02F_AA_U02___maids_rm.">#REF!</definedName>
    <definedName name="WALLAREA_IA_02F_AA_U02___maids_toi.">#REF!</definedName>
    <definedName name="WALLAREA_IA_02F_AA_U02___shaft">#REF!</definedName>
    <definedName name="WALLAREA_IA_02F_AA_U02___toilet">#REF!</definedName>
    <definedName name="WALLAREA_IA_02F_AA_U02___utility_rm.">#REF!</definedName>
    <definedName name="WALLAREA_IA_02F_AA_U02___void">#REF!</definedName>
    <definedName name="WALLAREA_IA_02F_AA_U05___BR1_rm.">#REF!</definedName>
    <definedName name="WALLAREA_IA_02F_AA_U05___BR1_t_b">#REF!</definedName>
    <definedName name="WALLAREA_IA_02F_AA_U05___BR2_lobby">#REF!</definedName>
    <definedName name="WALLAREA_IA_02F_AA_U05___BR2_rm.">#REF!</definedName>
    <definedName name="WALLAREA_IA_02F_AA_U05___BR2_t_b">#REF!</definedName>
    <definedName name="WALLAREA_IA_02F_AA_U05___double_vol.">#REF!</definedName>
    <definedName name="WALLAREA_IA_02F_AA_U05___foyer">#REF!</definedName>
    <definedName name="WALLAREA_IA_02F_AA_U05___living_rm.">#REF!</definedName>
    <definedName name="WALLAREA_IA_02F_AA_U05___shaft">#REF!</definedName>
    <definedName name="WALLAREA_IA_02F_AA_U05___stairs">#REF!</definedName>
    <definedName name="WALLAREA_IA_02F_AA_U05___void">#REF!</definedName>
    <definedName name="WALLAREA_IA_02F_AA_U06___BR1_lobby">#REF!</definedName>
    <definedName name="WALLAREA_IA_02F_AA_U06___BR1_rm.">#REF!</definedName>
    <definedName name="WALLAREA_IA_02F_AA_U06___BR1_t_b">#REF!</definedName>
    <definedName name="WALLAREA_IA_02F_AA_U06___BR2_dresser">#REF!</definedName>
    <definedName name="WALLAREA_IA_02F_AA_U06___BR2_lobby">#REF!</definedName>
    <definedName name="WALLAREA_IA_02F_AA_U06___BR2_rm.">#REF!</definedName>
    <definedName name="WALLAREA_IA_02F_AA_U06___BR2_t_b">#REF!</definedName>
    <definedName name="WALLAREA_IA_02F_AA_U06___BR3_dresser">#REF!</definedName>
    <definedName name="WALLAREA_IA_02F_AA_U06___BR3_lobby">#REF!</definedName>
    <definedName name="WALLAREA_IA_02F_AA_U06___BR3_rm.">#REF!</definedName>
    <definedName name="WALLAREA_IA_02F_AA_U06___BR3_t_b">#REF!</definedName>
    <definedName name="WALLAREA_IA_02F_AA_U06___corridor">#REF!</definedName>
    <definedName name="WALLAREA_IA_02F_AA_U06___foyer">#REF!</definedName>
    <definedName name="WALLAREA_IA_02F_AA_U06___kitchen">#REF!</definedName>
    <definedName name="WALLAREA_IA_02F_AA_U06___living_dining">#REF!</definedName>
    <definedName name="WALLAREA_IA_02F_AA_U06___maids_rm.">#REF!</definedName>
    <definedName name="WALLAREA_IA_02F_AA_U06___maids_toi.">#REF!</definedName>
    <definedName name="WALLAREA_IA_02F_AA_U06___shaft">#REF!</definedName>
    <definedName name="WALLAREA_IA_02F_AA_U06___toilet">#REF!</definedName>
    <definedName name="WALLAREA_IA_02F_AA_U06___utility_rm.">#REF!</definedName>
    <definedName name="WALLAREA_IA_03F_AA_U05___corridor">#REF!</definedName>
    <definedName name="WALLAREA_IA_03F_AA_U05___foyer">#REF!</definedName>
    <definedName name="WALLAREA_IA_03F_AA_U05___kitchen">#REF!</definedName>
    <definedName name="WALLAREA_IA_03F_AA_U05___living_dining">#REF!</definedName>
    <definedName name="WALLAREA_IA_03F_AA_U05___maids_lobby">#REF!</definedName>
    <definedName name="WALLAREA_IA_03F_AA_U05___maids_rm.">#REF!</definedName>
    <definedName name="WALLAREA_IA_03F_AA_U05___maids_toi.">#REF!</definedName>
    <definedName name="WALLAREA_IA_03F_AA_U05___shaft">#REF!</definedName>
    <definedName name="WALLAREA_IA_03F_AA_U05___stairs">#REF!</definedName>
    <definedName name="WALLAREA_IA_03F_AA_U05___toilet">#REF!</definedName>
    <definedName name="WALLAREA_IA_03F_AA_U05___utility_rm.">#REF!</definedName>
    <definedName name="WALLAREA_IA_05F_AA_U01___BR1_lobby">#REF!</definedName>
    <definedName name="WALLAREA_IA_05F_AA_U01___BR1_rm.">#REF!</definedName>
    <definedName name="WALLAREA_IA_05F_AA_U01___BR1_t_b">#REF!</definedName>
    <definedName name="WALLAREA_IA_05F_AA_U01___BR2_dresser">#REF!</definedName>
    <definedName name="WALLAREA_IA_05F_AA_U01___BR2_lobby">#REF!</definedName>
    <definedName name="WALLAREA_IA_05F_AA_U01___BR2_rm.">#REF!</definedName>
    <definedName name="WALLAREA_IA_05F_AA_U01___BR2_t_b">#REF!</definedName>
    <definedName name="WALLAREA_IA_05F_AA_U01___corridor">#REF!</definedName>
    <definedName name="WALLAREA_IA_05F_AA_U01___foyer">#REF!</definedName>
    <definedName name="WALLAREA_IA_05F_AA_U01___kitchen">#REF!</definedName>
    <definedName name="WALLAREA_IA_05F_AA_U01___living_dining">#REF!</definedName>
    <definedName name="WALLAREA_IA_05F_AA_U01___maids_rm.">#REF!</definedName>
    <definedName name="WALLAREA_IA_05F_AA_U01___maids_toi.">#REF!</definedName>
    <definedName name="WALLAREA_IA_05F_AA_U01___shaft">#REF!</definedName>
    <definedName name="WALLAREA_IA_05F_AA_U01___toilet">#REF!</definedName>
    <definedName name="WALLAREA_IA_05F_AA_U01___utility_rm.">#REF!</definedName>
    <definedName name="WALLAREA_IA_05F_AA_U01___void">#REF!</definedName>
    <definedName name="WALLAREA_IA_05F_AA_U02___BR1_dresser">#REF!</definedName>
    <definedName name="WALLAREA_IA_05F_AA_U02___BR1_rm.">#REF!</definedName>
    <definedName name="WALLAREA_IA_05F_AA_U02___BR1_t_b">#REF!</definedName>
    <definedName name="WALLAREA_IA_05F_AA_U02___BR2_lobby">#REF!</definedName>
    <definedName name="WALLAREA_IA_05F_AA_U02___BR2_rm.">#REF!</definedName>
    <definedName name="WALLAREA_IA_05F_AA_U02___BR2_t_b">#REF!</definedName>
    <definedName name="WALLAREA_IA_05F_AA_U02___corridor">#REF!</definedName>
    <definedName name="WALLAREA_IA_05F_AA_U02___foyer">#REF!</definedName>
    <definedName name="WALLAREA_IA_05F_AA_U02___kitchen">#REF!</definedName>
    <definedName name="WALLAREA_IA_05F_AA_U02___living_dining">#REF!</definedName>
    <definedName name="WALLAREA_IA_05F_AA_U02___maids_rm.">#REF!</definedName>
    <definedName name="WALLAREA_IA_05F_AA_U02___maids_toi.">#REF!</definedName>
    <definedName name="WALLAREA_IA_05F_AA_U02___shaft">#REF!</definedName>
    <definedName name="WALLAREA_IA_05F_AA_U02___toilet">#REF!</definedName>
    <definedName name="WALLAREA_IA_05F_AA_U02___utility_rm.">#REF!</definedName>
    <definedName name="WALLAREA_IA_05F_AA_U02___void">#REF!</definedName>
    <definedName name="WALLAREA_IA_05F_AA_U05___corridor">#REF!</definedName>
    <definedName name="WALLAREA_IA_05F_AA_U05___foyer">#REF!</definedName>
    <definedName name="WALLAREA_IA_05F_AA_U05___kitchen">#REF!</definedName>
    <definedName name="WALLAREA_IA_05F_AA_U05___living_dining">#REF!</definedName>
    <definedName name="WALLAREA_IA_05F_AA_U05___maids_lobby">#REF!</definedName>
    <definedName name="WALLAREA_IA_05F_AA_U05___maids_rm.">#REF!</definedName>
    <definedName name="WALLAREA_IA_05F_AA_U05___maids_toi.">#REF!</definedName>
    <definedName name="WALLAREA_IA_05F_AA_U05___shaft">#REF!</definedName>
    <definedName name="WALLAREA_IA_05F_AA_U05___stairs">#REF!</definedName>
    <definedName name="WALLAREA_IA_05F_AA_U05___toilet">#REF!</definedName>
    <definedName name="WALLAREA_IA_05F_AA_U05___utility_rm.">#REF!</definedName>
    <definedName name="WALLAREA_IA_05F_AA_U06___BR1_lobby">#REF!</definedName>
    <definedName name="WALLAREA_IA_05F_AA_U06___BR1_rm.">#REF!</definedName>
    <definedName name="WALLAREA_IA_05F_AA_U06___BR1_t_b">#REF!</definedName>
    <definedName name="WALLAREA_IA_05F_AA_U06___BR2_dresser">#REF!</definedName>
    <definedName name="WALLAREA_IA_05F_AA_U06___BR2_lobby">#REF!</definedName>
    <definedName name="WALLAREA_IA_05F_AA_U06___BR2_rm.">#REF!</definedName>
    <definedName name="WALLAREA_IA_05F_AA_U06___BR2_t_b">#REF!</definedName>
    <definedName name="WALLAREA_IA_05F_AA_U06___BR3_dresser">#REF!</definedName>
    <definedName name="WALLAREA_IA_05F_AA_U06___BR3_lobby">#REF!</definedName>
    <definedName name="WALLAREA_IA_05F_AA_U06___BR3_rm.">#REF!</definedName>
    <definedName name="WALLAREA_IA_05F_AA_U06___BR3_t_b">#REF!</definedName>
    <definedName name="WALLAREA_IA_05F_AA_U06___corridor">#REF!</definedName>
    <definedName name="WALLAREA_IA_05F_AA_U06___foyer">#REF!</definedName>
    <definedName name="WALLAREA_IA_05F_AA_U06___kitchen">#REF!</definedName>
    <definedName name="WALLAREA_IA_05F_AA_U06___living_dining">#REF!</definedName>
    <definedName name="WALLAREA_IA_05F_AA_U06___maids_rm.">#REF!</definedName>
    <definedName name="WALLAREA_IA_05F_AA_U06___maids_toi.">#REF!</definedName>
    <definedName name="WALLAREA_IA_05F_AA_U06___shaft">#REF!</definedName>
    <definedName name="WALLAREA_IA_05F_AA_U06___toilet">#REF!</definedName>
    <definedName name="WALLAREA_IA_05F_AA_U06___utility_rm.">#REF!</definedName>
    <definedName name="WALLAREA_IA_06F_AA_U05___BR1_rm.">#REF!</definedName>
    <definedName name="WALLAREA_IA_06F_AA_U05___BR1_t_b">#REF!</definedName>
    <definedName name="WALLAREA_IA_06F_AA_U05___BR2_lobby">#REF!</definedName>
    <definedName name="WALLAREA_IA_06F_AA_U05___BR2_rm.">#REF!</definedName>
    <definedName name="WALLAREA_IA_06F_AA_U05___BR2_t_b">#REF!</definedName>
    <definedName name="WALLAREA_IA_06F_AA_U05___double_vol.">#REF!</definedName>
    <definedName name="WALLAREA_IA_06F_AA_U05___foyer">#REF!</definedName>
    <definedName name="WALLAREA_IA_06F_AA_U05___living_rm.">#REF!</definedName>
    <definedName name="WALLAREA_IA_06F_AA_U05___shaft">#REF!</definedName>
    <definedName name="WALLAREA_IA_06F_AA_U05___stairs">#REF!</definedName>
    <definedName name="WALLAREA_IA_06F_AA_U05___void">#REF!</definedName>
    <definedName name="WALLAREA_IA_06F_AA_U06___BR1_lobby">#REF!</definedName>
    <definedName name="WALLAREA_IA_06F_AA_U06___BR1_rm.">#REF!</definedName>
    <definedName name="WALLAREA_IA_06F_AA_U06___BR1_t_b">#REF!</definedName>
    <definedName name="WALLAREA_IA_06F_AA_U06___BR2_dresser">#REF!</definedName>
    <definedName name="WALLAREA_IA_06F_AA_U06___BR2_lobby">#REF!</definedName>
    <definedName name="WALLAREA_IA_06F_AA_U06___BR2_rm.">#REF!</definedName>
    <definedName name="WALLAREA_IA_06F_AA_U06___BR2_t_b">#REF!</definedName>
    <definedName name="WALLAREA_IA_06F_AA_U06___BR3_dresser">#REF!</definedName>
    <definedName name="WALLAREA_IA_06F_AA_U06___BR3_lobby">#REF!</definedName>
    <definedName name="WALLAREA_IA_06F_AA_U06___BR3_rm.">#REF!</definedName>
    <definedName name="WALLAREA_IA_06F_AA_U06___BR3_t_b">#REF!</definedName>
    <definedName name="WALLAREA_IA_06F_AA_U06___corridor">#REF!</definedName>
    <definedName name="WALLAREA_IA_06F_AA_U06___foyer">#REF!</definedName>
    <definedName name="WALLAREA_IA_06F_AA_U06___kitchen">#REF!</definedName>
    <definedName name="WALLAREA_IA_06F_AA_U06___living_dining">#REF!</definedName>
    <definedName name="WALLAREA_IA_06F_AA_U06___maids_rm.">#REF!</definedName>
    <definedName name="WALLAREA_IA_06F_AA_U06___maids_toi.">#REF!</definedName>
    <definedName name="WALLAREA_IA_06F_AA_U06___shaft">#REF!</definedName>
    <definedName name="WALLAREA_IA_06F_AA_U06___toilet">#REF!</definedName>
    <definedName name="WALLAREA_IA_06F_AA_U06___utility_rm.">#REF!</definedName>
    <definedName name="WALLAREA_IA_07F_AA_U03___BR1_dresser">#REF!</definedName>
    <definedName name="WALLAREA_IA_07F_AA_U03___BR1_lobby">#REF!</definedName>
    <definedName name="WALLAREA_IA_07F_AA_U03___BR1_rm.">#REF!</definedName>
    <definedName name="WALLAREA_IA_07F_AA_U03___BR1_store">#REF!</definedName>
    <definedName name="WALLAREA_IA_07F_AA_U03___BR1_t_b">#REF!</definedName>
    <definedName name="WALLAREA_IA_07F_AA_U03___foyer">#REF!</definedName>
    <definedName name="WALLAREA_IA_07F_AA_U03___kitchen">#REF!</definedName>
    <definedName name="WALLAREA_IA_07F_AA_U03___living_dining">#REF!</definedName>
    <definedName name="WALLAREA_IA_07F_AA_U03___shaft">#REF!</definedName>
    <definedName name="WALLAREA_IA_07F_AA_U03___storage">#REF!</definedName>
    <definedName name="WALLAREA_IA_07F_AA_U03___toilet">#REF!</definedName>
    <definedName name="WALLAREA_IA_07F_AA_U03___utility_rm.">#REF!</definedName>
    <definedName name="WALLAREA_IA_07F_AA_U03___void">#REF!</definedName>
    <definedName name="WALLAREA_IA_07F_AA_U04___BR1_dresser">#REF!</definedName>
    <definedName name="WALLAREA_IA_07F_AA_U04___BR1_lobby">#REF!</definedName>
    <definedName name="WALLAREA_IA_07F_AA_U04___BR1_rm.">#REF!</definedName>
    <definedName name="WALLAREA_IA_07F_AA_U04___BR1_store">#REF!</definedName>
    <definedName name="WALLAREA_IA_07F_AA_U04___BR1_t_b">#REF!</definedName>
    <definedName name="WALLAREA_IA_07F_AA_U04___foyer">#REF!</definedName>
    <definedName name="WALLAREA_IA_07F_AA_U04___kitchen">#REF!</definedName>
    <definedName name="WALLAREA_IA_07F_AA_U04___living_dining">#REF!</definedName>
    <definedName name="WALLAREA_IA_07F_AA_U04___shaft">#REF!</definedName>
    <definedName name="WALLAREA_IA_07F_AA_U04___storage">#REF!</definedName>
    <definedName name="WALLAREA_IA_07F_AA_U04___toilet">#REF!</definedName>
    <definedName name="WALLAREA_IA_07F_AA_U04___utility_rm.">#REF!</definedName>
    <definedName name="WALLAREA_IA_07F_AA_U04___void">#REF!</definedName>
    <definedName name="WALLAREA_IA_07F_AA_U06___BR1_lobby">#REF!</definedName>
    <definedName name="WALLAREA_IA_07F_AA_U06___BR1_rm.">#REF!</definedName>
    <definedName name="WALLAREA_IA_07F_AA_U06___BR1_t_b">#REF!</definedName>
    <definedName name="WALLAREA_IA_07F_AA_U06___BR2_dresser">#REF!</definedName>
    <definedName name="WALLAREA_IA_07F_AA_U06___BR2_lobby">#REF!</definedName>
    <definedName name="WALLAREA_IA_07F_AA_U06___BR2_rm.">#REF!</definedName>
    <definedName name="WALLAREA_IA_07F_AA_U06___BR2_t_b">#REF!</definedName>
    <definedName name="WALLAREA_IA_07F_AA_U06___BR3_dresser">#REF!</definedName>
    <definedName name="WALLAREA_IA_07F_AA_U06___BR3_lobby">#REF!</definedName>
    <definedName name="WALLAREA_IA_07F_AA_U06___BR3_rm.">#REF!</definedName>
    <definedName name="WALLAREA_IA_07F_AA_U06___BR3_t_b">#REF!</definedName>
    <definedName name="WALLAREA_IA_07F_AA_U06___corridor">#REF!</definedName>
    <definedName name="WALLAREA_IA_07F_AA_U06___foyer">#REF!</definedName>
    <definedName name="WALLAREA_IA_07F_AA_U06___kitchen">#REF!</definedName>
    <definedName name="WALLAREA_IA_07F_AA_U06___living_dining">#REF!</definedName>
    <definedName name="WALLAREA_IA_07F_AA_U06___maids_rm.">#REF!</definedName>
    <definedName name="WALLAREA_IA_07F_AA_U06___maids_toi.">#REF!</definedName>
    <definedName name="WALLAREA_IA_07F_AA_U06___shaft">#REF!</definedName>
    <definedName name="WALLAREA_IA_07F_AA_U06___toilet">#REF!</definedName>
    <definedName name="WALLAREA_IA_07F_AA_U06___utility_rm.">#REF!</definedName>
    <definedName name="WALLAREA_IA_08F_AA_U03___BR1_dresser">#REF!</definedName>
    <definedName name="WALLAREA_IA_08F_AA_U03___BR1_lobby">#REF!</definedName>
    <definedName name="WALLAREA_IA_08F_AA_U03___BR1_rm.">#REF!</definedName>
    <definedName name="WALLAREA_IA_08F_AA_U03___BR1_t_b">#REF!</definedName>
    <definedName name="WALLAREA_IA_08F_AA_U03___foyer">#REF!</definedName>
    <definedName name="WALLAREA_IA_08F_AA_U03___kitchen">#REF!</definedName>
    <definedName name="WALLAREA_IA_08F_AA_U03___living_dining">#REF!</definedName>
    <definedName name="WALLAREA_IA_08F_AA_U03___shaft">#REF!</definedName>
    <definedName name="WALLAREA_IA_08F_AA_U03___storage">#REF!</definedName>
    <definedName name="WALLAREA_IA_08F_AA_U03___toilet">#REF!</definedName>
    <definedName name="WALLAREA_IA_08F_AA_U03___utility_rm.">#REF!</definedName>
    <definedName name="WALLAREA_IA_08F_AA_U04___BR1_dresser">#REF!</definedName>
    <definedName name="WALLAREA_IA_08F_AA_U04___BR1_lobby">#REF!</definedName>
    <definedName name="WALLAREA_IA_08F_AA_U04___BR1_rm.">#REF!</definedName>
    <definedName name="WALLAREA_IA_08F_AA_U04___BR1_t_b">#REF!</definedName>
    <definedName name="WALLAREA_IA_08F_AA_U04___foyer">#REF!</definedName>
    <definedName name="WALLAREA_IA_08F_AA_U04___kitchen">#REF!</definedName>
    <definedName name="WALLAREA_IA_08F_AA_U04___living_dining">#REF!</definedName>
    <definedName name="WALLAREA_IA_08F_AA_U04___shaft">#REF!</definedName>
    <definedName name="WALLAREA_IA_08F_AA_U04___storage">#REF!</definedName>
    <definedName name="WALLAREA_IA_08F_AA_U04___toilet">#REF!</definedName>
    <definedName name="WALLAREA_IA_08F_AA_U04___utility_rm.">#REF!</definedName>
    <definedName name="WALLAREA_IA_08F_AA_U06___BR1_lobby">#REF!</definedName>
    <definedName name="WALLAREA_IA_08F_AA_U06___BR1_rm.">#REF!</definedName>
    <definedName name="WALLAREA_IA_08F_AA_U06___BR1_t_b">#REF!</definedName>
    <definedName name="WALLAREA_IA_08F_AA_U06___BR2_dresser">#REF!</definedName>
    <definedName name="WALLAREA_IA_08F_AA_U06___BR2_lobby">#REF!</definedName>
    <definedName name="WALLAREA_IA_08F_AA_U06___BR2_rm.">#REF!</definedName>
    <definedName name="WALLAREA_IA_08F_AA_U06___BR2_t_b">#REF!</definedName>
    <definedName name="WALLAREA_IA_08F_AA_U06___BR3_dresser">#REF!</definedName>
    <definedName name="WALLAREA_IA_08F_AA_U06___BR3_lobby">#REF!</definedName>
    <definedName name="WALLAREA_IA_08F_AA_U06___BR3_rm.">#REF!</definedName>
    <definedName name="WALLAREA_IA_08F_AA_U06___BR3_t_b">#REF!</definedName>
    <definedName name="WALLAREA_IA_08F_AA_U06___corridor">#REF!</definedName>
    <definedName name="WALLAREA_IA_08F_AA_U06___foyer">#REF!</definedName>
    <definedName name="WALLAREA_IA_08F_AA_U06___kitchen">#REF!</definedName>
    <definedName name="WALLAREA_IA_08F_AA_U06___living_dining">#REF!</definedName>
    <definedName name="WALLAREA_IA_08F_AA_U06___maids_rm.">#REF!</definedName>
    <definedName name="WALLAREA_IA_08F_AA_U06___maids_toi.">#REF!</definedName>
    <definedName name="WALLAREA_IA_08F_AA_U06___shaft">#REF!</definedName>
    <definedName name="WALLAREA_IA_08F_AA_U06___toilet">#REF!</definedName>
    <definedName name="WALLAREA_IA_08F_AA_U06___utility_rm.">#REF!</definedName>
    <definedName name="WALLAREA_IA_09F_AA_U06___BR1_lobby">#REF!</definedName>
    <definedName name="WALLAREA_IA_09F_AA_U06___BR1_rm.">#REF!</definedName>
    <definedName name="WALLAREA_IA_09F_AA_U06___BR1_t_b">#REF!</definedName>
    <definedName name="WALLAREA_IA_09F_AA_U06___BR2_dresser">#REF!</definedName>
    <definedName name="WALLAREA_IA_09F_AA_U06___BR2_lobby">#REF!</definedName>
    <definedName name="WALLAREA_IA_09F_AA_U06___BR2_rm.">#REF!</definedName>
    <definedName name="WALLAREA_IA_09F_AA_U06___BR2_t_b">#REF!</definedName>
    <definedName name="WALLAREA_IA_09F_AA_U06___BR3_dresser">#REF!</definedName>
    <definedName name="WALLAREA_IA_09F_AA_U06___BR3_lobby">#REF!</definedName>
    <definedName name="WALLAREA_IA_09F_AA_U06___BR3_rm.">#REF!</definedName>
    <definedName name="WALLAREA_IA_09F_AA_U06___BR3_t_b">#REF!</definedName>
    <definedName name="WALLAREA_IA_09F_AA_U06___corridor">#REF!</definedName>
    <definedName name="WALLAREA_IA_09F_AA_U06___foyer">#REF!</definedName>
    <definedName name="WALLAREA_IA_09F_AA_U06___kitchen">#REF!</definedName>
    <definedName name="WALLAREA_IA_09F_AA_U06___living_dining">#REF!</definedName>
    <definedName name="WALLAREA_IA_09F_AA_U06___maids_rm.">#REF!</definedName>
    <definedName name="WALLAREA_IA_09F_AA_U06___maids_toi.">#REF!</definedName>
    <definedName name="WALLAREA_IA_09F_AA_U06___shaft">#REF!</definedName>
    <definedName name="WALLAREA_IA_09F_AA_U06___toilet">#REF!</definedName>
    <definedName name="WALLAREA_IA_09F_AA_U06___utility_rm.">#REF!</definedName>
    <definedName name="WALLAREA_IA_11F_AA_U01___BR1_lobby">#REF!</definedName>
    <definedName name="WALLAREA_IA_11F_AA_U01___BR1_rm.">#REF!</definedName>
    <definedName name="WALLAREA_IA_11F_AA_U01___BR1_t_b">#REF!</definedName>
    <definedName name="WALLAREA_IA_11F_AA_U01___BR2_dresser">#REF!</definedName>
    <definedName name="WALLAREA_IA_11F_AA_U01___BR2_lobby">#REF!</definedName>
    <definedName name="WALLAREA_IA_11F_AA_U01___BR2_rm.">#REF!</definedName>
    <definedName name="WALLAREA_IA_11F_AA_U01___BR2_t_b">#REF!</definedName>
    <definedName name="WALLAREA_IA_11F_AA_U01___corridor">#REF!</definedName>
    <definedName name="WALLAREA_IA_11F_AA_U01___foyer">#REF!</definedName>
    <definedName name="WALLAREA_IA_11F_AA_U01___kitchen">#REF!</definedName>
    <definedName name="WALLAREA_IA_11F_AA_U01___living_dining">#REF!</definedName>
    <definedName name="WALLAREA_IA_11F_AA_U01___maids_rm.">#REF!</definedName>
    <definedName name="WALLAREA_IA_11F_AA_U01___maids_toi.">#REF!</definedName>
    <definedName name="WALLAREA_IA_11F_AA_U01___shaft">#REF!</definedName>
    <definedName name="WALLAREA_IA_11F_AA_U01___toilet">#REF!</definedName>
    <definedName name="WALLAREA_IA_11F_AA_U01___utility_rm.">#REF!</definedName>
    <definedName name="WALLAREA_IA_11F_AA_U01___void">#REF!</definedName>
    <definedName name="WALLAREA_IA_11F_AA_U02___BR1_dresser">#REF!</definedName>
    <definedName name="WALLAREA_IA_11F_AA_U02___BR1_rm.">#REF!</definedName>
    <definedName name="WALLAREA_IA_11F_AA_U02___BR1_t_b">#REF!</definedName>
    <definedName name="WALLAREA_IA_11F_AA_U02___BR2_lobby">#REF!</definedName>
    <definedName name="WALLAREA_IA_11F_AA_U02___BR2_rm.">#REF!</definedName>
    <definedName name="WALLAREA_IA_11F_AA_U02___BR2_t_b">#REF!</definedName>
    <definedName name="WALLAREA_IA_11F_AA_U02___corridor">#REF!</definedName>
    <definedName name="WALLAREA_IA_11F_AA_U02___foyer">#REF!</definedName>
    <definedName name="WALLAREA_IA_11F_AA_U02___kitchen">#REF!</definedName>
    <definedName name="WALLAREA_IA_11F_AA_U02___living_dining">#REF!</definedName>
    <definedName name="WALLAREA_IA_11F_AA_U02___maids_rm.">#REF!</definedName>
    <definedName name="WALLAREA_IA_11F_AA_U02___maids_toi.">#REF!</definedName>
    <definedName name="WALLAREA_IA_11F_AA_U02___shaft">#REF!</definedName>
    <definedName name="WALLAREA_IA_11F_AA_U02___toilet">#REF!</definedName>
    <definedName name="WALLAREA_IA_11F_AA_U02___utility_rm.">#REF!</definedName>
    <definedName name="WALLAREA_IA_11F_AA_U02___void">#REF!</definedName>
    <definedName name="WALLAREA_IA_11F_AA_U03___BR1_dresser">#REF!</definedName>
    <definedName name="WALLAREA_IA_11F_AA_U03___BR1_lobby">#REF!</definedName>
    <definedName name="WALLAREA_IA_11F_AA_U03___BR1_rm.">#REF!</definedName>
    <definedName name="WALLAREA_IA_11F_AA_U03___BR1_t_b">#REF!</definedName>
    <definedName name="WALLAREA_IA_11F_AA_U03___foyer">#REF!</definedName>
    <definedName name="WALLAREA_IA_11F_AA_U03___kitchen">#REF!</definedName>
    <definedName name="WALLAREA_IA_11F_AA_U03___living_dining">#REF!</definedName>
    <definedName name="WALLAREA_IA_11F_AA_U03___shaft">#REF!</definedName>
    <definedName name="WALLAREA_IA_11F_AA_U03___storage">#REF!</definedName>
    <definedName name="WALLAREA_IA_11F_AA_U03___toilet">#REF!</definedName>
    <definedName name="WALLAREA_IA_11F_AA_U03___utility_rm.">#REF!</definedName>
    <definedName name="WALLAREA_IA_11F_AA_U04___BR1_dresser">#REF!</definedName>
    <definedName name="WALLAREA_IA_11F_AA_U04___BR1_lobby">#REF!</definedName>
    <definedName name="WALLAREA_IA_11F_AA_U04___BR1_rm.">#REF!</definedName>
    <definedName name="WALLAREA_IA_11F_AA_U04___BR1_t_b">#REF!</definedName>
    <definedName name="WALLAREA_IA_11F_AA_U04___foyer">#REF!</definedName>
    <definedName name="WALLAREA_IA_11F_AA_U04___kitchen">#REF!</definedName>
    <definedName name="WALLAREA_IA_11F_AA_U04___living_dining">#REF!</definedName>
    <definedName name="WALLAREA_IA_11F_AA_U04___shaft">#REF!</definedName>
    <definedName name="WALLAREA_IA_11F_AA_U04___storage">#REF!</definedName>
    <definedName name="WALLAREA_IA_11F_AA_U04___toilet">#REF!</definedName>
    <definedName name="WALLAREA_IA_11F_AA_U04___utility_rm.">#REF!</definedName>
    <definedName name="WALLAREA_IA_11F_AA_U06___BR1_lobby">#REF!</definedName>
    <definedName name="WALLAREA_IA_11F_AA_U06___BR1_rm.">#REF!</definedName>
    <definedName name="WALLAREA_IA_11F_AA_U06___BR1_t_b">#REF!</definedName>
    <definedName name="WALLAREA_IA_11F_AA_U06___BR2_dresser">#REF!</definedName>
    <definedName name="WALLAREA_IA_11F_AA_U06___BR2_lobby">#REF!</definedName>
    <definedName name="WALLAREA_IA_11F_AA_U06___BR2_rm.">#REF!</definedName>
    <definedName name="WALLAREA_IA_11F_AA_U06___BR2_t_b">#REF!</definedName>
    <definedName name="WALLAREA_IA_11F_AA_U06___BR3_dresser">#REF!</definedName>
    <definedName name="WALLAREA_IA_11F_AA_U06___BR3_lobby">#REF!</definedName>
    <definedName name="WALLAREA_IA_11F_AA_U06___BR3_rm.">#REF!</definedName>
    <definedName name="WALLAREA_IA_11F_AA_U06___BR3_t_b">#REF!</definedName>
    <definedName name="WALLAREA_IA_11F_AA_U06___corridor">#REF!</definedName>
    <definedName name="WALLAREA_IA_11F_AA_U06___foyer">#REF!</definedName>
    <definedName name="WALLAREA_IA_11F_AA_U06___kitchen">#REF!</definedName>
    <definedName name="WALLAREA_IA_11F_AA_U06___living_dining">#REF!</definedName>
    <definedName name="WALLAREA_IA_11F_AA_U06___maids_rm.">#REF!</definedName>
    <definedName name="WALLAREA_IA_11F_AA_U06___maids_toi.">#REF!</definedName>
    <definedName name="WALLAREA_IA_11F_AA_U06___shaft">#REF!</definedName>
    <definedName name="WALLAREA_IA_11F_AA_U06___toilet">#REF!</definedName>
    <definedName name="WALLAREA_IA_11F_AA_U06___utility_rm.">#REF!</definedName>
    <definedName name="WALLAREA_IA_11F_AB_U00___corridor">#REF!</definedName>
    <definedName name="WALLAREA_IA_11F_AB_U00___lift_lobby">#REF!</definedName>
    <definedName name="WALLAREA_IA_11F_AB_U00___lift_shaft">#REF!</definedName>
    <definedName name="WALLAREA_IA_11F_AC_U00___electrical_rm.">#REF!</definedName>
    <definedName name="WALLAREA_IA_11F_AC_U00___f.e._stair">#REF!</definedName>
    <definedName name="WALLAREA_IA_11F_AC_U00___f.h.c.">#REF!</definedName>
    <definedName name="WALLAREA_IA_11F_AC_U00___garbage_rm.">#REF!</definedName>
    <definedName name="WALLAREA_IA_11F_AC_U00___shaft">#REF!</definedName>
    <definedName name="WALLAREA_IA_11F_AC_U00___telephone_rm.">#REF!</definedName>
    <definedName name="WALLAREA_IA_31F_AA_U01___BR1_lobby">#REF!</definedName>
    <definedName name="WALLAREA_IA_31F_AA_U01___BR1_rm.">#REF!</definedName>
    <definedName name="WALLAREA_IA_31F_AA_U01___BR1_t_b">#REF!</definedName>
    <definedName name="WALLAREA_IA_31F_AA_U01___BR2_dresser">#REF!</definedName>
    <definedName name="WALLAREA_IA_31F_AA_U01___BR2_lobby">#REF!</definedName>
    <definedName name="WALLAREA_IA_31F_AA_U01___BR2_rm.">#REF!</definedName>
    <definedName name="WALLAREA_IA_31F_AA_U01___BR2_t_b">#REF!</definedName>
    <definedName name="WALLAREA_IA_31F_AA_U01___corridor">#REF!</definedName>
    <definedName name="WALLAREA_IA_31F_AA_U01___foyer">#REF!</definedName>
    <definedName name="WALLAREA_IA_31F_AA_U01___kitchen">#REF!</definedName>
    <definedName name="WALLAREA_IA_31F_AA_U01___living_dining">#REF!</definedName>
    <definedName name="WALLAREA_IA_31F_AA_U01___maids_rm.">#REF!</definedName>
    <definedName name="WALLAREA_IA_31F_AA_U01___maids_toi.">#REF!</definedName>
    <definedName name="WALLAREA_IA_31F_AA_U01___shaft">#REF!</definedName>
    <definedName name="WALLAREA_IA_31F_AA_U01___toilet">#REF!</definedName>
    <definedName name="WALLAREA_IA_31F_AA_U01___utility_rm.">#REF!</definedName>
    <definedName name="WALLAREA_IA_31F_AA_U01___void">#REF!</definedName>
    <definedName name="WALLAREA_IA_31F_AA_U02___BR1_dresser">#REF!</definedName>
    <definedName name="WALLAREA_IA_31F_AA_U02___BR1_rm.">#REF!</definedName>
    <definedName name="WALLAREA_IA_31F_AA_U02___BR1_t_b">#REF!</definedName>
    <definedName name="WALLAREA_IA_31F_AA_U02___BR2_lobby">#REF!</definedName>
    <definedName name="WALLAREA_IA_31F_AA_U02___BR2_rm.">#REF!</definedName>
    <definedName name="WALLAREA_IA_31F_AA_U02___BR2_t_b">#REF!</definedName>
    <definedName name="WALLAREA_IA_31F_AA_U02___corridor">#REF!</definedName>
    <definedName name="WALLAREA_IA_31F_AA_U02___foyer">#REF!</definedName>
    <definedName name="WALLAREA_IA_31F_AA_U02___kitchen">#REF!</definedName>
    <definedName name="WALLAREA_IA_31F_AA_U02___living_dining">#REF!</definedName>
    <definedName name="WALLAREA_IA_31F_AA_U02___maids_rm.">#REF!</definedName>
    <definedName name="WALLAREA_IA_31F_AA_U02___maids_toi.">#REF!</definedName>
    <definedName name="WALLAREA_IA_31F_AA_U02___shaft">#REF!</definedName>
    <definedName name="WALLAREA_IA_31F_AA_U02___toilet">#REF!</definedName>
    <definedName name="WALLAREA_IA_31F_AA_U02___utility_rm.">#REF!</definedName>
    <definedName name="WALLAREA_IA_31F_AA_U02___void">#REF!</definedName>
    <definedName name="WALLAREA_IA_31F_AA_U03___BR1_dresser">#REF!</definedName>
    <definedName name="WALLAREA_IA_31F_AA_U03___BR1_lobby">#REF!</definedName>
    <definedName name="WALLAREA_IA_31F_AA_U03___BR1_rm.">#REF!</definedName>
    <definedName name="WALLAREA_IA_31F_AA_U03___BR1_t_b">#REF!</definedName>
    <definedName name="WALLAREA_IA_31F_AA_U03___foyer">#REF!</definedName>
    <definedName name="WALLAREA_IA_31F_AA_U03___kitchen">#REF!</definedName>
    <definedName name="WALLAREA_IA_31F_AA_U03___living_dining">#REF!</definedName>
    <definedName name="WALLAREA_IA_31F_AA_U03___shaft">#REF!</definedName>
    <definedName name="WALLAREA_IA_31F_AA_U03___storage">#REF!</definedName>
    <definedName name="WALLAREA_IA_31F_AA_U03___toilet">#REF!</definedName>
    <definedName name="WALLAREA_IA_31F_AA_U03___utility_rm.">#REF!</definedName>
    <definedName name="WALLAREA_IA_31F_AA_U04___BR1_dresser">#REF!</definedName>
    <definedName name="WALLAREA_IA_31F_AA_U04___BR1_lobby">#REF!</definedName>
    <definedName name="WALLAREA_IA_31F_AA_U04___BR1_rm.">#REF!</definedName>
    <definedName name="WALLAREA_IA_31F_AA_U04___BR1_t_b">#REF!</definedName>
    <definedName name="WALLAREA_IA_31F_AA_U04___foyer">#REF!</definedName>
    <definedName name="WALLAREA_IA_31F_AA_U04___kitchen">#REF!</definedName>
    <definedName name="WALLAREA_IA_31F_AA_U04___living_dining">#REF!</definedName>
    <definedName name="WALLAREA_IA_31F_AA_U04___shaft">#REF!</definedName>
    <definedName name="WALLAREA_IA_31F_AA_U04___storage">#REF!</definedName>
    <definedName name="WALLAREA_IA_31F_AA_U04___toilet">#REF!</definedName>
    <definedName name="WALLAREA_IA_31F_AA_U04___utility_rm.">#REF!</definedName>
    <definedName name="WALLAREA_IA_31F_AA_U05___corridor">#REF!</definedName>
    <definedName name="WALLAREA_IA_31F_AA_U05___foyer">#REF!</definedName>
    <definedName name="WALLAREA_IA_31F_AA_U05___kitchen">#REF!</definedName>
    <definedName name="WALLAREA_IA_31F_AA_U05___living_dining">#REF!</definedName>
    <definedName name="WALLAREA_IA_31F_AA_U05___maids_lobby">#REF!</definedName>
    <definedName name="WALLAREA_IA_31F_AA_U05___maids_rm.">#REF!</definedName>
    <definedName name="WALLAREA_IA_31F_AA_U05___maids_toi.">#REF!</definedName>
    <definedName name="WALLAREA_IA_31F_AA_U05___shaft">#REF!</definedName>
    <definedName name="WALLAREA_IA_31F_AA_U05___stairs">#REF!</definedName>
    <definedName name="WALLAREA_IA_31F_AA_U05___toilet">#REF!</definedName>
    <definedName name="WALLAREA_IA_31F_AA_U05___utility_rm.">#REF!</definedName>
    <definedName name="WALLAREA_IA_31F_AA_U06___BR1_lobby">#REF!</definedName>
    <definedName name="WALLAREA_IA_31F_AA_U06___BR1_rm.">#REF!</definedName>
    <definedName name="WALLAREA_IA_31F_AA_U06___BR1_t_b">#REF!</definedName>
    <definedName name="WALLAREA_IA_31F_AA_U06___BR2_dresser">#REF!</definedName>
    <definedName name="WALLAREA_IA_31F_AA_U06___BR2_lobby">#REF!</definedName>
    <definedName name="WALLAREA_IA_31F_AA_U06___BR2_rm.">#REF!</definedName>
    <definedName name="WALLAREA_IA_31F_AA_U06___BR2_t_b">#REF!</definedName>
    <definedName name="WALLAREA_IA_31F_AA_U06___corridor">#REF!</definedName>
    <definedName name="WALLAREA_IA_31F_AA_U06___foyer">#REF!</definedName>
    <definedName name="WALLAREA_IA_31F_AA_U06___kitchen">#REF!</definedName>
    <definedName name="WALLAREA_IA_31F_AA_U06___living_dining">#REF!</definedName>
    <definedName name="WALLAREA_IA_31F_AA_U06___maids_rm.">#REF!</definedName>
    <definedName name="WALLAREA_IA_31F_AA_U06___maids_toi.">#REF!</definedName>
    <definedName name="WALLAREA_IA_31F_AA_U06___shaft">#REF!</definedName>
    <definedName name="WALLAREA_IA_31F_AA_U06___solaria">#REF!</definedName>
    <definedName name="WALLAREA_IA_31F_AA_U06___stair">#REF!</definedName>
    <definedName name="WALLAREA_IA_31F_AA_U06___toilet">#REF!</definedName>
    <definedName name="WALLAREA_IA_31F_AA_U06___utility_rm.">#REF!</definedName>
    <definedName name="WALLAREA_IA_31F_AA_U06___void">#REF!</definedName>
    <definedName name="WALLAREA_IA_31F_AB_U00___corridor">#REF!</definedName>
    <definedName name="WALLAREA_IA_31F_AB_U00___lift_lobby">#REF!</definedName>
    <definedName name="WALLAREA_IA_31F_AB_U00___lift_shaft">#REF!</definedName>
    <definedName name="WALLAREA_IA_31F_AC_U00___electrical_rm.">#REF!</definedName>
    <definedName name="WALLAREA_IA_31F_AC_U00___f.e._stair">#REF!</definedName>
    <definedName name="WALLAREA_IA_31F_AC_U00___f.h.c.">#REF!</definedName>
    <definedName name="WALLAREA_IA_31F_AC_U00___garbage_rm.">#REF!</definedName>
    <definedName name="WALLAREA_IA_31F_AC_U00___shaft">#REF!</definedName>
    <definedName name="WALLAREA_IA_31F_AC_U00___telephone_rm.">#REF!</definedName>
    <definedName name="WALLAREA_IA_32F_AA_U05___BR1_rm.">#REF!</definedName>
    <definedName name="WALLAREA_IA_32F_AA_U05___BR1_t_b">#REF!</definedName>
    <definedName name="WALLAREA_IA_32F_AA_U05___BR2_lobby">#REF!</definedName>
    <definedName name="WALLAREA_IA_32F_AA_U05___BR2_rm.">#REF!</definedName>
    <definedName name="WALLAREA_IA_32F_AA_U05___BR2_t_b">#REF!</definedName>
    <definedName name="WALLAREA_IA_32F_AA_U05___double_vol.">#REF!</definedName>
    <definedName name="WALLAREA_IA_32F_AA_U05___foyer">#REF!</definedName>
    <definedName name="WALLAREA_IA_32F_AA_U05___living_rm.">#REF!</definedName>
    <definedName name="WALLAREA_IA_32F_AA_U05___shaft">#REF!</definedName>
    <definedName name="WALLAREA_IA_32F_AA_U05___stairs">#REF!</definedName>
    <definedName name="WALLAREA_IA_32F_AA_U05___void">#REF!</definedName>
    <definedName name="WALLAREA_IA_32F_AA_U06___BR1_lobby">#REF!</definedName>
    <definedName name="WALLAREA_IA_32F_AA_U06___BR1_rm.">#REF!</definedName>
    <definedName name="WALLAREA_IA_32F_AA_U06___BR1_t_b">#REF!</definedName>
    <definedName name="WALLAREA_IA_32F_AA_U06___BR2_dresser">#REF!</definedName>
    <definedName name="WALLAREA_IA_32F_AA_U06___BR2_lobby">#REF!</definedName>
    <definedName name="WALLAREA_IA_32F_AA_U06___BR2_rm.">#REF!</definedName>
    <definedName name="WALLAREA_IA_32F_AA_U06___BR2_t_b">#REF!</definedName>
    <definedName name="WALLAREA_IA_32F_AA_U06___corridor">#REF!</definedName>
    <definedName name="WALLAREA_IA_32F_AA_U06___double_vol.">#REF!</definedName>
    <definedName name="WALLAREA_IA_32F_AA_U06___jacuzzi_area">#REF!</definedName>
    <definedName name="WALLAREA_IA_32F_AA_U06___living_foyer">#REF!</definedName>
    <definedName name="WALLAREA_IA_32F_AA_U06___pantry">#REF!</definedName>
    <definedName name="WALLAREA_IA_32F_AA_U06___shaft">#REF!</definedName>
    <definedName name="WALLAREA_IA_32F_AA_U06___stair">#REF!</definedName>
    <definedName name="WALLAREA_IA_32F_AA_U06___study">#REF!</definedName>
    <definedName name="WALLAREA_IA_33RF_AC_U00___electrical_rm.">#REF!</definedName>
    <definedName name="WALLAREA_IA_33RF_AC_U00___f.e._stair">#REF!</definedName>
    <definedName name="WALLAREA_IA_33RF_AC_U00___g.s.m._rm.">#REF!</definedName>
    <definedName name="WALLAREA_IA_33RF_AC_U00___lift_shaft">#REF!</definedName>
    <definedName name="WALLAREA_IA_33RF_AC_U00___shaft">#REF!</definedName>
    <definedName name="WALLAREA_IA_33RF_AC_U00___tech._rm.">#REF!</definedName>
    <definedName name="WALLAREA_IA_33RF_AC_U00___telephone_rm.">#REF!</definedName>
    <definedName name="WALLAREA_IA_33RF_AC_U00___water_tank">#REF!</definedName>
    <definedName name="WALLAREA_IA_34uRF_AC_U00___machine_rm.">#REF!</definedName>
    <definedName name="WALLAREA_IA_34uRF_AC_U00___machine_rm._lobby">#REF!</definedName>
    <definedName name="WALLAREA_IA_34uRF_AC_U00___pump_rm.">#REF!</definedName>
    <definedName name="WALLAREA_IA_34uRF_AC_U00___r.c._water_tank">#REF!</definedName>
    <definedName name="WALLAREA_IA_34uRF_AC_U00___shaft">#REF!</definedName>
    <definedName name="WALLAREA_Intelligent_Water_Meter_by_DEWA">#REF!</definedName>
    <definedName name="WALLAREA_Internal_Ceiling_Finishes__Bulkhead">#REF!</definedName>
    <definedName name="WALLAREA_Internal_Ceiling_Finishes__PF01">#REF!</definedName>
    <definedName name="WALLAREA_Internal_Ceiling_Finishes__PF02">#REF!</definedName>
    <definedName name="WALLAREA_Internal_Ceiling_Finishes__PH01">#REF!</definedName>
    <definedName name="WALLAREA_Internal_Doors__D_02">#REF!</definedName>
    <definedName name="WALLAREA_Internal_Doors__D_03">#REF!</definedName>
    <definedName name="WALLAREA_Internal_Doors__D_04">#REF!</definedName>
    <definedName name="WALLAREA_Internal_Doors__D_06">#REF!</definedName>
    <definedName name="WALLAREA_Internal_Floor_Finishes__FF01">#REF!</definedName>
    <definedName name="WALLAREA_Internal_Floor_Finishes__FF03">#REF!</definedName>
    <definedName name="WALLAREA_Internal_Floor_Finishes__FF05">#REF!</definedName>
    <definedName name="WALLAREA_Internal_Floor_Finishes__Wet_Areas">#REF!</definedName>
    <definedName name="WALLAREA_Internal_Wall__Blockwork___BW_1">#REF!</definedName>
    <definedName name="WALLAREA_Internal_Wall__Blockwork___BW_2">#REF!</definedName>
    <definedName name="WALLAREA_Internal_Wall__Blockwork___BW_3">#REF!</definedName>
    <definedName name="WALLAREA_Internal_Wall__Threshold">#REF!</definedName>
    <definedName name="WALLAREA_Internal_Wall_Finishes__PF03">#REF!</definedName>
    <definedName name="WALLAREA_Internal_Wall_Finishes__PF04">#REF!</definedName>
    <definedName name="WALLAREA_Internal_Wall_Finishes__Render">#REF!</definedName>
    <definedName name="WALLAREA_Internal_Wall_Finishes__W01">#REF!</definedName>
    <definedName name="WALLAREA_Internal_Wall_Finishes__W03">#REF!</definedName>
    <definedName name="WALLAREA_Internal_Wall_Finishes__WF05">#REF!</definedName>
    <definedName name="WALLAREA_Internal_Wall_Finishes__WF07">#REF!</definedName>
    <definedName name="WALLAREA_Isolation_Valve">#REF!</definedName>
    <definedName name="WALLAREA_L0__TW1_250">#REF!</definedName>
    <definedName name="WALLAREA_L0__TW2_200">#REF!</definedName>
    <definedName name="WALLAREA_L0__TW3_300">#REF!</definedName>
    <definedName name="WALLAREA_L0__TW3_400">#REF!</definedName>
    <definedName name="WALLAREA_L0__TW4_500">#REF!</definedName>
    <definedName name="WALLAREA_L0__TW4_600">#REF!</definedName>
    <definedName name="WALLAREA_L0__W1__300">#REF!</definedName>
    <definedName name="WALLAREA_L0__W1_300_Door_Overhead">#REF!</definedName>
    <definedName name="WALLAREA_L0_Beams">#REF!</definedName>
    <definedName name="WALLAREA_L0_DP1_3000x3000x350">#REF!</definedName>
    <definedName name="WALLAREA_L0_DP2_3000x1750x350">#REF!</definedName>
    <definedName name="WALLAREA_L0_DP5_3000x3000x400">#REF!</definedName>
    <definedName name="WALLAREA_L0_DP6_6500x4000x550">#REF!</definedName>
    <definedName name="WALLAREA_L0_DP7_3500x1900x400">#REF!</definedName>
    <definedName name="WALLAREA_L0_Ramp">#REF!</definedName>
    <definedName name="WALLAREA_L0_Slab_200">#REF!</definedName>
    <definedName name="WALLAREA_L0_Slab_220">#REF!</definedName>
    <definedName name="WALLAREA_L0_Slab_240">#REF!</definedName>
    <definedName name="WALLAREA_L0_Slab_250">#REF!</definedName>
    <definedName name="WALLAREA_L0_Slab_260">#REF!</definedName>
    <definedName name="WALLAREA_L0_Slab_400">#REF!</definedName>
    <definedName name="WALLAREA_L0_Slab_450">#REF!</definedName>
    <definedName name="WALLAREA_L00__Column_C1">#REF!</definedName>
    <definedName name="WALLAREA_L00__Column_C10">#REF!</definedName>
    <definedName name="WALLAREA_L00__Column_C11">#REF!</definedName>
    <definedName name="WALLAREA_L00__Column_C12">#REF!</definedName>
    <definedName name="WALLAREA_L00__Column_C2">#REF!</definedName>
    <definedName name="WALLAREA_L00__Column_C3">#REF!</definedName>
    <definedName name="WALLAREA_L00__Column_C4">#REF!</definedName>
    <definedName name="WALLAREA_L00__Column_C5">#REF!</definedName>
    <definedName name="WALLAREA_L00__Column_C6">#REF!</definedName>
    <definedName name="WALLAREA_L00__Column_C7">#REF!</definedName>
    <definedName name="WALLAREA_L00__Column_C8">#REF!</definedName>
    <definedName name="WALLAREA_L00__Column_C9">#REF!</definedName>
    <definedName name="WALLAREA_L00__Column_FC1">#REF!</definedName>
    <definedName name="WALLAREA_L00__Column_TC1">#REF!</definedName>
    <definedName name="WALLAREA_L00__Column_TC2">#REF!</definedName>
    <definedName name="WALLAREA_L00__Column_TC3">#REF!</definedName>
    <definedName name="WALLAREA_L00__Column_TC4">#REF!</definedName>
    <definedName name="WALLAREA_L00__Column_TC5">#REF!</definedName>
    <definedName name="WALLAREA_L01__Column_C10">#REF!</definedName>
    <definedName name="WALLAREA_L01__Column_C6">#REF!</definedName>
    <definedName name="WALLAREA_L01__Column_C7">#REF!</definedName>
    <definedName name="WALLAREA_L01__Column_TC1">#REF!</definedName>
    <definedName name="WALLAREA_L01__Column_TC2">#REF!</definedName>
    <definedName name="WALLAREA_L01__Column_TC3">#REF!</definedName>
    <definedName name="WALLAREA_L01__Column_TC4">#REF!</definedName>
    <definedName name="WALLAREA_L01__Column_TC5">#REF!</definedName>
    <definedName name="WALLAREA_L02__Column_TC1">#REF!</definedName>
    <definedName name="WALLAREA_L02__Column_TC2">#REF!</definedName>
    <definedName name="WALLAREA_L02__Column_TC3">#REF!</definedName>
    <definedName name="WALLAREA_L02__Column_TC4">#REF!</definedName>
    <definedName name="WALLAREA_L02__Column_TC5">#REF!</definedName>
    <definedName name="WALLAREA_L02_to_L03__CORE_Typical">#REF!</definedName>
    <definedName name="WALLAREA_L03_to_L05__CORE_TYPICAL">#REF!</definedName>
    <definedName name="WALLAREA_L03_to_L05__Opening">#REF!</definedName>
    <definedName name="WALLAREA_L05_to_L14__CORE_Typical">#REF!</definedName>
    <definedName name="WALLAREA_L1__TW1_250">#REF!</definedName>
    <definedName name="WALLAREA_L1__TW2_200">#REF!</definedName>
    <definedName name="WALLAREA_L1__TW3_300">#REF!</definedName>
    <definedName name="WALLAREA_L1__TW4_600">#REF!</definedName>
    <definedName name="WALLAREA_L1__TW5_300">#REF!</definedName>
    <definedName name="WALLAREA_L1_Beams">#REF!</definedName>
    <definedName name="WALLAREA_L1_DP">#REF!</definedName>
    <definedName name="WALLAREA_L1_DP1_3000x3000x350">#REF!</definedName>
    <definedName name="WALLAREA_L1_DP11_3250x1750x350">#REF!</definedName>
    <definedName name="WALLAREA_L1_DP13_3250x1750x600">#REF!</definedName>
    <definedName name="WALLAREA_L1_DP14_3000x3000x600">#REF!</definedName>
    <definedName name="WALLAREA_L1_DP15_3500x3500x600">#REF!</definedName>
    <definedName name="WALLAREA_L1_DP3_3500x1900x350">#REF!</definedName>
    <definedName name="WALLAREA_L1_DP4_3500x3500x400">#REF!</definedName>
    <definedName name="WALLAREA_L1_DP8_8000x5500x600">#REF!</definedName>
    <definedName name="WALLAREA_L1_Slab_200">#REF!</definedName>
    <definedName name="WALLAREA_L1_Slab_240">#REF!</definedName>
    <definedName name="WALLAREA_L1_Slab_280">#REF!</definedName>
    <definedName name="WALLAREA_L1_Slab_360">#REF!</definedName>
    <definedName name="WALLAREA_L14__COMFLOR_100">#REF!</definedName>
    <definedName name="WALLAREA_L14__CONC_SLAB">#REF!</definedName>
    <definedName name="WALLAREA_L14__RC_CORE_VOIDS">#REF!</definedName>
    <definedName name="WALLAREA_L15__COMFLOR_100">#REF!</definedName>
    <definedName name="WALLAREA_L15__HEA_320">#REF!</definedName>
    <definedName name="WALLAREA_L15__HEB_160">#REF!</definedName>
    <definedName name="WALLAREA_L15__HEM_180">#REF!</definedName>
    <definedName name="WALLAREA_L15__RHS_400x200x16">#REF!</definedName>
    <definedName name="WALLAREA_L15__TW1_250">#REF!</definedName>
    <definedName name="WALLAREA_L15__TW2_200">#REF!</definedName>
    <definedName name="WALLAREA_L15__TW3_300">#REF!</definedName>
    <definedName name="WALLAREA_L15__TW4_600">#REF!</definedName>
    <definedName name="WALLAREA_L15__TW5_300">#REF!</definedName>
    <definedName name="WALLAREA_L15_Beams">#REF!</definedName>
    <definedName name="WALLAREA_L15_Slab_250">#REF!</definedName>
    <definedName name="WALLAREA_L15_Slab_400">#REF!</definedName>
    <definedName name="WALLAREA_L15_to_L16__CONC_SLAB">#REF!</definedName>
    <definedName name="WALLAREA_L16__COMFLOR_100">#REF!</definedName>
    <definedName name="WALLAREA_L16__HEA_320">#REF!</definedName>
    <definedName name="WALLAREA_L16__HEB_160">#REF!</definedName>
    <definedName name="WALLAREA_L16__HEM_180">#REF!</definedName>
    <definedName name="WALLAREA_L16__RHS_400x200x16">#REF!</definedName>
    <definedName name="WALLAREA_L16__TW1_250">#REF!</definedName>
    <definedName name="WALLAREA_L16__TW2_200">#REF!</definedName>
    <definedName name="WALLAREA_L16__TW3_300">#REF!</definedName>
    <definedName name="WALLAREA_L16__TW4_600">#REF!</definedName>
    <definedName name="WALLAREA_L16_Beams">#REF!</definedName>
    <definedName name="WALLAREA_L16_Slab_200">#REF!</definedName>
    <definedName name="WALLAREA_L16_Slab_240">#REF!</definedName>
    <definedName name="WALLAREA_L16_Slab_280">#REF!</definedName>
    <definedName name="WALLAREA_L17__COMFLOR_100">#REF!</definedName>
    <definedName name="WALLAREA_L17__HEA_320">#REF!</definedName>
    <definedName name="WALLAREA_L17__HEB_160">#REF!</definedName>
    <definedName name="WALLAREA_L17__HEM_180">#REF!</definedName>
    <definedName name="WALLAREA_L17__RHS_400x200x16">#REF!</definedName>
    <definedName name="WALLAREA_L17__TW1_250">#REF!</definedName>
    <definedName name="WALLAREA_L17__TW2_200">#REF!</definedName>
    <definedName name="WALLAREA_L17__TW3_300">#REF!</definedName>
    <definedName name="WALLAREA_L17__TW4_600">#REF!</definedName>
    <definedName name="WALLAREA_L17_Beams">#REF!</definedName>
    <definedName name="WALLAREA_L17_Slab_200">#REF!</definedName>
    <definedName name="WALLAREA_L17_Slab_240">#REF!</definedName>
    <definedName name="WALLAREA_L17_Slab_280">#REF!</definedName>
    <definedName name="WALLAREA_L17_to_L35__CONC_SLAB">#REF!</definedName>
    <definedName name="WALLAREA_L18__COMFLOR_100">#REF!</definedName>
    <definedName name="WALLAREA_L18__HEA_320">#REF!</definedName>
    <definedName name="WALLAREA_L18__HEB_160">#REF!</definedName>
    <definedName name="WALLAREA_L18__HEM_180">#REF!</definedName>
    <definedName name="WALLAREA_L18__RC_CORE_VOIDS">#REF!</definedName>
    <definedName name="WALLAREA_L18__RHS_400x200x16">#REF!</definedName>
    <definedName name="WALLAREA_L19__COMFLOR_100">#REF!</definedName>
    <definedName name="WALLAREA_L19__HEA_320">#REF!</definedName>
    <definedName name="WALLAREA_L19__HEB_160">#REF!</definedName>
    <definedName name="WALLAREA_L19__HEM_180">#REF!</definedName>
    <definedName name="WALLAREA_L19__RHS_400x200x16">#REF!</definedName>
    <definedName name="WALLAREA_L2___1000x1500mm">#REF!</definedName>
    <definedName name="WALLAREA_L2___1000x1500mm_curved">#REF!</definedName>
    <definedName name="WALLAREA_L2___1200x1200x1500mm">#REF!</definedName>
    <definedName name="WALLAREA_L2___1200x1500mm">#REF!</definedName>
    <definedName name="WALLAREA_L2___1200x3000x1500mm">#REF!</definedName>
    <definedName name="WALLAREA_L2___1500x1500x1500mm">#REF!</definedName>
    <definedName name="WALLAREA_L2___1800x1800x1500mm">#REF!</definedName>
    <definedName name="WALLAREA_L2___1800x4500x1500mm">#REF!</definedName>
    <definedName name="WALLAREA_L2___400mm_raft_slab">#REF!</definedName>
    <definedName name="WALLAREA_L2___400mm_Retaining_wall">#REF!</definedName>
    <definedName name="WALLAREA_L2___400mm_Retaining_wall_curved">#REF!</definedName>
    <definedName name="WALLAREA_L2___400x1500mm">#REF!</definedName>
    <definedName name="WALLAREA_L2___500mm_Retaining_wall">#REF!</definedName>
    <definedName name="WALLAREA_L2___500mm_Retaining_wall_curved">#REF!</definedName>
    <definedName name="WALLAREA_L2___600mm_diameter">#REF!</definedName>
    <definedName name="WALLAREA_L2___750mm_diameter">#REF!</definedName>
    <definedName name="WALLAREA_L2___800x1500mm">#REF!</definedName>
    <definedName name="WALLAREA_L2___900mm_diameter">#REF!</definedName>
    <definedName name="WALLAREA_L2___Pilecaps">#REF!</definedName>
    <definedName name="WALLAREA_L2__Column__550dia__assumed_size_as_per_plan_">#REF!</definedName>
    <definedName name="WALLAREA_L2__TW1_250">#REF!</definedName>
    <definedName name="WALLAREA_L2__TW2_200">#REF!</definedName>
    <definedName name="WALLAREA_L2__TW3_300">#REF!</definedName>
    <definedName name="WALLAREA_L2__TW4_600">#REF!</definedName>
    <definedName name="WALLAREA_L2__TW5_300">#REF!</definedName>
    <definedName name="WALLAREA_L2__Wall__250__assumed_">#REF!</definedName>
    <definedName name="WALLAREA_L2__Wall__250_curved__assumed_">#REF!</definedName>
    <definedName name="WALLAREA_L2_Beams">#REF!</definedName>
    <definedName name="WALLAREA_L2_Slab_200">#REF!</definedName>
    <definedName name="WALLAREA_L2_Slab_240">#REF!</definedName>
    <definedName name="WALLAREA_L2_Slab_280">#REF!</definedName>
    <definedName name="WALLAREA_L20__COMFLOR_100">#REF!</definedName>
    <definedName name="WALLAREA_L20__HEA_320">#REF!</definedName>
    <definedName name="WALLAREA_L20__HEB_160">#REF!</definedName>
    <definedName name="WALLAREA_L20__HEM_180">#REF!</definedName>
    <definedName name="WALLAREA_L20__RHS_400x400x16">#REF!</definedName>
    <definedName name="WALLAREA_L21__COMFLOR_100">#REF!</definedName>
    <definedName name="WALLAREA_L21__HEA_320">#REF!</definedName>
    <definedName name="WALLAREA_L21__HEB_160">#REF!</definedName>
    <definedName name="WALLAREA_L21__HEM_180">#REF!</definedName>
    <definedName name="WALLAREA_L21__RHS_400x400x16">#REF!</definedName>
    <definedName name="WALLAREA_L22__COMFLOR_100">#REF!</definedName>
    <definedName name="WALLAREA_L22__HEA_320">#REF!</definedName>
    <definedName name="WALLAREA_L22__HEB_160">#REF!</definedName>
    <definedName name="WALLAREA_L22__HEM_180">#REF!</definedName>
    <definedName name="WALLAREA_L22__RHS_400x400x16">#REF!</definedName>
    <definedName name="WALLAREA_L23__COMFLOR_100">#REF!</definedName>
    <definedName name="WALLAREA_L23__HEA_320">#REF!</definedName>
    <definedName name="WALLAREA_L23__HEB_160">#REF!</definedName>
    <definedName name="WALLAREA_L23__HEM_180">#REF!</definedName>
    <definedName name="WALLAREA_L23__RHS_400x400x16">#REF!</definedName>
    <definedName name="WALLAREA_L24__COMFLOR_100">#REF!</definedName>
    <definedName name="WALLAREA_L24__HEA_320">#REF!</definedName>
    <definedName name="WALLAREA_L24__HEB_160">#REF!</definedName>
    <definedName name="WALLAREA_L24__HEM_180">#REF!</definedName>
    <definedName name="WALLAREA_L24__RHS_400x400x16">#REF!</definedName>
    <definedName name="WALLAREA_L25__COMFLOR_100">#REF!</definedName>
    <definedName name="WALLAREA_L25__HEA_320">#REF!</definedName>
    <definedName name="WALLAREA_L25__HEB_160">#REF!</definedName>
    <definedName name="WALLAREA_L25__HEM_180">#REF!</definedName>
    <definedName name="WALLAREA_L25__RHS_400x200x16">#REF!</definedName>
    <definedName name="WALLAREA_L26__COMFLOR_100">#REF!</definedName>
    <definedName name="WALLAREA_L26__HEA_320">#REF!</definedName>
    <definedName name="WALLAREA_L26__HEB_160">#REF!</definedName>
    <definedName name="WALLAREA_L26__HEM_180">#REF!</definedName>
    <definedName name="WALLAREA_L26__RC_CORE_VOIDS">#REF!</definedName>
    <definedName name="WALLAREA_L26__RHS_400x200x16">#REF!</definedName>
    <definedName name="WALLAREA_L27__COMFLOR_100">#REF!</definedName>
    <definedName name="WALLAREA_L27__HEA_320">#REF!</definedName>
    <definedName name="WALLAREA_L27__HEB_160">#REF!</definedName>
    <definedName name="WALLAREA_L27__HEM_180">#REF!</definedName>
    <definedName name="WALLAREA_L27__RHS_400x200x16">#REF!</definedName>
    <definedName name="WALLAREA_L28__COMFLOR_100">#REF!</definedName>
    <definedName name="WALLAREA_L28__HEA_320">#REF!</definedName>
    <definedName name="WALLAREA_L28__HEB_160">#REF!</definedName>
    <definedName name="WALLAREA_L28__HEM_180">#REF!</definedName>
    <definedName name="WALLAREA_L28__rHS_400x200x16">#REF!</definedName>
    <definedName name="WALLAREA_L29__COMFLOR_100">#REF!</definedName>
    <definedName name="WALLAREA_L29__HEA_320">#REF!</definedName>
    <definedName name="WALLAREA_L29__HEB_160">#REF!</definedName>
    <definedName name="WALLAREA_L29__HEM_180">#REF!</definedName>
    <definedName name="WALLAREA_L29__RHS_400x200x16">#REF!</definedName>
    <definedName name="WALLAREA_L3___1000x1500mm">#REF!</definedName>
    <definedName name="WALLAREA_L3___1200x1200x1500mm">#REF!</definedName>
    <definedName name="WALLAREA_L3___1200x3000x1500mm">#REF!</definedName>
    <definedName name="WALLAREA_L3___1500x1500mm">#REF!</definedName>
    <definedName name="WALLAREA_L3___1500x3000x1500mm">#REF!</definedName>
    <definedName name="WALLAREA_L3___1800x1800x1500mm">#REF!</definedName>
    <definedName name="WALLAREA_L3___1800x4500x1500mm">#REF!</definedName>
    <definedName name="WALLAREA_L3___400mm_Retaining_wall">#REF!</definedName>
    <definedName name="WALLAREA_L3___400mm_Retaining_wall_curved">#REF!</definedName>
    <definedName name="WALLAREA_L3___500mm_thick_W3_curved">#REF!</definedName>
    <definedName name="WALLAREA_L3___600mm_diameter">#REF!</definedName>
    <definedName name="WALLAREA_L3___650mm_thick_W4_curved">#REF!</definedName>
    <definedName name="WALLAREA_L3___700x1500mm">#REF!</definedName>
    <definedName name="WALLAREA_L3___700x1500mm_curved">#REF!</definedName>
    <definedName name="WALLAREA_L3___800x1500mm">#REF!</definedName>
    <definedName name="WALLAREA_L3___800x1500mm_curved">#REF!</definedName>
    <definedName name="WALLAREA_L3___900mm_diameter">#REF!</definedName>
    <definedName name="WALLAREA_L3___Pilecaps">#REF!</definedName>
    <definedName name="WALLAREA_L3__Beam__1000x800__assumed_">#REF!</definedName>
    <definedName name="WALLAREA_L3__Beam__1100x800__assumed_">#REF!</definedName>
    <definedName name="WALLAREA_L3__Beam__1300x800__assumed_">#REF!</definedName>
    <definedName name="WALLAREA_L3__Beam__700x800__assumed_">#REF!</definedName>
    <definedName name="WALLAREA_L3__Beam__800x800__assumed_">#REF!</definedName>
    <definedName name="WALLAREA_L3__C1__800x800">#REF!</definedName>
    <definedName name="WALLAREA_L3__C10__400x1000">#REF!</definedName>
    <definedName name="WALLAREA_L3__C2__600x1200__assumed_size_as_per_plan_">#REF!</definedName>
    <definedName name="WALLAREA_L3__C2__800x800">#REF!</definedName>
    <definedName name="WALLAREA_L3__C3__800dia">#REF!</definedName>
    <definedName name="WALLAREA_L3__C4__600x600">#REF!</definedName>
    <definedName name="WALLAREA_L3__C5__400x400">#REF!</definedName>
    <definedName name="WALLAREA_L3__C6__600x1200">#REF!</definedName>
    <definedName name="WALLAREA_L3__C7__600x800">#REF!</definedName>
    <definedName name="WALLAREA_L3__C8__550dia">#REF!</definedName>
    <definedName name="WALLAREA_L3__C9__600dia">#REF!</definedName>
    <definedName name="WALLAREA_L3__Column_Head__3000x3000x400">#REF!</definedName>
    <definedName name="WALLAREA_L3__TW1_250">#REF!</definedName>
    <definedName name="WALLAREA_L3__TW2_200">#REF!</definedName>
    <definedName name="WALLAREA_L3__TW3_300">#REF!</definedName>
    <definedName name="WALLAREA_L3__TW4_600">#REF!</definedName>
    <definedName name="WALLAREA_L3__TW5_300">#REF!</definedName>
    <definedName name="WALLAREA_L3__W1__250">#REF!</definedName>
    <definedName name="WALLAREA_L3__W1__250_curved">#REF!</definedName>
    <definedName name="WALLAREA_L3_Beams">#REF!</definedName>
    <definedName name="WALLAREA_L3_Slab_200">#REF!</definedName>
    <definedName name="WALLAREA_L3_Slab_240">#REF!</definedName>
    <definedName name="WALLAREA_L3_Slab_280">#REF!</definedName>
    <definedName name="WALLAREA_L30__COMFLOR_100">#REF!</definedName>
    <definedName name="WALLAREA_L30__HEA_320">#REF!</definedName>
    <definedName name="WALLAREA_L30__HEB_160">#REF!</definedName>
    <definedName name="WALLAREA_L30__HEM_180">#REF!</definedName>
    <definedName name="WALLAREA_L30__RHS_400x200x16">#REF!</definedName>
    <definedName name="WALLAREA_L30__TW1_250">#REF!</definedName>
    <definedName name="WALLAREA_L30__TW2_200">#REF!</definedName>
    <definedName name="WALLAREA_L30__TW3_300">#REF!</definedName>
    <definedName name="WALLAREA_L30__TW4_600">#REF!</definedName>
    <definedName name="WALLAREA_L30_Beams">#REF!</definedName>
    <definedName name="WALLAREA_L30_Slab_200">#REF!</definedName>
    <definedName name="WALLAREA_L30_Slab_240">#REF!</definedName>
    <definedName name="WALLAREA_L30_Slab_280">#REF!</definedName>
    <definedName name="WALLAREA_L31__COMFLOR_100">#REF!</definedName>
    <definedName name="WALLAREA_L31__HEA_320">#REF!</definedName>
    <definedName name="WALLAREA_L31__HEB_160">#REF!</definedName>
    <definedName name="WALLAREA_L31__HEM_180">#REF!</definedName>
    <definedName name="WALLAREA_L31__RHS_400x200x16">#REF!</definedName>
    <definedName name="WALLAREA_L31__TW1_250">#REF!</definedName>
    <definedName name="WALLAREA_L31__TW2_200">#REF!</definedName>
    <definedName name="WALLAREA_L31__TW3_300">#REF!</definedName>
    <definedName name="WALLAREA_L31__TW4_600">#REF!</definedName>
    <definedName name="WALLAREA_L31__TW5_300">#REF!</definedName>
    <definedName name="WALLAREA_L31_Beams">#REF!</definedName>
    <definedName name="WALLAREA_L31_Slab_200">#REF!</definedName>
    <definedName name="WALLAREA_L31_Slab_240">#REF!</definedName>
    <definedName name="WALLAREA_L31_Slab_280">#REF!</definedName>
    <definedName name="WALLAREA_L32__RC_SLAB_500mm_THICK">#REF!</definedName>
    <definedName name="WALLAREA_L33__COMFLOR_100">#REF!</definedName>
    <definedName name="WALLAREA_L33__HEA_320">#REF!</definedName>
    <definedName name="WALLAREA_L33__HEB_160">#REF!</definedName>
    <definedName name="WALLAREA_L33__HEM_180">#REF!</definedName>
    <definedName name="WALLAREA_L33__RHS_400x200x16">#REF!</definedName>
    <definedName name="WALLAREA_L34__COMFLOR_100">#REF!</definedName>
    <definedName name="WALLAREA_L34__HEA_320">#REF!</definedName>
    <definedName name="WALLAREA_L34__HEB_160">#REF!</definedName>
    <definedName name="WALLAREA_L34__HEM_180">#REF!</definedName>
    <definedName name="WALLAREA_L34__RHS_400x200x16">#REF!</definedName>
    <definedName name="WALLAREA_L35__COMFLOR_100">#REF!</definedName>
    <definedName name="WALLAREA_L35__HEA_320">#REF!</definedName>
    <definedName name="WALLAREA_L35__HEB_160">#REF!</definedName>
    <definedName name="WALLAREA_L35__HEM_180">#REF!</definedName>
    <definedName name="WALLAREA_L35__RHS_400x200x16">#REF!</definedName>
    <definedName name="WALLAREA_L36__COMFLOR_100">#REF!</definedName>
    <definedName name="WALLAREA_L36__CONC_SLAB">#REF!</definedName>
    <definedName name="WALLAREA_L36__HEA_320">#REF!</definedName>
    <definedName name="WALLAREA_L36__HEB_160">#REF!</definedName>
    <definedName name="WALLAREA_L36__HEM_180">#REF!</definedName>
    <definedName name="WALLAREA_L36__RHS_400x200x16">#REF!</definedName>
    <definedName name="WALLAREA_L36__TW1_250">#REF!</definedName>
    <definedName name="WALLAREA_L36__TW2_200">#REF!</definedName>
    <definedName name="WALLAREA_L36__TW3_300">#REF!</definedName>
    <definedName name="WALLAREA_L36__TW5_300">#REF!</definedName>
    <definedName name="WALLAREA_L36_Beams">#REF!</definedName>
    <definedName name="WALLAREA_L36_Slab_200">#REF!</definedName>
    <definedName name="WALLAREA_L36_Slab_240">#REF!</definedName>
    <definedName name="WALLAREA_L36_Slab_280">#REF!</definedName>
    <definedName name="WALLAREA_L36_Slab_500">#REF!</definedName>
    <definedName name="WALLAREA_L37__COMFLOR_100">#REF!</definedName>
    <definedName name="WALLAREA_L37__HEA_320">#REF!</definedName>
    <definedName name="WALLAREA_L37__HEB_160">#REF!</definedName>
    <definedName name="WALLAREA_L37__HEM_180">#REF!</definedName>
    <definedName name="WALLAREA_L37__RHS_400x200x16">#REF!</definedName>
    <definedName name="WALLAREA_L37__TW1_250">#REF!</definedName>
    <definedName name="WALLAREA_L37__TW2_200">#REF!</definedName>
    <definedName name="WALLAREA_L37__TW3_300">#REF!</definedName>
    <definedName name="WALLAREA_L37__TW5_300">#REF!</definedName>
    <definedName name="WALLAREA_L37_Beams">#REF!</definedName>
    <definedName name="WALLAREA_L37_Slab_200">#REF!</definedName>
    <definedName name="WALLAREA_L37_Slab_350">#REF!</definedName>
    <definedName name="WALLAREA_L38__Bracing_Elemnt_Passing_Lift_Over_Run">#REF!</definedName>
    <definedName name="WALLAREA_L38__COMFLOR_100">#REF!</definedName>
    <definedName name="WALLAREA_L38__HEA_320">#REF!</definedName>
    <definedName name="WALLAREA_L38__HEB_160">#REF!</definedName>
    <definedName name="WALLAREA_L38__HEM_180">#REF!</definedName>
    <definedName name="WALLAREA_L38__RHS_400x200x16">#REF!</definedName>
    <definedName name="WALLAREA_L38__TW1_250">#REF!</definedName>
    <definedName name="WALLAREA_L38__TW2_200">#REF!</definedName>
    <definedName name="WALLAREA_L38__TW3_300">#REF!</definedName>
    <definedName name="WALLAREA_L38__TW5_300">#REF!</definedName>
    <definedName name="WALLAREA_L38_Beams">#REF!</definedName>
    <definedName name="WALLAREA_L38_Slab_200">#REF!</definedName>
    <definedName name="WALLAREA_L38_Slab_350">#REF!</definedName>
    <definedName name="WALLAREA_L39__2nd_Layer__HEA_320">#REF!</definedName>
    <definedName name="WALLAREA_L39__2nd_Layer__HEB_160">#REF!</definedName>
    <definedName name="WALLAREA_L39__2nd_Layer__HEM_180">#REF!</definedName>
    <definedName name="WALLAREA_L39__2nd_Layer__RHS_400x200x16">#REF!</definedName>
    <definedName name="WALLAREA_L39__Bracing_Elemnt_Passing_Lift_Over_Run">#REF!</definedName>
    <definedName name="WALLAREA_L39__COMFLOR_100">#REF!</definedName>
    <definedName name="WALLAREA_L39__HEA_320">#REF!</definedName>
    <definedName name="WALLAREA_L39__HEB_160">#REF!</definedName>
    <definedName name="WALLAREA_L39__HEM_180">#REF!</definedName>
    <definedName name="WALLAREA_L39__RHS_400x200x16">#REF!</definedName>
    <definedName name="WALLAREA_L4___1000x1500mm_curved">#REF!</definedName>
    <definedName name="WALLAREA_L4___1500x1500x1500mm">#REF!</definedName>
    <definedName name="WALLAREA_L4___600mm_diameter">#REF!</definedName>
    <definedName name="WALLAREA_L4___750mm_diameter">#REF!</definedName>
    <definedName name="WALLAREA_L4___800x1500mm">#REF!</definedName>
    <definedName name="WALLAREA_L4___800x1500mm_curved">#REF!</definedName>
    <definedName name="WALLAREA_L4__B1__800x600">#REF!</definedName>
    <definedName name="WALLAREA_L4__B1__800x600_curved">#REF!</definedName>
    <definedName name="WALLAREA_L4__B2__800x1000">#REF!</definedName>
    <definedName name="WALLAREA_L4__B2__800x1000_curved">#REF!</definedName>
    <definedName name="WALLAREA_L4__B3__800x1300">#REF!</definedName>
    <definedName name="WALLAREA_L4__B3__800x1300_curved">#REF!</definedName>
    <definedName name="WALLAREA_L4__B4__1500x1600_curved">#REF!</definedName>
    <definedName name="WALLAREA_L4__Beam__300x600__assumed_">#REF!</definedName>
    <definedName name="WALLAREA_L4__C3__800dia">#REF!</definedName>
    <definedName name="WALLAREA_L4__C6__550dia__assumed_size_as_per_plan_">#REF!</definedName>
    <definedName name="WALLAREA_L4__C9__600dia">#REF!</definedName>
    <definedName name="WALLAREA_L4__Column_Head__4000x4000x400">#REF!</definedName>
    <definedName name="WALLAREA_L4__W1__250">#REF!</definedName>
    <definedName name="WALLAREA_L4__W1__250_curved">#REF!</definedName>
    <definedName name="WALLAREA_L4__W2__350">#REF!</definedName>
    <definedName name="WALLAREA_L4__W2__350_curved">#REF!</definedName>
    <definedName name="WALLAREA_L40__2nd_Layer__RHS_400x200x16">#REF!</definedName>
    <definedName name="WALLAREA_L40__Bracing_Elemnt_Passing_Lift_Over_Run">#REF!</definedName>
    <definedName name="WALLAREA_L40__COMFLOR_100">#REF!</definedName>
    <definedName name="WALLAREA_L40__HEB_320">#REF!</definedName>
    <definedName name="WALLAREA_L40__RHS_400x200x16">#REF!</definedName>
    <definedName name="WALLAREA_L40__RHS_450x450x25">#REF!</definedName>
    <definedName name="WALLAREA_L40__RHS_500x300x20">#REF!</definedName>
    <definedName name="WALLAREA_L40__Trussing_spanning_column_restrai">#REF!</definedName>
    <definedName name="WALLAREA_L41__2nd_Layer__RHS_400x200x16">#REF!</definedName>
    <definedName name="WALLAREA_L41__Bracing_Elemnt_Passing_Lift_Over_Run">#REF!</definedName>
    <definedName name="WALLAREA_L41__COMFLOR_100">#REF!</definedName>
    <definedName name="WALLAREA_L41__Flying_Strut">#REF!</definedName>
    <definedName name="WALLAREA_L41__HEB_320">#REF!</definedName>
    <definedName name="WALLAREA_L41__RHS_400x200x16">#REF!</definedName>
    <definedName name="WALLAREA_L41__RHS_450x450x25">#REF!</definedName>
    <definedName name="WALLAREA_L41__RHS_500x300x20">#REF!</definedName>
    <definedName name="WALLAREA_L42__2nd_Layer__RHS_400x200x16">#REF!</definedName>
    <definedName name="WALLAREA_L42__COMFLOR_100">#REF!</definedName>
    <definedName name="WALLAREA_L42__HEB_320">#REF!</definedName>
    <definedName name="WALLAREA_L42__RHS_400x420x16">#REF!</definedName>
    <definedName name="WALLAREA_L42__RHS_450x450x25">#REF!</definedName>
    <definedName name="WALLAREA_L42__RHS_500x300x20">#REF!</definedName>
    <definedName name="WALLAREA_L43__COMFLOR_100">#REF!</definedName>
    <definedName name="WALLAREA_L43__HE_320">#REF!</definedName>
    <definedName name="WALLAREA_L44__COMFLOR_100">#REF!</definedName>
    <definedName name="WALLAREA_L44__HEA_320">#REF!</definedName>
    <definedName name="WALLAREA_L45__COMFLOR_100">#REF!</definedName>
    <definedName name="WALLAREA_L46__COMFLOR_100">#REF!</definedName>
    <definedName name="WALLAREA_L47__COMFLOR_100">#REF!</definedName>
    <definedName name="WALLAREA_L48__RC_SLAB_350mm_THICK">#REF!</definedName>
    <definedName name="WALLAREA_L49__COMFLOR_100">#REF!</definedName>
    <definedName name="WALLAREA_L49__HEB_260">#REF!</definedName>
    <definedName name="WALLAREA_L5___Slab_on_grade">#REF!</definedName>
    <definedName name="WALLAREA_L5__B1__500x1300_curved">#REF!</definedName>
    <definedName name="WALLAREA_L5__B2__800x1300">#REF!</definedName>
    <definedName name="WALLAREA_L5__B2__800x1300_curved">#REF!</definedName>
    <definedName name="WALLAREA_L5__B3__800x1100">#REF!</definedName>
    <definedName name="WALLAREA_L5__B3__800x1100_curved">#REF!</definedName>
    <definedName name="WALLAREA_L5__B4__800x1600">#REF!</definedName>
    <definedName name="WALLAREA_L5__B5__400x800">#REF!</definedName>
    <definedName name="WALLAREA_L5__B6__600x1250">#REF!</definedName>
    <definedName name="WALLAREA_L5__B6__600x1250_curved">#REF!</definedName>
    <definedName name="WALLAREA_L5__B7__800x1250">#REF!</definedName>
    <definedName name="WALLAREA_L5__B7__800x1250_curved">#REF!</definedName>
    <definedName name="WALLAREA_L5__B8__1400x1250_curved">#REF!</definedName>
    <definedName name="WALLAREA_L5__B9__1800x1250">#REF!</definedName>
    <definedName name="WALLAREA_L5__B9__1800x1250_curved">#REF!</definedName>
    <definedName name="WALLAREA_L5__Beam__800x1600_curved__assumed_">#REF!</definedName>
    <definedName name="WALLAREA_L50__COMFLOR_100">#REF!</definedName>
    <definedName name="WALLAREA_L50__HEB_260">#REF!</definedName>
    <definedName name="WALLAREA_L51__COMFLOR_100">#REF!</definedName>
    <definedName name="WALLAREA_Land_Area">#REF!</definedName>
    <definedName name="WALLAREA_Lettable_Area__lvl_3_">#REF!</definedName>
    <definedName name="WALLAREA_Lettable_areas__lvl_2_">#REF!</definedName>
    <definedName name="WALLAREA_Level_3_balcony_handrails">#REF!</definedName>
    <definedName name="WALLAREA_Lift_voids__GF_">#REF!</definedName>
    <definedName name="WALLAREA_Lift_voids__lvl_1_">#REF!</definedName>
    <definedName name="WALLAREA_Lift_voids__lvl_2_">#REF!</definedName>
    <definedName name="WALLAREA_Lift_voids__lvl_3_">#REF!</definedName>
    <definedName name="WALLAREA_Lift_voids__Podium_1_">#REF!</definedName>
    <definedName name="WALLAREA_Lift_Voids__Podium_2_">#REF!</definedName>
    <definedName name="WALLAREA_Lift_voids__Roof_">#REF!</definedName>
    <definedName name="WALLAREA_Louver_1A">#REF!</definedName>
    <definedName name="WALLAREA_lvl_1__BOH_">#REF!</definedName>
    <definedName name="WALLAREA_lvl_1__Car_Park_">#REF!</definedName>
    <definedName name="WALLAREA_lvl_1__Externals_">#REF!</definedName>
    <definedName name="WALLAREA_lvl_1__FOH_Areas_">#REF!</definedName>
    <definedName name="WALLAREA_lvl_1__FOH_Circulation_">#REF!</definedName>
    <definedName name="WALLAREA_lvl_1__GFA_">#REF!</definedName>
    <definedName name="WALLAREA_lvl_1__GIFA_">#REF!</definedName>
    <definedName name="WALLAREA_lvl_1__offices_">#REF!</definedName>
    <definedName name="WALLAREA_lvl_1__Stairs_">#REF!</definedName>
    <definedName name="WALLAREA_lvl_1__vertical_storage_">#REF!</definedName>
    <definedName name="WALLAREA_lvl_1__Voids_">#REF!</definedName>
    <definedName name="WALLAREA_lvl_1__WCs_">#REF!</definedName>
    <definedName name="WALLAREA_lvl_1_BOH">#REF!</definedName>
    <definedName name="WALLAREA_lvl_1_Doors_Internal_Double__FOH_">#REF!</definedName>
    <definedName name="WALLAREA_lvl_1_Doors_Internal_Single__BOH_">#REF!</definedName>
    <definedName name="WALLAREA_lvl_1_Doors_Internal_Single__FOH_">#REF!</definedName>
    <definedName name="WALLAREA_lvl_1_External_Double_door__FOH_">#REF!</definedName>
    <definedName name="WALLAREA_lvl_1_External_double_doors__FOH_">#REF!</definedName>
    <definedName name="WALLAREA_lvl_1_FOH">#REF!</definedName>
    <definedName name="WALLAREA_lvl_1_GFA">#REF!</definedName>
    <definedName name="WALLAREA_lvl_1_GIFA">#REF!</definedName>
    <definedName name="WALLAREA_lvl_1_Internal_Double_doors__BOH_">#REF!</definedName>
    <definedName name="WALLAREA_lvl_1_Internal_double_doors__FOH_">#REF!</definedName>
    <definedName name="WALLAREA_lvl_1_Internal_single_doors__BOH_">#REF!</definedName>
    <definedName name="WALLAREA_lvl_1_Internal_single_doors__FOH_">#REF!</definedName>
    <definedName name="WALLAREA_lvl_1_Internal_single_doors__Stairs_">#REF!</definedName>
    <definedName name="WALLAREA_lvl_1_Offices">#REF!</definedName>
    <definedName name="WALLAREA_lvl_1_Stairs">#REF!</definedName>
    <definedName name="WALLAREA_lvl_1_Store">#REF!</definedName>
    <definedName name="WALLAREA_lvl_1_Voids">#REF!</definedName>
    <definedName name="WALLAREA_lvl_2__Apartments_">#REF!</definedName>
    <definedName name="WALLAREA_lvl_2__BOH_">#REF!</definedName>
    <definedName name="WALLAREA_lvl_2__FOH_Circulation_">#REF!</definedName>
    <definedName name="WALLAREA_lvl_2__GFA_">#REF!</definedName>
    <definedName name="WALLAREA_lvl_2__GIFA_">#REF!</definedName>
    <definedName name="WALLAREA_lvl_2__Stairs_">#REF!</definedName>
    <definedName name="WALLAREA_lvl_2__Voids_">#REF!</definedName>
    <definedName name="WALLAREA_lvl_2_External_dble_doors__FOH_">#REF!</definedName>
    <definedName name="WALLAREA_lvl_2_Internal_dble_doors__Aprt_">#REF!</definedName>
    <definedName name="WALLAREA_lvl_2_Internal_double_doors__BOH_">#REF!</definedName>
    <definedName name="WALLAREA_lvl_2_Internal_Single_doors__Apartments_">#REF!</definedName>
    <definedName name="WALLAREA_lvl_2_Internal_Single_doors__Apartments_Entrances_">#REF!</definedName>
    <definedName name="WALLAREA_lvl_2_Internal_single_doors__Aprt_">#REF!</definedName>
    <definedName name="WALLAREA_lvl_2_Internal_single_doors__Aprt_Entrance_">#REF!</definedName>
    <definedName name="WALLAREA_lvl_2_Internal_Single_doors__BOH_">#REF!</definedName>
    <definedName name="WALLAREA_lvl_2_Internal_Sliding_doors__Apartments_">#REF!</definedName>
    <definedName name="WALLAREA_lvl_2_Internal_sliding_doors__Aprt_">#REF!</definedName>
    <definedName name="WALLAREA_lvl_3__Apartments_">#REF!</definedName>
    <definedName name="WALLAREA_lvl_3__BOH_">#REF!</definedName>
    <definedName name="WALLAREA_lvl_3__Car_Park_">#REF!</definedName>
    <definedName name="WALLAREA_lvl_3__FOH_Circulation_">#REF!</definedName>
    <definedName name="WALLAREA_lvl_3__GFA_">#REF!</definedName>
    <definedName name="WALLAREA_lvl_3__GIFA_">#REF!</definedName>
    <definedName name="WALLAREA_lvl_3__Stairs_">#REF!</definedName>
    <definedName name="WALLAREA_lvl_3__voids_">#REF!</definedName>
    <definedName name="WALLAREA_lvl_3_External_balcony_doors__Aprt_">#REF!</definedName>
    <definedName name="WALLAREA_lvl_3_Internal_dble_doors__Aprt_">#REF!</definedName>
    <definedName name="WALLAREA_lvl_3_Internal_Double_doors__BOH_">#REF!</definedName>
    <definedName name="WALLAREA_lvl_3_Internal_Single_doors__Apartment_">#REF!</definedName>
    <definedName name="WALLAREA_lvl_3_Internal_Single_doors__Apartment_entrances_">#REF!</definedName>
    <definedName name="WALLAREA_lvl_3_Internal_single_doors__Aprt_">#REF!</definedName>
    <definedName name="WALLAREA_lvl_3_Internal_single_doors__Aprt_entrance_">#REF!</definedName>
    <definedName name="WALLAREA_lvl_3_Internal_Single_doors__BOH_">#REF!</definedName>
    <definedName name="WALLAREA_lvl_3_Internal_Single_doors__FOH_">#REF!</definedName>
    <definedName name="WALLAREA_lvl_3_Internal_Sliding_doors__Apartment_">#REF!</definedName>
    <definedName name="WALLAREA_lvl_3_Internal_sliding_doors__Aprt_">#REF!</definedName>
    <definedName name="WALLAREA_lvl_5__BOH_">#REF!</definedName>
    <definedName name="WALLAREA_lvl_5__Externals_">#REF!</definedName>
    <definedName name="WALLAREA_lvl_5__GFA_">#REF!</definedName>
    <definedName name="WALLAREA_lvl_5__GIFA_">#REF!</definedName>
    <definedName name="WALLAREA_lvl_5__Stairs_">#REF!</definedName>
    <definedName name="WALLAREA_lvl_5__voids_">#REF!</definedName>
    <definedName name="WALLAREA_lvl_5_External_Single_Door__BOH_">#REF!</definedName>
    <definedName name="WALLAREA_lvl_6__BOH_">#REF!</definedName>
    <definedName name="WALLAREA_lvl_6__Externals_">#REF!</definedName>
    <definedName name="WALLAREA_lvl_6__FOH_amenities_">#REF!</definedName>
    <definedName name="WALLAREA_lvl_6__FOH_Circulation_">#REF!</definedName>
    <definedName name="WALLAREA_lvl_6__GFA_">#REF!</definedName>
    <definedName name="WALLAREA_lvl_6__GIFA_">#REF!</definedName>
    <definedName name="WALLAREA_lvl_6__Pool_">#REF!</definedName>
    <definedName name="WALLAREA_lvl_6__Roof___Pool_deck_">#REF!</definedName>
    <definedName name="WALLAREA_lvl_6__Stairs_">#REF!</definedName>
    <definedName name="WALLAREA_lvl_6__Voids_">#REF!</definedName>
    <definedName name="WALLAREA_lvl_6_External_double_doors__BOH_">#REF!</definedName>
    <definedName name="WALLAREA_lvl_6_External_double_doors__FOH_">#REF!</definedName>
    <definedName name="WALLAREA_lvl_6_External_single_doors__BOH_">#REF!</definedName>
    <definedName name="WALLAREA_lvl_6_Internal_Single_doors__BOH_">#REF!</definedName>
    <definedName name="WALLAREA_lvl_6_Internal_Single_doors__FOH_">#REF!</definedName>
    <definedName name="WALLAREA_M01__Column_C1">#REF!</definedName>
    <definedName name="WALLAREA_M01__Column_C10">#REF!</definedName>
    <definedName name="WALLAREA_M01__Column_C11">#REF!</definedName>
    <definedName name="WALLAREA_M01__Column_C12">#REF!</definedName>
    <definedName name="WALLAREA_M01__Column_C2">#REF!</definedName>
    <definedName name="WALLAREA_M01__Column_C3">#REF!</definedName>
    <definedName name="WALLAREA_M01__Column_C4">#REF!</definedName>
    <definedName name="WALLAREA_M01__Column_C5">#REF!</definedName>
    <definedName name="WALLAREA_M01__Column_C6">#REF!</definedName>
    <definedName name="WALLAREA_M01__Column_C7">#REF!</definedName>
    <definedName name="WALLAREA_M01__Column_C8">#REF!</definedName>
    <definedName name="WALLAREA_M01__Column_C9">#REF!</definedName>
    <definedName name="WALLAREA_M01__Column_FC1">#REF!</definedName>
    <definedName name="WALLAREA_M01__Column_TC1">#REF!</definedName>
    <definedName name="WALLAREA_M01__Column_TC2">#REF!</definedName>
    <definedName name="WALLAREA_M01__Column_TC3">#REF!</definedName>
    <definedName name="WALLAREA_M01__Column_TC4">#REF!</definedName>
    <definedName name="WALLAREA_M01__Column_TC5">#REF!</definedName>
    <definedName name="WALLAREA_M1__TW1_250">#REF!</definedName>
    <definedName name="WALLAREA_M1__TW2_200">#REF!</definedName>
    <definedName name="WALLAREA_M1__TW3_300">#REF!</definedName>
    <definedName name="WALLAREA_M1__TW3_400">#REF!</definedName>
    <definedName name="WALLAREA_M1__TW4_500">#REF!</definedName>
    <definedName name="WALLAREA_M1__TW4_600">#REF!</definedName>
    <definedName name="WALLAREA_M1__TW5_300">#REF!</definedName>
    <definedName name="WALLAREA_M1_Beams">#REF!</definedName>
    <definedName name="WALLAREA_M1_DP">#REF!</definedName>
    <definedName name="WALLAREA_M1_DP1">#REF!</definedName>
    <definedName name="WALLAREA_M1_DP10">#REF!</definedName>
    <definedName name="WALLAREA_M1_DP2">#REF!</definedName>
    <definedName name="WALLAREA_M1_DP3">#REF!</definedName>
    <definedName name="WALLAREA_M1_DP4">#REF!</definedName>
    <definedName name="WALLAREA_M1_DP7">#REF!</definedName>
    <definedName name="WALLAREA_M1_DP8">#REF!</definedName>
    <definedName name="WALLAREA_M1_DP9">#REF!</definedName>
    <definedName name="WALLAREA_M1_Ramp">#REF!</definedName>
    <definedName name="WALLAREA_M1_Slab_200">#REF!</definedName>
    <definedName name="WALLAREA_M1_Slab_220">#REF!</definedName>
    <definedName name="WALLAREA_M1_Slab_250">#REF!</definedName>
    <definedName name="WALLAREA_M1_Slab_280">#REF!</definedName>
    <definedName name="WALLAREA_Mezz">#REF!</definedName>
    <definedName name="WALLAREA_Mezzanine___BOH___Admin_Support">#REF!</definedName>
    <definedName name="WALLAREA_Mezzanine___BOH___Administration_Offices">#REF!</definedName>
    <definedName name="WALLAREA_Mezzanine___BOH___Administration_Offices_Toilet">#REF!</definedName>
    <definedName name="WALLAREA_Mezzanine___BOH___Conference___Meeting">#REF!</definedName>
    <definedName name="WALLAREA_Mezzanine___BOH___Event_Center_Core">#REF!</definedName>
    <definedName name="WALLAREA_Mezzanine___BOH___Event_Center_Core_lift_shafts">#REF!</definedName>
    <definedName name="WALLAREA_Mezzanine___BOH___Event_Center_Pantry___Service">#REF!</definedName>
    <definedName name="WALLAREA_Mezzanine___BOH___Event_Center_Service">#REF!</definedName>
    <definedName name="WALLAREA_Mezzanine___BOH___Finance___Accounting">#REF!</definedName>
    <definedName name="WALLAREA_Mezzanine___BOH___Fire_Escape_Stairs">#REF!</definedName>
    <definedName name="WALLAREA_Mezzanine___BOH___Guest_Core">#REF!</definedName>
    <definedName name="WALLAREA_Mezzanine___BOH___Guest_Core_lift_shafts">#REF!</definedName>
    <definedName name="WALLAREA_Mezzanine___BOH___Reservation___PABX">#REF!</definedName>
    <definedName name="WALLAREA_Mezzanine___BOH___Service_Core">#REF!</definedName>
    <definedName name="WALLAREA_Mezzanine___BOH___Service_Core_ducts">#REF!</definedName>
    <definedName name="WALLAREA_Mezzanine___BOH___Service_Core_lift_shafts">#REF!</definedName>
    <definedName name="WALLAREA_Mezzanine___BOH___Staff_Core">#REF!</definedName>
    <definedName name="WALLAREA_Mezzanine___BOH___Staff_Core_lift_shafts">#REF!</definedName>
    <definedName name="WALLAREA_Mezzanine___Double_Volume__Conference___Meeting_">#REF!</definedName>
    <definedName name="WALLAREA_Mezzanine___Double_Volume__Lobby_Bar_">#REF!</definedName>
    <definedName name="WALLAREA_Mezzanine___Double_Volume__Reception_Lobby_">#REF!</definedName>
    <definedName name="WALLAREA_Mezzanine___FOH___Ball_Room">#REF!</definedName>
    <definedName name="WALLAREA_Mezzanine___FOH___Ball_Room_Pre_Function">#REF!</definedName>
    <definedName name="WALLAREA_Mezzanine___FOH___Circulation">#REF!</definedName>
    <definedName name="WALLAREA_Mezzanine___FOH___Guestroom_Terrace">#REF!</definedName>
    <definedName name="WALLAREA_Mezzanine___FOH___Guestrooms">#REF!</definedName>
    <definedName name="WALLAREA_MF_Admin._Offices_area">#REF!</definedName>
    <definedName name="WALLAREA_MF_BOH_Service_and_Utility_area">#REF!</definedName>
    <definedName name="WALLAREA_MF_BOH_Staircase">#REF!</definedName>
    <definedName name="WALLAREA_MF_Circulation_Corr._to_Admin._Offices">#REF!</definedName>
    <definedName name="WALLAREA_MF_Guest_Core">#REF!</definedName>
    <definedName name="WALLAREA_MF_Guestrooms">#REF!</definedName>
    <definedName name="WALLAREA_MF_HGR_BOH">#REF!</definedName>
    <definedName name="WALLAREA_MF_HGR_Circulation">#REF!</definedName>
    <definedName name="WALLAREA_MF_HGR_Covered_Balcony">#REF!</definedName>
    <definedName name="WALLAREA_MF_HGR_Fire_Staircase">#REF!</definedName>
    <definedName name="WALLAREA_MF_Lift_Shaft">#REF!</definedName>
    <definedName name="WALLAREA_MF_Roof_of_MEP_area">#REF!</definedName>
    <definedName name="WALLAREA_MF_Services_Core">#REF!</definedName>
    <definedName name="WALLAREA_MF_Voids___Dead_space">#REF!</definedName>
    <definedName name="WALLAREA_Non_return_valve">#REF!</definedName>
    <definedName name="WALLAREA_Open_Terrace___2F">#REF!</definedName>
    <definedName name="WALLAREA_Open_Terrace___3F">#REF!</definedName>
    <definedName name="WALLAREA_Open_Terrace___4F">#REF!</definedName>
    <definedName name="WALLAREA_Parapet_capping">#REF!</definedName>
    <definedName name="WALLAREA_Parapet_capping_1CRF">#REF!</definedName>
    <definedName name="WALLAREA_Parapet_capping1BRF">#REF!</definedName>
    <definedName name="WALLAREA_Pedestrian_Access">#REF!</definedName>
    <definedName name="WALLAREA_PLATE___1F">#REF!</definedName>
    <definedName name="WALLAREA_PLATE___2F">#REF!</definedName>
    <definedName name="WALLAREA_PLATE___3F">#REF!</definedName>
    <definedName name="WALLAREA_PLATE___4F">#REF!</definedName>
    <definedName name="WALLAREA_PLATE___5F">#REF!</definedName>
    <definedName name="WALLAREA_PLATE___B1">#REF!</definedName>
    <definedName name="WALLAREA_PLATE___B2">#REF!</definedName>
    <definedName name="WALLAREA_PLATE___GF">#REF!</definedName>
    <definedName name="WALLAREA_PLATE___MF">#REF!</definedName>
    <definedName name="WALLAREA_Plot_Area">#REF!</definedName>
    <definedName name="WALLAREA_Pod_1_Internal_single_doors__BOH_">#REF!</definedName>
    <definedName name="WALLAREA_Pod_1_Internal_single_doors__FOH_">#REF!</definedName>
    <definedName name="WALLAREA_Pod_2___Internal_single_doors__BOH_">#REF!</definedName>
    <definedName name="WALLAREA_Pod_2___Internal_single_doors__FOH_">#REF!</definedName>
    <definedName name="WALLAREA_Pond">#REF!</definedName>
    <definedName name="WALLAREA_Public_Toilets__GF_">#REF!</definedName>
    <definedName name="WALLAREA_Raft___13800mm_thick_raft">#REF!</definedName>
    <definedName name="WALLAREA_Rainwater_Drain">#REF!</definedName>
    <definedName name="WALLAREA_Rainwater_Drain_GF">#REF!</definedName>
    <definedName name="WALLAREA_Rainwater_Drain_Pipe">#REF!</definedName>
    <definedName name="WALLAREA_RF__Isolation_Valve">#REF!</definedName>
    <definedName name="WALLAREA_Roof__Canopies">#REF!</definedName>
    <definedName name="WALLAREA_Roof__Suspened_Roof">#REF!</definedName>
    <definedName name="WALLAREA_Roof_External_single_doors__FOH_">#REF!</definedName>
    <definedName name="WALLAREA_Roof_Internal_Single_doors__BOH_">#REF!</definedName>
    <definedName name="WALLAREA_Roof_Internal_single_doors__FOH_">#REF!</definedName>
    <definedName name="WALLAREA_Roof_Terrace___3F">#REF!</definedName>
    <definedName name="WALLAREA_Roof_Terrace___4F">#REF!</definedName>
    <definedName name="WALLAREA_Roof_Terrace___5F">#REF!</definedName>
    <definedName name="WALLAREA_RWO">#REF!</definedName>
    <definedName name="WALLAREA_Sellable">#REF!</definedName>
    <definedName name="WALLAREA_Shops__GF_">#REF!</definedName>
    <definedName name="WALLAREA_Stairs__GF_">#REF!</definedName>
    <definedName name="WALLAREA_Stairs__lvl_1_">#REF!</definedName>
    <definedName name="WALLAREA_Stairs__lvl_2_">#REF!</definedName>
    <definedName name="WALLAREA_Stairs__lvl_3_">#REF!</definedName>
    <definedName name="WALLAREA_Stairs__Podium_1_">#REF!</definedName>
    <definedName name="WALLAREA_Stairs__Podium_2_">#REF!</definedName>
    <definedName name="WALLAREA_Stairs__riser___Ceramic_floor_tile_ff05">#REF!</definedName>
    <definedName name="WALLAREA_Stairs__Risers_150mm___Ceramic_Floor_tile_FF05___Copy">#REF!</definedName>
    <definedName name="WALLAREA_stairs__Roof_">#REF!</definedName>
    <definedName name="WALLAREA_Stairs__Skirting">#REF!</definedName>
    <definedName name="WALLAREA_Stairs__step_200mm___Ceramic_Floor_tile_FF05">#REF!</definedName>
    <definedName name="WALLAREA_STRUT_RAFT">#REF!</definedName>
    <definedName name="WALLAREA_Studio_2_burner_hob">#REF!</definedName>
    <definedName name="WALLAREA_Studio_balcony">#REF!</definedName>
    <definedName name="WALLAREA_Studio_bath_tub">#REF!</definedName>
    <definedName name="WALLAREA_Studio_bath_tub_mixer">#REF!</definedName>
    <definedName name="WALLAREA_Studio_Bathroom">#REF!</definedName>
    <definedName name="WALLAREA_Studio_Bedroom">#REF!</definedName>
    <definedName name="WALLAREA_Studio_kitchen_sink">#REF!</definedName>
    <definedName name="WALLAREA_Studio_kitchen_sink_mixer">#REF!</definedName>
    <definedName name="WALLAREA_studio_kitchen_units">#REF!</definedName>
    <definedName name="WALLAREA_Studio_mirror">#REF!</definedName>
    <definedName name="WALLAREA_Studio_NIA">#REF!</definedName>
    <definedName name="WALLAREA_Studio_vanitys">#REF!</definedName>
    <definedName name="WALLAREA_Studio_wardrobe">#REF!</definedName>
    <definedName name="WALLAREA_Studio_Wash_basin">#REF!</definedName>
    <definedName name="WALLAREA_Studio_Wash_basin_mixer">#REF!</definedName>
    <definedName name="WALLAREA_Studio_Washing_machine">#REF!</definedName>
    <definedName name="WALLAREA_Studio_WC">#REF!</definedName>
    <definedName name="WALLAREA_T.C._A_01AF">#REF!</definedName>
    <definedName name="WALLAREA_T.C._A_01F___U01">#REF!</definedName>
    <definedName name="WALLAREA_T.C._A_01F___U02">#REF!</definedName>
    <definedName name="WALLAREA_T.C._A_01F___U03">#REF!</definedName>
    <definedName name="WALLAREA_T.C._A_01F___U04">#REF!</definedName>
    <definedName name="WALLAREA_T.C._A_01F___U05">#REF!</definedName>
    <definedName name="WALLAREA_T.C._A_01F___U06">#REF!</definedName>
    <definedName name="WALLAREA_T.C._A_02F___04F___U01">#REF!</definedName>
    <definedName name="WALLAREA_T.C._A_02F___04F___U02">#REF!</definedName>
    <definedName name="WALLAREA_T.C._A_02F___04F___U03">#REF!</definedName>
    <definedName name="WALLAREA_T.C._A_02F___04F___U04">#REF!</definedName>
    <definedName name="WALLAREA_T.C._A_02F___04F___U06">#REF!</definedName>
    <definedName name="WALLAREA_T.C._A_03F___U01">#REF!</definedName>
    <definedName name="WALLAREA_T.C._A_03F___U02">#REF!</definedName>
    <definedName name="WALLAREA_T.C._A_03F___U03">#REF!</definedName>
    <definedName name="WALLAREA_T.C._A_03F___U04">#REF!</definedName>
    <definedName name="WALLAREA_T.C._A_03F___U05">#REF!</definedName>
    <definedName name="WALLAREA_T.C._A_03F___U06">#REF!</definedName>
    <definedName name="WALLAREA_T.C._A_05F___U01">#REF!</definedName>
    <definedName name="WALLAREA_T.C._A_05F___U02">#REF!</definedName>
    <definedName name="WALLAREA_T.C._A_05F___U03">#REF!</definedName>
    <definedName name="WALLAREA_T.C._A_05F___U04">#REF!</definedName>
    <definedName name="WALLAREA_T.C._A_05F___U05">#REF!</definedName>
    <definedName name="WALLAREA_T.C._A_05F___U06">#REF!</definedName>
    <definedName name="WALLAREA_T.C._A_06F___U01">#REF!</definedName>
    <definedName name="WALLAREA_T.C._A_06F___U02">#REF!</definedName>
    <definedName name="WALLAREA_T.C._A_06F___U03">#REF!</definedName>
    <definedName name="WALLAREA_T.C._A_06F___U04">#REF!</definedName>
    <definedName name="WALLAREA_T.C._A_06F___U06">#REF!</definedName>
    <definedName name="WALLAREA_T.C._A_07F___U01">#REF!</definedName>
    <definedName name="WALLAREA_T.C._A_07F___U02">#REF!</definedName>
    <definedName name="WALLAREA_T.C._A_07F___U03">#REF!</definedName>
    <definedName name="WALLAREA_T.C._A_07F___U04">#REF!</definedName>
    <definedName name="WALLAREA_T.C._A_07F___U05">#REF!</definedName>
    <definedName name="WALLAREA_T.C._A_07F___U06">#REF!</definedName>
    <definedName name="WALLAREA_T.C._A_08f___10F___U01">#REF!</definedName>
    <definedName name="WALLAREA_T.C._A_08f___10F___U02">#REF!</definedName>
    <definedName name="WALLAREA_T.C._A_08f___10F___U03">#REF!</definedName>
    <definedName name="WALLAREA_T.C._A_08f___10F___U04">#REF!</definedName>
    <definedName name="WALLAREA_T.C._A_08f___10F___U06">#REF!</definedName>
    <definedName name="WALLAREA_T.C._A_09F___U01">#REF!</definedName>
    <definedName name="WALLAREA_T.C._A_09F___U02">#REF!</definedName>
    <definedName name="WALLAREA_T.C._A_09F___U03">#REF!</definedName>
    <definedName name="WALLAREA_T.C._A_09F___U04">#REF!</definedName>
    <definedName name="WALLAREA_T.C._A_09F___U05">#REF!</definedName>
    <definedName name="WALLAREA_T.C._A_09F___U06">#REF!</definedName>
    <definedName name="WALLAREA_T.C._A_11F___U01">#REF!</definedName>
    <definedName name="WALLAREA_T.C._A_11F___U02">#REF!</definedName>
    <definedName name="WALLAREA_T.C._A_11F___U03">#REF!</definedName>
    <definedName name="WALLAREA_T.C._A_11F___U04">#REF!</definedName>
    <definedName name="WALLAREA_T.C._A_11F___U05">#REF!</definedName>
    <definedName name="WALLAREA_T.C._A_11F___U06">#REF!</definedName>
    <definedName name="WALLAREA_T.C._A_12F___U01">#REF!</definedName>
    <definedName name="WALLAREA_T.C._A_12F___U02">#REF!</definedName>
    <definedName name="WALLAREA_T.C._A_12F___U03">#REF!</definedName>
    <definedName name="WALLAREA_T.C._A_12F___U04">#REF!</definedName>
    <definedName name="WALLAREA_T.C._A_12F___U06">#REF!</definedName>
    <definedName name="WALLAREA_T.C._A_31F___U01">#REF!</definedName>
    <definedName name="WALLAREA_T.C._A_31F___U02">#REF!</definedName>
    <definedName name="WALLAREA_T.C._A_31F___U03">#REF!</definedName>
    <definedName name="WALLAREA_T.C._A_31F___U04">#REF!</definedName>
    <definedName name="WALLAREA_T.C._B_GF___main_entrance">#REF!</definedName>
    <definedName name="WALLAREA_T.C._B_GF___near_escape_corridor">#REF!</definedName>
    <definedName name="WALLAREA_T.C._B_GF___near_ramp">#REF!</definedName>
    <definedName name="WALLAREA_T.C._B_GF___near_tech._area">#REF!</definedName>
    <definedName name="WALLAREA_T.C._B_GF___stair_3">#REF!</definedName>
    <definedName name="WALLAREA_T.U._A_01AF">#REF!</definedName>
    <definedName name="WALLAREA_T.U._A_01AF___swimming_pool">#REF!</definedName>
    <definedName name="WALLAREA_T.U._A_07F___U03">#REF!</definedName>
    <definedName name="WALLAREA_T.U._A_07F___U04">#REF!</definedName>
    <definedName name="WALLAREA_T.U._A_31F___U02">#REF!</definedName>
    <definedName name="WALLAREA_T.U._A_31F___U05">#REF!</definedName>
    <definedName name="WALLAREA_T.U._A_32F___U01">#REF!</definedName>
    <definedName name="WALLAREA_T.U._A_32F___U02">#REF!</definedName>
    <definedName name="WALLAREA_T.U._A_32F___U03">#REF!</definedName>
    <definedName name="WALLAREA_T.U._A_32F___U04">#REF!</definedName>
    <definedName name="WALLAREA_T.U._A_33F__">#REF!</definedName>
    <definedName name="WALLAREA_T.U._A_35uRF__">#REF!</definedName>
    <definedName name="WALLAREA_T.U._B_GF___external_double_volume">#REF!</definedName>
    <definedName name="WALLAREA_T.U._B_GF___external_driveway">#REF!</definedName>
    <definedName name="WALLAREA_T.U._B_GF___external_ramp">#REF!</definedName>
    <definedName name="WALLAREA_T.U._B_GF___external_sidewalk">#REF!</definedName>
    <definedName name="WALLAREA_T.U._B_GF___external_stair">#REF!</definedName>
    <definedName name="WALLAREA_T.U._B_GF___external_stair___ramp">#REF!</definedName>
    <definedName name="WALLAREA_T.U._B_P2F__waterfall">#REF!</definedName>
    <definedName name="WALLAREA_Test_Length">#REF!</definedName>
    <definedName name="WALLAREA_TH__L02__Column_500_x_1000">#REF!</definedName>
    <definedName name="WALLAREA_TH__L02__Column_500_x_1100">#REF!</definedName>
    <definedName name="WALLAREA_TH__L02__Column_500_x_1200">#REF!</definedName>
    <definedName name="WALLAREA_TH__L02__TW1_250">#REF!</definedName>
    <definedName name="WALLAREA_TH__L03__Column_500_x_1000">#REF!</definedName>
    <definedName name="WALLAREA_TH__L03__Column_500_x_1100">#REF!</definedName>
    <definedName name="WALLAREA_TH__L03__Column_500_x_1200">#REF!</definedName>
    <definedName name="WALLAREA_TH__L03__TW1_250">#REF!</definedName>
    <definedName name="WALLAREA_TH_L02_Beams">#REF!</definedName>
    <definedName name="WALLAREA_TH_L02_Slab_200">#REF!</definedName>
    <definedName name="WALLAREA_TH_L02_Slab_250">#REF!</definedName>
    <definedName name="WALLAREA_TH_L02_Slab_300">#REF!</definedName>
    <definedName name="WALLAREA_TH_L03_Beams">#REF!</definedName>
    <definedName name="WALLAREA_TH_L03_Slab_250">#REF!</definedName>
    <definedName name="WALLAREA_TH2_V2__Shared_Unit_1_2____1000g_Polystyrene_Sheet_to_Footing">#REF!</definedName>
    <definedName name="WALLAREA_TH2_V2__Shared_Unit_1_2____200mm_thk_Suitable_Well_Graded_Compacted_Materiall_90__to_footing">#REF!</definedName>
    <definedName name="WALLAREA_TH2_V2__Shared_Unit_1_2____50mm_thk_PCC_to_Footing">#REF!</definedName>
    <definedName name="WALLAREA_TH2_V2__Shared_Unit_1_2____Excavation_to_Footing">#REF!</definedName>
    <definedName name="WALLAREA_TH2_V2__Shared_Unit_1_2____Soil_Compaction_to_Footing">#REF!</definedName>
    <definedName name="WALLAREA_TH2_V2__Shared_Unit_1_2___Concrete_to_Beams__FF">#REF!</definedName>
    <definedName name="WALLAREA_TH2_V2__Shared_Unit_1_2___Concrete_to_Beams_GF">#REF!</definedName>
    <definedName name="WALLAREA_TH2_V2__Shared_Unit_1_2___Concrete_to_Colum_FF">#REF!</definedName>
    <definedName name="WALLAREA_TH2_V2__Shared_Unit_1_2___Concrete_to_Column_below_grade">#REF!</definedName>
    <definedName name="WALLAREA_TH2_V2__Shared_Unit_1_2___Concrete_to_Column_GF">#REF!</definedName>
    <definedName name="WALLAREA_TH2_V2__Shared_Unit_1_2___Concrete_to_Column_RF">#REF!</definedName>
    <definedName name="WALLAREA_TH2_V2__Shared_Unit_1_2___Concrete_to_Footing">#REF!</definedName>
    <definedName name="WALLAREA_TH2_V2__Shared_Unit_1_2___Concrete_to_Grade_Beam">#REF!</definedName>
    <definedName name="WALLAREA_TH2_V2__Shared_Unit_1_2___Concrete_to_ST_Beams">#REF!</definedName>
    <definedName name="WALLAREA_TH2_V2__Shared_Unit_1_2___Excavation_to_ST_Beam">#REF!</definedName>
    <definedName name="WALLAREA_TH2_V2__Shared_Unit_1_2___Formworks_to_Sides_of_Beams_FF">#REF!</definedName>
    <definedName name="WALLAREA_TH2_V2__Shared_Unit_1_2___Formworks_to_Sides_of_Beams_GF">#REF!</definedName>
    <definedName name="WALLAREA_TH2_V2__Shared_Unit_1_2___Formworks_to_Sides_of_Colum___Copy">#REF!</definedName>
    <definedName name="WALLAREA_TH2_V2__Shared_Unit_1_2___Formworks_to_Sides_of_Column_GF">#REF!</definedName>
    <definedName name="WALLAREA_TH2_V2__Shared_Unit_1_2___Formworks_to_Sides_of_Column_RF">#REF!</definedName>
    <definedName name="WALLAREA_TH2_V2__Shared_Unit_1_2___Formworks_to_Sides_of_Columns">#REF!</definedName>
    <definedName name="WALLAREA_TH2_V2__Shared_Unit_1_2___Formworks_to_Sides_of_Grade_Beams">#REF!</definedName>
    <definedName name="WALLAREA_TH2_V2__Shared_Unit_1_2___Formworks_to_Soffit_of_Beams_FF">#REF!</definedName>
    <definedName name="WALLAREA_TH2_V2__Shared_Unit_1_2___Formworks_to_Soffit_of_Beams_GF">#REF!</definedName>
    <definedName name="WALLAREA_TH2_V2__Shared_Unit_1_2___Formworks_to_Soffit_of_Grade_Beams">#REF!</definedName>
    <definedName name="WALLAREA_TH2_V2__Shared_Unit_1_2___Reinforcement_to_Column">#REF!</definedName>
    <definedName name="WALLAREA_TH2_V2__Shared_Unit_1_2___Reinforcement_to_Footing">#REF!</definedName>
    <definedName name="WALLAREA_TH2_V2__Unit_1____1000g_polystyrene_Sheet_to_footing">#REF!</definedName>
    <definedName name="WALLAREA_TH2_V2__Unit_1____200_thk._Suitable_Well_Graded_Compacted_Materials_to_Footing">#REF!</definedName>
    <definedName name="WALLAREA_TH2_V2__Unit_1____50_mm_thk_PCC_to_footing">#REF!</definedName>
    <definedName name="WALLAREA_TH2_V2__Unit_1____Excavation_to_Footing">#REF!</definedName>
    <definedName name="WALLAREA_TH2_V2__Unit_1____Soil_Compaction_to_Footing">#REF!</definedName>
    <definedName name="WALLAREA_TH2_V2__Unit_1___Compacted_Soil_95__ready_to_receive_pavers">#REF!</definedName>
    <definedName name="WALLAREA_TH2_V2__Unit_1___Concrete_to_Beams_FF">#REF!</definedName>
    <definedName name="WALLAREA_TH2_V2__Unit_1___Concrete_to_Beams_GF">#REF!</definedName>
    <definedName name="WALLAREA_TH2_V2__Unit_1___Concrete_to_Column_below_grade">#REF!</definedName>
    <definedName name="WALLAREA_TH2_V2__Unit_1___Concrete_to_Column_FF">#REF!</definedName>
    <definedName name="WALLAREA_TH2_V2__Unit_1___Concrete_to_Column_GF">#REF!</definedName>
    <definedName name="WALLAREA_TH2_V2__Unit_1___Concrete_to_Column_RF">#REF!</definedName>
    <definedName name="WALLAREA_TH2_V2__Unit_1___Concrete_to_entry_slabs">#REF!</definedName>
    <definedName name="WALLAREA_TH2_V2__Unit_1___Concrete_to_Footing">#REF!</definedName>
    <definedName name="WALLAREA_TH2_V2__Unit_1___Concrete_to_Grade_Beams">#REF!</definedName>
    <definedName name="WALLAREA_TH2_V2__Unit_1___Concrete_to_Grade_Slab">#REF!</definedName>
    <definedName name="WALLAREA_TH2_V2__Unit_1___Concrete_to_Roof">#REF!</definedName>
    <definedName name="WALLAREA_TH2_V2__Unit_1___Concrete_to_Roof_Slab_GF">#REF!</definedName>
    <definedName name="WALLAREA_TH2_V2__Unit_1___Concrete_to_ST_Beams">#REF!</definedName>
    <definedName name="WALLAREA_TH2_V2__Unit_1___Concrete_to_steps">#REF!</definedName>
    <definedName name="WALLAREA_TH2_V2__Unit_1___Concrete_to_Suspended_Slab_GF">#REF!</definedName>
    <definedName name="WALLAREA_TH2_V2__Unit_1___Concrete_to_Suspended_Slabs_FF">#REF!</definedName>
    <definedName name="WALLAREA_TH2_V2__Unit_1___Concrete_to_terrace_slabs">#REF!</definedName>
    <definedName name="WALLAREA_TH2_V2__Unit_1___Excavation_to_Footing">#REF!</definedName>
    <definedName name="WALLAREA_TH2_V2__Unit_1___Excavation_to_ST_Beams">#REF!</definedName>
    <definedName name="WALLAREA_TH2_V2__Unit_1___Formworks_to_Roof">#REF!</definedName>
    <definedName name="WALLAREA_TH2_V2__Unit_1___Formworks_to_Roof_Slab_GF">#REF!</definedName>
    <definedName name="WALLAREA_TH2_V2__Unit_1___Formworks_to_Sides_Beams_FF">#REF!</definedName>
    <definedName name="WALLAREA_TH2_V2__Unit_1___Formworks_to_Sides_of_Beams_GF">#REF!</definedName>
    <definedName name="WALLAREA_TH2_V2__Unit_1___Formworks_to_Sides_of_Column">#REF!</definedName>
    <definedName name="WALLAREA_TH2_V2__Unit_1___Formworks_to_Sides_of_Column_FF___Copy">#REF!</definedName>
    <definedName name="WALLAREA_TH2_V2__Unit_1___Formworks_to_Sides_of_Column_RF">#REF!</definedName>
    <definedName name="WALLAREA_TH2_V2__Unit_1___Formworks_to_Sides_of_Columns_GF">#REF!</definedName>
    <definedName name="WALLAREA_TH2_V2__Unit_1___Formworks_to_Sides_of_Grade_Beams">#REF!</definedName>
    <definedName name="WALLAREA_TH2_V2__Unit_1___Formworks_to_Soffit_of_Beams_FF">#REF!</definedName>
    <definedName name="WALLAREA_TH2_V2__Unit_1___Formworks_to_Soffit_of_Beams_GF">#REF!</definedName>
    <definedName name="WALLAREA_TH2_V2__Unit_1___Formworks_to_Soffit_of_Grade_Beams">#REF!</definedName>
    <definedName name="WALLAREA_TH2_V2__Unit_1___Formworks_to_Suspended_Slab__FF">#REF!</definedName>
    <definedName name="WALLAREA_TH2_V2__Unit_1___Formworks_to_Suspended_Slab_GF">#REF!</definedName>
    <definedName name="WALLAREA_TH2_V2__Unit_1___Reinforcement_to_Column_below_grade">#REF!</definedName>
    <definedName name="WALLAREA_TH2_V2__Unit_1___Reinforcement_to_Footing">#REF!</definedName>
    <definedName name="WALLAREA_TH2_V2__Unit_1___Reinforcement_to_ST_Beams">#REF!</definedName>
    <definedName name="WALLAREA_TH2_V2__Unit_2____1000g_Polystyrene_to_Footing">#REF!</definedName>
    <definedName name="WALLAREA_TH2_V2__Unit_2____200_mm_thk_Suitable_Well_Graded_Compacted_Materials_to_Footing">#REF!</definedName>
    <definedName name="WALLAREA_TH2_V2__Unit_2____50_mm_thk_PCC_to_Footing">#REF!</definedName>
    <definedName name="WALLAREA_TH2_V2__Unit_2____Excavation_to_Footing">#REF!</definedName>
    <definedName name="WALLAREA_TH2_V2__Unit_2____Soil_Compaction_to_Footing">#REF!</definedName>
    <definedName name="WALLAREA_TH2_V2__Unit_2___Compacted_Soil_95__ready_t_o_receive_pavers">#REF!</definedName>
    <definedName name="WALLAREA_TH2_V2__Unit_2___Concrete_to_Beams_FF">#REF!</definedName>
    <definedName name="WALLAREA_TH2_V2__Unit_2___Concrete_to_Beams_GF">#REF!</definedName>
    <definedName name="WALLAREA_TH2_V2__Unit_2___Concrete_to_Column_below_grade">#REF!</definedName>
    <definedName name="WALLAREA_TH2_V2__Unit_2___Concrete_to_Column_FF">#REF!</definedName>
    <definedName name="WALLAREA_TH2_V2__Unit_2___Concrete_to_Column_RF">#REF!</definedName>
    <definedName name="WALLAREA_TH2_V2__Unit_2___Concrete_to_Columns_GF">#REF!</definedName>
    <definedName name="WALLAREA_TH2_V2__Unit_2___Concrete_to_entry_slabs">#REF!</definedName>
    <definedName name="WALLAREA_TH2_V2__Unit_2___Concrete_to_Footing">#REF!</definedName>
    <definedName name="WALLAREA_TH2_V2__UNit_2___Concrete_to_Grade_Beam">#REF!</definedName>
    <definedName name="WALLAREA_TH2_V2__Unit_2___Concrete_to_Grade_Slab">#REF!</definedName>
    <definedName name="WALLAREA_TH2_V2__Unit_2___Concrete_to_Roof">#REF!</definedName>
    <definedName name="WALLAREA_TH2_V2__Unit_2___Concrete_to_Roof_Slab_GF">#REF!</definedName>
    <definedName name="WALLAREA_TH2_V2__Unit_2___Concrete_to_ST_Beams">#REF!</definedName>
    <definedName name="WALLAREA_TH2_V2__Unit_2___Concrete_to_steps">#REF!</definedName>
    <definedName name="WALLAREA_TH2_V2__Unit_2___Concrete_to_Suspended_Slab__FF">#REF!</definedName>
    <definedName name="WALLAREA_TH2_V2__Unit_2___Concrete_to_Suspended_Slab_GF">#REF!</definedName>
    <definedName name="WALLAREA_TH2_V2__Unit_2___Concrete_to_terrace_slabs">#REF!</definedName>
    <definedName name="WALLAREA_TH2_V2__Unit_2___Excavation_to_Footing">#REF!</definedName>
    <definedName name="WALLAREA_TH2_V2__Unit_2___Excavation_to_ST_Beams">#REF!</definedName>
    <definedName name="WALLAREA_TH2_V2__Unit_2___Formworks_to_Roof">#REF!</definedName>
    <definedName name="WALLAREA_TH2_V2__Unit_2___Formworks_to_Roof_Slab_GF">#REF!</definedName>
    <definedName name="WALLAREA_TH2_V2__Unit_2___Formworks_to_Sides_of_Beams_FF">#REF!</definedName>
    <definedName name="WALLAREA_TH2_V2__Unit_2___Formworks_to_Sides_of_Beams_GF">#REF!</definedName>
    <definedName name="WALLAREA_TH2_V2__Unit_2___Formworks_to_Sides_of_Column">#REF!</definedName>
    <definedName name="WALLAREA_TH2_V2__Unit_2___Formworks_to_Sides_of_Column_FF___Copy">#REF!</definedName>
    <definedName name="WALLAREA_TH2_V2__Unit_2___Formworks_to_Sides_of_Column_RF">#REF!</definedName>
    <definedName name="WALLAREA_TH2_V2__Unit_2___Formworks_to_Sides_of_Columns_GF">#REF!</definedName>
    <definedName name="WALLAREA_TH2_V2__UNit_2___Formworks_to_Sides_of_Grade_Beam">#REF!</definedName>
    <definedName name="WALLAREA_TH2_V2__Unit_2___Formworks_to_Soffit_of_Beam_FF">#REF!</definedName>
    <definedName name="WALLAREA_TH2_V2__Unit_2___Formworks_to_Soffit_of_Beams_GF">#REF!</definedName>
    <definedName name="WALLAREA_TH2_V2__UNit_2___Formworks_to_Soffit_of_Grade_Beam">#REF!</definedName>
    <definedName name="WALLAREA_TH2_V2__Unit_2___Formworks_to_Suspended_Slab_FF">#REF!</definedName>
    <definedName name="WALLAREA_TH2_V2__Unit_2___Formworks_to_Suspended_Slab_GF">#REF!</definedName>
    <definedName name="WALLAREA_TH2_V2__Unit_2___Reinforcement_to_Column_below_grade">#REF!</definedName>
    <definedName name="WALLAREA_TH2_V2__Unit_2___Reinforcement_to_Footing">#REF!</definedName>
    <definedName name="WALLAREA_TH2_V2__Unit_2__Reinforcement_to_ST_Beams">#REF!</definedName>
    <definedName name="WALLAREA_TH2_V2__units_1___Blockworks_100mm_thick">#REF!</definedName>
    <definedName name="WALLAREA_TH2_V2__units_1___Blockworks_BW_1">#REF!</definedName>
    <definedName name="WALLAREA_TH2_V2__units_1___Blockworks_BW_2">#REF!</definedName>
    <definedName name="WALLAREA_TH2_V2__units_1___Blockworks_BW_3">#REF!</definedName>
    <definedName name="WALLAREA_TH2_V2__units_1___Blockworks_BW_3_External">#REF!</definedName>
    <definedName name="WALLAREA_TH2_V2__units_1___Blockworks_BW_4">#REF!</definedName>
    <definedName name="WALLAREA_TH2_V2__units_1___Ceiling_Finishes__390mm_high_BH">#REF!</definedName>
    <definedName name="WALLAREA_TH2_V2__units_1___Ceiling_Finishes__450mm_high_BH">#REF!</definedName>
    <definedName name="WALLAREA_TH2_V2__units_1___Ceiling_Finishes__460mm_high_BH">#REF!</definedName>
    <definedName name="WALLAREA_TH2_V2__units_1___Ceiling_Finishes__490mm_high_BH">#REF!</definedName>
    <definedName name="WALLAREA_TH2_V2__units_1___Ceiling_Finishes__560mm_high_BH">#REF!</definedName>
    <definedName name="WALLAREA_TH2_V2__units_1___Ceiling_Finishes_Plaster_w__Paint__Moisture_">#REF!</definedName>
    <definedName name="WALLAREA_TH2_V2__units_1___Ceiling_Finishes_Plaster_w__Paint_PF01">#REF!</definedName>
    <definedName name="WALLAREA_TH2_V2__units_1___Ceiling_Finishes_Plasterboard_w__Paint_PF01">#REF!</definedName>
    <definedName name="WALLAREA_TH2_V2__units_1___Ceiling_Finishes_Plasterboard_w__Paint_PF02">#REF!</definedName>
    <definedName name="WALLAREA_TH2_V2__units_1___Floor_Finishes_Ceramic_Tiles">#REF!</definedName>
    <definedName name="WALLAREA_TH2_V2__units_1___Floor_Finishes_FF01">#REF!</definedName>
    <definedName name="WALLAREA_TH2_V2__units_1___Floor_Finishes_FF03">#REF!</definedName>
    <definedName name="WALLAREA_TH2_V2__units_1___Floor_Finishes_Interlock">#REF!</definedName>
    <definedName name="WALLAREA_TH2_V2__units_1___Floor_Finishes_Pavers">#REF!</definedName>
    <definedName name="WALLAREA_TH2_V2__units_1___Floor_Finishes_Pavers_Kerbs">#REF!</definedName>
    <definedName name="WALLAREA_TH2_V2__units_1___Floor_Finishes_Screed_only">#REF!</definedName>
    <definedName name="WALLAREA_TH2_V2__units_1___Handrail__1100mm_high">#REF!</definedName>
    <definedName name="WALLAREA_TH2_V2__units_1___Roof_Finishes_Precast_Concrete">#REF!</definedName>
    <definedName name="WALLAREA_TH2_V2__units_1___Roof_Finishes_Waterproofing_w__Paint">#REF!</definedName>
    <definedName name="WALLAREA_TH2_V2__units_1___Skirting_External">#REF!</definedName>
    <definedName name="WALLAREA_TH2_V2__units_1___Skirting_FF01">#REF!</definedName>
    <definedName name="WALLAREA_TH2_V2__units_1___Staircase_Finishes_FF05">#REF!</definedName>
    <definedName name="WALLAREA_TH2_V2__units_1___Type_AL_01__1000_x_2100mm_high">#REF!</definedName>
    <definedName name="WALLAREA_TH2_V2__units_1___Type_AL_02__600_x_1350mm_high">#REF!</definedName>
    <definedName name="WALLAREA_TH2_V2__units_1___Type_AL_03__350_x_1350mm_high">#REF!</definedName>
    <definedName name="WALLAREA_TH2_V2__units_1___Type_AL_04__800_x_1350mm_high">#REF!</definedName>
    <definedName name="WALLAREA_TH2_V2__units_1___Type_D_01__1100_x_2400mm_high">#REF!</definedName>
    <definedName name="WALLAREA_TH2_V2__units_1___Type_D_02__900_x_2200mm_high">#REF!</definedName>
    <definedName name="WALLAREA_TH2_V2__units_1___Type_D_03__850_x_2200mm_high">#REF!</definedName>
    <definedName name="WALLAREA_TH2_V2__units_1___Type_D_03__850_x_2200mm_high_Internal">#REF!</definedName>
    <definedName name="WALLAREA_TH2_V2__units_1___Type_D_04__900_x_2200mm_high">#REF!</definedName>
    <definedName name="WALLAREA_TH2_V2__units_1___Type_GL_01__750_x_1250mm_high">#REF!</definedName>
    <definedName name="WALLAREA_TH2_V2__units_1___Type_GL_02__600_x_1250mm_high">#REF!</definedName>
    <definedName name="WALLAREA_TH2_V2__units_1___Type_GL_03__2225_x_3750mm_high__corner">#REF!</definedName>
    <definedName name="WALLAREA_TH2_V2__units_1___Type_GL_04__2200_x_2700mm_high">#REF!</definedName>
    <definedName name="WALLAREA_TH2_V2__units_1___Type_GL_05__2700_x_2550mm_high__corner">#REF!</definedName>
    <definedName name="WALLAREA_TH2_V2__units_1___Type_GL_06__1400_x_1250mm_high">#REF!</definedName>
    <definedName name="WALLAREA_TH2_V2__units_1___Type_GL_16__2400_x_2400mm_high__corner">#REF!</definedName>
    <definedName name="WALLAREA_TH2_V2__units_1___Type_GL_17__750_x_2550mm_high">#REF!</definedName>
    <definedName name="WALLAREA_TH2_V2__units_1___Type_GL_18__750_x_2100mm_high">#REF!</definedName>
    <definedName name="WALLAREA_TH2_V2__units_1___Type_GL_19__700_x_1250mm_high">#REF!</definedName>
    <definedName name="WALLAREA_TH2_V2__units_1___Type_GL_20__2850_x_2400mm_high">#REF!</definedName>
    <definedName name="WALLAREA_TH2_V2__units_1___Type_GL_21__1400_x_2400mm_high">#REF!</definedName>
    <definedName name="WALLAREA_TH2_V2__units_1___Type_GL_22__900_x_2200mm_high">#REF!</definedName>
    <definedName name="WALLAREA_TH2_V2__units_1___Type_GL_23__1900_x_2700mm_high">#REF!</definedName>
    <definedName name="WALLAREA_TH2_V2__units_1___Wall_Finishes_PF03">#REF!</definedName>
    <definedName name="WALLAREA_TH2_V2__units_1___Wall_Finishes_PF04">#REF!</definedName>
    <definedName name="WALLAREA_TH2_V2__units_1___Wall_Finishes_Plaster_w__paint">#REF!</definedName>
    <definedName name="WALLAREA_TH2_V2__units_1___Wall_Finishes_Plaster_w__paint__dark_">#REF!</definedName>
    <definedName name="WALLAREA_TH2_V2__units_1___Wall_Finishes_SS">#REF!</definedName>
    <definedName name="WALLAREA_TH2_V2__units_1___Wall_Finishes_WF01">#REF!</definedName>
    <definedName name="WALLAREA_TH2_V2__units_1___Wall_Finishes_WF02" localSheetId="1">#REF!</definedName>
    <definedName name="WALLAREA_TH2_V2__units_1___Wall_Finishes_WF02">#REF!</definedName>
    <definedName name="WALLAREA_TH2_V2__units_1___Wall_Finishes_WF03">#REF!</definedName>
    <definedName name="WALLAREA_TH2_V2__units_1___Wall_Finishes_WF04" localSheetId="1">#REF!</definedName>
    <definedName name="WALLAREA_TH2_V2__units_1___Wall_Finishes_WF04">#REF!</definedName>
    <definedName name="WALLAREA_TH2_V2__units_1___Wall_Finishes_WF05">#REF!</definedName>
    <definedName name="WALLAREA_TH2_V2__units_1___Wall_Finishes_WF06" localSheetId="1">#REF!</definedName>
    <definedName name="WALLAREA_TH2_V2__units_1___Wall_Finishes_WF06">#REF!</definedName>
    <definedName name="WALLAREA_TH2_V2__units_1___Wall_Finishes_WF07">#REF!</definedName>
    <definedName name="WALLAREA_TH2_V2__units_1___Wall_Finishes_WF08" localSheetId="1">#REF!</definedName>
    <definedName name="WALLAREA_TH2_V2__units_1___Wall_Finishes_WF08">#REF!</definedName>
    <definedName name="WALLAREA_TH2_V2__units_1___Wall_Insulation">#REF!</definedName>
    <definedName name="WALLAREA_TH2_V2__units_1___Waterproofing_to_walls">#REF!</definedName>
    <definedName name="WALLAREA_TH2_V2__units_1___Waterproofing_to_wet_areas">#REF!</definedName>
    <definedName name="WALLAREA_Trees___Around_Perimeter">#REF!</definedName>
    <definedName name="WALLAREA_Trees___Inside_Plot">#REF!</definedName>
    <definedName name="WALLAREA_TYPICAL__ADDL_SLAB">#REF!</definedName>
    <definedName name="WALLAREA_TYPICAL__HEB_100">#REF!</definedName>
    <definedName name="WALLAREA_TYPICAL__HEB_160">#REF!</definedName>
    <definedName name="WALLAREA_TYPICAL__L_150x150x15">#REF!</definedName>
    <definedName name="WALLAREA_TYPICAL__MEP_FLOOR">#REF!</definedName>
    <definedName name="WALLAREA_Unallocated_Rooms">#REF!</definedName>
    <definedName name="WALLAREA_uPVC_Sewage_Pipe_1F">#REF!</definedName>
    <definedName name="WALLAREA_uPVC_Sewage_Pipe_GF">#REF!</definedName>
    <definedName name="WALLAREA_uPVC_Waste_Pipe_1F">#REF!</definedName>
    <definedName name="WALLAREA_uPVC_Waste_Pipe_1F_collection">#REF!</definedName>
    <definedName name="WALLAREA_uPVC_Waste_Pipe_GF">#REF!</definedName>
    <definedName name="WALLAREA_uPVC_Waste_Pipe_GF_Collection">#REF!</definedName>
    <definedName name="WALLAREA_Water_Feature">#REF!</definedName>
    <definedName name="WALLAREA_Water_Hammer_Arrestor">#REF!</definedName>
    <definedName name="WALLAREA_Water_jets">#REF!</definedName>
    <definedName name="Wallfinishes">#REF!</definedName>
    <definedName name="WALLFINISHESArea">#REF!</definedName>
    <definedName name="WALLFINISHESPerimeter">#REF!</definedName>
    <definedName name="WALLPAPER">#REF!</definedName>
    <definedName name="wallpapr">#REF!</definedName>
    <definedName name="walls" localSheetId="1">#REF!</definedName>
    <definedName name="walls">#REF!</definedName>
    <definedName name="walltile_des" localSheetId="1">#REF!</definedName>
    <definedName name="walltile_des">#REF!</definedName>
    <definedName name="walltile1" localSheetId="1">#REF!</definedName>
    <definedName name="walltile1">#REF!</definedName>
    <definedName name="walltile2" localSheetId="1">#REF!</definedName>
    <definedName name="walltile2">#REF!</definedName>
    <definedName name="walltile3">#REF!</definedName>
    <definedName name="WALLTITLE" localSheetId="1">#REF!,#REF!,#REF!,#REF!,#REF!,#REF!,#REF!,#REF!,#REF!,#REF!</definedName>
    <definedName name="WALLTITLE">#REF!,#REF!,#REF!,#REF!,#REF!,#REF!,#REF!,#REF!,#REF!,#REF!</definedName>
    <definedName name="War" localSheetId="1">#REF!</definedName>
    <definedName name="War">#REF!</definedName>
    <definedName name="warergtrjyiu" localSheetId="1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rergtrjyiu_1" localSheetId="1" hidden="1">{#N/A,#N/A,TRUE,"Cover";#N/A,#N/A,TRUE,"Conts";#N/A,#N/A,TRUE,"VOS";#N/A,#N/A,TRUE,"Warrington";#N/A,#N/A,TRUE,"Widnes"}</definedName>
    <definedName name="warergtrjyiu_1" hidden="1">{#N/A,#N/A,TRUE,"Cover";#N/A,#N/A,TRUE,"Conts";#N/A,#N/A,TRUE,"VOS";#N/A,#N/A,TRUE,"Warrington";#N/A,#N/A,TRUE,"Widnes"}</definedName>
    <definedName name="Was">#REF!</definedName>
    <definedName name="Wash___Dry">#REF!</definedName>
    <definedName name="Washing_Machine_T1">#REF!</definedName>
    <definedName name="wasim" localSheetId="1">#REF!</definedName>
    <definedName name="wasim">#REF!</definedName>
    <definedName name="WASTE_FACTOR">#REF!</definedName>
    <definedName name="WATCON">#REF!</definedName>
    <definedName name="WATER">#REF!</definedName>
    <definedName name="WATER__INSTALLATIONS">#REF!</definedName>
    <definedName name="WATER_ANAL_SYS">#REF!</definedName>
    <definedName name="WATER_CHARGES">#REF!</definedName>
    <definedName name="water_funds" localSheetId="1" hidden="1">{"'Sheet1'!$A$4386:$N$4591"}</definedName>
    <definedName name="water_funds" hidden="1">{"'Sheet1'!$A$4386:$N$4591"}</definedName>
    <definedName name="Water_Installations">#REF!</definedName>
    <definedName name="Water_Proofing">#REF!</definedName>
    <definedName name="Water_Supply">#REF!</definedName>
    <definedName name="WaterandPower">1.5/100</definedName>
    <definedName name="waterprf1">#REF!</definedName>
    <definedName name="Waterstops_Compartmantalization" localSheetId="1">#REF!</definedName>
    <definedName name="Waterstops_Compartmantalization">#REF!</definedName>
    <definedName name="WATINS">#REF!</definedName>
    <definedName name="Waves_Contracting">#REF!</definedName>
    <definedName name="wawst" localSheetId="1" hidden="1">{#N/A,#N/A,TRUE,"Cover";#N/A,#N/A,TRUE,"Conts";#N/A,#N/A,TRUE,"VOS";#N/A,#N/A,TRUE,"Warrington";#N/A,#N/A,TRUE,"Widnes"}</definedName>
    <definedName name="wawst" hidden="1">{#N/A,#N/A,TRUE,"Cover";#N/A,#N/A,TRUE,"Conts";#N/A,#N/A,TRUE,"VOS";#N/A,#N/A,TRUE,"Warrington";#N/A,#N/A,TRUE,"Widnes"}</definedName>
    <definedName name="wawst_1" localSheetId="1" hidden="1">{#N/A,#N/A,TRUE,"Cover";#N/A,#N/A,TRUE,"Conts";#N/A,#N/A,TRUE,"VOS";#N/A,#N/A,TRUE,"Warrington";#N/A,#N/A,TRUE,"Widnes"}</definedName>
    <definedName name="wawst_1" hidden="1">{#N/A,#N/A,TRUE,"Cover";#N/A,#N/A,TRUE,"Conts";#N/A,#N/A,TRUE,"VOS";#N/A,#N/A,TRUE,"Warrington";#N/A,#N/A,TRUE,"Widnes"}</definedName>
    <definedName name="WaySigns">#N/A</definedName>
    <definedName name="WBS_niveau_1">#REF!</definedName>
    <definedName name="WBS_niveau_2" localSheetId="1">#REF!</definedName>
    <definedName name="WBS_niveau_2">#REF!</definedName>
    <definedName name="WbsNiv1" localSheetId="1">#REF!</definedName>
    <definedName name="WbsNiv1">#REF!</definedName>
    <definedName name="WbsNiv2">#REF!</definedName>
    <definedName name="WbsNiv3">#REF!</definedName>
    <definedName name="WbsNiv4">#REF!</definedName>
    <definedName name="WbsNiv5">#REF!</definedName>
    <definedName name="WbsNiv6">#REF!</definedName>
    <definedName name="WbsNiv7">#REF!</definedName>
    <definedName name="WbsNiv8">#REF!</definedName>
    <definedName name="WbsNiv9">#REF!</definedName>
    <definedName name="WC">#REF!</definedName>
    <definedName name="WCAP">#REF!</definedName>
    <definedName name="WD" localSheetId="1">#REF!</definedName>
    <definedName name="WD">#REF!</definedName>
    <definedName name="WD_Foamglas" localSheetId="1">#REF!</definedName>
    <definedName name="WD_Foamglas">#REF!</definedName>
    <definedName name="wdcqw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dc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def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wdef">IF(ISNA(MATCH(ROW(),RowAfterpgbrk,1)),1,MATCH(ROW(),RowAfterpgbrk,1)+1)&lt;&gt;IF(ISNA(MATCH(ROW()-1,RowAfterpgbrk,1)),1,MATCH(ROW()-1,RowAfterpgbrk,1)+1)</definedName>
    <definedName name="WDMH" localSheetId="1">#REF!</definedName>
    <definedName name="WDMH">#REF!</definedName>
    <definedName name="wdssubcon" localSheetId="1">#REF!</definedName>
    <definedName name="wdssubcon">#REF!</definedName>
    <definedName name="wdw">#REF!</definedName>
    <definedName name="WDWD">#N/A</definedName>
    <definedName name="wdwtj" localSheetId="1" hidden="1">{#N/A,#N/A,FALSE,"Calculator"}</definedName>
    <definedName name="wdwtj" hidden="1">{#N/A,#N/A,FALSE,"Calculator"}</definedName>
    <definedName name="we" localSheetId="1">{"'Break down'!$A$4"}</definedName>
    <definedName name="we">{"'Break down'!$A$4"}</definedName>
    <definedName name="we_1" localSheetId="1">{"'Break down'!$A$4"}</definedName>
    <definedName name="we_1">{"'Break down'!$A$4"}</definedName>
    <definedName name="WearingCourse">#REF!</definedName>
    <definedName name="WEB">#REF!</definedName>
    <definedName name="webpoint">#REF!</definedName>
    <definedName name="Wechsel">#REF!</definedName>
    <definedName name="Wechsl_KSP">#REF!</definedName>
    <definedName name="weedeew">#REF!</definedName>
    <definedName name="weefwe" localSheetId="1" hidden="1">{#N/A,#N/A,TRUE,"Cover";#N/A,#N/A,TRUE,"Conts";#N/A,#N/A,TRUE,"VOS";#N/A,#N/A,TRUE,"Warrington";#N/A,#N/A,TRUE,"Widnes"}</definedName>
    <definedName name="weefwe" hidden="1">{#N/A,#N/A,TRUE,"Cover";#N/A,#N/A,TRUE,"Conts";#N/A,#N/A,TRUE,"VOS";#N/A,#N/A,TRUE,"Warrington";#N/A,#N/A,TRUE,"Widnes"}</definedName>
    <definedName name="weeklyrates">#REF!</definedName>
    <definedName name="weekrates" localSheetId="1">#REF!</definedName>
    <definedName name="weekrates">#REF!</definedName>
    <definedName name="weekrates1" localSheetId="1">#REF!</definedName>
    <definedName name="weekrates1">#REF!</definedName>
    <definedName name="weekrates2">#REF!</definedName>
    <definedName name="weeks">#REF!</definedName>
    <definedName name="WEEKUPD">#REF!</definedName>
    <definedName name="weewer" localSheetId="1" hidden="1">{#N/A,#N/A,FALSE,"MARCH"}</definedName>
    <definedName name="weewer" hidden="1">{#N/A,#N/A,FALSE,"MARCH"}</definedName>
    <definedName name="we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fq" localSheetId="1">"Page "&amp;IF(ISNA(MATCH(ROW(),[1]!COUNT_TH2_V2__units_1___Type_D_04__900_x_2200mm_high,1)),1,MATCH(ROW(),[1]!COUNT_TH2_V2__units_1___Type_D_04__900_x_2200mm_high,1)+1)&amp;" of " &amp; [1]!CUSTOM1_Shops__GF_ + 0*NOW()</definedName>
    <definedName name="wefq">"Page "&amp;IF(ISNA(MATCH(ROW(),RowAfterpgbrk,1)),1,MATCH(ROW(),RowAfterpgbrk,1)+1)&amp;" of " &amp; TotPageCount + 0*NOW()</definedName>
    <definedName name="wefwe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fw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gWE" localSheetId="1" hidden="1">{#N/A,#N/A,TRUE,"Cover";#N/A,#N/A,TRUE,"Conts";#N/A,#N/A,TRUE,"VOS";#N/A,#N/A,TRUE,"Warrington";#N/A,#N/A,TRUE,"Widnes"}</definedName>
    <definedName name="wegWE" hidden="1">{#N/A,#N/A,TRUE,"Cover";#N/A,#N/A,TRUE,"Conts";#N/A,#N/A,TRUE,"VOS";#N/A,#N/A,TRUE,"Warrington";#N/A,#N/A,TRUE,"Widnes"}</definedName>
    <definedName name="wegWE_1" localSheetId="1" hidden="1">{#N/A,#N/A,TRUE,"Cover";#N/A,#N/A,TRUE,"Conts";#N/A,#N/A,TRUE,"VOS";#N/A,#N/A,TRUE,"Warrington";#N/A,#N/A,TRUE,"Widnes"}</definedName>
    <definedName name="wegWE_1" hidden="1">{#N/A,#N/A,TRUE,"Cover";#N/A,#N/A,TRUE,"Conts";#N/A,#N/A,TRUE,"VOS";#N/A,#N/A,TRUE,"Warrington";#N/A,#N/A,TRUE,"Widnes"}</definedName>
    <definedName name="wegywegt" localSheetId="1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gywegt_1" localSheetId="1" hidden="1">{#N/A,#N/A,TRUE,"Cover";#N/A,#N/A,TRUE,"Conts";#N/A,#N/A,TRUE,"VOS";#N/A,#N/A,TRUE,"Warrington";#N/A,#N/A,TRUE,"Widnes"}</definedName>
    <definedName name="wegywegt_1" hidden="1">{#N/A,#N/A,TRUE,"Cover";#N/A,#N/A,TRUE,"Conts";#N/A,#N/A,TRUE,"VOS";#N/A,#N/A,TRUE,"Warrington";#N/A,#N/A,TRUE,"Widnes"}</definedName>
    <definedName name="WEIGHT" localSheetId="1">#REF!</definedName>
    <definedName name="WEIGHT">#REF!</definedName>
    <definedName name="WEIGHT__C1A__Standard_Guestroom">#REF!</definedName>
    <definedName name="WEIGHT__C1C__Junior_Suites">#REF!</definedName>
    <definedName name="WEIGHT__C1D__One_Bedroom_Suites">#REF!</definedName>
    <definedName name="WEIGHT__C1E__Two_bedroom_Suites">#REF!</definedName>
    <definedName name="WEIGHT__C1F1__Public_Circulation_Areas">#REF!</definedName>
    <definedName name="WEIGHT__C1G4__Shafts">#REF!</definedName>
    <definedName name="WEIGHT__C1G6__Fire_Escape_Stairs">#REF!</definedName>
    <definedName name="WEIGHT__C1H1__Standard_Guestrooms">#REF!</definedName>
    <definedName name="WEIGHT__C1H3__Junior_Suites">#REF!</definedName>
    <definedName name="WEIGHT__C1H4__One_Bedroom_Suites">#REF!</definedName>
    <definedName name="WEIGHT__C1H5__Two_Bedroom_Suites">#REF!</definedName>
    <definedName name="WEIGHT__C1H6__One_Bedroom_Suites_Type_2">#REF!</definedName>
    <definedName name="WEIGHT__C1I__General_Works_Guestrooms">#REF!</definedName>
    <definedName name="WEIGHT__C1J__One_Bedroom_Suites_Type_2">#REF!</definedName>
    <definedName name="WEIGHT__C2A2__Arrival_and_Reception_Lobby">#REF!</definedName>
    <definedName name="WEIGHT__C2A3__Front_Offices___Concierge">#REF!</definedName>
    <definedName name="WEIGHT__C2A4__Luggage_Scanner">#REF!</definedName>
    <definedName name="WEIGHT__C2A5__Hotel_Retail">#REF!</definedName>
    <definedName name="WEIGHT__C2A6__Prayer_Rooms">#REF!</definedName>
    <definedName name="WEIGHT__C2A7__Kids_Club">#REF!</definedName>
    <definedName name="WEIGHT__C2A8__Public_Toilets">#REF!</definedName>
    <definedName name="WEIGHT__C2A9__Changing_Rooms">#REF!</definedName>
    <definedName name="WEIGHT__C2C1__Hotel_Restaurant">#REF!</definedName>
    <definedName name="WEIGHT__C2C2__Lobby_Lounge">#REF!</definedName>
    <definedName name="WEIGHT__C2C3__Lobby_Bar">#REF!</definedName>
    <definedName name="WEIGHT__C2C4__Lobby_Bar___Covered_Terrace">#REF!</definedName>
    <definedName name="WEIGHT__C2C5__Speciality_Restaurant__1">#REF!</definedName>
    <definedName name="WEIGHT__C2C6__Speciality_Restaurant__2">#REF!</definedName>
    <definedName name="WEIGHT__C2C7__Speciality_Restaurant__2___Covered_Terrace">#REF!</definedName>
    <definedName name="WEIGHT__C2C8__Pool_Bar___Grill">#REF!</definedName>
    <definedName name="WEIGHT__C2D2__Gymnasium">#REF!</definedName>
    <definedName name="WEIGHT__C2G1__Circulation">#REF!</definedName>
    <definedName name="WEIGHT__C2G2__Outdoor_Lobby">#REF!</definedName>
    <definedName name="WEIGHT__C3A1__Front_Offices">#REF!</definedName>
    <definedName name="WEIGHT__C3A2__Administration_Offices">#REF!</definedName>
    <definedName name="WEIGHT__C3A3__Accounting_Offices">#REF!</definedName>
    <definedName name="WEIGHT__C3A4__Human_Resources_and_Training">#REF!</definedName>
    <definedName name="WEIGHT__C3B__IT_Department">#REF!</definedName>
    <definedName name="WEIGHT__C3C1__Kitchen___Main_Kitchen">#REF!</definedName>
    <definedName name="WEIGHT__C3C2__Kitchen___Speciality_Restaurant__1">#REF!</definedName>
    <definedName name="WEIGHT__C3C3__Kitchen___Speciality_Restaurant__2">#REF!</definedName>
    <definedName name="WEIGHT__C3C5__Pantry___Lobby_Bar">#REF!</definedName>
    <definedName name="WEIGHT__C3D__Housekeeping_and_Linen">#REF!</definedName>
    <definedName name="WEIGHT__C3E__Central_Laundry___Dry_Cleaning___Valet_Only">#REF!</definedName>
    <definedName name="WEIGHT__C3F5__Dining_Room_Seating">#REF!</definedName>
    <definedName name="WEIGHT__C3F8__Staff_Changing_Rooms">#REF!</definedName>
    <definedName name="WEIGHT__C3F9__Staff_Prayer_Rooms">#REF!</definedName>
    <definedName name="WEIGHT__C3G__Maintenance_and_Engineering">#REF!</definedName>
    <definedName name="WEIGHT__C3H1__Plant_and_Equipment_Rooms">#REF!</definedName>
    <definedName name="WEIGHT__C3H2__MEP_Shafts">#REF!</definedName>
    <definedName name="WEIGHT__C3J__Security">#REF!</definedName>
    <definedName name="WEIGHT__C3K__Purchasing__Goods_Receiving_and_Storage">#REF!</definedName>
    <definedName name="WEIGHT__C3L__BOH_Circulation_Areas">#REF!</definedName>
    <definedName name="WEIGHT__C4B__General_Works_Parking">#REF!</definedName>
    <definedName name="WEIGHT__C5__Unallocated_Rooms">#REF!</definedName>
    <definedName name="WEIGHT__G1__Conference_Centre">#REF!</definedName>
    <definedName name="WEIGHT__G1A__Conference_Hall">#REF!</definedName>
    <definedName name="WEIGHT__G1B__Reception">#REF!</definedName>
    <definedName name="WEIGHT__G1C__Meeting_Rooms">#REF!</definedName>
    <definedName name="WEIGHT__G2__Pre_function">#REF!</definedName>
    <definedName name="WEIGHT__G3__Toilets">#REF!</definedName>
    <definedName name="WEIGHT__G4__FOH_Circulation">#REF!</definedName>
    <definedName name="WEIGHT__G5__BOH_Circulation">#REF!</definedName>
    <definedName name="WEIGHT__G6__Fire_Escape_Stairs">#REF!</definedName>
    <definedName name="WEIGHT__G7__Plant_and_Equipment_Rooms">#REF!</definedName>
    <definedName name="WEIGHT__G8__Storage">#REF!</definedName>
    <definedName name="WEIGHT__G9__Kitchen_and_Service_Area">#REF!</definedName>
    <definedName name="WEIGHT_1_bed_Balcony_area">#REF!</definedName>
    <definedName name="WEIGHT_1_bed_bath_screen">#REF!</definedName>
    <definedName name="WEIGHT_1_bed_bath_shelf">#REF!</definedName>
    <definedName name="WEIGHT_1_bed_Bath_tub">#REF!</definedName>
    <definedName name="WEIGHT_1_bed_Bath_tub_mixer">#REF!</definedName>
    <definedName name="WEIGHT_1_bed_Bathroom_area">#REF!</definedName>
    <definedName name="WEIGHT_1_bed_Bedroom_area">#REF!</definedName>
    <definedName name="WEIGHT_1_bed_Cistern_cover">#REF!</definedName>
    <definedName name="WEIGHT_1_bed_Cooker_hob">#REF!</definedName>
    <definedName name="WEIGHT_1_bed_Fridge_freezer">#REF!</definedName>
    <definedName name="WEIGHT_1_bed_Kitchen_sink">#REF!</definedName>
    <definedName name="WEIGHT_1_bed_Kitchen_sink_mixer">#REF!</definedName>
    <definedName name="WEIGHT_1_bed_kitchen_units">#REF!</definedName>
    <definedName name="WEIGHT_1_bed_living_area">#REF!</definedName>
    <definedName name="WEIGHT_1_bed_mirror">#REF!</definedName>
    <definedName name="WEIGHT_1_bed_NIA">#REF!</definedName>
    <definedName name="WEIGHT_1_bed_Oven">#REF!</definedName>
    <definedName name="WEIGHT_1_bed_shower_mixer">#REF!</definedName>
    <definedName name="WEIGHT_1_bed_vanitys">#REF!</definedName>
    <definedName name="WEIGHT_1_bed_Wardrobes">#REF!</definedName>
    <definedName name="WEIGHT_1_bed_Wash_basin">#REF!</definedName>
    <definedName name="WEIGHT_1_bed_Wash_basin_mixer">#REF!</definedName>
    <definedName name="WEIGHT_1_bed_Washing_machine">#REF!</definedName>
    <definedName name="WEIGHT_1_bed_WC">#REF!</definedName>
    <definedName name="WEIGHT_110_mm_dia._RWP">#REF!</definedName>
    <definedName name="WEIGHT_110mm_dia_RWP">#REF!</definedName>
    <definedName name="WEIGHT_110mm_dia._opening_for_rain_water">#REF!</definedName>
    <definedName name="WEIGHT_110mm_dia._Rainwater_pipe">#REF!</definedName>
    <definedName name="WEIGHT_15mm_dia_Copper_pipe">#REF!</definedName>
    <definedName name="WEIGHT_15mm_dia._CWS_Buried_Underground">#REF!</definedName>
    <definedName name="WEIGHT_1F__25mm_dia._BCWS_Pipe">#REF!</definedName>
    <definedName name="WEIGHT_1F__25mm_dia._HWS_Pipe">#REF!</definedName>
    <definedName name="WEIGHT_1F__Isolation_valve">#REF!</definedName>
    <definedName name="WEIGHT_1F__Water_Hammer_Arrestor">#REF!</definedName>
    <definedName name="WEIGHT_1F_BOH_Service_and_Utility_area">#REF!</definedName>
    <definedName name="WEIGHT_1F_BOH_Staircase">#REF!</definedName>
    <definedName name="WEIGHT_1F_Guest_Core">#REF!</definedName>
    <definedName name="WEIGHT_1F_Guestrooms">#REF!</definedName>
    <definedName name="WEIGHT_1F_HGR_BOH">#REF!</definedName>
    <definedName name="WEIGHT_1F_HGR_Circulation">#REF!</definedName>
    <definedName name="WEIGHT_1F_HGR_Covered_Balcony">#REF!</definedName>
    <definedName name="WEIGHT_1F_HGR_Fire_Staircase">#REF!</definedName>
    <definedName name="WEIGHT_1F_HGR_Open_Terrace">#REF!</definedName>
    <definedName name="WEIGHT_1F_Lift_Shaft">#REF!</definedName>
    <definedName name="WEIGHT_1F_Roof_Terrace">#REF!</definedName>
    <definedName name="WEIGHT_1F_Services_Core">#REF!</definedName>
    <definedName name="WEIGHT_1F_Void___Dead_space">#REF!</definedName>
    <definedName name="WEIGHT_1st_Floor">#REF!</definedName>
    <definedName name="WEIGHT_1st_Floor___BOH___FIre_Escape_Stairs">#REF!</definedName>
    <definedName name="WEIGHT_1st_Floor___BOH___Guest_Core">#REF!</definedName>
    <definedName name="WEIGHT_1st_Floor___BOH___Guest_Core_lifts">#REF!</definedName>
    <definedName name="WEIGHT_1st_Floor___BOH___Service_Core">#REF!</definedName>
    <definedName name="WEIGHT_1st_Floor___BOH___Service_Core_ducts">#REF!</definedName>
    <definedName name="WEIGHT_1st_Floor___BOH___Service_Core_lift_shafts">#REF!</definedName>
    <definedName name="WEIGHT_1st_Floor___FOH___Guest_Circulation">#REF!</definedName>
    <definedName name="WEIGHT_1st_Floor___FOH___Guestroom_Terrace">#REF!</definedName>
    <definedName name="WEIGHT_1st_Floor___FOH___Guestrooms">#REF!</definedName>
    <definedName name="WEIGHT_1st_Floor___Guest_Core_ducts">#REF!</definedName>
    <definedName name="WEIGHT_2_bed_2nd_bathroom_area" localSheetId="1">#REF!</definedName>
    <definedName name="WEIGHT_2_bed_2nd_bathroom_area">#REF!</definedName>
    <definedName name="WEIGHT_2_bed_2nd_bedroom_area">#REF!</definedName>
    <definedName name="WEIGHT_2_bed_4_burner_hob">#REF!</definedName>
    <definedName name="WEIGHT_2_bed_Balcony_area">#REF!</definedName>
    <definedName name="WEIGHT_2_bed_bath_screen">#REF!</definedName>
    <definedName name="WEIGHT_2_bed_bath_tub">#REF!</definedName>
    <definedName name="WEIGHT_2_bed_bath_tub_mixer">#REF!</definedName>
    <definedName name="WEIGHT_2_bed_bidet">#REF!</definedName>
    <definedName name="WEIGHT_2_bed_cistern_cover">#REF!</definedName>
    <definedName name="WEIGHT_2_bed_fridge_freezer">#REF!</definedName>
    <definedName name="WEIGHT_2_bed_kitchen_sink">#REF!</definedName>
    <definedName name="WEIGHT_2_bed_kitchen_sink_mixer">#REF!</definedName>
    <definedName name="WEIGHT_2_bed_Kitchen_units">#REF!</definedName>
    <definedName name="WEIGHT_2_bed_living_area">#REF!</definedName>
    <definedName name="WEIGHT_2_bed_Master_bathroom_area">#REF!</definedName>
    <definedName name="WEIGHT_2_bed_Master_bedroom_area">#REF!</definedName>
    <definedName name="WEIGHT_2_bed_mirror">#REF!</definedName>
    <definedName name="WEIGHT_2_bed_NIA">#REF!</definedName>
    <definedName name="WEIGHT_2_bed_shower_mixer_set">#REF!</definedName>
    <definedName name="WEIGHT_2_bed_shower_partition_inc_door">#REF!</definedName>
    <definedName name="WEIGHT_2_bed_vanity_unit">#REF!</definedName>
    <definedName name="WEIGHT_2_bed_wardrobes">#REF!</definedName>
    <definedName name="WEIGHT_2_bed_wash_basin">#REF!</definedName>
    <definedName name="WEIGHT_2_bed_wash_basin_mixer">#REF!</definedName>
    <definedName name="WEIGHT_2_bed_washing_machine">#REF!</definedName>
    <definedName name="WEIGHT_2_bed_WC">#REF!</definedName>
    <definedName name="WEIGHT_2.2.1___Upper_Floors_240mm_thk_slab">#REF!</definedName>
    <definedName name="WEIGHT_2.2.1___Upper_Floors_300mm_thk_slab">#REF!</definedName>
    <definedName name="WEIGHT_2.3.1___Stairs__FF05_Steps_280mm">#REF!</definedName>
    <definedName name="WEIGHT_2.3.2___Stairs__FF05_Risers_170mm">#REF!</definedName>
    <definedName name="WEIGHT_2.3.3___Stairs__FF05_Skirting_100mm_high">#REF!</definedName>
    <definedName name="WEIGHT_2.3.4___Stairs__Balustrade___Fixed_to_floor">#REF!</definedName>
    <definedName name="WEIGHT_2.3.4___Stairs__Balustrade___Handrails_50mm_to_wall">#REF!</definedName>
    <definedName name="WEIGHT_2.3.4___Stairs__Balustrade___Sloping_Fixed_to_floor">#REF!</definedName>
    <definedName name="WEIGHT_2.4.1___Roof___Shuttering__Paint_incl_waterproofing_to_roof_canopies">#REF!</definedName>
    <definedName name="WEIGHT_2.4.1___Roof___Shuttering__Precast_cement_incl_waterproofing">#REF!</definedName>
    <definedName name="WEIGHT_2.4.1___Roof___Shuttering__Suspended_Reinforced_Concrete_Slab">#REF!</definedName>
    <definedName name="WEIGHT_2.4.2___Roof___Shuttering__Roof_Access_panel_750mmx900mm">#REF!</definedName>
    <definedName name="WEIGHT_20mm_dia_Bib_tap">#REF!</definedName>
    <definedName name="WEIGHT_20mm_dia_HSW_pipe">#REF!</definedName>
    <definedName name="WEIGHT_25mm_dia_BCWS_pipe">#REF!</definedName>
    <definedName name="WEIGHT_25mm_dia_HSW_pipe">#REF!</definedName>
    <definedName name="WEIGHT_2F_BOH_Roof_Terrace">#REF!</definedName>
    <definedName name="WEIGHT_2F_BOH_Service_and_Utility_area">#REF!</definedName>
    <definedName name="WEIGHT_2F_BOH_Staircase">#REF!</definedName>
    <definedName name="WEIGHT_2F_Guest_Core">#REF!</definedName>
    <definedName name="WEIGHT_2F_Guestrooms">#REF!</definedName>
    <definedName name="WEIGHT_2F_HGR_BOH">#REF!</definedName>
    <definedName name="WEIGHT_2F_HGR_Circulation">#REF!</definedName>
    <definedName name="WEIGHT_2F_HGR_Covered_Balcony">#REF!</definedName>
    <definedName name="WEIGHT_2F_HGR_Fire_Staircase">#REF!</definedName>
    <definedName name="WEIGHT_2F_Lift_Shaft">#REF!</definedName>
    <definedName name="WEIGHT_2F_Services_Core">#REF!</definedName>
    <definedName name="WEIGHT_2F_Voids___Dead_space">#REF!</definedName>
    <definedName name="WEIGHT_2nd_Floor">#REF!</definedName>
    <definedName name="WEIGHT_2nd_Floor___BOH___Event_Center_Core">#REF!</definedName>
    <definedName name="WEIGHT_2nd_Floor___BOH___Event_Center_Core_lift_shafts">#REF!</definedName>
    <definedName name="WEIGHT_2nd_Floor___BOH___Event_Center_Service">#REF!</definedName>
    <definedName name="WEIGHT_2nd_Floor___BOH___Event_Center_Service_lift_shafts">#REF!</definedName>
    <definedName name="WEIGHT_2nd_Floor___BOH___Fire_Escape_Stairs">#REF!</definedName>
    <definedName name="WEIGHT_2nd_Floor___BOH___Guest_Core">#REF!</definedName>
    <definedName name="WEIGHT_2nd_Floor___BOH___Guest_Core_ducts">#REF!</definedName>
    <definedName name="WEIGHT_2nd_Floor___BOH___Guest_Core_lift_shafts">#REF!</definedName>
    <definedName name="WEIGHT_2nd_Floor___BOH___Service_Core">#REF!</definedName>
    <definedName name="WEIGHT_2nd_Floor___BOH___Service_Core_ducts">#REF!</definedName>
    <definedName name="WEIGHT_2nd_Floor___BOH___Service_Core_lift_shafts">#REF!</definedName>
    <definedName name="WEIGHT_2nd_Floor___FOH___Guestroom_Circulation">#REF!</definedName>
    <definedName name="WEIGHT_2nd_Floor___FOH___Guestroom_Terrace">#REF!</definedName>
    <definedName name="WEIGHT_2nd_Floor___FOH___Guestrooms">#REF!</definedName>
    <definedName name="WEIGHT_3.1__External_Walls" localSheetId="1">#REF!</definedName>
    <definedName name="WEIGHT_3.1__External_Walls">#REF!</definedName>
    <definedName name="WEIGHT_3.1.1___BW2__150mm_thk">#REF!</definedName>
    <definedName name="WEIGHT_3.1.1___BW3__200mm_thk">#REF!</definedName>
    <definedName name="WEIGHT_3.1.1___BW4__250mm_thk">#REF!</definedName>
    <definedName name="WEIGHT_3.2.2___Timber__D_01___1600mmx2250mm" localSheetId="1">#REF!</definedName>
    <definedName name="WEIGHT_3.2.2___Timber__D_01___1600mmx2250mm">#REF!</definedName>
    <definedName name="WEIGHT_3.2.2___Timber__D_02___1000mmx2200mm">#REF!</definedName>
    <definedName name="WEIGHT_3.2.2___Timber__D_04___1100mmx2200mm">#REF!</definedName>
    <definedName name="WEIGHT_3.3.1___GL01___800mmx1350mm">#REF!</definedName>
    <definedName name="WEIGHT_3.3.1___GL02___2350mmx2600mm">#REF!</definedName>
    <definedName name="WEIGHT_3.3.1___GL03___2500mmx2600mm">#REF!</definedName>
    <definedName name="WEIGHT_3.3.1___GL04___2000mmx2600mm">#REF!</definedName>
    <definedName name="WEIGHT_3.3.1___GL05___2600mmx2700mm">#REF!</definedName>
    <definedName name="WEIGHT_3.3.1___GL06___3600mmx2700mm">#REF!</definedName>
    <definedName name="WEIGHT_3.3.1___GL07___1600mmx1350mm">#REF!</definedName>
    <definedName name="WEIGHT_3.3.1___GL08___800mmx1350mm">#REF!</definedName>
    <definedName name="WEIGHT_3.3.1___GL09___500mmx1200mm">#REF!</definedName>
    <definedName name="WEIGHT_3.3.1___GL10___3600mmx2700mm">#REF!</definedName>
    <definedName name="WEIGHT_3.3.1___GL11___2100mmx2700mm">#REF!</definedName>
    <definedName name="WEIGHT_3.3.1___GL12___1600mmx2700mm">#REF!</definedName>
    <definedName name="WEIGHT_3.3.1___GL13___1200mmx1800mm">#REF!</definedName>
    <definedName name="WEIGHT_3.3.1___GL14___1000mmx1500mm">#REF!</definedName>
    <definedName name="WEIGHT_3.3.1___GL15___5000mmx2700mm">#REF!</definedName>
    <definedName name="WEIGHT_3.3.1___GL16___1700mmx1350mm">#REF!</definedName>
    <definedName name="WEIGHT_3.3.1___GL17___600mmx1200mm">#REF!</definedName>
    <definedName name="WEIGHT_3.4.1___Cement_render_and_paint">#REF!</definedName>
    <definedName name="WEIGHT_3.4.2___50mmthk_Insulation">#REF!</definedName>
    <definedName name="WEIGHT_3.4.3___External_Soffits">#REF!</definedName>
    <definedName name="WEIGHT_3.4.5___Metal_railing_to_balcony">#REF!</definedName>
    <definedName name="WEIGHT_32_dia._CWS_Main_Buried_underground" localSheetId="1">#REF!</definedName>
    <definedName name="WEIGHT_32_dia._CWS_Main_Buried_underground">#REF!</definedName>
    <definedName name="WEIGHT_32mm_dia_BCWS">#REF!</definedName>
    <definedName name="WEIGHT_32mm_dia_BCWS_pipe">#REF!</definedName>
    <definedName name="WEIGHT_32mm_dia_BCWS_Riser">#REF!</definedName>
    <definedName name="WEIGHT_32mm_dia_HSW_pipe">#REF!</definedName>
    <definedName name="WEIGHT_32mm_dia_HSW_Riser">#REF!</definedName>
    <definedName name="WEIGHT_3F_BOH_Service___Utility_area">#REF!</definedName>
    <definedName name="WEIGHT_3F_BOH_Staircase">#REF!</definedName>
    <definedName name="WEIGHT_3F_Guest_Core">#REF!</definedName>
    <definedName name="WEIGHT_3F_Guestrooms">#REF!</definedName>
    <definedName name="WEIGHT_3F_HGR_BOH">#REF!</definedName>
    <definedName name="WEIGHT_3F_HGR_Circulation">#REF!</definedName>
    <definedName name="WEIGHT_3F_HGR_Covered_Balcony">#REF!</definedName>
    <definedName name="WEIGHT_3F_HGR_Fire_Staircase">#REF!</definedName>
    <definedName name="WEIGHT_3F_Lift_Shaft">#REF!</definedName>
    <definedName name="WEIGHT_3F_Services_Core">#REF!</definedName>
    <definedName name="WEIGHT_3F_Voids___Dead_space">#REF!</definedName>
    <definedName name="WEIGHT_3rd_Floor">#REF!</definedName>
    <definedName name="WEIGHT_3rd_Floor___BOH___Fire_Escape_Stairs">#REF!</definedName>
    <definedName name="WEIGHT_3rd_Floor___BOH___Guest_Core">#REF!</definedName>
    <definedName name="WEIGHT_3rd_Floor___BOH___Guest_Core_ducts">#REF!</definedName>
    <definedName name="WEIGHT_3rd_Floor___BOH___Guest_Core_lift_shafts">#REF!</definedName>
    <definedName name="WEIGHT_3rd_Floor___BOH___Service_Core">#REF!</definedName>
    <definedName name="WEIGHT_3rd_Floor___BOH___Service_Core_ducts">#REF!</definedName>
    <definedName name="WEIGHT_3rd_Floor___BOH___Service_Core_lift_shafts">#REF!</definedName>
    <definedName name="WEIGHT_3rd_Floor___FOH___Guest_Circulation">#REF!</definedName>
    <definedName name="WEIGHT_3rd_Floor___FOH___Guestroom_Terrace">#REF!</definedName>
    <definedName name="WEIGHT_3rd_Floor___FOH___Guestrooms">#REF!</definedName>
    <definedName name="WEIGHT_4.1.1___BW1__100mm_thk">#REF!</definedName>
    <definedName name="WEIGHT_4.1.1___BW2__150mm_thk">#REF!</definedName>
    <definedName name="WEIGHT_4.1.1___BW3__200mm_thk">#REF!</definedName>
    <definedName name="WEIGHT_4.1.2___Allow_for_joint_sealant">#REF!</definedName>
    <definedName name="WEIGHT_4.2.1___D_02__1000mm_x_2200mm">#REF!</definedName>
    <definedName name="WEIGHT_4.2.1___D_03__900mm_x_2200mm">#REF!</definedName>
    <definedName name="WEIGHT_4.2.1___D_04">#REF!</definedName>
    <definedName name="WEIGHT_4.2.2___Utility_Cupboard">#REF!</definedName>
    <definedName name="Weight_45Elbow">#REF!</definedName>
    <definedName name="WEIGHT_4F_BOH_Service___Utility_area" localSheetId="1">#REF!</definedName>
    <definedName name="WEIGHT_4F_BOH_Service___Utility_area">#REF!</definedName>
    <definedName name="WEIGHT_4F_BOH_Staircase" localSheetId="1">#REF!</definedName>
    <definedName name="WEIGHT_4F_BOH_Staircase">#REF!</definedName>
    <definedName name="WEIGHT_4F_Guest_Core" localSheetId="1">#REF!</definedName>
    <definedName name="WEIGHT_4F_Guest_Core">#REF!</definedName>
    <definedName name="WEIGHT_4F_Guestrooms">#REF!</definedName>
    <definedName name="WEIGHT_4F_HGR_BOH">#REF!</definedName>
    <definedName name="WEIGHT_4F_HGR_Circulation">#REF!</definedName>
    <definedName name="WEIGHT_4F_HGR_Covered_Balcony">#REF!</definedName>
    <definedName name="WEIGHT_4F_HGR_Fire_Staircase">#REF!</definedName>
    <definedName name="WEIGHT_4F_Lift_Shaft">#REF!</definedName>
    <definedName name="WEIGHT_4F_Services_Core">#REF!</definedName>
    <definedName name="WEIGHT_4F_Voids___Dead_space">#REF!</definedName>
    <definedName name="WEIGHT_4th_Floor___BOH___Fire_Escape_Stairs">#REF!</definedName>
    <definedName name="WEIGHT_4th_Floor___BOH___Guest_Core">#REF!</definedName>
    <definedName name="WEIGHT_4th_Floor___BOH___Guest_Core_ducts">#REF!</definedName>
    <definedName name="WEIGHT_4th_Floor___BOH___Guest_Core_lift_shafts">#REF!</definedName>
    <definedName name="WEIGHT_4th_Floor___BOH___Service_Core">#REF!</definedName>
    <definedName name="WEIGHT_4th_Floor___BOH___Service_Core_ducts">#REF!</definedName>
    <definedName name="WEIGHT_4th_Floor___BOH___Service_Core_lift_shafts">#REF!</definedName>
    <definedName name="WEIGHT_4th_Floor___FOH___Guestroom_Circulation">#REF!</definedName>
    <definedName name="WEIGHT_4th_Floor___FOH___Guestroom_Terrace">#REF!</definedName>
    <definedName name="WEIGHT_4th_Floor___FOH___Guestrooms">#REF!</definedName>
    <definedName name="WEIGHT_4th_Floor___FOH___Roof_Top_Pantry">#REF!</definedName>
    <definedName name="WEIGHT_4th_Floor___FOH___Roof_Top_Restaurant">#REF!</definedName>
    <definedName name="WEIGHT_4th_Floor___FOH___Roof_Top_Toilets">#REF!</definedName>
    <definedName name="WEIGHT_4th_Floor___Roof_Top_Restaurant_open_terrace">#REF!</definedName>
    <definedName name="WEIGHT_5.1.2___Paint_to_walls__PF03">#REF!</definedName>
    <definedName name="WEIGHT_5.1.2___Paint_to_walls__PF04">#REF!</definedName>
    <definedName name="WEIGHT_5.1.3___Ceramic_Tiles_to_walls__WF01">#REF!</definedName>
    <definedName name="WEIGHT_5.1.3___Ceramic_Tiles_to_walls__WF03">#REF!</definedName>
    <definedName name="WEIGHT_5.1.3___Ceramic_Tiles_to_walls__WF05">#REF!</definedName>
    <definedName name="WEIGHT_5.1.3___Ceramic_Tiles_to_walls__WF07">#REF!</definedName>
    <definedName name="WEIGHT_5.1.4___Waterproofing_to_wet_areas">#REF!</definedName>
    <definedName name="WEIGHT_5.2.2___FF01__Porcelian_Tiles">#REF!</definedName>
    <definedName name="WEIGHT_5.2.2___FF01__Porcelian_Tiles_Skirting">#REF!</definedName>
    <definedName name="WEIGHT_5.2.3___FF03__Ceramic_Tiles">#REF!</definedName>
    <definedName name="WEIGHT_5.2.3___FF03__Ceramic_Tiles____Balconies">#REF!</definedName>
    <definedName name="WEIGHT_5.2.3___FF03__Ceramic_Tiles____Waterproofing_to_wet_areas">#REF!</definedName>
    <definedName name="WEIGHT_5.2.3___FF03__Ceramic_Tiles_Skirting">#REF!</definedName>
    <definedName name="WEIGHT_5.2.4___Threshold_Allowance_100mm_200mm_thk">#REF!</definedName>
    <definedName name="WEIGHT_5.3.1___PF01__Gypsum_Board">#REF!</definedName>
    <definedName name="WEIGHT_5.3.1___PF01__Slab_Soffits">#REF!</definedName>
    <definedName name="WEIGHT_5.3.1___PF03__Gypsum_Board">#REF!</definedName>
    <definedName name="WEIGHT_5.3.2___Bulkheads">#REF!</definedName>
    <definedName name="WEIGHT_50mm_dia_WP">#REF!</definedName>
    <definedName name="WEIGHT_50mm_dia._Balcony_Drain" localSheetId="1">#REF!</definedName>
    <definedName name="WEIGHT_50mm_dia._Balcony_Drain">#REF!</definedName>
    <definedName name="WEIGHT_5A_CEILING">#REF!</definedName>
    <definedName name="WEIGHT_5A_FS01">#REF!</definedName>
    <definedName name="WEIGHT_5A_FS02">#REF!</definedName>
    <definedName name="WEIGHT_5A_FS02_2F">#REF!</definedName>
    <definedName name="WEIGHT_5A_FS03">#REF!</definedName>
    <definedName name="WEIGHT_5A_FS03_AREA">#REF!</definedName>
    <definedName name="WEIGHT_5A_FS03_GRILL">#REF!</definedName>
    <definedName name="WEIGHT_5A_FS04">#REF!</definedName>
    <definedName name="WEIGHT_5A_FS04_1F">#REF!</definedName>
    <definedName name="WEIGHT_5A_FS04_2F">#REF!</definedName>
    <definedName name="WEIGHT_5A_FS05">#REF!</definedName>
    <definedName name="WEIGHT_5A_FS05_RF">#REF!</definedName>
    <definedName name="WEIGHT_5A_FS07">#REF!</definedName>
    <definedName name="WEIGHT_5A_FS08">#REF!</definedName>
    <definedName name="WEIGHT_5A_FS08_RF">#REF!</definedName>
    <definedName name="WEIGHT_5A_FS12_1F">#REF!</definedName>
    <definedName name="WEIGHT_5A_FS15_2F">#REF!</definedName>
    <definedName name="WEIGHT_5A_FS16">#REF!</definedName>
    <definedName name="WEIGHT_5B_FS01">#REF!</definedName>
    <definedName name="WEIGHT_5B_FS02_1F">#REF!</definedName>
    <definedName name="WEIGHT_5B_FS02_RF">#REF!</definedName>
    <definedName name="WEIGHT_5B_FS03">#REF!</definedName>
    <definedName name="WEIGHT_5B_FS03_AREA">#REF!</definedName>
    <definedName name="WEIGHT_5B_FS03_GRILL">#REF!</definedName>
    <definedName name="WEIGHT_5B_FS03_RF">#REF!</definedName>
    <definedName name="WEIGHT_5B_FS04_1F">#REF!</definedName>
    <definedName name="WEIGHT_5B_FS04_2F">#REF!</definedName>
    <definedName name="WEIGHT_5B_FS04_RF">#REF!</definedName>
    <definedName name="WEIGHT_5B_FS05">#REF!</definedName>
    <definedName name="WEIGHT_5B_FS05_GARDEN">#REF!</definedName>
    <definedName name="WEIGHT_5B_FS05_PARAPET">#REF!</definedName>
    <definedName name="WEIGHT_5B_FS06">#REF!</definedName>
    <definedName name="WEIGHT_5B_FS07_1F">#REF!</definedName>
    <definedName name="WEIGHT_5B_FS08_RF">#REF!</definedName>
    <definedName name="WEIGHT_5B_FS11_1F">#REF!</definedName>
    <definedName name="WEIGHT_5B_FS11_2F">#REF!</definedName>
    <definedName name="WEIGHT_5B_FS12_2F">#REF!</definedName>
    <definedName name="WEIGHT_5B_FS15_1F">#REF!</definedName>
    <definedName name="WEIGHT_5B_FS15_2F">#REF!</definedName>
    <definedName name="WEIGHT_5B_FS15_RF">#REF!</definedName>
    <definedName name="WEIGHT_5B_FS16">#REF!</definedName>
    <definedName name="WEIGHT_5B_LOUVRE">#REF!</definedName>
    <definedName name="WEIGHT_5B_PARAPET_COPING">#REF!</definedName>
    <definedName name="WEIGHT_5C_FS01">#REF!</definedName>
    <definedName name="WEIGHT_5C_FS02">#REF!</definedName>
    <definedName name="WEIGHT_5C_FS02_1F">#REF!</definedName>
    <definedName name="WEIGHT_5C_FS02_COPING">#REF!</definedName>
    <definedName name="WEIGHT_5C_FS03">#REF!</definedName>
    <definedName name="WEIGHT_5C_FS03_GRILL">#REF!</definedName>
    <definedName name="WEIGHT_5C_FS05_RF">#REF!</definedName>
    <definedName name="WEIGHT_5C_FS07_RF">#REF!</definedName>
    <definedName name="WEIGHT_5C_FS08_1F">#REF!</definedName>
    <definedName name="WEIGHT_5C_FS08_RF">#REF!</definedName>
    <definedName name="WEIGHT_5C_FS16">#REF!</definedName>
    <definedName name="WEIGHT_5C_LINK_BRIDGE">#REF!</definedName>
    <definedName name="WEIGHT_5F_BOH_Circulation">#REF!</definedName>
    <definedName name="WEIGHT_5F_BOH_Service___Utility_area">#REF!</definedName>
    <definedName name="WEIGHT_5F_BOH_Staircase">#REF!</definedName>
    <definedName name="WEIGHT_5F_Lift_Shaft">#REF!</definedName>
    <definedName name="WEIGHT_5F_MEP">#REF!</definedName>
    <definedName name="WEIGHT_5F_Services_Core">#REF!</definedName>
    <definedName name="WEIGHT_5F_Voids___Dead_area">#REF!</definedName>
    <definedName name="WEIGHT_6.1.1___U_Shaped_Base_Cabinet___3400___2250___2300_x_700_x_900">#REF!</definedName>
    <definedName name="WEIGHT_6.1.2___Kitchen_Wall_Cabinet_____600_x340_x_830">#REF!</definedName>
    <definedName name="WEIGHT_6.1.2___Kitchen_Wall_Cabinet_____650_x340_x_830">#REF!</definedName>
    <definedName name="WEIGHT_6.1.2___Kitchen_Wall_Cabinet_____850_x340_x_830">#REF!</definedName>
    <definedName name="WEIGHT_6.1.2___Kitchen_Wall_Cabinet_____900_x340_x_400">#REF!</definedName>
    <definedName name="WEIGHT_6.1.3___Cooker_Hood__4_series">#REF!</definedName>
    <definedName name="WEIGHT_6.2.1___Wardrobe__1000mm_x_600mm__walkin_">#REF!</definedName>
    <definedName name="WEIGHT_6.2.1___Wardrobe__2000mm_x_600mm__Bed3_">#REF!</definedName>
    <definedName name="WEIGHT_6.2.1___Wardrobe__2200mm_x_600mm__Bed2_">#REF!</definedName>
    <definedName name="WEIGHT_6.2.1___Wardrobe_L_shape__2500mm___2300mm_x_600mm__walkin_">#REF!</definedName>
    <definedName name="WEIGHT_6.3.1___Base_Cabinet__1000mm_x_600mm_x_900mm">#REF!</definedName>
    <definedName name="WEIGHT_6.3.1___Base_Cabinet__1800mm_x_600mm_x_900m">#REF!</definedName>
    <definedName name="WEIGHT_6.3.1___Base_Cabinet__1900mm_x_600mm_x_900m">#REF!</definedName>
    <definedName name="WEIGHT_82mm_dia_Vent_pipe_1F" localSheetId="1">#REF!</definedName>
    <definedName name="WEIGHT_82mm_dia_Vent_pipe_1F">#REF!</definedName>
    <definedName name="WEIGHT_82mm_dia_Vent_pipe_GF">#REF!</definedName>
    <definedName name="Weight_90Elbow">#REF!</definedName>
    <definedName name="WEIGHT_AM_Beams" localSheetId="1">#REF!</definedName>
    <definedName name="WEIGHT_AM_Beams">#REF!</definedName>
    <definedName name="WEIGHT_AM_Slab_1200">#REF!</definedName>
    <definedName name="WEIGHT_AM_Slab_300">#REF!</definedName>
    <definedName name="WEIGHT_Assume_Roof">#REF!</definedName>
    <definedName name="WEIGHT_Assumed_Stair_Roof">#REF!</definedName>
    <definedName name="WEIGHT_B1">#REF!</definedName>
    <definedName name="WEIGHT_B1___BOH____Loading_Unloading">#REF!</definedName>
    <definedName name="WEIGHT_B1___BOH____Service_Corridor">#REF!</definedName>
    <definedName name="WEIGHT_B1___BOH___Bulk_Storage">#REF!</definedName>
    <definedName name="WEIGHT_B1___BOH___Event_Center_Core">#REF!</definedName>
    <definedName name="WEIGHT_B1___BOH___Event_Center_Core_lift_shafts">#REF!</definedName>
    <definedName name="WEIGHT_B1___BOH___Event_Center_Kitchen">#REF!</definedName>
    <definedName name="WEIGHT_B1___BOH___Event_Center_Service">#REF!</definedName>
    <definedName name="WEIGHT_B1___BOH___Fire_Escape_Stairs">#REF!</definedName>
    <definedName name="WEIGHT_B1___BOH___Food___Beverage_Dept">#REF!</definedName>
    <definedName name="WEIGHT_B1___BOH___General_Areas">#REF!</definedName>
    <definedName name="WEIGHT_B1___BOH___Guest_Core">#REF!</definedName>
    <definedName name="WEIGHT_B1___BOH___Guest_Core_ducts">#REF!</definedName>
    <definedName name="WEIGHT_B1___BOH___Guest_Core_lift_shafts">#REF!</definedName>
    <definedName name="WEIGHT_B1___BOH___Human_Resources">#REF!</definedName>
    <definedName name="WEIGHT_B1___BOH___Main_Kitchen">#REF!</definedName>
    <definedName name="WEIGHT_B1___BOH___Pool_Bar___Grill_Pantry">#REF!</definedName>
    <definedName name="WEIGHT_B1___BOH___Ramp__B1___GF_">#REF!</definedName>
    <definedName name="WEIGHT_B1___BOH___Ramp_B1_to_B2__loading_unloading_">#REF!</definedName>
    <definedName name="WEIGHT_B1___BOH___Receiving___Purchasing">#REF!</definedName>
    <definedName name="WEIGHT_B1___BOH___Service_Core">#REF!</definedName>
    <definedName name="WEIGHT_B1___BOH___Service_Core_ducts">#REF!</definedName>
    <definedName name="WEIGHT_B1___BOH___Service_Core_lift_shaft">#REF!</definedName>
    <definedName name="WEIGHT_B1___BOH___Service_Corridor">#REF!</definedName>
    <definedName name="WEIGHT_B1___BOH___Speciality_Restaurant_01_Pantry">#REF!</definedName>
    <definedName name="WEIGHT_B1___BOH___Staff_Core">#REF!</definedName>
    <definedName name="WEIGHT_B1___BOH___Staff_Core_lift_shafts">#REF!</definedName>
    <definedName name="WEIGHT_B1___BOH___Staff_Facilities">#REF!</definedName>
    <definedName name="WEIGHT_B1___BOH___Waste_Management">#REF!</definedName>
    <definedName name="WEIGHT_B1___Double_Volume_internal_Plant_RM">#REF!</definedName>
    <definedName name="WEIGHT_B1___FOH____Day_Care_Center">#REF!</definedName>
    <definedName name="WEIGHT_B1___FOH___All_Day_Dining">#REF!</definedName>
    <definedName name="WEIGHT_B1___FOH___Circulation">#REF!</definedName>
    <definedName name="WEIGHT_B1___FOH___Day_Care_Center_Terrace">#REF!</definedName>
    <definedName name="WEIGHT_B1___FOH___Guest_Circulation">#REF!</definedName>
    <definedName name="WEIGHT_B1___FOH___Guestroom_Terrace">#REF!</definedName>
    <definedName name="WEIGHT_B1___FOH___Guestrooms">#REF!</definedName>
    <definedName name="WEIGHT_B1___FOH___Gym">#REF!</definedName>
    <definedName name="WEIGHT_B1___FOH___Pool_Bar___Grill">#REF!</definedName>
    <definedName name="WEIGHT_B1___FOH___Pool_Bar___Grill_Terrace">#REF!</definedName>
    <definedName name="WEIGHT_B1___FOH___Spa">#REF!</definedName>
    <definedName name="WEIGHT_B1___FOH___Speciality_Restauarant_02_Toilets">#REF!</definedName>
    <definedName name="WEIGHT_B1___FOH___Speciality_Restaurant_01">#REF!</definedName>
    <definedName name="WEIGHT_B1___FOH___Speciality_Restaurant_02">#REF!</definedName>
    <definedName name="WEIGHT_B1___FOH___Speciality_Restaurant_02_Terrace__covered_terrace_area_">#REF!</definedName>
    <definedName name="WEIGHT_B1___FOH___Speciality_Restaurant_02_Terrace__open_terrace_area_">#REF!</definedName>
    <definedName name="WEIGHT_B1___Parking">#REF!</definedName>
    <definedName name="WEIGHT_B1__BOH_">#REF!</definedName>
    <definedName name="WEIGHT_B1__Car_Park_">#REF!</definedName>
    <definedName name="WEIGHT_B1__Column_C1">#REF!</definedName>
    <definedName name="WEIGHT_B1__Column_C10">#REF!</definedName>
    <definedName name="WEIGHT_B1__Column_C11">#REF!</definedName>
    <definedName name="WEIGHT_B1__Column_C12">#REF!</definedName>
    <definedName name="WEIGHT_B1__Column_C2">#REF!</definedName>
    <definedName name="WEIGHT_B1__Column_C3">#REF!</definedName>
    <definedName name="WEIGHT_B1__Column_C4">#REF!</definedName>
    <definedName name="WEIGHT_B1__Column_C5">#REF!</definedName>
    <definedName name="WEIGHT_B1__Column_C6">#REF!</definedName>
    <definedName name="WEIGHT_B1__Column_C7">#REF!</definedName>
    <definedName name="WEIGHT_B1__Column_C8">#REF!</definedName>
    <definedName name="WEIGHT_B1__Column_C9">#REF!</definedName>
    <definedName name="WEIGHT_B1__Column_TC1">#REF!</definedName>
    <definedName name="WEIGHT_B1__Column_TC2">#REF!</definedName>
    <definedName name="WEIGHT_B1__Column_TC3">#REF!</definedName>
    <definedName name="WEIGHT_B1__Column_TC4">#REF!</definedName>
    <definedName name="WEIGHT_B1__Column_TC5">#REF!</definedName>
    <definedName name="WEIGHT_B1__FOH_circulation_">#REF!</definedName>
    <definedName name="WEIGHT_B1__GIFA_">#REF!</definedName>
    <definedName name="WEIGHT_B1__RW1_400">#REF!</definedName>
    <definedName name="WEIGHT_B1__RW2_600">#REF!</definedName>
    <definedName name="WEIGHT_B1__Stairs_">#REF!</definedName>
    <definedName name="WEIGHT_B1__TW1_250">#REF!</definedName>
    <definedName name="WEIGHT_B1__TW2_200">#REF!</definedName>
    <definedName name="WEIGHT_B1__TW3_300">#REF!</definedName>
    <definedName name="WEIGHT_B1__TW3_400">#REF!</definedName>
    <definedName name="WEIGHT_B1__TW4_500">#REF!</definedName>
    <definedName name="WEIGHT_B1__TW4_500_Door_Overhead">#REF!</definedName>
    <definedName name="WEIGHT_B1__TW4_600">#REF!</definedName>
    <definedName name="WEIGHT_B1__voids_">#REF!</definedName>
    <definedName name="WEIGHT_B1__W1__300">#REF!</definedName>
    <definedName name="WEIGHT_B1__W1_300_Door_Overhead">#REF!</definedName>
    <definedName name="WEIGHT_B1_Beams">#REF!</definedName>
    <definedName name="WEIGHT_B1_BOH">#REF!</definedName>
    <definedName name="WEIGHT_B1_BOH_Area" localSheetId="1">#REF!</definedName>
    <definedName name="WEIGHT_B1_BOH_Area">#REF!</definedName>
    <definedName name="WEIGHT_B1_BOH_Service___Utility_area" localSheetId="1">#REF!</definedName>
    <definedName name="WEIGHT_B1_BOH_Service___Utility_area">#REF!</definedName>
    <definedName name="WEIGHT_B1_Car_Park" localSheetId="1">#REF!</definedName>
    <definedName name="WEIGHT_B1_Car_Park">#REF!</definedName>
    <definedName name="WEIGHT_B1_Double_Internal_Doors__BOH_" localSheetId="1">#REF!</definedName>
    <definedName name="WEIGHT_B1_Double_Internal_Doors__BOH_">#REF!</definedName>
    <definedName name="WEIGHT_B1_Double_Internal_Doors__FOH_">#REF!</definedName>
    <definedName name="WEIGHT_B1_Double_Volume_area" localSheetId="1">#REF!</definedName>
    <definedName name="WEIGHT_B1_Double_Volume_area">#REF!</definedName>
    <definedName name="WEIGHT_B1_Executive_Club" localSheetId="1">#REF!</definedName>
    <definedName name="WEIGHT_B1_Executive_Club">#REF!</definedName>
    <definedName name="WEIGHT_B1_FOH_Circulation" localSheetId="1">#REF!</definedName>
    <definedName name="WEIGHT_B1_FOH_Circulation">#REF!</definedName>
    <definedName name="WEIGHT_B1_FOH_Circulation_area" localSheetId="1">#REF!</definedName>
    <definedName name="WEIGHT_B1_FOH_Circulation_area">#REF!</definedName>
    <definedName name="WEIGHT_B1_FOH_Lobby" localSheetId="1">#REF!</definedName>
    <definedName name="WEIGHT_B1_FOH_Lobby">#REF!</definedName>
    <definedName name="WEIGHT_B1_GIFA" localSheetId="1">#REF!</definedName>
    <definedName name="WEIGHT_B1_GIFA">#REF!</definedName>
    <definedName name="WEIGHT_B1_Guest_Core" localSheetId="1">#REF!</definedName>
    <definedName name="WEIGHT_B1_Guest_Core">#REF!</definedName>
    <definedName name="WEIGHT_B1_Gym" localSheetId="1">#REF!</definedName>
    <definedName name="WEIGHT_B1_Gym">#REF!</definedName>
    <definedName name="WEIGHT_B1_Gym_Toilets" localSheetId="1">#REF!</definedName>
    <definedName name="WEIGHT_B1_Gym_Toilets">#REF!</definedName>
    <definedName name="WEIGHT_B1_Internal_Double_doors__BOH_">#REF!</definedName>
    <definedName name="WEIGHT_B1_Internal_Double_doors__FOH_">#REF!</definedName>
    <definedName name="WEIGHT_B1_Internal_Single_doors__BOH_">#REF!</definedName>
    <definedName name="WEIGHT_B1_Kids_Area">#REF!</definedName>
    <definedName name="WEIGHT_B1_Kitchen">#REF!</definedName>
    <definedName name="WEIGHT_B1_Lift_Shaft">#REF!</definedName>
    <definedName name="WEIGHT_B1_Main_Restaurant">#REF!</definedName>
    <definedName name="WEIGHT_B1_MEP_Area">#REF!</definedName>
    <definedName name="WEIGHT_B1_Mezz">#REF!</definedName>
    <definedName name="WEIGHT_B1_Mezzanine___BOH___Event_Center_Admin">#REF!</definedName>
    <definedName name="WEIGHT_B1_Mezzanine___BOH___Event_Center_Core">#REF!</definedName>
    <definedName name="WEIGHT_B1_Mezzanine___BOH___Event_Center_Valet">#REF!</definedName>
    <definedName name="WEIGHT_B1_Mezzanine___BOH___Event_Service_Core_lift_shafts">#REF!</definedName>
    <definedName name="WEIGHT_B1_Mezzanine___BOH___Fire_Escape_Stairs">#REF!</definedName>
    <definedName name="WEIGHT_B1_Mezzanine___BOH___General_Areas">#REF!</definedName>
    <definedName name="WEIGHT_B1_Mezzanine___BOH___Guest_Core">#REF!</definedName>
    <definedName name="WEIGHT_B1_Mezzanine___BOH___Guest_Core_ducts">#REF!</definedName>
    <definedName name="WEIGHT_B1_Mezzanine___BOH___Guest_Core_lift_shafts">#REF!</definedName>
    <definedName name="WEIGHT_B1_Mezzanine___BOH___RMU">#REF!</definedName>
    <definedName name="WEIGHT_B1_Mezzanine___BOH___Service_Core">#REF!</definedName>
    <definedName name="WEIGHT_B1_Mezzanine___BOH___Service_Core_ducts">#REF!</definedName>
    <definedName name="WEIGHT_B1_Mezzanine___BOH___Service_Core_lift_shafts">#REF!</definedName>
    <definedName name="WEIGHT_B1_Mezzanine___Double_Volume__left_wing_">#REF!</definedName>
    <definedName name="WEIGHT_B1_Mezzanine___Double_Volume__left_wing_stairs___">#REF!</definedName>
    <definedName name="WEIGHT_B1_Mezzanine___Double_Volume__main_hotel___">#REF!</definedName>
    <definedName name="WEIGHT_B1_Mezzanine___Double_Volume__right_wing_">#REF!</definedName>
    <definedName name="WEIGHT_B1_Mezzanine___Double_Volume__right_wing_stairs___">#REF!</definedName>
    <definedName name="WEIGHT_B1_Mezzanine___Double_Volume__Speciality_Restaurant___">#REF!</definedName>
    <definedName name="WEIGHT_B1_Mezzanine___FOH___Business_Center">#REF!</definedName>
    <definedName name="WEIGHT_B1_Mezzanine___FOH___Circulation">#REF!</definedName>
    <definedName name="WEIGHT_B1_Mezzanine___FOH___Event_Center_Core_lift_shafts">#REF!</definedName>
    <definedName name="WEIGHT_B1_Mezzanine___FOH___Event_Center_Port_Corchere">#REF!</definedName>
    <definedName name="WEIGHT_B1_Mezzanine___FOH___Event_Center_Reception">#REF!</definedName>
    <definedName name="WEIGHT_B1_Mezzanine___FOH___Event_Center_Wind_Lobby">#REF!</definedName>
    <definedName name="WEIGHT_B1_Mezzanine___FOH___Guestroom_Terrace">#REF!</definedName>
    <definedName name="WEIGHT_B1_Mezzanine___FOH___Guestrooms">#REF!</definedName>
    <definedName name="WEIGHT_B1_Mezzanine___FOH___Meeting_Prefunction">#REF!</definedName>
    <definedName name="WEIGHT_B1_Mezzanine___FOH___Meeting_Rooms">#REF!</definedName>
    <definedName name="WEIGHT_B1_Mezzanine___FOH___Meeting_Rooms_Pantry">#REF!</definedName>
    <definedName name="WEIGHT_B1_Mezzanine___FOH___Meeting_Rooms_Terrace">#REF!</definedName>
    <definedName name="WEIGHT_B1_Mezzanine___FOH___Meeting_Rooms_Toilet">#REF!</definedName>
    <definedName name="WEIGHT_B1_Mezzanine___FOH___Retail">#REF!</definedName>
    <definedName name="WEIGHT_B1_Parking_area">#REF!</definedName>
    <definedName name="WEIGHT_B1_Public_Toilets">#REF!</definedName>
    <definedName name="WEIGHT_B1_Ramp">#REF!</definedName>
    <definedName name="WEIGHT_B1_Service_Lift_Lobby">#REF!</definedName>
    <definedName name="WEIGHT_B1_Services_Core">#REF!</definedName>
    <definedName name="WEIGHT_B1_Single_Internal_Doors__BOH_">#REF!</definedName>
    <definedName name="WEIGHT_B1_Slab_200" localSheetId="1">#REF!</definedName>
    <definedName name="WEIGHT_B1_Slab_200">#REF!</definedName>
    <definedName name="WEIGHT_B1_Slab_220">#REF!</definedName>
    <definedName name="WEIGHT_B1_Slab_240">#REF!</definedName>
    <definedName name="WEIGHT_B1_Slab_260">#REF!</definedName>
    <definedName name="WEIGHT_B1_Spa">#REF!</definedName>
    <definedName name="WEIGHT_B1_Speciality_Kitchen">#REF!</definedName>
    <definedName name="WEIGHT_B1_Speciality_Restaurant">#REF!</definedName>
    <definedName name="WEIGHT_B1_Staicase_Lobby">#REF!</definedName>
    <definedName name="WEIGHT_B1_Staircase">#REF!</definedName>
    <definedName name="WEIGHT_B1_Stairs">#REF!</definedName>
    <definedName name="WEIGHT_B1_Voids" localSheetId="1">#REF!</definedName>
    <definedName name="WEIGHT_B1_Voids">#REF!</definedName>
    <definedName name="WEIGHT_B2" localSheetId="1">#REF!</definedName>
    <definedName name="WEIGHT_B2">#REF!</definedName>
    <definedName name="WEIGHT_B2___BOH____Tank" localSheetId="1">#REF!</definedName>
    <definedName name="WEIGHT_B2___BOH____Tank">#REF!</definedName>
    <definedName name="WEIGHT_B2___BOH___AHU">#REF!</definedName>
    <definedName name="WEIGHT_B2___BOH___Engineering___Maintenance">#REF!</definedName>
    <definedName name="WEIGHT_B2___BOH___Event_Center_Core">#REF!</definedName>
    <definedName name="WEIGHT_B2___BOH___Event_Center_Core_lift_shafts">#REF!</definedName>
    <definedName name="WEIGHT_B2___BOH___Fire_Escape_Stairs">#REF!</definedName>
    <definedName name="WEIGHT_B2___BOH___Guest_Core">#REF!</definedName>
    <definedName name="WEIGHT_B2___BOH___Guest_Core_lift_shafts">#REF!</definedName>
    <definedName name="WEIGHT_B2___BOH___Heat_Exchange">#REF!</definedName>
    <definedName name="WEIGHT_B2___BOH___IT_Department">#REF!</definedName>
    <definedName name="WEIGHT_B2___BOH___Laundry___Housekeeping">#REF!</definedName>
    <definedName name="WEIGHT_B2___BOH___LV_Room">#REF!</definedName>
    <definedName name="WEIGHT_B2___BOH___Plant">#REF!</definedName>
    <definedName name="WEIGHT_B2___BOH___Pump_Room">#REF!</definedName>
    <definedName name="WEIGHT_B2___BOH___Ramp_B2_to_B1">#REF!</definedName>
    <definedName name="WEIGHT_B2___BOH___Ramp_B2_to_B1__loading___unloading_">#REF!</definedName>
    <definedName name="WEIGHT_B2___BOH___Service_Core">#REF!</definedName>
    <definedName name="WEIGHT_B2___BOH___Service_Core_duct">#REF!</definedName>
    <definedName name="WEIGHT_B2___BOH___Service_Core_lift_shafts">#REF!</definedName>
    <definedName name="WEIGHT_B2___BOH___Service_Corridor">#REF!</definedName>
    <definedName name="WEIGHT_B2___BOH___Substation">#REF!</definedName>
    <definedName name="WEIGHT_B2___BOH___Unknown_areas">#REF!</definedName>
    <definedName name="WEIGHT_B2___FOH___Pool_Toilets">#REF!</definedName>
    <definedName name="WEIGHT_B2___FOH___Speciality_Restaurant_01_Toilets">#REF!</definedName>
    <definedName name="WEIGHT_B2___Parking">#REF!</definedName>
    <definedName name="WEIGHT_B2__BOH_">#REF!</definedName>
    <definedName name="WEIGHT_B2__Car_Parking_">#REF!</definedName>
    <definedName name="WEIGHT_B2__Column_C1">#REF!</definedName>
    <definedName name="WEIGHT_B2__Column_C10">#REF!</definedName>
    <definedName name="WEIGHT_B2__Column_C11">#REF!</definedName>
    <definedName name="WEIGHT_B2__Column_C12">#REF!</definedName>
    <definedName name="WEIGHT_B2__Column_C2">#REF!</definedName>
    <definedName name="WEIGHT_B2__Column_C3">#REF!</definedName>
    <definedName name="WEIGHT_B2__Column_C4">#REF!</definedName>
    <definedName name="WEIGHT_B2__Column_C5">#REF!</definedName>
    <definedName name="WEIGHT_B2__Column_C6">#REF!</definedName>
    <definedName name="WEIGHT_B2__Column_C7">#REF!</definedName>
    <definedName name="WEIGHT_B2__Column_C8">#REF!</definedName>
    <definedName name="WEIGHT_B2__Column_C9">#REF!</definedName>
    <definedName name="WEIGHT_B2__Column_TC1">#REF!</definedName>
    <definedName name="WEIGHT_B2__Column_TC2">#REF!</definedName>
    <definedName name="WEIGHT_B2__Column_TC3">#REF!</definedName>
    <definedName name="WEIGHT_B2__Column_TC4">#REF!</definedName>
    <definedName name="WEIGHT_B2__Column_TC5">#REF!</definedName>
    <definedName name="WEIGHT_B2__FOH_Circulation_">#REF!</definedName>
    <definedName name="WEIGHT_B2__GIFA_">#REF!</definedName>
    <definedName name="WEIGHT_B2__Loading__Unloading_Area">#REF!</definedName>
    <definedName name="WEIGHT_B2__RW1_400">#REF!</definedName>
    <definedName name="WEIGHT_B2__RW2_600">#REF!</definedName>
    <definedName name="WEIGHT_B2__Stairs_">#REF!</definedName>
    <definedName name="WEIGHT_B2__TW1_250">#REF!</definedName>
    <definedName name="WEIGHT_B2__TW2_200">#REF!</definedName>
    <definedName name="WEIGHT_B2__TW3_300">#REF!</definedName>
    <definedName name="WEIGHT_B2__TW3_400">#REF!</definedName>
    <definedName name="WEIGHT_B2__TW4_500">#REF!</definedName>
    <definedName name="WEIGHT_B2__TW4_600">#REF!</definedName>
    <definedName name="WEIGHT_B2__Voids_">#REF!</definedName>
    <definedName name="WEIGHT_B2__W1__300">#REF!</definedName>
    <definedName name="WEIGHT_B2__W1__300_Door_Overhead">#REF!</definedName>
    <definedName name="WEIGHT_B2_BOH">#REF!</definedName>
    <definedName name="WEIGHT_B2_BOH___Services_Area" localSheetId="1">#REF!</definedName>
    <definedName name="WEIGHT_B2_BOH___Services_Area">#REF!</definedName>
    <definedName name="WEIGHT_B2_BOH_Area" localSheetId="1">#REF!</definedName>
    <definedName name="WEIGHT_B2_BOH_Area">#REF!</definedName>
    <definedName name="WEIGHT_B2_Car_Park" localSheetId="1">#REF!</definedName>
    <definedName name="WEIGHT_B2_Car_Park">#REF!</definedName>
    <definedName name="WEIGHT_B2_Dirty_Room" localSheetId="1">#REF!</definedName>
    <definedName name="WEIGHT_B2_Dirty_Room">#REF!</definedName>
    <definedName name="WEIGHT_B2_Double_Internal_Doors__BOH_" localSheetId="1">#REF!</definedName>
    <definedName name="WEIGHT_B2_Double_Internal_Doors__BOH_">#REF!</definedName>
    <definedName name="WEIGHT_B2_Double_Internal_Doors__FOH_" localSheetId="1">#REF!</definedName>
    <definedName name="WEIGHT_B2_Double_Internal_Doors__FOH_">#REF!</definedName>
    <definedName name="WEIGHT_B2_FOH" localSheetId="1">#REF!</definedName>
    <definedName name="WEIGHT_B2_FOH">#REF!</definedName>
    <definedName name="WEIGHT_B2_GIFA">#REF!</definedName>
    <definedName name="WEIGHT_B2_Kitchen" localSheetId="1">#REF!</definedName>
    <definedName name="WEIGHT_B2_Kitchen">#REF!</definedName>
    <definedName name="WEIGHT_B2_Lift_Shaft" localSheetId="1">#REF!</definedName>
    <definedName name="WEIGHT_B2_Lift_Shaft">#REF!</definedName>
    <definedName name="WEIGHT_B2_MEP_Area" localSheetId="1">#REF!</definedName>
    <definedName name="WEIGHT_B2_MEP_Area">#REF!</definedName>
    <definedName name="WEIGHT_B2_Raft_2500">#REF!</definedName>
    <definedName name="WEIGHT_B2_Raft_600">#REF!</definedName>
    <definedName name="WEIGHT_B2_Services_Core">#REF!</definedName>
    <definedName name="WEIGHT_B2_Single_Internal_Doors__BOH_">#REF!</definedName>
    <definedName name="WEIGHT_B2_Staircase" localSheetId="1">#REF!</definedName>
    <definedName name="WEIGHT_B2_Staircase">#REF!</definedName>
    <definedName name="WEIGHT_B2_Stairs" localSheetId="1">#REF!</definedName>
    <definedName name="WEIGHT_B2_Stairs">#REF!</definedName>
    <definedName name="WEIGHT_B2_Voids" localSheetId="1">#REF!</definedName>
    <definedName name="WEIGHT_B2_Voids">#REF!</definedName>
    <definedName name="WEIGHT_B3_Beams" localSheetId="1">#REF!</definedName>
    <definedName name="WEIGHT_B3_Beams">#REF!</definedName>
    <definedName name="WEIGHT_B3_Wall">#REF!</definedName>
    <definedName name="WEIGHT_B3_Wall_Link">#REF!</definedName>
    <definedName name="WEIGHT_B4_Beams">#REF!</definedName>
    <definedName name="WEIGHT_B4_Tower_Wall___same_as_B5">#REF!</definedName>
    <definedName name="WEIGHT_B4_Wall_Length">#REF!</definedName>
    <definedName name="WEIGHT_B4_Wall_Link">#REF!</definedName>
    <definedName name="WEIGHT_B5_Beams">#REF!</definedName>
    <definedName name="WEIGHT_B5_Tower_Wall">#REF!</definedName>
    <definedName name="WEIGHT_B5_Wall_Length">#REF!</definedName>
    <definedName name="WEIGHT_B5_Wall_Link">#REF!</definedName>
    <definedName name="WEIGHT_B6_Beams">#REF!</definedName>
    <definedName name="WEIGHT_B7_Tower_Wall">#REF!</definedName>
    <definedName name="WEIGHT_B7_Wall_Length">#REF!</definedName>
    <definedName name="WEIGHT_B7_Wall_Link">#REF!</definedName>
    <definedName name="WEIGHT_Balconies_Entry">#REF!</definedName>
    <definedName name="WEIGHT_Balcony_Drain">#REF!</definedName>
    <definedName name="WEIGHT_Bib_Tap">#REF!</definedName>
    <definedName name="WEIGHT_BOH__GF_">#REF!</definedName>
    <definedName name="WEIGHT_BOH__Podium_1_">#REF!</definedName>
    <definedName name="WEIGHT_BOH__Podium_2_">#REF!</definedName>
    <definedName name="WEIGHT_BOH__Roof_">#REF!</definedName>
    <definedName name="WEIGHT_BOH_areas__lvl_1_">#REF!</definedName>
    <definedName name="WEIGHT_BOH_areas__lvl_2_">#REF!</definedName>
    <definedName name="WEIGHT_BOH_areas__lvl_3_">#REF!</definedName>
    <definedName name="WEIGHT_BUA">#REF!</definedName>
    <definedName name="WEIGHT_Bypass_Valve__Normally_Closed_">#REF!</definedName>
    <definedName name="WEIGHT_Cable_Foundation_Length">#REF!</definedName>
    <definedName name="WEIGHT_Cable_raft">#REF!</definedName>
    <definedName name="WEIGHT_Cable_Retaining_wall">#REF!</definedName>
    <definedName name="WEIGHT_Cable_Waterproofing">#REF!</definedName>
    <definedName name="Weight_Cap">#REF!</definedName>
    <definedName name="WEIGHT_capping" localSheetId="1">#REF!</definedName>
    <definedName name="WEIGHT_capping">#REF!</definedName>
    <definedName name="WEIGHT_Car_Park__Podium_1_">#REF!</definedName>
    <definedName name="WEIGHT_Car_Park__Podium_2_">#REF!</definedName>
    <definedName name="WEIGHT_Car_Parking__lvl_1_">#REF!</definedName>
    <definedName name="WEIGHT_Conference_Centre">#REF!</definedName>
    <definedName name="WEIGHT_Counterweight">#REF!</definedName>
    <definedName name="WEIGHT_DP1_3000x3000x350">#REF!</definedName>
    <definedName name="WEIGHT_DP11_3250x1750x350">#REF!</definedName>
    <definedName name="WEIGHT_DP2_3000x1750x350">#REF!</definedName>
    <definedName name="WEIGHT_DP3_3500x1900x350">#REF!</definedName>
    <definedName name="WEIGHT_DP5_3000x3000x400">#REF!</definedName>
    <definedName name="WEIGHT_DP6_6500x4000x550">#REF!</definedName>
    <definedName name="WEIGHT_DP7_3500x1900x400">#REF!</definedName>
    <definedName name="WEIGHT_Entrance_lobby__GF_">#REF!</definedName>
    <definedName name="WEIGHT_External_areas__lvl_2_">#REF!</definedName>
    <definedName name="WEIGHT_External_areas__Roof_">#REF!</definedName>
    <definedName name="WEIGHT_External_Doors__AL_01">#REF!</definedName>
    <definedName name="WEIGHT_External_Doors__AL_02">#REF!</definedName>
    <definedName name="WEIGHT_External_Doors__AL_03">#REF!</definedName>
    <definedName name="WEIGHT_External_Doors__AL_04">#REF!</definedName>
    <definedName name="WEIGHT_External_Doors__AL_05">#REF!</definedName>
    <definedName name="WEIGHT_External_Doors__D_01">#REF!</definedName>
    <definedName name="WEIGHT_External_Doors__D_02">#REF!</definedName>
    <definedName name="WEIGHT_External_Doors__D_05">#REF!</definedName>
    <definedName name="WEIGHT_External_Doors__Threshold">#REF!</definedName>
    <definedName name="WEIGHT_External_Floor_Finishes__Interlocking_Paving">#REF!</definedName>
    <definedName name="WEIGHT_External_Wall__Blockwork___BW_2">#REF!</definedName>
    <definedName name="WEIGHT_External_Wall__Blockwork___BW_3">#REF!</definedName>
    <definedName name="WEIGHT_External_Wall__Blockwork___BW_4">#REF!</definedName>
    <definedName name="WEIGHT_External_Wall_Finishes__50mm_thk_insulation">#REF!</definedName>
    <definedName name="WEIGHT_External_Wall_finishes__Cast_Aluminium_handrail___Balustrade">#REF!</definedName>
    <definedName name="WEIGHT_External_Wall_Finishes__Cement_render___Paint">#REF!</definedName>
    <definedName name="WEIGHT_External_Wall_finishes__Elevation_projection_with_painted_finish">#REF!</definedName>
    <definedName name="WEIGHT_External_Wall_Finishes__Skirting">#REF!</definedName>
    <definedName name="WEIGHT_External_Wall_finishes__Soffits">#REF!</definedName>
    <definedName name="WEIGHT_External_Window__GL_01">#REF!</definedName>
    <definedName name="WEIGHT_External_Window__GL_02">#REF!</definedName>
    <definedName name="WEIGHT_External_Window__GL_02_a">#REF!</definedName>
    <definedName name="WEIGHT_External_Window__GL_03">#REF!</definedName>
    <definedName name="WEIGHT_External_Window__GL_04">#REF!</definedName>
    <definedName name="WEIGHT_External_Window__GL_05">#REF!</definedName>
    <definedName name="WEIGHT_External_Window__GL_06">#REF!</definedName>
    <definedName name="WEIGHT_External_Window__GL_07">#REF!</definedName>
    <definedName name="WEIGHT_External_Window__GL_08">#REF!</definedName>
    <definedName name="WEIGHT_External_Window__GL_16">#REF!</definedName>
    <definedName name="WEIGHT_External_Window__GL_18">#REF!</definedName>
    <definedName name="WEIGHT_External_Window__GL_19">#REF!</definedName>
    <definedName name="WEIGHT_External_Window__GL_19_a">#REF!</definedName>
    <definedName name="WEIGHT_External_Window__GL_20">#REF!</definedName>
    <definedName name="WEIGHT_External_Window__GL_21">#REF!</definedName>
    <definedName name="WEIGHT_External_Window__GL_22">#REF!</definedName>
    <definedName name="WEIGHT_External_Window__GL_23">#REF!</definedName>
    <definedName name="WEIGHT_External_Window__GL_24">#REF!</definedName>
    <definedName name="WEIGHT_External_Window__GL_25">#REF!</definedName>
    <definedName name="WEIGHT_Fence">#REF!</definedName>
    <definedName name="WEIGHT_Floor_Plate___B1_Mezzanine">#REF!</definedName>
    <definedName name="WEIGHT_Floor_Plate___Basement_1">#REF!</definedName>
    <definedName name="WEIGHT_Floor_Plate___Basement_2">#REF!</definedName>
    <definedName name="WEIGHT_Floor_Plate___First_Floor">#REF!</definedName>
    <definedName name="WEIGHT_Floor_Plate___Fourth_Floor">#REF!</definedName>
    <definedName name="WEIGHT_Floor_Plate___Ground_Floor">#REF!</definedName>
    <definedName name="WEIGHT_Floor_Plate___Mezanine_Floor">#REF!</definedName>
    <definedName name="WEIGHT_Floor_Plate___Second_Floor">#REF!</definedName>
    <definedName name="WEIGHT_Floor_Plate___Third_Floor">#REF!</definedName>
    <definedName name="WEIGHT_FOH_areas__GF_">#REF!</definedName>
    <definedName name="WEIGHT_FOH_Areas__Roof_">#REF!</definedName>
    <definedName name="WEIGHT_FOH_Circulation__GF_">#REF!</definedName>
    <definedName name="WEIGHT_FOH_circulation__lvl_1_">#REF!</definedName>
    <definedName name="WEIGHT_FOH_circulation__lvl_2_">#REF!</definedName>
    <definedName name="WEIGHT_FOH_Circulation__lvl_3_">#REF!</definedName>
    <definedName name="WEIGHT_FOH_Circulation__Podium_1_">#REF!</definedName>
    <definedName name="WEIGHT_FOH_Circulation__Podium_2_">#REF!</definedName>
    <definedName name="WEIGHT_FOH_Circulation__Roof_">#REF!</definedName>
    <definedName name="WEIGHT_FP_A_00AF">#REF!</definedName>
    <definedName name="WEIGHT_FP_A_01F">#REF!</definedName>
    <definedName name="WEIGHT_FP_A_02F___4F">#REF!</definedName>
    <definedName name="WEIGHT_FP_A_03F">#REF!</definedName>
    <definedName name="WEIGHT_FP_A_05F">#REF!</definedName>
    <definedName name="WEIGHT_FP_A_06F">#REF!</definedName>
    <definedName name="WEIGHT_FP_A_07F">#REF!</definedName>
    <definedName name="WEIGHT_FP_A_08F___10F">#REF!</definedName>
    <definedName name="WEIGHT_FP_A_09F">#REF!</definedName>
    <definedName name="WEIGHT_FP_A_11F_to_29F_alt_">#REF!</definedName>
    <definedName name="WEIGHT_FP_A_12F_to_30F_alt_">#REF!</definedName>
    <definedName name="WEIGHT_FP_A_31F">#REF!</definedName>
    <definedName name="WEIGHT_FP_A_32F">#REF!</definedName>
    <definedName name="WEIGHT_FP_A_33RF__">#REF!</definedName>
    <definedName name="WEIGHT_FP_A_34uRF__">#REF!</definedName>
    <definedName name="WEIGHT_FP_A_35uRF__">#REF!</definedName>
    <definedName name="WEIGHT_FP_B_00BF_1">#REF!</definedName>
    <definedName name="WEIGHT_FP_B_00BF_1_intermediate">#REF!</definedName>
    <definedName name="WEIGHT_FP_B_00BF_2">#REF!</definedName>
    <definedName name="WEIGHT_FP_B_00GF">#REF!</definedName>
    <definedName name="WEIGHT_FP_B_00MF">#REF!</definedName>
    <definedName name="WEIGHT_FP_B_00PF___1">#REF!</definedName>
    <definedName name="WEIGHT_FP_B_00PF___2">#REF!</definedName>
    <definedName name="WEIGHT_FP_B_00PF___3">#REF!</definedName>
    <definedName name="WEIGHT_FS01">#REF!</definedName>
    <definedName name="WEIGHT_FS01_1B">#REF!</definedName>
    <definedName name="WEIGHT_FS01_1C">#REF!</definedName>
    <definedName name="WEIGHT_FS012_1B2">#REF!</definedName>
    <definedName name="WEIGHT_FS02_1A">#REF!</definedName>
    <definedName name="WEIGHT_FS02_1B">#REF!</definedName>
    <definedName name="WEIGHT_FS02_1B_RF">#REF!</definedName>
    <definedName name="WEIGHT_FS02_1B1">#REF!</definedName>
    <definedName name="WEIGHT_FS02_1C">#REF!</definedName>
    <definedName name="WEIGHT_FS02_1C1">#REF!</definedName>
    <definedName name="WEIGHT_FS03_1A">#REF!</definedName>
    <definedName name="WEIGHT_FS03_1B">#REF!</definedName>
    <definedName name="WEIGHT_FS03_1C">#REF!</definedName>
    <definedName name="WEIGHT_FS04">#REF!</definedName>
    <definedName name="WEIGHT_FS04_1A">#REF!</definedName>
    <definedName name="WEIGHT_FS04_1B">#REF!</definedName>
    <definedName name="WEIGHT_FS04_1B1">#REF!</definedName>
    <definedName name="WEIGHT_FS04_1B2">#REF!</definedName>
    <definedName name="WEIGHT_FS04_1C">#REF!</definedName>
    <definedName name="WEIGHT_FS04_1C1">#REF!</definedName>
    <definedName name="WEIGHT_FS04_1C2">#REF!</definedName>
    <definedName name="WEIGHT_FS04_Rail">#REF!</definedName>
    <definedName name="WEIGHT_FS05_1A">#REF!</definedName>
    <definedName name="WEIGHT_FS05_1A_RF">#REF!</definedName>
    <definedName name="WEIGHT_FS05_1B">#REF!</definedName>
    <definedName name="WEIGHT_FS05_1B1">#REF!</definedName>
    <definedName name="WEIGHT_FS05_1B2">#REF!</definedName>
    <definedName name="WEIGHT_FS05_1C">#REF!</definedName>
    <definedName name="WEIGHT_FS05_1C_RF">#REF!</definedName>
    <definedName name="WEIGHT_FS05_1C1">#REF!</definedName>
    <definedName name="WEIGHT_FS05_1C2">#REF!</definedName>
    <definedName name="WEIGHT_FS05_GARDEN">#REF!</definedName>
    <definedName name="WEIGHT_FS05_GARDEN_1C">#REF!</definedName>
    <definedName name="WEIGHT_FS05_IB_RF">#REF!</definedName>
    <definedName name="WEIGHT_FS06_1A">#REF!</definedName>
    <definedName name="WEIGHT_FS06_1C_RF">#REF!</definedName>
    <definedName name="WEIGHT_FS06_RF">#REF!</definedName>
    <definedName name="WEIGHT_FS06_Skybridge">#REF!</definedName>
    <definedName name="WEIGHT_FS07_1B1">#REF!</definedName>
    <definedName name="WEIGHT_FS07_1C">#REF!</definedName>
    <definedName name="WEIGHT_FS11_1B1">#REF!</definedName>
    <definedName name="WEIGHT_FS11_1B2">#REF!</definedName>
    <definedName name="WEIGHT_FS11_1C1">#REF!</definedName>
    <definedName name="WEIGHT_FS11_1C2">#REF!</definedName>
    <definedName name="WEIGHT_FS12_1C2">#REF!</definedName>
    <definedName name="WEIGHT_FS12_IC_RF">#REF!</definedName>
    <definedName name="WEIGHT_FS12_RAIL_1C">#REF!</definedName>
    <definedName name="WEIGHT_FS12_RAIL_RF">#REF!</definedName>
    <definedName name="WEIGHT_FS12_RF">#REF!</definedName>
    <definedName name="WEIGHT_Garage">#REF!</definedName>
    <definedName name="WEIGHT_Garden">#REF!</definedName>
    <definedName name="WEIGHT_GF">#REF!</definedName>
    <definedName name="WEIGHT_GF___BOH____General_areas">#REF!</definedName>
    <definedName name="WEIGHT_GF___BOH___Admin_Support">#REF!</definedName>
    <definedName name="WEIGHT_GF___BOH___Boiler_Room">#REF!</definedName>
    <definedName name="WEIGHT_GF___BOH___Ducts">#REF!</definedName>
    <definedName name="WEIGHT_GF___BOH___Executive_Offices">#REF!</definedName>
    <definedName name="WEIGHT_GF___BOH___Fire_Escape_Stairs">#REF!</definedName>
    <definedName name="WEIGHT_GF___BOH___Front_Desk">#REF!</definedName>
    <definedName name="WEIGHT_GF___BOH___Front_Office_Devision">#REF!</definedName>
    <definedName name="WEIGHT_GF___BOH___Guest_Core">#REF!</definedName>
    <definedName name="WEIGHT_GF___BOH___Guest_Core_ducts">#REF!</definedName>
    <definedName name="WEIGHT_GF___BOH___Guest_Core_lift_shafts">#REF!</definedName>
    <definedName name="WEIGHT_GF___BOH___Lobby_Bar_Pantry">#REF!</definedName>
    <definedName name="WEIGHT_GF___BOH___Luggage">#REF!</definedName>
    <definedName name="WEIGHT_GF___BOH___Prayer_Rooms">#REF!</definedName>
    <definedName name="WEIGHT_GF___BOH___Sales_Offices">#REF!</definedName>
    <definedName name="WEIGHT_GF___BOH___Security_and_Valet">#REF!</definedName>
    <definedName name="WEIGHT_GF___BOH___Service_Core">#REF!</definedName>
    <definedName name="WEIGHT_GF___BOH___Service_Core_ducts">#REF!</definedName>
    <definedName name="WEIGHT_GF___BOH___Staff_Core">#REF!</definedName>
    <definedName name="WEIGHT_GF___BOH___Staff_Core_lift_shafts">#REF!</definedName>
    <definedName name="WEIGHT_GF___Double_Volume_internal_Reception">#REF!</definedName>
    <definedName name="WEIGHT_GF___FOH___Circulation">#REF!</definedName>
    <definedName name="WEIGHT_GF___FOH___Guest_Circulation">#REF!</definedName>
    <definedName name="WEIGHT_GF___FOH___Guestroom_Terrace">#REF!</definedName>
    <definedName name="WEIGHT_GF___FOH___Guestrooms">#REF!</definedName>
    <definedName name="WEIGHT_GF___FOH___Hotel_Port_Corchere">#REF!</definedName>
    <definedName name="WEIGHT_GF___FOH___Lobby_Bar___Lounge">#REF!</definedName>
    <definedName name="WEIGHT_GF___FOH___Lobby_Bar___Lounge_Toilets">#REF!</definedName>
    <definedName name="WEIGHT_GF___FOH___Reception_and_Lobby_BR_Terrace">#REF!</definedName>
    <definedName name="WEIGHT_GF___FOH___Reception_Lobby">#REF!</definedName>
    <definedName name="WEIGHT_GF___FOH___Speciality_Restaurant_01_Roof_Terrace">#REF!</definedName>
    <definedName name="WEIGHT_GF___FOH___Wind_Lobby">#REF!</definedName>
    <definedName name="WEIGHT_GF__15mm_dia._CWS_Buried_Underground">#REF!</definedName>
    <definedName name="WEIGHT_GF__25mm_dia._CWS_20mm_dia_HSW">#REF!</definedName>
    <definedName name="WEIGHT_GF__32_dia._CWS_Main_Buried_underground">#REF!</definedName>
    <definedName name="WEIGHT_GF__32mm_dia_BCWS_25mm_dia_HWS">#REF!</definedName>
    <definedName name="WEIGHT_GF_Bell_Captain">#REF!</definedName>
    <definedName name="WEIGHT_GF_BOH_Service___Utility_area">#REF!</definedName>
    <definedName name="WEIGHT_GF_BOH_Staircase">#REF!</definedName>
    <definedName name="WEIGHT_GF_Business_Center">#REF!</definedName>
    <definedName name="WEIGHT_GF_Double_Vol._at_Parking_ramp__2.5m_high_">#REF!</definedName>
    <definedName name="WEIGHT_GF_Double_Volume">#REF!</definedName>
    <definedName name="WEIGHT_GF_ENT._LOBBY_TO_LUGGAGE_BELL_CAPT">#REF!</definedName>
    <definedName name="WEIGHT_GF_External_Double_doors__FOH_">#REF!</definedName>
    <definedName name="WEIGHT_GF_External_Revolving_doors__FOH_">#REF!</definedName>
    <definedName name="WEIGHT_GF_External_Single_doors__BOH_">#REF!</definedName>
    <definedName name="WEIGHT_GF_External_Single_doors__FOH_">#REF!</definedName>
    <definedName name="WEIGHT_GF_FOH_Circulation_Area">#REF!</definedName>
    <definedName name="WEIGHT_GF_FOH_Staircase">#REF!</definedName>
    <definedName name="WEIGHT_GF_Front_Office">#REF!</definedName>
    <definedName name="WEIGHT_GF_Guest_Core">#REF!</definedName>
    <definedName name="WEIGHT_GF_Guest_Rooms">#REF!</definedName>
    <definedName name="WEIGHT_GF_HGR_BOH">#REF!</definedName>
    <definedName name="WEIGHT_GF_HGR_Circulation">#REF!</definedName>
    <definedName name="WEIGHT_GF_HGR_Covered_Balcony">#REF!</definedName>
    <definedName name="WEIGHT_GF_HGR_Fire_Staircase">#REF!</definedName>
    <definedName name="WEIGHT_GF_Internal_Single_doors__BOH_">#REF!</definedName>
    <definedName name="WEIGHT_GF_Internal_Single_doors__FOH_">#REF!</definedName>
    <definedName name="WEIGHT_GF_Lift_Shaft">#REF!</definedName>
    <definedName name="WEIGHT_GF_Lobby_Bar">#REF!</definedName>
    <definedName name="WEIGHT_GF_Lobby_Lounge">#REF!</definedName>
    <definedName name="WEIGHT_GF_Lobby_Lounge_pantry">#REF!</definedName>
    <definedName name="WEIGHT_GF_Luggage_Room">#REF!</definedName>
    <definedName name="WEIGHT_GF_MEP_Area">#REF!</definedName>
    <definedName name="WEIGHT_GF_Prayer_Room">#REF!</definedName>
    <definedName name="WEIGHT_GF_Public_Toilets">#REF!</definedName>
    <definedName name="WEIGHT_GF_Ramp_B1_to_GF">#REF!</definedName>
    <definedName name="WEIGHT_GF_Ramp_GF_to_B1">#REF!</definedName>
    <definedName name="WEIGHT_GF_Reception">#REF!</definedName>
    <definedName name="WEIGHT_GF_Roller_shutter_doors__BOH_">#REF!</definedName>
    <definedName name="WEIGHT_GF_Service_Core">#REF!</definedName>
    <definedName name="WEIGHT_GF_Toilet_cubicle_doors">#REF!</definedName>
    <definedName name="WEIGHT_GF_Toilet_to_Prayer_rooms">#REF!</definedName>
    <definedName name="WEIGHT_GF_Voids_Dead_areas">#REF!</definedName>
    <definedName name="WEIGHT_GFA">#REF!</definedName>
    <definedName name="WEIGHT_GFA__GF_">#REF!</definedName>
    <definedName name="WEIGHT_GFA__lvl_1_">#REF!</definedName>
    <definedName name="WEIGHT_GFA__lvl_2_">#REF!</definedName>
    <definedName name="WEIGHT_GFA__lvl_3_">#REF!</definedName>
    <definedName name="WEIGHT_GFA__Podium_1_">#REF!</definedName>
    <definedName name="WEIGHT_GFA__Podium_2_">#REF!</definedName>
    <definedName name="WEIGHT_GFA__Roof_">#REF!</definedName>
    <definedName name="WEIGHT_GIFA">#REF!</definedName>
    <definedName name="WEIGHT_GIFA__GF_">#REF!</definedName>
    <definedName name="WEIGHT_GIFA__lvl_1_">#REF!</definedName>
    <definedName name="WEIGHT_GIFA__lvl_2_">#REF!</definedName>
    <definedName name="WEIGHT_GIFA__Podium_1_">#REF!</definedName>
    <definedName name="WEIGHT_GIFA__Podium_2_">#REF!</definedName>
    <definedName name="WEIGHT_GIFA__Roof_">#REF!</definedName>
    <definedName name="WEIGHT_GR7__Skirting___Blacken_Steel_Finish">#REF!</definedName>
    <definedName name="WEIGHT_GR7__Skirting___Stone_finish">#REF!</definedName>
    <definedName name="WEIGHT_GR7__Skirting___Threshold">#REF!</definedName>
    <definedName name="WEIGHT_GR7__Skirting___Timber_Finish">#REF!</definedName>
    <definedName name="WEIGHT_GR7__Sliding_Door">#REF!</definedName>
    <definedName name="WEIGHT_GR7__Wall_Finishes___Back_Lit_Screne">#REF!</definedName>
    <definedName name="WEIGHT_GR7__Wall_Finishes___Blacken_Steel_Panel">#REF!</definedName>
    <definedName name="WEIGHT_GR7__Wall_Finishes___Dark_Mirror_Finish_w_b">#REF!</definedName>
    <definedName name="WEIGHT_GR7__Wall_Finishes___Glass_Panel">#REF!</definedName>
    <definedName name="WEIGHT_GR7__Wall_Finishes___Leather_Panel_with_double_stitch">#REF!</definedName>
    <definedName name="WEIGHT_GR7__Wall_Finishes___Mirror_Column">#REF!</definedName>
    <definedName name="WEIGHT_GR7__Wall_Finishes___Painted_Finish">#REF!</definedName>
    <definedName name="WEIGHT_GR7__Wall_Finishes___Wall_Stone_Finish">#REF!</definedName>
    <definedName name="WEIGHT_GR8__100mm_thk_hollow_block">#REF!</definedName>
    <definedName name="WEIGHT_GR8__150mm_thk_hollow_block">#REF!</definedName>
    <definedName name="WEIGHT_GR8__Balistrade___Handrail">#REF!</definedName>
    <definedName name="WEIGHT_GR8__Ceiling_Finishes___Dropped_Ceiling">#REF!</definedName>
    <definedName name="WEIGHT_GR8__Ceiling_Finishes___False_Celining">#REF!</definedName>
    <definedName name="WEIGHT_GR8__FF_E_Fixed">#REF!</definedName>
    <definedName name="WEIGHT_GR8__FF_E_Loose">#REF!</definedName>
    <definedName name="WEIGHT_GR8__Floor_Finishes___Stone">#REF!</definedName>
    <definedName name="WEIGHT_GR8__Sanitary_Ware">#REF!</definedName>
    <definedName name="WEIGHT_GR8__Single_Doors">#REF!</definedName>
    <definedName name="WEIGHT_GR8__Skirting___Blacken_Steel_Finish">#REF!</definedName>
    <definedName name="WEIGHT_GR8__Skirting___Stone_finish">#REF!</definedName>
    <definedName name="WEIGHT_GR8__Skirting___Threshold">#REF!</definedName>
    <definedName name="WEIGHT_GR8__Skirting___Timber_Finish">#REF!</definedName>
    <definedName name="WEIGHT_GR8__Wall_Finishes___Blacken_Steel_Panel">#REF!</definedName>
    <definedName name="WEIGHT_GR8__Wall_Finishes___Full_Height_Glass">#REF!</definedName>
    <definedName name="WEIGHT_GR8__Wall_Finishes___Glass_Panel">#REF!</definedName>
    <definedName name="WEIGHT_GR8__Wall_Finishes___Mirror_cladded_Column">#REF!</definedName>
    <definedName name="WEIGHT_GR8__Wall_Finishes___Painted_Finish">#REF!</definedName>
    <definedName name="WEIGHT_GR8__Wall_Finishes___Tiled_Finish">#REF!</definedName>
    <definedName name="WEIGHT_GR8__Wall_Finishes___Wall_Stone_Finish">#REF!</definedName>
    <definedName name="WEIGHT_GR9__150mm_hollow_Block_Wall">#REF!</definedName>
    <definedName name="WEIGHT_GR9__Ceiling_Finishes___Dropped_Ceiling">#REF!</definedName>
    <definedName name="WEIGHT_GR9__Ceiling_Finishes___False_Ceiling">#REF!</definedName>
    <definedName name="WEIGHT_GR9__FF_E_Fixed">#REF!</definedName>
    <definedName name="WEIGHT_GR9__FF_E_Loose">#REF!</definedName>
    <definedName name="WEIGHT_GR9__Floor_Finishes___Ceramic_Tile">#REF!</definedName>
    <definedName name="WEIGHT_GR9__Floor_Finishes___Stone">#REF!</definedName>
    <definedName name="WEIGHT_GR9__Sanitary_Ware">#REF!</definedName>
    <definedName name="WEIGHT_GR9__Skirting___Blacken_Steel_Finish">#REF!</definedName>
    <definedName name="WEIGHT_GR9__Skirting___Stone_finish">#REF!</definedName>
    <definedName name="WEIGHT_GR9__Skirting___Threshold">#REF!</definedName>
    <definedName name="WEIGHT_GR9__Skirting___Timber_Finish">#REF!</definedName>
    <definedName name="WEIGHT_GR9__Wall_Finishes___Blacken_Steel_Panel">#REF!</definedName>
    <definedName name="WEIGHT_GR9__Wall_Finishes___Dark_Mirror_Finish_w_b">#REF!</definedName>
    <definedName name="WEIGHT_GR9__Wall_Finishes___Full_Height_Glass">#REF!</definedName>
    <definedName name="WEIGHT_GR9__Wall_Finishes___Glass_Panel">#REF!</definedName>
    <definedName name="WEIGHT_GR9__Wall_Finishes___Leather_Panel_with_double_stitch">#REF!</definedName>
    <definedName name="WEIGHT_GR9__Wall_Finishes___Mirror_Column">#REF!</definedName>
    <definedName name="WEIGHT_GR9__Wall_Finishes___Painted_Finish">#REF!</definedName>
    <definedName name="WEIGHT_GR9__Wall_Finishes___Tiled_Finish">#REF!</definedName>
    <definedName name="WEIGHT_GR9__Wall_Finishes___Wall_Stone_Finish">#REF!</definedName>
    <definedName name="WEIGHT_Hotel_F_B__GF_" localSheetId="1">#REF!</definedName>
    <definedName name="WEIGHT_Hotel_F_B__GF_">#REF!</definedName>
    <definedName name="WEIGHT_IA_001mPF_BA_A_U00___lift_lobby">#REF!</definedName>
    <definedName name="WEIGHT_IA_001mPF_BA_A_U00___lift_shaft">#REF!</definedName>
    <definedName name="WEIGHT_IA_001mPF_BB_B_U00___double_vol._e.t.s._rm.">#REF!</definedName>
    <definedName name="WEIGHT_IA_001mPF_BB_B_U00___double_volume">#REF!</definedName>
    <definedName name="WEIGHT_IA_001mPF_BB_B_U00___electrical_rm.">#REF!</definedName>
    <definedName name="WEIGHT_IA_001mPF_BB_B_U00___f.e._stairs">#REF!</definedName>
    <definedName name="WEIGHT_IA_001mPF_BB_B_U00___f.h.c.">#REF!</definedName>
    <definedName name="WEIGHT_IA_001mPF_BB_B_U00___garbage_rm.">#REF!</definedName>
    <definedName name="WEIGHT_IA_001mPF_BB_B_U00___services_trans._area">#REF!</definedName>
    <definedName name="WEIGHT_IA_001mPF_BB_B_U00___shaft">#REF!</definedName>
    <definedName name="WEIGHT_IA_001mPF_BB_B_U00___stair_3">#REF!</definedName>
    <definedName name="WEIGHT_IA_001mPF_BB_B_U00___telephone_rm.">#REF!</definedName>
    <definedName name="WEIGHT_IA_001mPF_BB_B_U00___void">#REF!</definedName>
    <definedName name="WEIGHT_IA_001mPF_BB_C_U00___driveway">#REF!</definedName>
    <definedName name="WEIGHT_IA_001mPF_BB_C_U00___driveway_ramp">#REF!</definedName>
    <definedName name="WEIGHT_IA_001mPF_BB_C_U00___driveway_zebra_lines">#REF!</definedName>
    <definedName name="WEIGHT_IA_001mPF_BB_C_U00___parking_bay">#REF!</definedName>
    <definedName name="WEIGHT_IA_001mPF_BB_C_U00___sidewalk">#REF!</definedName>
    <definedName name="WEIGHT_IA_001mPF_BB_C_U00___sidewalk_ramp">#REF!</definedName>
    <definedName name="WEIGHT_IA_001PF_BA_A_U00___lift_lobby">#REF!</definedName>
    <definedName name="WEIGHT_IA_001PF_BA_A_U00___lift_shaft">#REF!</definedName>
    <definedName name="WEIGHT_IA_001PF_BA_B_U00___electrical_rm.">#REF!</definedName>
    <definedName name="WEIGHT_IA_001PF_BA_B_U00___f.e._stairs">#REF!</definedName>
    <definedName name="WEIGHT_IA_001PF_BA_B_U00___f.h.c.">#REF!</definedName>
    <definedName name="WEIGHT_IA_001PF_BA_B_U00___garbage_rm.">#REF!</definedName>
    <definedName name="WEIGHT_IA_001PF_BA_B_U00___shaft">#REF!</definedName>
    <definedName name="WEIGHT_IA_001PF_BA_B_U00___stair_3">#REF!</definedName>
    <definedName name="WEIGHT_IA_001PF_BA_B_U00___telephone_rm.">#REF!</definedName>
    <definedName name="WEIGHT_IA_001PF_BA_C_U00___driveway">#REF!</definedName>
    <definedName name="WEIGHT_IA_001PF_BA_C_U00___driveway_zebra_line">#REF!</definedName>
    <definedName name="WEIGHT_IA_001PF_BA_C_U00___parking_bay">#REF!</definedName>
    <definedName name="WEIGHT_IA_001PF_BA_C_U00___sidewalk">#REF!</definedName>
    <definedName name="WEIGHT_IA_002PF_BA_A_U00___lift_lobby">#REF!</definedName>
    <definedName name="WEIGHT_IA_002PF_BA_A_U00___lift_shaft">#REF!</definedName>
    <definedName name="WEIGHT_IA_002PF_BA_B_U00___electrical_rm.">#REF!</definedName>
    <definedName name="WEIGHT_IA_002PF_BA_B_U00___f.e._stairs">#REF!</definedName>
    <definedName name="WEIGHT_IA_002PF_BA_B_U00___f.h.c.">#REF!</definedName>
    <definedName name="WEIGHT_IA_002PF_BA_B_U00___garbage_rm.">#REF!</definedName>
    <definedName name="WEIGHT_IA_002PF_BA_B_U00___shaft">#REF!</definedName>
    <definedName name="WEIGHT_IA_002PF_BA_B_U00___stair_3">#REF!</definedName>
    <definedName name="WEIGHT_IA_002PF_BA_B_U00___telephone_rm.">#REF!</definedName>
    <definedName name="WEIGHT_IA_002PF_BA_C_U00___driveway">#REF!</definedName>
    <definedName name="WEIGHT_IA_002PF_BA_C_U00___driveway_zebra_line">#REF!</definedName>
    <definedName name="WEIGHT_IA_002PF_BA_C_U00___parking_bay">#REF!</definedName>
    <definedName name="WEIGHT_IA_002PF_BA_C_U00___sidewalk">#REF!</definedName>
    <definedName name="WEIGHT_IA_003PF_BA_A_U00___lift_lobby">#REF!</definedName>
    <definedName name="WEIGHT_IA_003PF_BA_A_U00___lift_shaft">#REF!</definedName>
    <definedName name="WEIGHT_IA_003PF_BA_B_U00___electrical_rm.">#REF!</definedName>
    <definedName name="WEIGHT_IA_003PF_BA_B_U00___f.e._stairs">#REF!</definedName>
    <definedName name="WEIGHT_IA_003PF_BA_B_U00___f.h.c.">#REF!</definedName>
    <definedName name="WEIGHT_IA_003PF_BA_B_U00___garbage_rm.">#REF!</definedName>
    <definedName name="WEIGHT_IA_003PF_BA_B_U00___plant_rm.">#REF!</definedName>
    <definedName name="WEIGHT_IA_003PF_BA_B_U00___shaft">#REF!</definedName>
    <definedName name="WEIGHT_IA_003PF_BA_B_U00___stair_3">#REF!</definedName>
    <definedName name="WEIGHT_IA_003PF_BA_B_U00___telephone_rm.">#REF!</definedName>
    <definedName name="WEIGHT_IA_003PF_BA_C_U00___driveway">#REF!</definedName>
    <definedName name="WEIGHT_IA_003PF_BA_C_U00___driveway_zebra_line">#REF!</definedName>
    <definedName name="WEIGHT_IA_003PF_BA_C_U00___parking_bay">#REF!</definedName>
    <definedName name="WEIGHT_IA_003PF_BA_C_U00___sidewalk">#REF!</definedName>
    <definedName name="WEIGHT_IA_00AF_AB_U00___cafe">#REF!</definedName>
    <definedName name="WEIGHT_IA_00AF_AB_U00___cafe_pantry">#REF!</definedName>
    <definedName name="WEIGHT_IA_00AF_AB_U00___corridor">#REF!</definedName>
    <definedName name="WEIGHT_IA_00AF_AB_U00___game_rm.">#REF!</definedName>
    <definedName name="WEIGHT_IA_00AF_AB_U00___game_rm._store">#REF!</definedName>
    <definedName name="WEIGHT_IA_00AF_AB_U00___gym_female">#REF!</definedName>
    <definedName name="WEIGHT_IA_00AF_AB_U00___gym_female_lobby">#REF!</definedName>
    <definedName name="WEIGHT_IA_00AF_AB_U00___gym_female_shaft">#REF!</definedName>
    <definedName name="WEIGHT_IA_00AF_AB_U00___gym_female_store">#REF!</definedName>
    <definedName name="WEIGHT_IA_00AF_AB_U00___gym_female_void">#REF!</definedName>
    <definedName name="WEIGHT_IA_00AF_AB_U00___gym_male">#REF!</definedName>
    <definedName name="WEIGHT_IA_00AF_AB_U00___gym_male_lobby">#REF!</definedName>
    <definedName name="WEIGHT_IA_00AF_AB_U00___gym_male_shaft">#REF!</definedName>
    <definedName name="WEIGHT_IA_00AF_AB_U00___gym_male_store">#REF!</definedName>
    <definedName name="WEIGHT_IA_00AF_AB_U00___gym_male_void">#REF!</definedName>
    <definedName name="WEIGHT_IA_00AF_AB_U00___handicap_toi._female">#REF!</definedName>
    <definedName name="WEIGHT_IA_00AF_AB_U00___handicap_toi._male">#REF!</definedName>
    <definedName name="WEIGHT_IA_00AF_AB_U00___lift_lobby">#REF!</definedName>
    <definedName name="WEIGHT_IA_00AF_AB_U00___lift_shaft">#REF!</definedName>
    <definedName name="WEIGHT_IA_00AF_AB_U00___multi_purpose_rm.">#REF!</definedName>
    <definedName name="WEIGHT_IA_00AF_AB_U00___multi_purpose_shaft">#REF!</definedName>
    <definedName name="WEIGHT_IA_00AF_AB_U00___multi_purpose_store">#REF!</definedName>
    <definedName name="WEIGHT_IA_00AF_AB_U00___spa_f._hallway">#REF!</definedName>
    <definedName name="WEIGHT_IA_00AF_AB_U00___spa_f._heater_rm.">#REF!</definedName>
    <definedName name="WEIGHT_IA_00AF_AB_U00___spa_f._lobby">#REF!</definedName>
    <definedName name="WEIGHT_IA_00AF_AB_U00___spa_f._lockers">#REF!</definedName>
    <definedName name="WEIGHT_IA_00AF_AB_U00___spa_f._massage_rm.">#REF!</definedName>
    <definedName name="WEIGHT_IA_00AF_AB_U00___spa_f._rec.">#REF!</definedName>
    <definedName name="WEIGHT_IA_00AF_AB_U00___spa_f._sauna">#REF!</definedName>
    <definedName name="WEIGHT_IA_00AF_AB_U00___spa_f._shaft">#REF!</definedName>
    <definedName name="WEIGHT_IA_00AF_AB_U00___spa_f._shower_toilet">#REF!</definedName>
    <definedName name="WEIGHT_IA_00AF_AB_U00___spa_f._steam_rm.">#REF!</definedName>
    <definedName name="WEIGHT_IA_00AF_AB_U00___spa_m._hallway">#REF!</definedName>
    <definedName name="WEIGHT_IA_00AF_AB_U00___spa_m._heater_rm.">#REF!</definedName>
    <definedName name="WEIGHT_IA_00AF_AB_U00___spa_m._lobby">#REF!</definedName>
    <definedName name="WEIGHT_IA_00AF_AB_U00___spa_m._lockers">#REF!</definedName>
    <definedName name="WEIGHT_IA_00AF_AB_U00___spa_m._massage_rm.">#REF!</definedName>
    <definedName name="WEIGHT_IA_00AF_AB_U00___spa_m._rec.">#REF!</definedName>
    <definedName name="WEIGHT_IA_00AF_AB_U00___spa_m._sauna">#REF!</definedName>
    <definedName name="WEIGHT_IA_00AF_AB_U00___spa_m._shaft">#REF!</definedName>
    <definedName name="WEIGHT_IA_00AF_AB_U00___spa_m._shower_toilet">#REF!</definedName>
    <definedName name="WEIGHT_IA_00AF_AB_U00___spa_m._steam_rm.">#REF!</definedName>
    <definedName name="WEIGHT_IA_00AF_AC_U00___electrical_rm.">#REF!</definedName>
    <definedName name="WEIGHT_IA_00AF_AC_U00___f.e._stair">#REF!</definedName>
    <definedName name="WEIGHT_IA_00AF_AC_U00___fhc">#REF!</definedName>
    <definedName name="WEIGHT_IA_00AF_AC_U00___garbage_rm.">#REF!</definedName>
    <definedName name="WEIGHT_IA_00AF_AC_U00___shaft">#REF!</definedName>
    <definedName name="WEIGHT_IA_00AF_AC_U00___stair_3">#REF!</definedName>
    <definedName name="WEIGHT_IA_00AF_AC_U00___store_rm.">#REF!</definedName>
    <definedName name="WEIGHT_IA_00AF_AC_U00___telephone_rm.">#REF!</definedName>
    <definedName name="WEIGHT_IA_00B1F_BD_B_U00___double_volume">#REF!</definedName>
    <definedName name="WEIGHT_IA_00B1F_BD_B_U00___f.e._stairs">#REF!</definedName>
    <definedName name="WEIGHT_IA_00B1F_BD_B_U00___f.h.c.">#REF!</definedName>
    <definedName name="WEIGHT_IA_00B1F_BD_B_U00___fire_pump_rm.">#REF!</definedName>
    <definedName name="WEIGHT_IA_00B1F_BD_B_U00___lobby_rm.">#REF!</definedName>
    <definedName name="WEIGHT_IA_00B1F_BD_B_U00___lobby_rm._ent.">#REF!</definedName>
    <definedName name="WEIGHT_IA_00B1F_BD_B_U00___shaft">#REF!</definedName>
    <definedName name="WEIGHT_IA_00B1F_BD_B_U00___stair_3">#REF!</definedName>
    <definedName name="WEIGHT_IA_00B1F_BD_B_U00___tech._rm.">#REF!</definedName>
    <definedName name="WEIGHT_IA_00B1F_BD_C_U00___double_volume">#REF!</definedName>
    <definedName name="WEIGHT_IA_00B1F_BD_C_U00___driveway">#REF!</definedName>
    <definedName name="WEIGHT_IA_00B1F_BD_C_U00___driveway_ramp_1">#REF!</definedName>
    <definedName name="WEIGHT_IA_00B1F_BD_C_U00___driveway_zebra_lines">#REF!</definedName>
    <definedName name="WEIGHT_IA_00B1F_BD_C_U00___parking_bay">#REF!</definedName>
    <definedName name="WEIGHT_IA_00B1F_BD_C_U00___sidewalk">#REF!</definedName>
    <definedName name="WEIGHT_IA_00B1F_BD_C_U00___sidewalk_ramp">#REF!</definedName>
    <definedName name="WEIGHT_IA_00B1iF_BD_A_U00___lift_lobby">#REF!</definedName>
    <definedName name="WEIGHT_IA_00B1iF_BD_A_U00___lift_shaft">#REF!</definedName>
    <definedName name="WEIGHT_IA_00B1iF_BD_B_U00___electrical_rm.">#REF!</definedName>
    <definedName name="WEIGHT_IA_00B1iF_BD_B_U00___f.e._stairs">#REF!</definedName>
    <definedName name="WEIGHT_IA_00B1iF_BD_B_U00___f.h.c.">#REF!</definedName>
    <definedName name="WEIGHT_IA_00B1iF_BD_B_U00___l.v._rm.">#REF!</definedName>
    <definedName name="WEIGHT_IA_00B1iF_BD_B_U00___main_tel._rm.">#REF!</definedName>
    <definedName name="WEIGHT_IA_00B1iF_BD_B_U00___shaft">#REF!</definedName>
    <definedName name="WEIGHT_IA_00B1iF_BD_B_U00___stair_4">#REF!</definedName>
    <definedName name="WEIGHT_IA_00B1iF_BD_B_U00___storage_1">#REF!</definedName>
    <definedName name="WEIGHT_IA_00B1iF_BD_B_U00___tech._rm.1">#REF!</definedName>
    <definedName name="WEIGHT_IA_00B1iF_BD_B_U00___tech._rm.2">#REF!</definedName>
    <definedName name="WEIGHT_IA_00B1iF_BD_B_U00___tech._rm.3">#REF!</definedName>
    <definedName name="WEIGHT_IA_00B1iF_BD_B_U00___water_tank_1_double_volume">#REF!</definedName>
    <definedName name="WEIGHT_IA_00B1iF_BD_B_U00___water_tank_2_double_volume">#REF!</definedName>
    <definedName name="WEIGHT_IA_00B1iF_BD_B_U00___water_tank_3_double_volume">#REF!</definedName>
    <definedName name="WEIGHT_IA_00B1iF_BD_B_U00___water_tank_4_double_volume">#REF!</definedName>
    <definedName name="WEIGHT_IA_00B1iF_BD_C_U00___driveway">#REF!</definedName>
    <definedName name="WEIGHT_IA_00B1iF_BD_C_U00___driveway_zebra_lines">#REF!</definedName>
    <definedName name="WEIGHT_IA_00B1iF_BD_C_U00___parking_bay">#REF!</definedName>
    <definedName name="WEIGHT_IA_00B1iF_BD_C_U00___sidewalk">#REF!</definedName>
    <definedName name="WEIGHT_IA_00B2F_BD_A_U00___lift_lobby">#REF!</definedName>
    <definedName name="WEIGHT_IA_00B2F_BD_A_U00___lift_shaft">#REF!</definedName>
    <definedName name="WEIGHT_IA_00B2F_BD_B_U00___electrical_rm.">#REF!</definedName>
    <definedName name="WEIGHT_IA_00B2F_BD_B_U00___f.e._stair">#REF!</definedName>
    <definedName name="WEIGHT_IA_00B2F_BD_B_U00___f.h.c.">#REF!</definedName>
    <definedName name="WEIGHT_IA_00B2F_BD_B_U00___mechanical_rm.1">#REF!</definedName>
    <definedName name="WEIGHT_IA_00B2F_BD_B_U00___pump_rm.">#REF!</definedName>
    <definedName name="WEIGHT_IA_00B2F_BD_B_U00___pump_rm._2">#REF!</definedName>
    <definedName name="WEIGHT_IA_00B2F_BD_B_U00___shaft">#REF!</definedName>
    <definedName name="WEIGHT_IA_00B2F_BD_B_U00___stair_4">#REF!</definedName>
    <definedName name="WEIGHT_IA_00B2F_BD_B_U00___store_rm.1">#REF!</definedName>
    <definedName name="WEIGHT_IA_00B2F_BD_B_U00___store_rm.2">#REF!</definedName>
    <definedName name="WEIGHT_IA_00B2F_BD_B_U00___store_rm.3">#REF!</definedName>
    <definedName name="WEIGHT_IA_00B2F_BD_B_U00___store_rm.4">#REF!</definedName>
    <definedName name="WEIGHT_IA_00B2F_BD_B_U00___store_rm.5">#REF!</definedName>
    <definedName name="WEIGHT_IA_00B2F_BD_B_U00___tech_rm.1">#REF!</definedName>
    <definedName name="WEIGHT_IA_00B2F_BD_B_U00___tech_rm.2">#REF!</definedName>
    <definedName name="WEIGHT_IA_00B2F_BD_B_U00___tech_rm.3">#REF!</definedName>
    <definedName name="WEIGHT_IA_00B2F_BD_B_U00___water_tank__1">#REF!</definedName>
    <definedName name="WEIGHT_IA_00B2F_BD_B_U00___water_tank__2">#REF!</definedName>
    <definedName name="WEIGHT_IA_00B2F_BD_B_U00___water_tank__3">#REF!</definedName>
    <definedName name="WEIGHT_IA_00B2F_BD_B_U00___water_tank__4">#REF!</definedName>
    <definedName name="WEIGHT_IA_00B2F_BD_C_U00___driveway_1">#REF!</definedName>
    <definedName name="WEIGHT_IA_00B2F_BD_C_U00___driveway_1___zebra_line">#REF!</definedName>
    <definedName name="WEIGHT_IA_00B2F_BD_C_U00___parking_bay_1">#REF!</definedName>
    <definedName name="WEIGHT_IA_00B2F_BD_C_U00___sidewalk_1">#REF!</definedName>
    <definedName name="WEIGHT_IA_00BF_BC_A_U00___entrance_lobby">#REF!</definedName>
    <definedName name="WEIGHT_IA_00BF_BC_A_U00___lift_lobby">#REF!</definedName>
    <definedName name="WEIGHT_IA_00BF_BC_A_U00___lift_shaft">#REF!</definedName>
    <definedName name="WEIGHT_IA_00BF_BC_A_U00___main_entrance">#REF!</definedName>
    <definedName name="WEIGHT_IA_00BF_BC_B_U00___b.m.s._rm.">#REF!</definedName>
    <definedName name="WEIGHT_IA_00BF_BC_B_U00___e.t.s_rm.">#REF!</definedName>
    <definedName name="WEIGHT_IA_00BF_BC_B_U00___e.t.s_rm._hallway">#REF!</definedName>
    <definedName name="WEIGHT_IA_00BF_BC_B_U00___e.t.s_rm.1">#REF!</definedName>
    <definedName name="WEIGHT_IA_00BF_BC_B_U00___elect._rm">#REF!</definedName>
    <definedName name="WEIGHT_IA_00BF_BC_B_U00___elect._rm_1">#REF!</definedName>
    <definedName name="WEIGHT_IA_00BF_BC_B_U00___f.e._stair">#REF!</definedName>
    <definedName name="WEIGHT_IA_00BF_BC_B_U00___f.e._stair_corridor">#REF!</definedName>
    <definedName name="WEIGHT_IA_00BF_BC_B_U00___f.e._stair_corridor_lobby">#REF!</definedName>
    <definedName name="WEIGHT_IA_00BF_BC_B_U00___f.h.c.">#REF!</definedName>
    <definedName name="WEIGHT_IA_00BF_BC_B_U00___g.s.m._rm.">#REF!</definedName>
    <definedName name="WEIGHT_IA_00BF_BC_B_U00___garbage_rm.">#REF!</definedName>
    <definedName name="WEIGHT_IA_00BF_BC_B_U00___garbage_rm._ramp">#REF!</definedName>
    <definedName name="WEIGHT_IA_00BF_BC_B_U00___generator_rm.">#REF!</definedName>
    <definedName name="WEIGHT_IA_00BF_BC_B_U00___guard_rm.">#REF!</definedName>
    <definedName name="WEIGHT_IA_00BF_BC_B_U00___guard_rm._toilet">#REF!</definedName>
    <definedName name="WEIGHT_IA_00BF_BC_B_U00___h.v._rm.">#REF!</definedName>
    <definedName name="WEIGHT_IA_00BF_BC_B_U00___platform">#REF!</definedName>
    <definedName name="WEIGHT_IA_00BF_BC_B_U00___shaft">#REF!</definedName>
    <definedName name="WEIGHT_IA_00BF_BC_B_U00___stairs_3">#REF!</definedName>
    <definedName name="WEIGHT_IA_00BF_BC_B_U00___tech._area_1">#REF!</definedName>
    <definedName name="WEIGHT_IA_00BF_BC_B_U00___tech._area_2">#REF!</definedName>
    <definedName name="WEIGHT_IA_00BF_BC_B_U00___tech._area_3">#REF!</definedName>
    <definedName name="WEIGHT_IA_00BF_BC_B_U00___tech._area_3_lobby">#REF!</definedName>
    <definedName name="WEIGHT_IA_00BF_BC_B_U00___tel_rm.">#REF!</definedName>
    <definedName name="WEIGHT_IA_00BF_BC_B_U00___toilet">#REF!</definedName>
    <definedName name="WEIGHT_IA_00BF_BC_B_U00___toilet_female">#REF!</definedName>
    <definedName name="WEIGHT_IA_00BF_BC_B_U00___toilet_lobby">#REF!</definedName>
    <definedName name="WEIGHT_IA_00BF_BC_B_U00___toilet_male">#REF!</definedName>
    <definedName name="WEIGHT_IA_00BF_BC_B_U00___transformer_rm.">#REF!</definedName>
    <definedName name="WEIGHT_IA_00BF_BC_C_U00___double_volume">#REF!</definedName>
    <definedName name="WEIGHT_IA_00BF_BC_C_U00___driveway_1">#REF!</definedName>
    <definedName name="WEIGHT_IA_00BF_BC_C_U00___driveway_ramp">#REF!</definedName>
    <definedName name="WEIGHT_IA_00BF_BC_C_U00___driveway_zebra_line">#REF!</definedName>
    <definedName name="WEIGHT_IA_00BF_BC_C_U00___sidewalk_1">#REF!</definedName>
    <definedName name="WEIGHT_IA_00BF_BC_C_U00___sidewalk_1_ramp">#REF!</definedName>
    <definedName name="WEIGHT_IA_00BF_BC_C_U00___void">#REF!</definedName>
    <definedName name="WEIGHT_IA_01F_AA_U01___BR1_lobby">#REF!</definedName>
    <definedName name="WEIGHT_IA_01F_AA_U01___BR1_rm.">#REF!</definedName>
    <definedName name="WEIGHT_IA_01F_AA_U01___BR1_t_b">#REF!</definedName>
    <definedName name="WEIGHT_IA_01F_AA_U01___BR2_dresser">#REF!</definedName>
    <definedName name="WEIGHT_IA_01F_AA_U01___BR2_lobby">#REF!</definedName>
    <definedName name="WEIGHT_IA_01F_AA_U01___BR2_rm.">#REF!</definedName>
    <definedName name="WEIGHT_IA_01F_AA_U01___BR2_t_b">#REF!</definedName>
    <definedName name="WEIGHT_IA_01F_AA_U01___corridor">#REF!</definedName>
    <definedName name="WEIGHT_IA_01F_AA_U01___foyer">#REF!</definedName>
    <definedName name="WEIGHT_IA_01F_AA_U01___kitchen">#REF!</definedName>
    <definedName name="WEIGHT_IA_01F_AA_U01___living_dining">#REF!</definedName>
    <definedName name="WEIGHT_IA_01F_AA_U01___maids_rm.">#REF!</definedName>
    <definedName name="WEIGHT_IA_01F_AA_U01___maids_toi.">#REF!</definedName>
    <definedName name="WEIGHT_IA_01F_AA_U01___shaft">#REF!</definedName>
    <definedName name="WEIGHT_IA_01F_AA_U01___toilet">#REF!</definedName>
    <definedName name="WEIGHT_IA_01F_AA_U01___utility_rm.">#REF!</definedName>
    <definedName name="WEIGHT_IA_01F_AA_U01___void">#REF!</definedName>
    <definedName name="WEIGHT_IA_01F_AA_U02___BR1_dresser">#REF!</definedName>
    <definedName name="WEIGHT_IA_01F_AA_U02___BR1_rm.">#REF!</definedName>
    <definedName name="WEIGHT_IA_01F_AA_U02___BR1_t_b">#REF!</definedName>
    <definedName name="WEIGHT_IA_01F_AA_U02___BR2_lobby">#REF!</definedName>
    <definedName name="WEIGHT_IA_01F_AA_U02___BR2_rm.">#REF!</definedName>
    <definedName name="WEIGHT_IA_01F_AA_U02___BR2_t_b">#REF!</definedName>
    <definedName name="WEIGHT_IA_01F_AA_U02___corridor">#REF!</definedName>
    <definedName name="WEIGHT_IA_01F_AA_U02___foyer">#REF!</definedName>
    <definedName name="WEIGHT_IA_01F_AA_U02___kitchen">#REF!</definedName>
    <definedName name="WEIGHT_IA_01F_AA_U02___living_dining">#REF!</definedName>
    <definedName name="WEIGHT_IA_01F_AA_U02___maids_rm.">#REF!</definedName>
    <definedName name="WEIGHT_IA_01F_AA_U02___maids_toi.">#REF!</definedName>
    <definedName name="WEIGHT_IA_01F_AA_U02___shaft">#REF!</definedName>
    <definedName name="WEIGHT_IA_01F_AA_U02___toilet">#REF!</definedName>
    <definedName name="WEIGHT_IA_01F_AA_U02___utility_rm.">#REF!</definedName>
    <definedName name="WEIGHT_IA_01F_AA_U02___void">#REF!</definedName>
    <definedName name="WEIGHT_IA_01F_AA_U03___BR1_dresser">#REF!</definedName>
    <definedName name="WEIGHT_IA_01F_AA_U03___BR1_lobby">#REF!</definedName>
    <definedName name="WEIGHT_IA_01F_AA_U03___BR1_rm.">#REF!</definedName>
    <definedName name="WEIGHT_IA_01F_AA_U03___BR1_store">#REF!</definedName>
    <definedName name="WEIGHT_IA_01F_AA_U03___BR1_t_b">#REF!</definedName>
    <definedName name="WEIGHT_IA_01F_AA_U03___foyer">#REF!</definedName>
    <definedName name="WEIGHT_IA_01F_AA_U03___kitchen">#REF!</definedName>
    <definedName name="WEIGHT_IA_01F_AA_U03___living_dining">#REF!</definedName>
    <definedName name="WEIGHT_IA_01F_AA_U03___shaft">#REF!</definedName>
    <definedName name="WEIGHT_IA_01F_AA_U03___storage">#REF!</definedName>
    <definedName name="WEIGHT_IA_01F_AA_U03___toilet">#REF!</definedName>
    <definedName name="WEIGHT_IA_01F_AA_U03___utility_rm.">#REF!</definedName>
    <definedName name="WEIGHT_IA_01F_AA_U03___void">#REF!</definedName>
    <definedName name="WEIGHT_IA_01F_AA_U04___BR1_dresser">#REF!</definedName>
    <definedName name="WEIGHT_IA_01F_AA_U04___BR1_lobby">#REF!</definedName>
    <definedName name="WEIGHT_IA_01F_AA_U04___BR1_rm.">#REF!</definedName>
    <definedName name="WEIGHT_IA_01F_AA_U04___BR1_store">#REF!</definedName>
    <definedName name="WEIGHT_IA_01F_AA_U04___BR1_t_b">#REF!</definedName>
    <definedName name="WEIGHT_IA_01F_AA_U04___foyer">#REF!</definedName>
    <definedName name="WEIGHT_IA_01F_AA_U04___kitchen">#REF!</definedName>
    <definedName name="WEIGHT_IA_01F_AA_U04___living_dining">#REF!</definedName>
    <definedName name="WEIGHT_IA_01F_AA_U04___shaft">#REF!</definedName>
    <definedName name="WEIGHT_IA_01F_AA_U04___storage">#REF!</definedName>
    <definedName name="WEIGHT_IA_01F_AA_U04___toilet">#REF!</definedName>
    <definedName name="WEIGHT_IA_01F_AA_U04___utility_rm.">#REF!</definedName>
    <definedName name="WEIGHT_IA_01F_AA_U04___void">#REF!</definedName>
    <definedName name="WEIGHT_IA_01F_AA_U05___corridor">#REF!</definedName>
    <definedName name="WEIGHT_IA_01F_AA_U05___foyer">#REF!</definedName>
    <definedName name="WEIGHT_IA_01F_AA_U05___kitchen">#REF!</definedName>
    <definedName name="WEIGHT_IA_01F_AA_U05___living_dining">#REF!</definedName>
    <definedName name="WEIGHT_IA_01F_AA_U05___maids_lobby">#REF!</definedName>
    <definedName name="WEIGHT_IA_01F_AA_U05___maids_rm.">#REF!</definedName>
    <definedName name="WEIGHT_IA_01F_AA_U05___maids_toi.">#REF!</definedName>
    <definedName name="WEIGHT_IA_01F_AA_U05___shaft">#REF!</definedName>
    <definedName name="WEIGHT_IA_01F_AA_U05___stairs">#REF!</definedName>
    <definedName name="WEIGHT_IA_01F_AA_U05___toilet">#REF!</definedName>
    <definedName name="WEIGHT_IA_01F_AA_U05___utility_rm.">#REF!</definedName>
    <definedName name="WEIGHT_IA_01F_AA_U06___BR1_lobby">#REF!</definedName>
    <definedName name="WEIGHT_IA_01F_AA_U06___BR1_rm.">#REF!</definedName>
    <definedName name="WEIGHT_IA_01F_AA_U06___BR1_t_b">#REF!</definedName>
    <definedName name="WEIGHT_IA_01F_AA_U06___BR2_dresser">#REF!</definedName>
    <definedName name="WEIGHT_IA_01F_AA_U06___BR2_lobby">#REF!</definedName>
    <definedName name="WEIGHT_IA_01F_AA_U06___BR2_rm.">#REF!</definedName>
    <definedName name="WEIGHT_IA_01F_AA_U06___BR2_t_b">#REF!</definedName>
    <definedName name="WEIGHT_IA_01F_AA_U06___BR3_dresser">#REF!</definedName>
    <definedName name="WEIGHT_IA_01F_AA_U06___BR3_lobby">#REF!</definedName>
    <definedName name="WEIGHT_IA_01F_AA_U06___BR3_rm.">#REF!</definedName>
    <definedName name="WEIGHT_IA_01F_AA_U06___BR3_t_b">#REF!</definedName>
    <definedName name="WEIGHT_IA_01F_AA_U06___corridor">#REF!</definedName>
    <definedName name="WEIGHT_IA_01F_AA_U06___foyer">#REF!</definedName>
    <definedName name="WEIGHT_IA_01F_AA_U06___kitchen">#REF!</definedName>
    <definedName name="WEIGHT_IA_01F_AA_U06___living_dining">#REF!</definedName>
    <definedName name="WEIGHT_IA_01F_AA_U06___maids_rm.">#REF!</definedName>
    <definedName name="WEIGHT_IA_01F_AA_U06___maids_toi.">#REF!</definedName>
    <definedName name="WEIGHT_IA_01F_AA_U06___shaft">#REF!</definedName>
    <definedName name="WEIGHT_IA_01F_AA_U06___toilet">#REF!</definedName>
    <definedName name="WEIGHT_IA_01F_AA_U06___utility_rm.">#REF!</definedName>
    <definedName name="WEIGHT_IA_01F_AB_U00___corridor">#REF!</definedName>
    <definedName name="WEIGHT_IA_01F_AB_U00___lift_lobby">#REF!</definedName>
    <definedName name="WEIGHT_IA_01F_AB_U00___lift_shaft">#REF!</definedName>
    <definedName name="WEIGHT_IA_01F_AC_U00___electrical_rm.">#REF!</definedName>
    <definedName name="WEIGHT_IA_01F_AC_U00___f.e._stair">#REF!</definedName>
    <definedName name="WEIGHT_IA_01F_AC_U00___f.h.c.">#REF!</definedName>
    <definedName name="WEIGHT_IA_01F_AC_U00___garbage_rm.">#REF!</definedName>
    <definedName name="WEIGHT_IA_01F_AC_U00___shaft">#REF!</definedName>
    <definedName name="WEIGHT_IA_01F_AC_U00___telephone_rm.">#REF!</definedName>
    <definedName name="WEIGHT_IA_02F_AA_U01___BR1_lobby">#REF!</definedName>
    <definedName name="WEIGHT_IA_02F_AA_U01___BR1_rm.">#REF!</definedName>
    <definedName name="WEIGHT_IA_02F_AA_U01___BR1_t_b">#REF!</definedName>
    <definedName name="WEIGHT_IA_02F_AA_U01___BR2_dresser">#REF!</definedName>
    <definedName name="WEIGHT_IA_02F_AA_U01___BR2_lobby">#REF!</definedName>
    <definedName name="WEIGHT_IA_02F_AA_U01___BR2_rm.">#REF!</definedName>
    <definedName name="WEIGHT_IA_02F_AA_U01___BR2_t_b">#REF!</definedName>
    <definedName name="WEIGHT_IA_02F_AA_U01___corridor">#REF!</definedName>
    <definedName name="WEIGHT_IA_02F_AA_U01___foyer">#REF!</definedName>
    <definedName name="WEIGHT_IA_02F_AA_U01___kitchen">#REF!</definedName>
    <definedName name="WEIGHT_IA_02F_AA_U01___living_dining">#REF!</definedName>
    <definedName name="WEIGHT_IA_02F_AA_U01___maids_rm.">#REF!</definedName>
    <definedName name="WEIGHT_IA_02F_AA_U01___maids_toi.">#REF!</definedName>
    <definedName name="WEIGHT_IA_02F_AA_U01___shaft">#REF!</definedName>
    <definedName name="WEIGHT_IA_02F_AA_U01___toilet">#REF!</definedName>
    <definedName name="WEIGHT_IA_02F_AA_U01___utility_rm.">#REF!</definedName>
    <definedName name="WEIGHT_IA_02F_AA_U01___void">#REF!</definedName>
    <definedName name="WEIGHT_IA_02F_AA_U02___BR1_dresser">#REF!</definedName>
    <definedName name="WEIGHT_IA_02F_AA_U02___BR1_rm.">#REF!</definedName>
    <definedName name="WEIGHT_IA_02F_AA_U02___BR1_t_b">#REF!</definedName>
    <definedName name="WEIGHT_IA_02F_AA_U02___BR2_lobby">#REF!</definedName>
    <definedName name="WEIGHT_IA_02F_AA_U02___BR2_rm.">#REF!</definedName>
    <definedName name="WEIGHT_IA_02F_AA_U02___BR2_t_b">#REF!</definedName>
    <definedName name="WEIGHT_IA_02F_AA_U02___corridor">#REF!</definedName>
    <definedName name="WEIGHT_IA_02F_AA_U02___foyer">#REF!</definedName>
    <definedName name="WEIGHT_IA_02F_AA_U02___kitchen">#REF!</definedName>
    <definedName name="WEIGHT_IA_02F_AA_U02___living_dining">#REF!</definedName>
    <definedName name="WEIGHT_IA_02F_AA_U02___maids_rm.">#REF!</definedName>
    <definedName name="WEIGHT_IA_02F_AA_U02___maids_toi.">#REF!</definedName>
    <definedName name="WEIGHT_IA_02F_AA_U02___shaft">#REF!</definedName>
    <definedName name="WEIGHT_IA_02F_AA_U02___toilet">#REF!</definedName>
    <definedName name="WEIGHT_IA_02F_AA_U02___utility_rm.">#REF!</definedName>
    <definedName name="WEIGHT_IA_02F_AA_U02___void">#REF!</definedName>
    <definedName name="WEIGHT_IA_02F_AA_U05___BR1_rm.">#REF!</definedName>
    <definedName name="WEIGHT_IA_02F_AA_U05___BR1_t_b">#REF!</definedName>
    <definedName name="WEIGHT_IA_02F_AA_U05___BR2_lobby">#REF!</definedName>
    <definedName name="WEIGHT_IA_02F_AA_U05___BR2_rm.">#REF!</definedName>
    <definedName name="WEIGHT_IA_02F_AA_U05___BR2_t_b">#REF!</definedName>
    <definedName name="WEIGHT_IA_02F_AA_U05___double_vol.">#REF!</definedName>
    <definedName name="WEIGHT_IA_02F_AA_U05___foyer">#REF!</definedName>
    <definedName name="WEIGHT_IA_02F_AA_U05___living_rm.">#REF!</definedName>
    <definedName name="WEIGHT_IA_02F_AA_U05___shaft">#REF!</definedName>
    <definedName name="WEIGHT_IA_02F_AA_U05___stairs">#REF!</definedName>
    <definedName name="WEIGHT_IA_02F_AA_U05___void">#REF!</definedName>
    <definedName name="WEIGHT_IA_02F_AA_U06___BR1_lobby">#REF!</definedName>
    <definedName name="WEIGHT_IA_02F_AA_U06___BR1_rm.">#REF!</definedName>
    <definedName name="WEIGHT_IA_02F_AA_U06___BR1_t_b">#REF!</definedName>
    <definedName name="WEIGHT_IA_02F_AA_U06___BR2_dresser">#REF!</definedName>
    <definedName name="WEIGHT_IA_02F_AA_U06___BR2_lobby">#REF!</definedName>
    <definedName name="WEIGHT_IA_02F_AA_U06___BR2_rm.">#REF!</definedName>
    <definedName name="WEIGHT_IA_02F_AA_U06___BR2_t_b">#REF!</definedName>
    <definedName name="WEIGHT_IA_02F_AA_U06___BR3_dresser">#REF!</definedName>
    <definedName name="WEIGHT_IA_02F_AA_U06___BR3_lobby">#REF!</definedName>
    <definedName name="WEIGHT_IA_02F_AA_U06___BR3_rm.">#REF!</definedName>
    <definedName name="WEIGHT_IA_02F_AA_U06___BR3_t_b">#REF!</definedName>
    <definedName name="WEIGHT_IA_02F_AA_U06___corridor">#REF!</definedName>
    <definedName name="WEIGHT_IA_02F_AA_U06___foyer">#REF!</definedName>
    <definedName name="WEIGHT_IA_02F_AA_U06___kitchen">#REF!</definedName>
    <definedName name="WEIGHT_IA_02F_AA_U06___living_dining">#REF!</definedName>
    <definedName name="WEIGHT_IA_02F_AA_U06___maids_rm.">#REF!</definedName>
    <definedName name="WEIGHT_IA_02F_AA_U06___maids_toi.">#REF!</definedName>
    <definedName name="WEIGHT_IA_02F_AA_U06___shaft">#REF!</definedName>
    <definedName name="WEIGHT_IA_02F_AA_U06___toilet">#REF!</definedName>
    <definedName name="WEIGHT_IA_02F_AA_U06___utility_rm.">#REF!</definedName>
    <definedName name="WEIGHT_IA_03F_AA_U05___corridor">#REF!</definedName>
    <definedName name="WEIGHT_IA_03F_AA_U05___foyer">#REF!</definedName>
    <definedName name="WEIGHT_IA_03F_AA_U05___kitchen">#REF!</definedName>
    <definedName name="WEIGHT_IA_03F_AA_U05___living_dining">#REF!</definedName>
    <definedName name="WEIGHT_IA_03F_AA_U05___maids_lobby">#REF!</definedName>
    <definedName name="WEIGHT_IA_03F_AA_U05___maids_rm.">#REF!</definedName>
    <definedName name="WEIGHT_IA_03F_AA_U05___maids_toi.">#REF!</definedName>
    <definedName name="WEIGHT_IA_03F_AA_U05___shaft">#REF!</definedName>
    <definedName name="WEIGHT_IA_03F_AA_U05___stairs">#REF!</definedName>
    <definedName name="WEIGHT_IA_03F_AA_U05___toilet">#REF!</definedName>
    <definedName name="WEIGHT_IA_03F_AA_U05___utility_rm.">#REF!</definedName>
    <definedName name="WEIGHT_IA_05F_AA_U01___BR1_lobby">#REF!</definedName>
    <definedName name="WEIGHT_IA_05F_AA_U01___BR1_rm.">#REF!</definedName>
    <definedName name="WEIGHT_IA_05F_AA_U01___BR1_t_b">#REF!</definedName>
    <definedName name="WEIGHT_IA_05F_AA_U01___BR2_dresser">#REF!</definedName>
    <definedName name="WEIGHT_IA_05F_AA_U01___BR2_lobby">#REF!</definedName>
    <definedName name="WEIGHT_IA_05F_AA_U01___BR2_rm.">#REF!</definedName>
    <definedName name="WEIGHT_IA_05F_AA_U01___BR2_t_b">#REF!</definedName>
    <definedName name="WEIGHT_IA_05F_AA_U01___corridor">#REF!</definedName>
    <definedName name="WEIGHT_IA_05F_AA_U01___foyer">#REF!</definedName>
    <definedName name="WEIGHT_IA_05F_AA_U01___kitchen">#REF!</definedName>
    <definedName name="WEIGHT_IA_05F_AA_U01___living_dining">#REF!</definedName>
    <definedName name="WEIGHT_IA_05F_AA_U01___maids_rm.">#REF!</definedName>
    <definedName name="WEIGHT_IA_05F_AA_U01___maids_toi.">#REF!</definedName>
    <definedName name="WEIGHT_IA_05F_AA_U01___shaft">#REF!</definedName>
    <definedName name="WEIGHT_IA_05F_AA_U01___toilet">#REF!</definedName>
    <definedName name="WEIGHT_IA_05F_AA_U01___utility_rm.">#REF!</definedName>
    <definedName name="WEIGHT_IA_05F_AA_U01___void">#REF!</definedName>
    <definedName name="WEIGHT_IA_05F_AA_U02___BR1_dresser">#REF!</definedName>
    <definedName name="WEIGHT_IA_05F_AA_U02___BR1_rm.">#REF!</definedName>
    <definedName name="WEIGHT_IA_05F_AA_U02___BR1_t_b">#REF!</definedName>
    <definedName name="WEIGHT_IA_05F_AA_U02___BR2_lobby">#REF!</definedName>
    <definedName name="WEIGHT_IA_05F_AA_U02___BR2_rm.">#REF!</definedName>
    <definedName name="WEIGHT_IA_05F_AA_U02___BR2_t_b">#REF!</definedName>
    <definedName name="WEIGHT_IA_05F_AA_U02___corridor">#REF!</definedName>
    <definedName name="WEIGHT_IA_05F_AA_U02___foyer">#REF!</definedName>
    <definedName name="WEIGHT_IA_05F_AA_U02___kitchen">#REF!</definedName>
    <definedName name="WEIGHT_IA_05F_AA_U02___living_dining">#REF!</definedName>
    <definedName name="WEIGHT_IA_05F_AA_U02___maids_rm.">#REF!</definedName>
    <definedName name="WEIGHT_IA_05F_AA_U02___maids_toi.">#REF!</definedName>
    <definedName name="WEIGHT_IA_05F_AA_U02___shaft">#REF!</definedName>
    <definedName name="WEIGHT_IA_05F_AA_U02___toilet">#REF!</definedName>
    <definedName name="WEIGHT_IA_05F_AA_U02___utility_rm.">#REF!</definedName>
    <definedName name="WEIGHT_IA_05F_AA_U02___void">#REF!</definedName>
    <definedName name="WEIGHT_IA_05F_AA_U05___corridor">#REF!</definedName>
    <definedName name="WEIGHT_IA_05F_AA_U05___foyer">#REF!</definedName>
    <definedName name="WEIGHT_IA_05F_AA_U05___kitchen">#REF!</definedName>
    <definedName name="WEIGHT_IA_05F_AA_U05___living_dining">#REF!</definedName>
    <definedName name="WEIGHT_IA_05F_AA_U05___maids_lobby">#REF!</definedName>
    <definedName name="WEIGHT_IA_05F_AA_U05___maids_rm.">#REF!</definedName>
    <definedName name="WEIGHT_IA_05F_AA_U05___maids_toi.">#REF!</definedName>
    <definedName name="WEIGHT_IA_05F_AA_U05___shaft">#REF!</definedName>
    <definedName name="WEIGHT_IA_05F_AA_U05___stairs">#REF!</definedName>
    <definedName name="WEIGHT_IA_05F_AA_U05___toilet">#REF!</definedName>
    <definedName name="WEIGHT_IA_05F_AA_U05___utility_rm.">#REF!</definedName>
    <definedName name="WEIGHT_IA_05F_AA_U06___BR1_lobby">#REF!</definedName>
    <definedName name="WEIGHT_IA_05F_AA_U06___BR1_rm.">#REF!</definedName>
    <definedName name="WEIGHT_IA_05F_AA_U06___BR1_t_b">#REF!</definedName>
    <definedName name="WEIGHT_IA_05F_AA_U06___BR2_dresser">#REF!</definedName>
    <definedName name="WEIGHT_IA_05F_AA_U06___BR2_lobby">#REF!</definedName>
    <definedName name="WEIGHT_IA_05F_AA_U06___BR2_rm.">#REF!</definedName>
    <definedName name="WEIGHT_IA_05F_AA_U06___BR2_t_b">#REF!</definedName>
    <definedName name="WEIGHT_IA_05F_AA_U06___BR3_dresser">#REF!</definedName>
    <definedName name="WEIGHT_IA_05F_AA_U06___BR3_lobby">#REF!</definedName>
    <definedName name="WEIGHT_IA_05F_AA_U06___BR3_rm.">#REF!</definedName>
    <definedName name="WEIGHT_IA_05F_AA_U06___BR3_t_b">#REF!</definedName>
    <definedName name="WEIGHT_IA_05F_AA_U06___corridor">#REF!</definedName>
    <definedName name="WEIGHT_IA_05F_AA_U06___foyer">#REF!</definedName>
    <definedName name="WEIGHT_IA_05F_AA_U06___kitchen">#REF!</definedName>
    <definedName name="WEIGHT_IA_05F_AA_U06___living_dining">#REF!</definedName>
    <definedName name="WEIGHT_IA_05F_AA_U06___maids_rm.">#REF!</definedName>
    <definedName name="WEIGHT_IA_05F_AA_U06___maids_toi.">#REF!</definedName>
    <definedName name="WEIGHT_IA_05F_AA_U06___shaft">#REF!</definedName>
    <definedName name="WEIGHT_IA_05F_AA_U06___toilet">#REF!</definedName>
    <definedName name="WEIGHT_IA_05F_AA_U06___utility_rm.">#REF!</definedName>
    <definedName name="WEIGHT_IA_06F_AA_U05___BR1_rm.">#REF!</definedName>
    <definedName name="WEIGHT_IA_06F_AA_U05___BR1_t_b">#REF!</definedName>
    <definedName name="WEIGHT_IA_06F_AA_U05___BR2_lobby">#REF!</definedName>
    <definedName name="WEIGHT_IA_06F_AA_U05___BR2_rm.">#REF!</definedName>
    <definedName name="WEIGHT_IA_06F_AA_U05___BR2_t_b">#REF!</definedName>
    <definedName name="WEIGHT_IA_06F_AA_U05___double_vol.">#REF!</definedName>
    <definedName name="WEIGHT_IA_06F_AA_U05___foyer">#REF!</definedName>
    <definedName name="WEIGHT_IA_06F_AA_U05___living_rm.">#REF!</definedName>
    <definedName name="WEIGHT_IA_06F_AA_U05___shaft">#REF!</definedName>
    <definedName name="WEIGHT_IA_06F_AA_U05___stairs">#REF!</definedName>
    <definedName name="WEIGHT_IA_06F_AA_U05___void">#REF!</definedName>
    <definedName name="WEIGHT_IA_06F_AA_U06___BR1_lobby">#REF!</definedName>
    <definedName name="WEIGHT_IA_06F_AA_U06___BR1_rm.">#REF!</definedName>
    <definedName name="WEIGHT_IA_06F_AA_U06___BR1_t_b">#REF!</definedName>
    <definedName name="WEIGHT_IA_06F_AA_U06___BR2_dresser">#REF!</definedName>
    <definedName name="WEIGHT_IA_06F_AA_U06___BR2_lobby">#REF!</definedName>
    <definedName name="WEIGHT_IA_06F_AA_U06___BR2_rm.">#REF!</definedName>
    <definedName name="WEIGHT_IA_06F_AA_U06___BR2_t_b">#REF!</definedName>
    <definedName name="WEIGHT_IA_06F_AA_U06___BR3_dresser">#REF!</definedName>
    <definedName name="WEIGHT_IA_06F_AA_U06___BR3_lobby">#REF!</definedName>
    <definedName name="WEIGHT_IA_06F_AA_U06___BR3_rm.">#REF!</definedName>
    <definedName name="WEIGHT_IA_06F_AA_U06___BR3_t_b">#REF!</definedName>
    <definedName name="WEIGHT_IA_06F_AA_U06___corridor">#REF!</definedName>
    <definedName name="WEIGHT_IA_06F_AA_U06___foyer">#REF!</definedName>
    <definedName name="WEIGHT_IA_06F_AA_U06___kitchen">#REF!</definedName>
    <definedName name="WEIGHT_IA_06F_AA_U06___living_dining">#REF!</definedName>
    <definedName name="WEIGHT_IA_06F_AA_U06___maids_rm.">#REF!</definedName>
    <definedName name="WEIGHT_IA_06F_AA_U06___maids_toi.">#REF!</definedName>
    <definedName name="WEIGHT_IA_06F_AA_U06___shaft">#REF!</definedName>
    <definedName name="WEIGHT_IA_06F_AA_U06___toilet">#REF!</definedName>
    <definedName name="WEIGHT_IA_06F_AA_U06___utility_rm.">#REF!</definedName>
    <definedName name="WEIGHT_IA_07F_AA_U03___BR1_dresser">#REF!</definedName>
    <definedName name="WEIGHT_IA_07F_AA_U03___BR1_lobby">#REF!</definedName>
    <definedName name="WEIGHT_IA_07F_AA_U03___BR1_rm.">#REF!</definedName>
    <definedName name="WEIGHT_IA_07F_AA_U03___BR1_store">#REF!</definedName>
    <definedName name="WEIGHT_IA_07F_AA_U03___BR1_t_b">#REF!</definedName>
    <definedName name="WEIGHT_IA_07F_AA_U03___foyer">#REF!</definedName>
    <definedName name="WEIGHT_IA_07F_AA_U03___kitchen">#REF!</definedName>
    <definedName name="WEIGHT_IA_07F_AA_U03___living_dining">#REF!</definedName>
    <definedName name="WEIGHT_IA_07F_AA_U03___shaft">#REF!</definedName>
    <definedName name="WEIGHT_IA_07F_AA_U03___storage">#REF!</definedName>
    <definedName name="WEIGHT_IA_07F_AA_U03___toilet">#REF!</definedName>
    <definedName name="WEIGHT_IA_07F_AA_U03___utility_rm.">#REF!</definedName>
    <definedName name="WEIGHT_IA_07F_AA_U03___void">#REF!</definedName>
    <definedName name="WEIGHT_IA_07F_AA_U04___BR1_dresser">#REF!</definedName>
    <definedName name="WEIGHT_IA_07F_AA_U04___BR1_lobby">#REF!</definedName>
    <definedName name="WEIGHT_IA_07F_AA_U04___BR1_rm.">#REF!</definedName>
    <definedName name="WEIGHT_IA_07F_AA_U04___BR1_store">#REF!</definedName>
    <definedName name="WEIGHT_IA_07F_AA_U04___BR1_t_b">#REF!</definedName>
    <definedName name="WEIGHT_IA_07F_AA_U04___foyer">#REF!</definedName>
    <definedName name="WEIGHT_IA_07F_AA_U04___kitchen">#REF!</definedName>
    <definedName name="WEIGHT_IA_07F_AA_U04___living_dining">#REF!</definedName>
    <definedName name="WEIGHT_IA_07F_AA_U04___shaft">#REF!</definedName>
    <definedName name="WEIGHT_IA_07F_AA_U04___storage">#REF!</definedName>
    <definedName name="WEIGHT_IA_07F_AA_U04___toilet">#REF!</definedName>
    <definedName name="WEIGHT_IA_07F_AA_U04___utility_rm.">#REF!</definedName>
    <definedName name="WEIGHT_IA_07F_AA_U04___void">#REF!</definedName>
    <definedName name="WEIGHT_IA_07F_AA_U06___BR1_lobby">#REF!</definedName>
    <definedName name="WEIGHT_IA_07F_AA_U06___BR1_rm.">#REF!</definedName>
    <definedName name="WEIGHT_IA_07F_AA_U06___BR1_t_b">#REF!</definedName>
    <definedName name="WEIGHT_IA_07F_AA_U06___BR2_dresser">#REF!</definedName>
    <definedName name="WEIGHT_IA_07F_AA_U06___BR2_lobby">#REF!</definedName>
    <definedName name="WEIGHT_IA_07F_AA_U06___BR2_rm.">#REF!</definedName>
    <definedName name="WEIGHT_IA_07F_AA_U06___BR2_t_b">#REF!</definedName>
    <definedName name="WEIGHT_IA_07F_AA_U06___BR3_dresser">#REF!</definedName>
    <definedName name="WEIGHT_IA_07F_AA_U06___BR3_lobby">#REF!</definedName>
    <definedName name="WEIGHT_IA_07F_AA_U06___BR3_rm.">#REF!</definedName>
    <definedName name="WEIGHT_IA_07F_AA_U06___BR3_t_b">#REF!</definedName>
    <definedName name="WEIGHT_IA_07F_AA_U06___corridor">#REF!</definedName>
    <definedName name="WEIGHT_IA_07F_AA_U06___foyer">#REF!</definedName>
    <definedName name="WEIGHT_IA_07F_AA_U06___kitchen">#REF!</definedName>
    <definedName name="WEIGHT_IA_07F_AA_U06___living_dining">#REF!</definedName>
    <definedName name="WEIGHT_IA_07F_AA_U06___maids_rm.">#REF!</definedName>
    <definedName name="WEIGHT_IA_07F_AA_U06___maids_toi.">#REF!</definedName>
    <definedName name="WEIGHT_IA_07F_AA_U06___shaft">#REF!</definedName>
    <definedName name="WEIGHT_IA_07F_AA_U06___toilet">#REF!</definedName>
    <definedName name="WEIGHT_IA_07F_AA_U06___utility_rm.">#REF!</definedName>
    <definedName name="WEIGHT_IA_08F_AA_U03___BR1_dresser">#REF!</definedName>
    <definedName name="WEIGHT_IA_08F_AA_U03___BR1_lobby">#REF!</definedName>
    <definedName name="WEIGHT_IA_08F_AA_U03___BR1_rm.">#REF!</definedName>
    <definedName name="WEIGHT_IA_08F_AA_U03___BR1_t_b">#REF!</definedName>
    <definedName name="WEIGHT_IA_08F_AA_U03___foyer">#REF!</definedName>
    <definedName name="WEIGHT_IA_08F_AA_U03___kitchen">#REF!</definedName>
    <definedName name="WEIGHT_IA_08F_AA_U03___living_dining">#REF!</definedName>
    <definedName name="WEIGHT_IA_08F_AA_U03___shaft">#REF!</definedName>
    <definedName name="WEIGHT_IA_08F_AA_U03___storage">#REF!</definedName>
    <definedName name="WEIGHT_IA_08F_AA_U03___toilet">#REF!</definedName>
    <definedName name="WEIGHT_IA_08F_AA_U03___utility_rm.">#REF!</definedName>
    <definedName name="WEIGHT_IA_08F_AA_U04___BR1_dresser">#REF!</definedName>
    <definedName name="WEIGHT_IA_08F_AA_U04___BR1_lobby">#REF!</definedName>
    <definedName name="WEIGHT_IA_08F_AA_U04___BR1_rm.">#REF!</definedName>
    <definedName name="WEIGHT_IA_08F_AA_U04___BR1_t_b">#REF!</definedName>
    <definedName name="WEIGHT_IA_08F_AA_U04___foyer">#REF!</definedName>
    <definedName name="WEIGHT_IA_08F_AA_U04___kitchen">#REF!</definedName>
    <definedName name="WEIGHT_IA_08F_AA_U04___living_dining">#REF!</definedName>
    <definedName name="WEIGHT_IA_08F_AA_U04___shaft">#REF!</definedName>
    <definedName name="WEIGHT_IA_08F_AA_U04___storage">#REF!</definedName>
    <definedName name="WEIGHT_IA_08F_AA_U04___toilet">#REF!</definedName>
    <definedName name="WEIGHT_IA_08F_AA_U04___utility_rm.">#REF!</definedName>
    <definedName name="WEIGHT_IA_08F_AA_U06___BR1_lobby">#REF!</definedName>
    <definedName name="WEIGHT_IA_08F_AA_U06___BR1_rm.">#REF!</definedName>
    <definedName name="WEIGHT_IA_08F_AA_U06___BR1_t_b">#REF!</definedName>
    <definedName name="WEIGHT_IA_08F_AA_U06___BR2_dresser">#REF!</definedName>
    <definedName name="WEIGHT_IA_08F_AA_U06___BR2_lobby">#REF!</definedName>
    <definedName name="WEIGHT_IA_08F_AA_U06___BR2_rm.">#REF!</definedName>
    <definedName name="WEIGHT_IA_08F_AA_U06___BR2_t_b">#REF!</definedName>
    <definedName name="WEIGHT_IA_08F_AA_U06___BR3_dresser">#REF!</definedName>
    <definedName name="WEIGHT_IA_08F_AA_U06___BR3_lobby">#REF!</definedName>
    <definedName name="WEIGHT_IA_08F_AA_U06___BR3_rm.">#REF!</definedName>
    <definedName name="WEIGHT_IA_08F_AA_U06___BR3_t_b">#REF!</definedName>
    <definedName name="WEIGHT_IA_08F_AA_U06___corridor">#REF!</definedName>
    <definedName name="WEIGHT_IA_08F_AA_U06___foyer">#REF!</definedName>
    <definedName name="WEIGHT_IA_08F_AA_U06___kitchen">#REF!</definedName>
    <definedName name="WEIGHT_IA_08F_AA_U06___living_dining">#REF!</definedName>
    <definedName name="WEIGHT_IA_08F_AA_U06___maids_rm.">#REF!</definedName>
    <definedName name="WEIGHT_IA_08F_AA_U06___maids_toi.">#REF!</definedName>
    <definedName name="WEIGHT_IA_08F_AA_U06___shaft">#REF!</definedName>
    <definedName name="WEIGHT_IA_08F_AA_U06___toilet">#REF!</definedName>
    <definedName name="WEIGHT_IA_08F_AA_U06___utility_rm.">#REF!</definedName>
    <definedName name="WEIGHT_IA_09F_AA_U06___BR1_lobby">#REF!</definedName>
    <definedName name="WEIGHT_IA_09F_AA_U06___BR1_rm.">#REF!</definedName>
    <definedName name="WEIGHT_IA_09F_AA_U06___BR1_t_b">#REF!</definedName>
    <definedName name="WEIGHT_IA_09F_AA_U06___BR2_dresser">#REF!</definedName>
    <definedName name="WEIGHT_IA_09F_AA_U06___BR2_lobby">#REF!</definedName>
    <definedName name="WEIGHT_IA_09F_AA_U06___BR2_rm.">#REF!</definedName>
    <definedName name="WEIGHT_IA_09F_AA_U06___BR2_t_b">#REF!</definedName>
    <definedName name="WEIGHT_IA_09F_AA_U06___BR3_dresser">#REF!</definedName>
    <definedName name="WEIGHT_IA_09F_AA_U06___BR3_lobby">#REF!</definedName>
    <definedName name="WEIGHT_IA_09F_AA_U06___BR3_rm.">#REF!</definedName>
    <definedName name="WEIGHT_IA_09F_AA_U06___BR3_t_b">#REF!</definedName>
    <definedName name="WEIGHT_IA_09F_AA_U06___corridor">#REF!</definedName>
    <definedName name="WEIGHT_IA_09F_AA_U06___foyer">#REF!</definedName>
    <definedName name="WEIGHT_IA_09F_AA_U06___kitchen">#REF!</definedName>
    <definedName name="WEIGHT_IA_09F_AA_U06___living_dining">#REF!</definedName>
    <definedName name="WEIGHT_IA_09F_AA_U06___maids_rm.">#REF!</definedName>
    <definedName name="WEIGHT_IA_09F_AA_U06___maids_toi.">#REF!</definedName>
    <definedName name="WEIGHT_IA_09F_AA_U06___shaft">#REF!</definedName>
    <definedName name="WEIGHT_IA_09F_AA_U06___toilet">#REF!</definedName>
    <definedName name="WEIGHT_IA_09F_AA_U06___utility_rm.">#REF!</definedName>
    <definedName name="WEIGHT_IA_11F_AA_U01___BR1_lobby">#REF!</definedName>
    <definedName name="WEIGHT_IA_11F_AA_U01___BR1_rm.">#REF!</definedName>
    <definedName name="WEIGHT_IA_11F_AA_U01___BR1_t_b">#REF!</definedName>
    <definedName name="WEIGHT_IA_11F_AA_U01___BR2_dresser">#REF!</definedName>
    <definedName name="WEIGHT_IA_11F_AA_U01___BR2_lobby">#REF!</definedName>
    <definedName name="WEIGHT_IA_11F_AA_U01___BR2_rm.">#REF!</definedName>
    <definedName name="WEIGHT_IA_11F_AA_U01___BR2_t_b">#REF!</definedName>
    <definedName name="WEIGHT_IA_11F_AA_U01___corridor">#REF!</definedName>
    <definedName name="WEIGHT_IA_11F_AA_U01___foyer">#REF!</definedName>
    <definedName name="WEIGHT_IA_11F_AA_U01___kitchen">#REF!</definedName>
    <definedName name="WEIGHT_IA_11F_AA_U01___living_dining">#REF!</definedName>
    <definedName name="WEIGHT_IA_11F_AA_U01___maids_rm.">#REF!</definedName>
    <definedName name="WEIGHT_IA_11F_AA_U01___maids_toi.">#REF!</definedName>
    <definedName name="WEIGHT_IA_11F_AA_U01___shaft">#REF!</definedName>
    <definedName name="WEIGHT_IA_11F_AA_U01___toilet">#REF!</definedName>
    <definedName name="WEIGHT_IA_11F_AA_U01___utility_rm.">#REF!</definedName>
    <definedName name="WEIGHT_IA_11F_AA_U01___void">#REF!</definedName>
    <definedName name="WEIGHT_IA_11F_AA_U02___BR1_dresser">#REF!</definedName>
    <definedName name="WEIGHT_IA_11F_AA_U02___BR1_rm.">#REF!</definedName>
    <definedName name="WEIGHT_IA_11F_AA_U02___BR1_t_b">#REF!</definedName>
    <definedName name="WEIGHT_IA_11F_AA_U02___BR2_lobby">#REF!</definedName>
    <definedName name="WEIGHT_IA_11F_AA_U02___BR2_rm.">#REF!</definedName>
    <definedName name="WEIGHT_IA_11F_AA_U02___BR2_t_b">#REF!</definedName>
    <definedName name="WEIGHT_IA_11F_AA_U02___corridor">#REF!</definedName>
    <definedName name="WEIGHT_IA_11F_AA_U02___foyer">#REF!</definedName>
    <definedName name="WEIGHT_IA_11F_AA_U02___kitchen">#REF!</definedName>
    <definedName name="WEIGHT_IA_11F_AA_U02___living_dining">#REF!</definedName>
    <definedName name="WEIGHT_IA_11F_AA_U02___maids_rm.">#REF!</definedName>
    <definedName name="WEIGHT_IA_11F_AA_U02___maids_toi.">#REF!</definedName>
    <definedName name="WEIGHT_IA_11F_AA_U02___shaft">#REF!</definedName>
    <definedName name="WEIGHT_IA_11F_AA_U02___toilet">#REF!</definedName>
    <definedName name="WEIGHT_IA_11F_AA_U02___utility_rm.">#REF!</definedName>
    <definedName name="WEIGHT_IA_11F_AA_U02___void">#REF!</definedName>
    <definedName name="WEIGHT_IA_11F_AA_U03___BR1_dresser">#REF!</definedName>
    <definedName name="WEIGHT_IA_11F_AA_U03___BR1_lobby">#REF!</definedName>
    <definedName name="WEIGHT_IA_11F_AA_U03___BR1_rm.">#REF!</definedName>
    <definedName name="WEIGHT_IA_11F_AA_U03___BR1_t_b">#REF!</definedName>
    <definedName name="WEIGHT_IA_11F_AA_U03___foyer">#REF!</definedName>
    <definedName name="WEIGHT_IA_11F_AA_U03___kitchen">#REF!</definedName>
    <definedName name="WEIGHT_IA_11F_AA_U03___living_dining">#REF!</definedName>
    <definedName name="WEIGHT_IA_11F_AA_U03___shaft">#REF!</definedName>
    <definedName name="WEIGHT_IA_11F_AA_U03___storage">#REF!</definedName>
    <definedName name="WEIGHT_IA_11F_AA_U03___toilet">#REF!</definedName>
    <definedName name="WEIGHT_IA_11F_AA_U03___utility_rm.">#REF!</definedName>
    <definedName name="WEIGHT_IA_11F_AA_U04___BR1_dresser">#REF!</definedName>
    <definedName name="WEIGHT_IA_11F_AA_U04___BR1_lobby">#REF!</definedName>
    <definedName name="WEIGHT_IA_11F_AA_U04___BR1_rm.">#REF!</definedName>
    <definedName name="WEIGHT_IA_11F_AA_U04___BR1_t_b">#REF!</definedName>
    <definedName name="WEIGHT_IA_11F_AA_U04___foyer">#REF!</definedName>
    <definedName name="WEIGHT_IA_11F_AA_U04___kitchen">#REF!</definedName>
    <definedName name="WEIGHT_IA_11F_AA_U04___living_dining">#REF!</definedName>
    <definedName name="WEIGHT_IA_11F_AA_U04___shaft">#REF!</definedName>
    <definedName name="WEIGHT_IA_11F_AA_U04___storage">#REF!</definedName>
    <definedName name="WEIGHT_IA_11F_AA_U04___toilet">#REF!</definedName>
    <definedName name="WEIGHT_IA_11F_AA_U04___utility_rm.">#REF!</definedName>
    <definedName name="WEIGHT_IA_11F_AA_U06___BR1_lobby">#REF!</definedName>
    <definedName name="WEIGHT_IA_11F_AA_U06___BR1_rm.">#REF!</definedName>
    <definedName name="WEIGHT_IA_11F_AA_U06___BR1_t_b">#REF!</definedName>
    <definedName name="WEIGHT_IA_11F_AA_U06___BR2_dresser">#REF!</definedName>
    <definedName name="WEIGHT_IA_11F_AA_U06___BR2_lobby">#REF!</definedName>
    <definedName name="WEIGHT_IA_11F_AA_U06___BR2_rm.">#REF!</definedName>
    <definedName name="WEIGHT_IA_11F_AA_U06___BR2_t_b">#REF!</definedName>
    <definedName name="WEIGHT_IA_11F_AA_U06___BR3_dresser">#REF!</definedName>
    <definedName name="WEIGHT_IA_11F_AA_U06___BR3_lobby">#REF!</definedName>
    <definedName name="WEIGHT_IA_11F_AA_U06___BR3_rm.">#REF!</definedName>
    <definedName name="WEIGHT_IA_11F_AA_U06___BR3_t_b">#REF!</definedName>
    <definedName name="WEIGHT_IA_11F_AA_U06___corridor">#REF!</definedName>
    <definedName name="WEIGHT_IA_11F_AA_U06___foyer">#REF!</definedName>
    <definedName name="WEIGHT_IA_11F_AA_U06___kitchen">#REF!</definedName>
    <definedName name="WEIGHT_IA_11F_AA_U06___living_dining">#REF!</definedName>
    <definedName name="WEIGHT_IA_11F_AA_U06___maids_rm.">#REF!</definedName>
    <definedName name="WEIGHT_IA_11F_AA_U06___maids_toi.">#REF!</definedName>
    <definedName name="WEIGHT_IA_11F_AA_U06___shaft">#REF!</definedName>
    <definedName name="WEIGHT_IA_11F_AA_U06___toilet">#REF!</definedName>
    <definedName name="WEIGHT_IA_11F_AA_U06___utility_rm.">#REF!</definedName>
    <definedName name="WEIGHT_IA_11F_AB_U00___corridor">#REF!</definedName>
    <definedName name="WEIGHT_IA_11F_AB_U00___lift_lobby">#REF!</definedName>
    <definedName name="WEIGHT_IA_11F_AB_U00___lift_shaft">#REF!</definedName>
    <definedName name="WEIGHT_IA_11F_AC_U00___electrical_rm.">#REF!</definedName>
    <definedName name="WEIGHT_IA_11F_AC_U00___f.e._stair">#REF!</definedName>
    <definedName name="WEIGHT_IA_11F_AC_U00___f.h.c.">#REF!</definedName>
    <definedName name="WEIGHT_IA_11F_AC_U00___garbage_rm.">#REF!</definedName>
    <definedName name="WEIGHT_IA_11F_AC_U00___shaft">#REF!</definedName>
    <definedName name="WEIGHT_IA_11F_AC_U00___telephone_rm.">#REF!</definedName>
    <definedName name="WEIGHT_IA_31F_AA_U01___BR1_lobby">#REF!</definedName>
    <definedName name="WEIGHT_IA_31F_AA_U01___BR1_rm.">#REF!</definedName>
    <definedName name="WEIGHT_IA_31F_AA_U01___BR1_t_b">#REF!</definedName>
    <definedName name="WEIGHT_IA_31F_AA_U01___BR2_dresser">#REF!</definedName>
    <definedName name="WEIGHT_IA_31F_AA_U01___BR2_lobby">#REF!</definedName>
    <definedName name="WEIGHT_IA_31F_AA_U01___BR2_rm.">#REF!</definedName>
    <definedName name="WEIGHT_IA_31F_AA_U01___BR2_t_b">#REF!</definedName>
    <definedName name="WEIGHT_IA_31F_AA_U01___corridor">#REF!</definedName>
    <definedName name="WEIGHT_IA_31F_AA_U01___foyer">#REF!</definedName>
    <definedName name="WEIGHT_IA_31F_AA_U01___kitchen">#REF!</definedName>
    <definedName name="WEIGHT_IA_31F_AA_U01___living_dining">#REF!</definedName>
    <definedName name="WEIGHT_IA_31F_AA_U01___maids_rm.">#REF!</definedName>
    <definedName name="WEIGHT_IA_31F_AA_U01___maids_toi.">#REF!</definedName>
    <definedName name="WEIGHT_IA_31F_AA_U01___shaft">#REF!</definedName>
    <definedName name="WEIGHT_IA_31F_AA_U01___toilet">#REF!</definedName>
    <definedName name="WEIGHT_IA_31F_AA_U01___utility_rm.">#REF!</definedName>
    <definedName name="WEIGHT_IA_31F_AA_U01___void">#REF!</definedName>
    <definedName name="WEIGHT_IA_31F_AA_U02___BR1_dresser">#REF!</definedName>
    <definedName name="WEIGHT_IA_31F_AA_U02___BR1_rm.">#REF!</definedName>
    <definedName name="WEIGHT_IA_31F_AA_U02___BR1_t_b">#REF!</definedName>
    <definedName name="WEIGHT_IA_31F_AA_U02___BR2_lobby">#REF!</definedName>
    <definedName name="WEIGHT_IA_31F_AA_U02___BR2_rm.">#REF!</definedName>
    <definedName name="WEIGHT_IA_31F_AA_U02___BR2_t_b">#REF!</definedName>
    <definedName name="WEIGHT_IA_31F_AA_U02___corridor">#REF!</definedName>
    <definedName name="WEIGHT_IA_31F_AA_U02___foyer">#REF!</definedName>
    <definedName name="WEIGHT_IA_31F_AA_U02___kitchen">#REF!</definedName>
    <definedName name="WEIGHT_IA_31F_AA_U02___living_dining">#REF!</definedName>
    <definedName name="WEIGHT_IA_31F_AA_U02___maids_rm.">#REF!</definedName>
    <definedName name="WEIGHT_IA_31F_AA_U02___maids_toi.">#REF!</definedName>
    <definedName name="WEIGHT_IA_31F_AA_U02___shaft">#REF!</definedName>
    <definedName name="WEIGHT_IA_31F_AA_U02___toilet">#REF!</definedName>
    <definedName name="WEIGHT_IA_31F_AA_U02___utility_rm.">#REF!</definedName>
    <definedName name="WEIGHT_IA_31F_AA_U02___void">#REF!</definedName>
    <definedName name="WEIGHT_IA_31F_AA_U03___BR1_dresser">#REF!</definedName>
    <definedName name="WEIGHT_IA_31F_AA_U03___BR1_lobby">#REF!</definedName>
    <definedName name="WEIGHT_IA_31F_AA_U03___BR1_rm.">#REF!</definedName>
    <definedName name="WEIGHT_IA_31F_AA_U03___BR1_t_b">#REF!</definedName>
    <definedName name="WEIGHT_IA_31F_AA_U03___foyer">#REF!</definedName>
    <definedName name="WEIGHT_IA_31F_AA_U03___kitchen">#REF!</definedName>
    <definedName name="WEIGHT_IA_31F_AA_U03___living_dining">#REF!</definedName>
    <definedName name="WEIGHT_IA_31F_AA_U03___shaft">#REF!</definedName>
    <definedName name="WEIGHT_IA_31F_AA_U03___storage">#REF!</definedName>
    <definedName name="WEIGHT_IA_31F_AA_U03___toilet">#REF!</definedName>
    <definedName name="WEIGHT_IA_31F_AA_U03___utility_rm.">#REF!</definedName>
    <definedName name="WEIGHT_IA_31F_AA_U04___BR1_dresser">#REF!</definedName>
    <definedName name="WEIGHT_IA_31F_AA_U04___BR1_lobby">#REF!</definedName>
    <definedName name="WEIGHT_IA_31F_AA_U04___BR1_rm.">#REF!</definedName>
    <definedName name="WEIGHT_IA_31F_AA_U04___BR1_t_b">#REF!</definedName>
    <definedName name="WEIGHT_IA_31F_AA_U04___foyer">#REF!</definedName>
    <definedName name="WEIGHT_IA_31F_AA_U04___kitchen">#REF!</definedName>
    <definedName name="WEIGHT_IA_31F_AA_U04___living_dining">#REF!</definedName>
    <definedName name="WEIGHT_IA_31F_AA_U04___shaft">#REF!</definedName>
    <definedName name="WEIGHT_IA_31F_AA_U04___storage">#REF!</definedName>
    <definedName name="WEIGHT_IA_31F_AA_U04___toilet">#REF!</definedName>
    <definedName name="WEIGHT_IA_31F_AA_U04___utility_rm.">#REF!</definedName>
    <definedName name="WEIGHT_IA_31F_AA_U05___corridor">#REF!</definedName>
    <definedName name="WEIGHT_IA_31F_AA_U05___foyer">#REF!</definedName>
    <definedName name="WEIGHT_IA_31F_AA_U05___kitchen">#REF!</definedName>
    <definedName name="WEIGHT_IA_31F_AA_U05___living_dining">#REF!</definedName>
    <definedName name="WEIGHT_IA_31F_AA_U05___maids_lobby">#REF!</definedName>
    <definedName name="WEIGHT_IA_31F_AA_U05___maids_rm.">#REF!</definedName>
    <definedName name="WEIGHT_IA_31F_AA_U05___maids_toi.">#REF!</definedName>
    <definedName name="WEIGHT_IA_31F_AA_U05___shaft">#REF!</definedName>
    <definedName name="WEIGHT_IA_31F_AA_U05___stairs">#REF!</definedName>
    <definedName name="WEIGHT_IA_31F_AA_U05___toilet">#REF!</definedName>
    <definedName name="WEIGHT_IA_31F_AA_U05___utility_rm.">#REF!</definedName>
    <definedName name="WEIGHT_IA_31F_AA_U06___BR1_lobby">#REF!</definedName>
    <definedName name="WEIGHT_IA_31F_AA_U06___BR1_rm.">#REF!</definedName>
    <definedName name="WEIGHT_IA_31F_AA_U06___BR1_t_b">#REF!</definedName>
    <definedName name="WEIGHT_IA_31F_AA_U06___BR2_dresser">#REF!</definedName>
    <definedName name="WEIGHT_IA_31F_AA_U06___BR2_lobby">#REF!</definedName>
    <definedName name="WEIGHT_IA_31F_AA_U06___BR2_rm.">#REF!</definedName>
    <definedName name="WEIGHT_IA_31F_AA_U06___BR2_t_b">#REF!</definedName>
    <definedName name="WEIGHT_IA_31F_AA_U06___corridor">#REF!</definedName>
    <definedName name="WEIGHT_IA_31F_AA_U06___foyer">#REF!</definedName>
    <definedName name="WEIGHT_IA_31F_AA_U06___kitchen">#REF!</definedName>
    <definedName name="WEIGHT_IA_31F_AA_U06___living_dining">#REF!</definedName>
    <definedName name="WEIGHT_IA_31F_AA_U06___maids_rm.">#REF!</definedName>
    <definedName name="WEIGHT_IA_31F_AA_U06___maids_toi.">#REF!</definedName>
    <definedName name="WEIGHT_IA_31F_AA_U06___shaft">#REF!</definedName>
    <definedName name="WEIGHT_IA_31F_AA_U06___solaria">#REF!</definedName>
    <definedName name="WEIGHT_IA_31F_AA_U06___stair">#REF!</definedName>
    <definedName name="WEIGHT_IA_31F_AA_U06___toilet">#REF!</definedName>
    <definedName name="WEIGHT_IA_31F_AA_U06___utility_rm.">#REF!</definedName>
    <definedName name="WEIGHT_IA_31F_AA_U06___void">#REF!</definedName>
    <definedName name="WEIGHT_IA_31F_AB_U00___corridor">#REF!</definedName>
    <definedName name="WEIGHT_IA_31F_AB_U00___lift_lobby">#REF!</definedName>
    <definedName name="WEIGHT_IA_31F_AB_U00___lift_shaft">#REF!</definedName>
    <definedName name="WEIGHT_IA_31F_AC_U00___electrical_rm.">#REF!</definedName>
    <definedName name="WEIGHT_IA_31F_AC_U00___f.e._stair">#REF!</definedName>
    <definedName name="WEIGHT_IA_31F_AC_U00___f.h.c.">#REF!</definedName>
    <definedName name="WEIGHT_IA_31F_AC_U00___garbage_rm.">#REF!</definedName>
    <definedName name="WEIGHT_IA_31F_AC_U00___shaft">#REF!</definedName>
    <definedName name="WEIGHT_IA_31F_AC_U00___telephone_rm.">#REF!</definedName>
    <definedName name="WEIGHT_IA_32F_AA_U05___BR1_rm.">#REF!</definedName>
    <definedName name="WEIGHT_IA_32F_AA_U05___BR1_t_b">#REF!</definedName>
    <definedName name="WEIGHT_IA_32F_AA_U05___BR2_lobby">#REF!</definedName>
    <definedName name="WEIGHT_IA_32F_AA_U05___BR2_rm.">#REF!</definedName>
    <definedName name="WEIGHT_IA_32F_AA_U05___BR2_t_b">#REF!</definedName>
    <definedName name="WEIGHT_IA_32F_AA_U05___double_vol.">#REF!</definedName>
    <definedName name="WEIGHT_IA_32F_AA_U05___foyer">#REF!</definedName>
    <definedName name="WEIGHT_IA_32F_AA_U05___living_rm.">#REF!</definedName>
    <definedName name="WEIGHT_IA_32F_AA_U05___shaft">#REF!</definedName>
    <definedName name="WEIGHT_IA_32F_AA_U05___stairs">#REF!</definedName>
    <definedName name="WEIGHT_IA_32F_AA_U05___void">#REF!</definedName>
    <definedName name="WEIGHT_IA_32F_AA_U06___BR1_lobby">#REF!</definedName>
    <definedName name="WEIGHT_IA_32F_AA_U06___BR1_rm.">#REF!</definedName>
    <definedName name="WEIGHT_IA_32F_AA_U06___BR1_t_b">#REF!</definedName>
    <definedName name="WEIGHT_IA_32F_AA_U06___BR2_dresser">#REF!</definedName>
    <definedName name="WEIGHT_IA_32F_AA_U06___BR2_lobby">#REF!</definedName>
    <definedName name="WEIGHT_IA_32F_AA_U06___BR2_rm.">#REF!</definedName>
    <definedName name="WEIGHT_IA_32F_AA_U06___BR2_t_b">#REF!</definedName>
    <definedName name="WEIGHT_IA_32F_AA_U06___corridor">#REF!</definedName>
    <definedName name="WEIGHT_IA_32F_AA_U06___double_vol.">#REF!</definedName>
    <definedName name="WEIGHT_IA_32F_AA_U06___jacuzzi_area">#REF!</definedName>
    <definedName name="WEIGHT_IA_32F_AA_U06___living_foyer">#REF!</definedName>
    <definedName name="WEIGHT_IA_32F_AA_U06___pantry">#REF!</definedName>
    <definedName name="WEIGHT_IA_32F_AA_U06___shaft">#REF!</definedName>
    <definedName name="WEIGHT_IA_32F_AA_U06___stair">#REF!</definedName>
    <definedName name="WEIGHT_IA_32F_AA_U06___study">#REF!</definedName>
    <definedName name="WEIGHT_IA_33RF_AC_U00___electrical_rm.">#REF!</definedName>
    <definedName name="WEIGHT_IA_33RF_AC_U00___f.e._stair">#REF!</definedName>
    <definedName name="WEIGHT_IA_33RF_AC_U00___g.s.m._rm.">#REF!</definedName>
    <definedName name="WEIGHT_IA_33RF_AC_U00___lift_shaft">#REF!</definedName>
    <definedName name="WEIGHT_IA_33RF_AC_U00___shaft">#REF!</definedName>
    <definedName name="WEIGHT_IA_33RF_AC_U00___tech._rm.">#REF!</definedName>
    <definedName name="WEIGHT_IA_33RF_AC_U00___telephone_rm.">#REF!</definedName>
    <definedName name="WEIGHT_IA_33RF_AC_U00___water_tank">#REF!</definedName>
    <definedName name="WEIGHT_IA_34uRF_AC_U00___machine_rm.">#REF!</definedName>
    <definedName name="WEIGHT_IA_34uRF_AC_U00___machine_rm._lobby">#REF!</definedName>
    <definedName name="WEIGHT_IA_34uRF_AC_U00___pump_rm.">#REF!</definedName>
    <definedName name="WEIGHT_IA_34uRF_AC_U00___r.c._water_tank">#REF!</definedName>
    <definedName name="WEIGHT_IA_34uRF_AC_U00___shaft">#REF!</definedName>
    <definedName name="WEIGHT_Intelligent_Water_Meter_by_DEWA">#REF!</definedName>
    <definedName name="WEIGHT_Internal_Ceiling_Finishes__Bulkhead">#REF!</definedName>
    <definedName name="WEIGHT_Internal_Ceiling_Finishes__PF01">#REF!</definedName>
    <definedName name="WEIGHT_Internal_Ceiling_Finishes__PF02">#REF!</definedName>
    <definedName name="WEIGHT_Internal_Ceiling_Finishes__PH01">#REF!</definedName>
    <definedName name="WEIGHT_Internal_Doors__D_02">#REF!</definedName>
    <definedName name="WEIGHT_Internal_Doors__D_03">#REF!</definedName>
    <definedName name="WEIGHT_Internal_Doors__D_04">#REF!</definedName>
    <definedName name="WEIGHT_Internal_Doors__D_06">#REF!</definedName>
    <definedName name="WEIGHT_Internal_Floor_Finishes__FF01">#REF!</definedName>
    <definedName name="WEIGHT_Internal_Floor_Finishes__FF03">#REF!</definedName>
    <definedName name="WEIGHT_Internal_Floor_Finishes__FF05">#REF!</definedName>
    <definedName name="WEIGHT_Internal_Floor_Finishes__Wet_Areas">#REF!</definedName>
    <definedName name="WEIGHT_Internal_Wall__Blockwork___BW_1">#REF!</definedName>
    <definedName name="WEIGHT_Internal_Wall__Blockwork___BW_2">#REF!</definedName>
    <definedName name="WEIGHT_Internal_Wall__Blockwork___BW_3">#REF!</definedName>
    <definedName name="WEIGHT_Internal_Wall__Threshold">#REF!</definedName>
    <definedName name="WEIGHT_Internal_Wall_Finishes__PF03">#REF!</definedName>
    <definedName name="WEIGHT_Internal_Wall_Finishes__PF04">#REF!</definedName>
    <definedName name="WEIGHT_Internal_Wall_Finishes__Render">#REF!</definedName>
    <definedName name="WEIGHT_Internal_Wall_Finishes__W01">#REF!</definedName>
    <definedName name="WEIGHT_Internal_Wall_Finishes__W03">#REF!</definedName>
    <definedName name="WEIGHT_Internal_Wall_Finishes__WF05">#REF!</definedName>
    <definedName name="WEIGHT_Internal_Wall_Finishes__WF07">#REF!</definedName>
    <definedName name="WEIGHT_Isolation_Valve">#REF!</definedName>
    <definedName name="WEIGHT_L0__TW1_250">#REF!</definedName>
    <definedName name="WEIGHT_L0__TW2_200">#REF!</definedName>
    <definedName name="WEIGHT_L0__TW3_300">#REF!</definedName>
    <definedName name="WEIGHT_L0__TW3_400">#REF!</definedName>
    <definedName name="WEIGHT_L0__TW4_500">#REF!</definedName>
    <definedName name="WEIGHT_L0__TW4_600">#REF!</definedName>
    <definedName name="WEIGHT_L0__W1__300">#REF!</definedName>
    <definedName name="WEIGHT_L0__W1_300_Door_Overhead">#REF!</definedName>
    <definedName name="WEIGHT_L0_Beams">#REF!</definedName>
    <definedName name="WEIGHT_L0_DP1_3000x3000x350">#REF!</definedName>
    <definedName name="WEIGHT_L0_DP2_3000x1750x350">#REF!</definedName>
    <definedName name="WEIGHT_L0_DP5_3000x3000x400">#REF!</definedName>
    <definedName name="WEIGHT_L0_DP6_6500x4000x550">#REF!</definedName>
    <definedName name="WEIGHT_L0_DP7_3500x1900x400">#REF!</definedName>
    <definedName name="WEIGHT_L0_Ramp">#REF!</definedName>
    <definedName name="WEIGHT_L0_Slab_200">#REF!</definedName>
    <definedName name="WEIGHT_L0_Slab_220">#REF!</definedName>
    <definedName name="WEIGHT_L0_Slab_240">#REF!</definedName>
    <definedName name="WEIGHT_L0_Slab_250">#REF!</definedName>
    <definedName name="WEIGHT_L0_Slab_260">#REF!</definedName>
    <definedName name="WEIGHT_L0_Slab_400">#REF!</definedName>
    <definedName name="WEIGHT_L0_Slab_450">#REF!</definedName>
    <definedName name="WEIGHT_L00__Column_C1">#REF!</definedName>
    <definedName name="WEIGHT_L00__Column_C10">#REF!</definedName>
    <definedName name="WEIGHT_L00__Column_C11">#REF!</definedName>
    <definedName name="WEIGHT_L00__Column_C12">#REF!</definedName>
    <definedName name="WEIGHT_L00__Column_C2">#REF!</definedName>
    <definedName name="WEIGHT_L00__Column_C3">#REF!</definedName>
    <definedName name="WEIGHT_L00__Column_C4">#REF!</definedName>
    <definedName name="WEIGHT_L00__Column_C5">#REF!</definedName>
    <definedName name="WEIGHT_L00__Column_C6">#REF!</definedName>
    <definedName name="WEIGHT_L00__Column_C7">#REF!</definedName>
    <definedName name="WEIGHT_L00__Column_C8">#REF!</definedName>
    <definedName name="WEIGHT_L00__Column_C9">#REF!</definedName>
    <definedName name="WEIGHT_L00__Column_FC1">#REF!</definedName>
    <definedName name="WEIGHT_L00__Column_TC1">#REF!</definedName>
    <definedName name="WEIGHT_L00__Column_TC2">#REF!</definedName>
    <definedName name="WEIGHT_L00__Column_TC3">#REF!</definedName>
    <definedName name="WEIGHT_L00__Column_TC4">#REF!</definedName>
    <definedName name="WEIGHT_L00__Column_TC5">#REF!</definedName>
    <definedName name="WEIGHT_L01__Column_C10">#REF!</definedName>
    <definedName name="WEIGHT_L01__Column_C6">#REF!</definedName>
    <definedName name="WEIGHT_L01__Column_C7">#REF!</definedName>
    <definedName name="WEIGHT_L01__Column_TC1">#REF!</definedName>
    <definedName name="WEIGHT_L01__Column_TC2">#REF!</definedName>
    <definedName name="WEIGHT_L01__Column_TC3">#REF!</definedName>
    <definedName name="WEIGHT_L01__Column_TC4">#REF!</definedName>
    <definedName name="WEIGHT_L01__Column_TC5">#REF!</definedName>
    <definedName name="WEIGHT_L02__Column_TC1">#REF!</definedName>
    <definedName name="WEIGHT_L02__Column_TC2">#REF!</definedName>
    <definedName name="WEIGHT_L02__Column_TC3">#REF!</definedName>
    <definedName name="WEIGHT_L02__Column_TC4">#REF!</definedName>
    <definedName name="WEIGHT_L02__Column_TC5">#REF!</definedName>
    <definedName name="WEIGHT_L02_to_L03__CORE_Typical">#REF!</definedName>
    <definedName name="WEIGHT_L03_to_L05__CORE_TYPICAL">#REF!</definedName>
    <definedName name="WEIGHT_L03_to_L05__Opening">#REF!</definedName>
    <definedName name="WEIGHT_L05_to_L14__CORE_Typical">#REF!</definedName>
    <definedName name="WEIGHT_L1__TW1_250">#REF!</definedName>
    <definedName name="WEIGHT_L1__TW2_200">#REF!</definedName>
    <definedName name="WEIGHT_L1__TW3_300">#REF!</definedName>
    <definedName name="WEIGHT_L1__TW4_600">#REF!</definedName>
    <definedName name="WEIGHT_L1__TW5_300">#REF!</definedName>
    <definedName name="WEIGHT_L1_Beams">#REF!</definedName>
    <definedName name="WEIGHT_L1_DP">#REF!</definedName>
    <definedName name="WEIGHT_L1_DP1_3000x3000x350">#REF!</definedName>
    <definedName name="WEIGHT_L1_DP11_3250x1750x350">#REF!</definedName>
    <definedName name="WEIGHT_L1_DP13_3250x1750x600">#REF!</definedName>
    <definedName name="WEIGHT_L1_DP14_3000x3000x600">#REF!</definedName>
    <definedName name="WEIGHT_L1_DP15_3500x3500x600">#REF!</definedName>
    <definedName name="WEIGHT_L1_DP3_3500x1900x350">#REF!</definedName>
    <definedName name="WEIGHT_L1_DP4_3500x3500x400">#REF!</definedName>
    <definedName name="WEIGHT_L1_DP8_8000x5500x600">#REF!</definedName>
    <definedName name="WEIGHT_L1_Slab_200">#REF!</definedName>
    <definedName name="WEIGHT_L1_Slab_240">#REF!</definedName>
    <definedName name="WEIGHT_L1_Slab_280">#REF!</definedName>
    <definedName name="WEIGHT_L1_Slab_360">#REF!</definedName>
    <definedName name="WEIGHT_L14__COMFLOR_100">#REF!</definedName>
    <definedName name="WEIGHT_L14__CONC_SLAB">#REF!</definedName>
    <definedName name="WEIGHT_L14__RC_CORE_VOIDS">#REF!</definedName>
    <definedName name="WEIGHT_L15__COMFLOR_100">#REF!</definedName>
    <definedName name="WEIGHT_L15__HEA_320">#REF!</definedName>
    <definedName name="WEIGHT_L15__HEB_160">#REF!</definedName>
    <definedName name="WEIGHT_L15__HEM_180">#REF!</definedName>
    <definedName name="WEIGHT_L15__RHS_400x200x16">#REF!</definedName>
    <definedName name="WEIGHT_L15__TW1_250">#REF!</definedName>
    <definedName name="WEIGHT_L15__TW2_200">#REF!</definedName>
    <definedName name="WEIGHT_L15__TW3_300">#REF!</definedName>
    <definedName name="WEIGHT_L15__TW4_600">#REF!</definedName>
    <definedName name="WEIGHT_L15__TW5_300">#REF!</definedName>
    <definedName name="WEIGHT_L15_Beams">#REF!</definedName>
    <definedName name="WEIGHT_L15_Slab_250">#REF!</definedName>
    <definedName name="WEIGHT_L15_Slab_400">#REF!</definedName>
    <definedName name="WEIGHT_L15_to_L16__CONC_SLAB">#REF!</definedName>
    <definedName name="WEIGHT_L16__COMFLOR_100">#REF!</definedName>
    <definedName name="WEIGHT_L16__HEA_320">#REF!</definedName>
    <definedName name="WEIGHT_L16__HEB_160">#REF!</definedName>
    <definedName name="WEIGHT_L16__HEM_180">#REF!</definedName>
    <definedName name="WEIGHT_L16__RHS_400x200x16">#REF!</definedName>
    <definedName name="WEIGHT_L16__TW1_250">#REF!</definedName>
    <definedName name="WEIGHT_L16__TW2_200">#REF!</definedName>
    <definedName name="WEIGHT_L16__TW3_300">#REF!</definedName>
    <definedName name="WEIGHT_L16__TW4_600">#REF!</definedName>
    <definedName name="WEIGHT_L16_Beams">#REF!</definedName>
    <definedName name="WEIGHT_L16_Slab_200">#REF!</definedName>
    <definedName name="WEIGHT_L16_Slab_240">#REF!</definedName>
    <definedName name="WEIGHT_L16_Slab_280">#REF!</definedName>
    <definedName name="WEIGHT_L17__COMFLOR_100">#REF!</definedName>
    <definedName name="WEIGHT_L17__HEA_320">#REF!</definedName>
    <definedName name="WEIGHT_L17__HEB_160">#REF!</definedName>
    <definedName name="WEIGHT_L17__HEM_180">#REF!</definedName>
    <definedName name="WEIGHT_L17__RHS_400x200x16">#REF!</definedName>
    <definedName name="WEIGHT_L17__TW1_250">#REF!</definedName>
    <definedName name="WEIGHT_L17__TW2_200">#REF!</definedName>
    <definedName name="WEIGHT_L17__TW3_300">#REF!</definedName>
    <definedName name="WEIGHT_L17__TW4_600">#REF!</definedName>
    <definedName name="WEIGHT_L17_Beams">#REF!</definedName>
    <definedName name="WEIGHT_L17_Slab_200">#REF!</definedName>
    <definedName name="WEIGHT_L17_Slab_240">#REF!</definedName>
    <definedName name="WEIGHT_L17_Slab_280">#REF!</definedName>
    <definedName name="WEIGHT_L17_to_L35__CONC_SLAB">#REF!</definedName>
    <definedName name="WEIGHT_L18__COMFLOR_100">#REF!</definedName>
    <definedName name="WEIGHT_L18__HEA_320">#REF!</definedName>
    <definedName name="WEIGHT_L18__HEB_160">#REF!</definedName>
    <definedName name="WEIGHT_L18__HEM_180">#REF!</definedName>
    <definedName name="WEIGHT_L18__RC_CORE_VOIDS">#REF!</definedName>
    <definedName name="WEIGHT_L18__RHS_400x200x16">#REF!</definedName>
    <definedName name="WEIGHT_L19__COMFLOR_100">#REF!</definedName>
    <definedName name="WEIGHT_L19__HEA_320">#REF!</definedName>
    <definedName name="WEIGHT_L19__HEB_160">#REF!</definedName>
    <definedName name="WEIGHT_L19__HEM_180">#REF!</definedName>
    <definedName name="WEIGHT_L19__RHS_400x200x16">#REF!</definedName>
    <definedName name="WEIGHT_L2___1000x1500mm">#REF!</definedName>
    <definedName name="WEIGHT_L2___1000x1500mm_curved">#REF!</definedName>
    <definedName name="WEIGHT_L2___1200x1200x1500mm">#REF!</definedName>
    <definedName name="WEIGHT_L2___1200x1500mm">#REF!</definedName>
    <definedName name="WEIGHT_L2___1200x3000x1500mm">#REF!</definedName>
    <definedName name="WEIGHT_L2___1500x1500x1500mm">#REF!</definedName>
    <definedName name="WEIGHT_L2___1800x1800x1500mm">#REF!</definedName>
    <definedName name="WEIGHT_L2___1800x4500x1500mm">#REF!</definedName>
    <definedName name="WEIGHT_L2___400mm_raft_slab">#REF!</definedName>
    <definedName name="WEIGHT_L2___400mm_Retaining_wall">#REF!</definedName>
    <definedName name="WEIGHT_L2___400mm_Retaining_wall_curved">#REF!</definedName>
    <definedName name="WEIGHT_L2___400x1500mm">#REF!</definedName>
    <definedName name="WEIGHT_L2___500mm_Retaining_wall">#REF!</definedName>
    <definedName name="WEIGHT_L2___500mm_Retaining_wall_curved">#REF!</definedName>
    <definedName name="WEIGHT_L2___600mm_diameter">#REF!</definedName>
    <definedName name="WEIGHT_L2___750mm_diameter">#REF!</definedName>
    <definedName name="WEIGHT_L2___800x1500mm">#REF!</definedName>
    <definedName name="WEIGHT_L2___900mm_diameter">#REF!</definedName>
    <definedName name="WEIGHT_L2___Pilecaps">#REF!</definedName>
    <definedName name="WEIGHT_L2__Column__550dia__assumed_size_as_per_plan_">#REF!</definedName>
    <definedName name="WEIGHT_L2__TW1_250">#REF!</definedName>
    <definedName name="WEIGHT_L2__TW2_200">#REF!</definedName>
    <definedName name="WEIGHT_L2__TW3_300">#REF!</definedName>
    <definedName name="WEIGHT_L2__TW4_600">#REF!</definedName>
    <definedName name="WEIGHT_L2__TW5_300">#REF!</definedName>
    <definedName name="WEIGHT_L2__Wall__250__assumed_">#REF!</definedName>
    <definedName name="WEIGHT_L2__Wall__250_curved__assumed_">#REF!</definedName>
    <definedName name="WEIGHT_L2_Beams">#REF!</definedName>
    <definedName name="WEIGHT_L2_Slab_200">#REF!</definedName>
    <definedName name="WEIGHT_L2_Slab_240">#REF!</definedName>
    <definedName name="WEIGHT_L2_Slab_280">#REF!</definedName>
    <definedName name="WEIGHT_L20__COMFLOR_100">#REF!</definedName>
    <definedName name="WEIGHT_L20__HEA_320">#REF!</definedName>
    <definedName name="WEIGHT_L20__HEB_160">#REF!</definedName>
    <definedName name="WEIGHT_L20__HEM_180">#REF!</definedName>
    <definedName name="WEIGHT_L20__RHS_400x400x16">#REF!</definedName>
    <definedName name="WEIGHT_L21__COMFLOR_100">#REF!</definedName>
    <definedName name="WEIGHT_L21__HEA_320">#REF!</definedName>
    <definedName name="WEIGHT_L21__HEB_160">#REF!</definedName>
    <definedName name="WEIGHT_L21__HEM_180">#REF!</definedName>
    <definedName name="WEIGHT_L21__RHS_400x400x16">#REF!</definedName>
    <definedName name="WEIGHT_L22__COMFLOR_100">#REF!</definedName>
    <definedName name="WEIGHT_L22__HEA_320">#REF!</definedName>
    <definedName name="WEIGHT_L22__HEB_160">#REF!</definedName>
    <definedName name="WEIGHT_L22__HEM_180">#REF!</definedName>
    <definedName name="WEIGHT_L22__RHS_400x400x16">#REF!</definedName>
    <definedName name="WEIGHT_L23__COMFLOR_100">#REF!</definedName>
    <definedName name="WEIGHT_L23__HEA_320">#REF!</definedName>
    <definedName name="WEIGHT_L23__HEB_160">#REF!</definedName>
    <definedName name="WEIGHT_L23__HEM_180">#REF!</definedName>
    <definedName name="WEIGHT_L23__RHS_400x400x16">#REF!</definedName>
    <definedName name="WEIGHT_L24__COMFLOR_100">#REF!</definedName>
    <definedName name="WEIGHT_L24__HEA_320">#REF!</definedName>
    <definedName name="WEIGHT_L24__HEB_160">#REF!</definedName>
    <definedName name="WEIGHT_L24__HEM_180">#REF!</definedName>
    <definedName name="WEIGHT_L24__RHS_400x400x16">#REF!</definedName>
    <definedName name="WEIGHT_L25__COMFLOR_100">#REF!</definedName>
    <definedName name="WEIGHT_L25__HEA_320">#REF!</definedName>
    <definedName name="WEIGHT_L25__HEB_160">#REF!</definedName>
    <definedName name="WEIGHT_L25__HEM_180">#REF!</definedName>
    <definedName name="WEIGHT_L25__RHS_400x200x16">#REF!</definedName>
    <definedName name="WEIGHT_L26__COMFLOR_100">#REF!</definedName>
    <definedName name="WEIGHT_L26__HEA_320">#REF!</definedName>
    <definedName name="WEIGHT_L26__HEB_160">#REF!</definedName>
    <definedName name="WEIGHT_L26__HEM_180">#REF!</definedName>
    <definedName name="WEIGHT_L26__RC_CORE_VOIDS">#REF!</definedName>
    <definedName name="WEIGHT_L26__RHS_400x200x16">#REF!</definedName>
    <definedName name="WEIGHT_L27__COMFLOR_100">#REF!</definedName>
    <definedName name="WEIGHT_L27__HEA_320">#REF!</definedName>
    <definedName name="WEIGHT_L27__HEB_160">#REF!</definedName>
    <definedName name="WEIGHT_L27__HEM_180">#REF!</definedName>
    <definedName name="WEIGHT_L27__RHS_400x200x16">#REF!</definedName>
    <definedName name="WEIGHT_L28__COMFLOR_100">#REF!</definedName>
    <definedName name="WEIGHT_L28__HEA_320">#REF!</definedName>
    <definedName name="WEIGHT_L28__HEB_160">#REF!</definedName>
    <definedName name="WEIGHT_L28__HEM_180">#REF!</definedName>
    <definedName name="WEIGHT_L28__rHS_400x200x16">#REF!</definedName>
    <definedName name="WEIGHT_L29__COMFLOR_100">#REF!</definedName>
    <definedName name="WEIGHT_L29__HEA_320">#REF!</definedName>
    <definedName name="WEIGHT_L29__HEB_160">#REF!</definedName>
    <definedName name="WEIGHT_L29__HEM_180">#REF!</definedName>
    <definedName name="WEIGHT_L29__RHS_400x200x16">#REF!</definedName>
    <definedName name="WEIGHT_L3___1000x1500mm">#REF!</definedName>
    <definedName name="WEIGHT_L3___1200x1200x1500mm">#REF!</definedName>
    <definedName name="WEIGHT_L3___1200x3000x1500mm">#REF!</definedName>
    <definedName name="WEIGHT_L3___1500x1500mm">#REF!</definedName>
    <definedName name="WEIGHT_L3___1500x3000x1500mm">#REF!</definedName>
    <definedName name="WEIGHT_L3___1800x1800x1500mm">#REF!</definedName>
    <definedName name="WEIGHT_L3___1800x4500x1500mm">#REF!</definedName>
    <definedName name="WEIGHT_L3___400mm_Retaining_wall">#REF!</definedName>
    <definedName name="WEIGHT_L3___400mm_Retaining_wall_curved">#REF!</definedName>
    <definedName name="WEIGHT_L3___500mm_thick_W3_curved">#REF!</definedName>
    <definedName name="WEIGHT_L3___600mm_diameter">#REF!</definedName>
    <definedName name="WEIGHT_L3___650mm_thick_W4_curved">#REF!</definedName>
    <definedName name="WEIGHT_L3___700x1500mm">#REF!</definedName>
    <definedName name="WEIGHT_L3___700x1500mm_curved">#REF!</definedName>
    <definedName name="WEIGHT_L3___800x1500mm">#REF!</definedName>
    <definedName name="WEIGHT_L3___800x1500mm_curved">#REF!</definedName>
    <definedName name="WEIGHT_L3___900mm_diameter">#REF!</definedName>
    <definedName name="WEIGHT_L3___Pilecaps">#REF!</definedName>
    <definedName name="WEIGHT_L3__Beam__1000x800__assumed_">#REF!</definedName>
    <definedName name="WEIGHT_L3__Beam__1100x800__assumed_">#REF!</definedName>
    <definedName name="WEIGHT_L3__Beam__1300x800__assumed_">#REF!</definedName>
    <definedName name="WEIGHT_L3__Beam__700x800__assumed_">#REF!</definedName>
    <definedName name="WEIGHT_L3__Beam__800x800__assumed_">#REF!</definedName>
    <definedName name="WEIGHT_L3__C1__800x800">#REF!</definedName>
    <definedName name="WEIGHT_L3__C10__400x1000">#REF!</definedName>
    <definedName name="WEIGHT_L3__C2__600x1200__assumed_size_as_per_plan_">#REF!</definedName>
    <definedName name="WEIGHT_L3__C2__800x800">#REF!</definedName>
    <definedName name="WEIGHT_L3__C3__800dia">#REF!</definedName>
    <definedName name="WEIGHT_L3__C4__600x600">#REF!</definedName>
    <definedName name="WEIGHT_L3__C5__400x400">#REF!</definedName>
    <definedName name="WEIGHT_L3__C6__600x1200">#REF!</definedName>
    <definedName name="WEIGHT_L3__C7__600x800">#REF!</definedName>
    <definedName name="WEIGHT_L3__C8__550dia">#REF!</definedName>
    <definedName name="WEIGHT_L3__C9__600dia">#REF!</definedName>
    <definedName name="WEIGHT_L3__Column_Head__3000x3000x400">#REF!</definedName>
    <definedName name="WEIGHT_L3__TW1_250">#REF!</definedName>
    <definedName name="WEIGHT_L3__TW2_200">#REF!</definedName>
    <definedName name="WEIGHT_L3__TW3_300">#REF!</definedName>
    <definedName name="WEIGHT_L3__TW4_600">#REF!</definedName>
    <definedName name="WEIGHT_L3__TW5_300">#REF!</definedName>
    <definedName name="WEIGHT_L3__W1__250">#REF!</definedName>
    <definedName name="WEIGHT_L3__W1__250_curved">#REF!</definedName>
    <definedName name="WEIGHT_L3_Beams">#REF!</definedName>
    <definedName name="WEIGHT_L3_Slab_200">#REF!</definedName>
    <definedName name="WEIGHT_L3_Slab_240">#REF!</definedName>
    <definedName name="WEIGHT_L3_Slab_280">#REF!</definedName>
    <definedName name="WEIGHT_L30__COMFLOR_100">#REF!</definedName>
    <definedName name="WEIGHT_L30__HEA_320">#REF!</definedName>
    <definedName name="WEIGHT_L30__HEB_160">#REF!</definedName>
    <definedName name="WEIGHT_L30__HEM_180">#REF!</definedName>
    <definedName name="WEIGHT_L30__RHS_400x200x16">#REF!</definedName>
    <definedName name="WEIGHT_L30__TW1_250">#REF!</definedName>
    <definedName name="WEIGHT_L30__TW2_200">#REF!</definedName>
    <definedName name="WEIGHT_L30__TW3_300">#REF!</definedName>
    <definedName name="WEIGHT_L30__TW4_600">#REF!</definedName>
    <definedName name="WEIGHT_L30_Beams">#REF!</definedName>
    <definedName name="WEIGHT_L30_Slab_200">#REF!</definedName>
    <definedName name="WEIGHT_L30_Slab_240">#REF!</definedName>
    <definedName name="WEIGHT_L30_Slab_280">#REF!</definedName>
    <definedName name="WEIGHT_L31__COMFLOR_100">#REF!</definedName>
    <definedName name="WEIGHT_L31__HEA_320">#REF!</definedName>
    <definedName name="WEIGHT_L31__HEB_160">#REF!</definedName>
    <definedName name="WEIGHT_L31__HEM_180">#REF!</definedName>
    <definedName name="WEIGHT_L31__RHS_400x200x16">#REF!</definedName>
    <definedName name="WEIGHT_L31__TW1_250">#REF!</definedName>
    <definedName name="WEIGHT_L31__TW2_200">#REF!</definedName>
    <definedName name="WEIGHT_L31__TW3_300">#REF!</definedName>
    <definedName name="WEIGHT_L31__TW4_600">#REF!</definedName>
    <definedName name="WEIGHT_L31__TW5_300">#REF!</definedName>
    <definedName name="WEIGHT_L31_Beams">#REF!</definedName>
    <definedName name="WEIGHT_L31_Slab_200">#REF!</definedName>
    <definedName name="WEIGHT_L31_Slab_240">#REF!</definedName>
    <definedName name="WEIGHT_L31_Slab_280">#REF!</definedName>
    <definedName name="WEIGHT_L32__RC_SLAB_500mm_THICK">#REF!</definedName>
    <definedName name="WEIGHT_L33__COMFLOR_100">#REF!</definedName>
    <definedName name="WEIGHT_L33__HEA_320">#REF!</definedName>
    <definedName name="WEIGHT_L33__HEB_160">#REF!</definedName>
    <definedName name="WEIGHT_L33__HEM_180">#REF!</definedName>
    <definedName name="WEIGHT_L33__RHS_400x200x16">#REF!</definedName>
    <definedName name="WEIGHT_L34__COMFLOR_100">#REF!</definedName>
    <definedName name="WEIGHT_L34__HEA_320">#REF!</definedName>
    <definedName name="WEIGHT_L34__HEB_160">#REF!</definedName>
    <definedName name="WEIGHT_L34__HEM_180">#REF!</definedName>
    <definedName name="WEIGHT_L34__RHS_400x200x16">#REF!</definedName>
    <definedName name="WEIGHT_L35__COMFLOR_100">#REF!</definedName>
    <definedName name="WEIGHT_L35__HEA_320">#REF!</definedName>
    <definedName name="WEIGHT_L35__HEB_160">#REF!</definedName>
    <definedName name="WEIGHT_L35__HEM_180">#REF!</definedName>
    <definedName name="WEIGHT_L35__RHS_400x200x16">#REF!</definedName>
    <definedName name="WEIGHT_L36__COMFLOR_100">#REF!</definedName>
    <definedName name="WEIGHT_L36__CONC_SLAB">#REF!</definedName>
    <definedName name="WEIGHT_L36__HEA_320">#REF!</definedName>
    <definedName name="WEIGHT_L36__HEB_160">#REF!</definedName>
    <definedName name="WEIGHT_L36__HEM_180">#REF!</definedName>
    <definedName name="WEIGHT_L36__RHS_400x200x16">#REF!</definedName>
    <definedName name="WEIGHT_L36__TW1_250">#REF!</definedName>
    <definedName name="WEIGHT_L36__TW2_200">#REF!</definedName>
    <definedName name="WEIGHT_L36__TW3_300">#REF!</definedName>
    <definedName name="WEIGHT_L36__TW5_300">#REF!</definedName>
    <definedName name="WEIGHT_L36_Beams">#REF!</definedName>
    <definedName name="WEIGHT_L36_Slab_200">#REF!</definedName>
    <definedName name="WEIGHT_L36_Slab_240">#REF!</definedName>
    <definedName name="WEIGHT_L36_Slab_280">#REF!</definedName>
    <definedName name="WEIGHT_L36_Slab_500">#REF!</definedName>
    <definedName name="WEIGHT_L37__COMFLOR_100">#REF!</definedName>
    <definedName name="WEIGHT_L37__HEA_320">#REF!</definedName>
    <definedName name="WEIGHT_L37__HEB_160">#REF!</definedName>
    <definedName name="WEIGHT_L37__HEM_180">#REF!</definedName>
    <definedName name="WEIGHT_L37__RHS_400x200x16">#REF!</definedName>
    <definedName name="WEIGHT_L37__TW1_250">#REF!</definedName>
    <definedName name="WEIGHT_L37__TW2_200">#REF!</definedName>
    <definedName name="WEIGHT_L37__TW3_300">#REF!</definedName>
    <definedName name="WEIGHT_L37__TW5_300">#REF!</definedName>
    <definedName name="WEIGHT_L37_Beams">#REF!</definedName>
    <definedName name="WEIGHT_L37_Slab_200">#REF!</definedName>
    <definedName name="WEIGHT_L37_Slab_350">#REF!</definedName>
    <definedName name="WEIGHT_L38__Bracing_Elemnt_Passing_Lift_Over_Run">#REF!</definedName>
    <definedName name="WEIGHT_L38__COMFLOR_100">#REF!</definedName>
    <definedName name="WEIGHT_L38__HEA_320">#REF!</definedName>
    <definedName name="WEIGHT_L38__HEB_160">#REF!</definedName>
    <definedName name="WEIGHT_L38__HEM_180">#REF!</definedName>
    <definedName name="WEIGHT_L38__RHS_400x200x16">#REF!</definedName>
    <definedName name="WEIGHT_L38__TW1_250">#REF!</definedName>
    <definedName name="WEIGHT_L38__TW2_200">#REF!</definedName>
    <definedName name="WEIGHT_L38__TW3_300">#REF!</definedName>
    <definedName name="WEIGHT_L38__TW5_300">#REF!</definedName>
    <definedName name="WEIGHT_L38_Beams">#REF!</definedName>
    <definedName name="WEIGHT_L38_Slab_200">#REF!</definedName>
    <definedName name="WEIGHT_L38_Slab_350">#REF!</definedName>
    <definedName name="WEIGHT_L39__2nd_Layer__HEA_320">#REF!</definedName>
    <definedName name="WEIGHT_L39__2nd_Layer__HEB_160">#REF!</definedName>
    <definedName name="WEIGHT_L39__2nd_Layer__HEM_180">#REF!</definedName>
    <definedName name="WEIGHT_L39__2nd_Layer__RHS_400x200x16">#REF!</definedName>
    <definedName name="WEIGHT_L39__Bracing_Elemnt_Passing_Lift_Over_Run">#REF!</definedName>
    <definedName name="WEIGHT_L39__COMFLOR_100">#REF!</definedName>
    <definedName name="WEIGHT_L39__HEA_320">#REF!</definedName>
    <definedName name="WEIGHT_L39__HEB_160">#REF!</definedName>
    <definedName name="WEIGHT_L39__HEM_180">#REF!</definedName>
    <definedName name="WEIGHT_L39__RHS_400x200x16">#REF!</definedName>
    <definedName name="WEIGHT_L4___1000x1500mm_curved">#REF!</definedName>
    <definedName name="WEIGHT_L4___1500x1500x1500mm">#REF!</definedName>
    <definedName name="WEIGHT_L4___600mm_diameter">#REF!</definedName>
    <definedName name="WEIGHT_L4___750mm_diameter">#REF!</definedName>
    <definedName name="WEIGHT_L4___800x1500mm">#REF!</definedName>
    <definedName name="WEIGHT_L4___800x1500mm_curved">#REF!</definedName>
    <definedName name="WEIGHT_L4__B1__800x600">#REF!</definedName>
    <definedName name="WEIGHT_L4__B1__800x600_curved">#REF!</definedName>
    <definedName name="WEIGHT_L4__B2__800x1000">#REF!</definedName>
    <definedName name="WEIGHT_L4__B2__800x1000_curved">#REF!</definedName>
    <definedName name="WEIGHT_L4__B3__800x1300">#REF!</definedName>
    <definedName name="WEIGHT_L4__B3__800x1300_curved">#REF!</definedName>
    <definedName name="WEIGHT_L4__B4__1500x1600_curved">#REF!</definedName>
    <definedName name="WEIGHT_L4__Beam__300x600__assumed_">#REF!</definedName>
    <definedName name="WEIGHT_L4__C3__800dia">#REF!</definedName>
    <definedName name="WEIGHT_L4__C6__550dia__assumed_size_as_per_plan_">#REF!</definedName>
    <definedName name="WEIGHT_L4__C9__600dia">#REF!</definedName>
    <definedName name="WEIGHT_L4__Column_Head__4000x4000x400">#REF!</definedName>
    <definedName name="WEIGHT_L4__W1__250">#REF!</definedName>
    <definedName name="WEIGHT_L4__W1__250_curved">#REF!</definedName>
    <definedName name="WEIGHT_L4__W2__350">#REF!</definedName>
    <definedName name="WEIGHT_L4__W2__350_curved">#REF!</definedName>
    <definedName name="WEIGHT_L40__2nd_Layer__RHS_400x200x16">#REF!</definedName>
    <definedName name="WEIGHT_L40__Bracing_Elemnt_Passing_Lift_Over_Run">#REF!</definedName>
    <definedName name="WEIGHT_L40__COMFLOR_100">#REF!</definedName>
    <definedName name="WEIGHT_L40__HEB_320">#REF!</definedName>
    <definedName name="WEIGHT_L40__RHS_400x200x16">#REF!</definedName>
    <definedName name="WEIGHT_L40__RHS_450x450x25">#REF!</definedName>
    <definedName name="WEIGHT_L40__RHS_500x300x20">#REF!</definedName>
    <definedName name="WEIGHT_L40__Trussing_spanning_column_restrai">#REF!</definedName>
    <definedName name="WEIGHT_L41__2nd_Layer__RHS_400x200x16">#REF!</definedName>
    <definedName name="WEIGHT_L41__Bracing_Elemnt_Passing_Lift_Over_Run">#REF!</definedName>
    <definedName name="WEIGHT_L41__COMFLOR_100">#REF!</definedName>
    <definedName name="WEIGHT_L41__Flying_Strut">#REF!</definedName>
    <definedName name="WEIGHT_L41__HEB_320">#REF!</definedName>
    <definedName name="WEIGHT_L41__RHS_400x200x16">#REF!</definedName>
    <definedName name="WEIGHT_L41__RHS_450x450x25">#REF!</definedName>
    <definedName name="WEIGHT_L41__RHS_500x300x20">#REF!</definedName>
    <definedName name="WEIGHT_L42__2nd_Layer__RHS_400x200x16">#REF!</definedName>
    <definedName name="WEIGHT_L42__COMFLOR_100">#REF!</definedName>
    <definedName name="WEIGHT_L42__HEB_320">#REF!</definedName>
    <definedName name="WEIGHT_L42__RHS_400x420x16">#REF!</definedName>
    <definedName name="WEIGHT_L42__RHS_450x450x25">#REF!</definedName>
    <definedName name="WEIGHT_L42__RHS_500x300x20">#REF!</definedName>
    <definedName name="WEIGHT_L43__COMFLOR_100">#REF!</definedName>
    <definedName name="WEIGHT_L43__HE_320">#REF!</definedName>
    <definedName name="WEIGHT_L44__COMFLOR_100">#REF!</definedName>
    <definedName name="WEIGHT_L44__HEA_320">#REF!</definedName>
    <definedName name="WEIGHT_L45__COMFLOR_100">#REF!</definedName>
    <definedName name="WEIGHT_L46__COMFLOR_100">#REF!</definedName>
    <definedName name="WEIGHT_L47__COMFLOR_100">#REF!</definedName>
    <definedName name="WEIGHT_L48__RC_SLAB_350mm_THICK">#REF!</definedName>
    <definedName name="WEIGHT_L49__COMFLOR_100">#REF!</definedName>
    <definedName name="WEIGHT_L49__HEB_260">#REF!</definedName>
    <definedName name="WEIGHT_L5___Slab_on_grade">#REF!</definedName>
    <definedName name="WEIGHT_L5__B1__500x1300_curved">#REF!</definedName>
    <definedName name="WEIGHT_L5__B2__800x1300">#REF!</definedName>
    <definedName name="WEIGHT_L5__B2__800x1300_curved">#REF!</definedName>
    <definedName name="WEIGHT_L5__B3__800x1100">#REF!</definedName>
    <definedName name="WEIGHT_L5__B3__800x1100_curved">#REF!</definedName>
    <definedName name="WEIGHT_L5__B4__800x1600">#REF!</definedName>
    <definedName name="WEIGHT_L5__B5__400x800">#REF!</definedName>
    <definedName name="WEIGHT_L5__B6__600x1250">#REF!</definedName>
    <definedName name="WEIGHT_L5__B6__600x1250_curved">#REF!</definedName>
    <definedName name="WEIGHT_L5__B7__800x1250">#REF!</definedName>
    <definedName name="WEIGHT_L5__B7__800x1250_curved">#REF!</definedName>
    <definedName name="WEIGHT_L5__B8__1400x1250_curved">#REF!</definedName>
    <definedName name="WEIGHT_L5__B9__1800x1250">#REF!</definedName>
    <definedName name="WEIGHT_L5__B9__1800x1250_curved">#REF!</definedName>
    <definedName name="WEIGHT_L5__Beam__800x1600_curved__assumed_">#REF!</definedName>
    <definedName name="WEIGHT_L50__COMFLOR_100">#REF!</definedName>
    <definedName name="WEIGHT_L50__HEB_260">#REF!</definedName>
    <definedName name="WEIGHT_L51__COMFLOR_100">#REF!</definedName>
    <definedName name="WEIGHT_Land_Area">#REF!</definedName>
    <definedName name="WEIGHT_Lettable_Area__lvl_3_">#REF!</definedName>
    <definedName name="WEIGHT_Lettable_areas__lvl_2_">#REF!</definedName>
    <definedName name="WEIGHT_Level_3_balcony_handrails">#REF!</definedName>
    <definedName name="WEIGHT_Lift_voids__GF_">#REF!</definedName>
    <definedName name="WEIGHT_Lift_voids__lvl_1_">#REF!</definedName>
    <definedName name="WEIGHT_Lift_voids__lvl_2_">#REF!</definedName>
    <definedName name="WEIGHT_Lift_voids__lvl_3_">#REF!</definedName>
    <definedName name="WEIGHT_Lift_voids__Podium_1_">#REF!</definedName>
    <definedName name="WEIGHT_Lift_Voids__Podium_2_">#REF!</definedName>
    <definedName name="WEIGHT_Lift_voids__Roof_">#REF!</definedName>
    <definedName name="WEIGHT_Louver_1A">#REF!</definedName>
    <definedName name="WEIGHT_lvl_1__BOH_">#REF!</definedName>
    <definedName name="WEIGHT_lvl_1__Car_Park_">#REF!</definedName>
    <definedName name="WEIGHT_lvl_1__Externals_">#REF!</definedName>
    <definedName name="WEIGHT_lvl_1__FOH_Areas_">#REF!</definedName>
    <definedName name="WEIGHT_lvl_1__FOH_Circulation_">#REF!</definedName>
    <definedName name="WEIGHT_lvl_1__GFA_">#REF!</definedName>
    <definedName name="WEIGHT_lvl_1__GIFA_">#REF!</definedName>
    <definedName name="WEIGHT_lvl_1__offices_">#REF!</definedName>
    <definedName name="WEIGHT_lvl_1__Stairs_">#REF!</definedName>
    <definedName name="WEIGHT_lvl_1__vertical_storage_">#REF!</definedName>
    <definedName name="WEIGHT_lvl_1__Voids_">#REF!</definedName>
    <definedName name="WEIGHT_lvl_1__WCs_">#REF!</definedName>
    <definedName name="WEIGHT_lvl_1_BOH">#REF!</definedName>
    <definedName name="WEIGHT_lvl_1_Doors_Internal_Double__FOH_">#REF!</definedName>
    <definedName name="WEIGHT_lvl_1_Doors_Internal_Single__BOH_">#REF!</definedName>
    <definedName name="WEIGHT_lvl_1_Doors_Internal_Single__FOH_">#REF!</definedName>
    <definedName name="WEIGHT_lvl_1_External_Double_door__FOH_">#REF!</definedName>
    <definedName name="WEIGHT_lvl_1_External_double_doors__FOH_">#REF!</definedName>
    <definedName name="WEIGHT_lvl_1_FOH">#REF!</definedName>
    <definedName name="WEIGHT_lvl_1_GFA">#REF!</definedName>
    <definedName name="WEIGHT_lvl_1_GIFA">#REF!</definedName>
    <definedName name="WEIGHT_lvl_1_Internal_Double_doors__BOH_">#REF!</definedName>
    <definedName name="WEIGHT_lvl_1_Internal_double_doors__FOH_">#REF!</definedName>
    <definedName name="WEIGHT_lvl_1_Internal_single_doors__BOH_">#REF!</definedName>
    <definedName name="WEIGHT_lvl_1_Internal_single_doors__FOH_">#REF!</definedName>
    <definedName name="WEIGHT_lvl_1_Internal_single_doors__Stairs_">#REF!</definedName>
    <definedName name="WEIGHT_lvl_1_Offices">#REF!</definedName>
    <definedName name="WEIGHT_lvl_1_Stairs">#REF!</definedName>
    <definedName name="WEIGHT_lvl_1_Store">#REF!</definedName>
    <definedName name="WEIGHT_lvl_1_Voids">#REF!</definedName>
    <definedName name="WEIGHT_lvl_2__Apartments_">#REF!</definedName>
    <definedName name="WEIGHT_lvl_2__BOH_">#REF!</definedName>
    <definedName name="WEIGHT_lvl_2__FOH_Circulation_">#REF!</definedName>
    <definedName name="WEIGHT_lvl_2__GFA_">#REF!</definedName>
    <definedName name="WEIGHT_lvl_2__GIFA_">#REF!</definedName>
    <definedName name="WEIGHT_lvl_2__Stairs_">#REF!</definedName>
    <definedName name="WEIGHT_lvl_2__Voids_">#REF!</definedName>
    <definedName name="WEIGHT_lvl_2_External_dble_doors__FOH_">#REF!</definedName>
    <definedName name="WEIGHT_lvl_2_Internal_dble_doors__Aprt_">#REF!</definedName>
    <definedName name="WEIGHT_lvl_2_Internal_double_doors__BOH_">#REF!</definedName>
    <definedName name="WEIGHT_lvl_2_Internal_Single_doors__Apartments_">#REF!</definedName>
    <definedName name="WEIGHT_lvl_2_Internal_Single_doors__Apartments_Entrances_">#REF!</definedName>
    <definedName name="WEIGHT_lvl_2_Internal_single_doors__Aprt_">#REF!</definedName>
    <definedName name="WEIGHT_lvl_2_Internal_single_doors__Aprt_Entrance_">#REF!</definedName>
    <definedName name="WEIGHT_lvl_2_Internal_Single_doors__BOH_">#REF!</definedName>
    <definedName name="WEIGHT_lvl_2_Internal_Sliding_doors__Apartments_">#REF!</definedName>
    <definedName name="WEIGHT_lvl_2_Internal_sliding_doors__Aprt_">#REF!</definedName>
    <definedName name="WEIGHT_lvl_3__Apartments_">#REF!</definedName>
    <definedName name="WEIGHT_lvl_3__BOH_">#REF!</definedName>
    <definedName name="WEIGHT_lvl_3__Car_Park_">#REF!</definedName>
    <definedName name="WEIGHT_lvl_3__FOH_Circulation_">#REF!</definedName>
    <definedName name="WEIGHT_lvl_3__GFA_">#REF!</definedName>
    <definedName name="WEIGHT_lvl_3__GIFA_">#REF!</definedName>
    <definedName name="WEIGHT_lvl_3__Stairs_">#REF!</definedName>
    <definedName name="WEIGHT_lvl_3__voids_">#REF!</definedName>
    <definedName name="WEIGHT_lvl_3_External_balcony_doors__Aprt_">#REF!</definedName>
    <definedName name="WEIGHT_lvl_3_Internal_dble_doors__Aprt_">#REF!</definedName>
    <definedName name="WEIGHT_lvl_3_Internal_Double_doors__BOH_">#REF!</definedName>
    <definedName name="WEIGHT_lvl_3_Internal_Single_doors__Apartment_">#REF!</definedName>
    <definedName name="WEIGHT_lvl_3_Internal_Single_doors__Apartment_entrances_">#REF!</definedName>
    <definedName name="WEIGHT_lvl_3_Internal_single_doors__Aprt_">#REF!</definedName>
    <definedName name="WEIGHT_lvl_3_Internal_single_doors__Aprt_entrance_">#REF!</definedName>
    <definedName name="WEIGHT_lvl_3_Internal_Single_doors__BOH_">#REF!</definedName>
    <definedName name="WEIGHT_lvl_3_Internal_Single_doors__FOH_">#REF!</definedName>
    <definedName name="WEIGHT_lvl_3_Internal_Sliding_doors__Apartment_">#REF!</definedName>
    <definedName name="WEIGHT_lvl_3_Internal_sliding_doors__Aprt_">#REF!</definedName>
    <definedName name="WEIGHT_lvl_5__BOH_">#REF!</definedName>
    <definedName name="WEIGHT_lvl_5__Externals_">#REF!</definedName>
    <definedName name="WEIGHT_lvl_5__GFA_">#REF!</definedName>
    <definedName name="WEIGHT_lvl_5__GIFA_">#REF!</definedName>
    <definedName name="WEIGHT_lvl_5__Stairs_">#REF!</definedName>
    <definedName name="WEIGHT_lvl_5__voids_">#REF!</definedName>
    <definedName name="WEIGHT_lvl_5_External_Single_Door__BOH_">#REF!</definedName>
    <definedName name="WEIGHT_lvl_6__BOH_">#REF!</definedName>
    <definedName name="WEIGHT_lvl_6__Externals_">#REF!</definedName>
    <definedName name="WEIGHT_lvl_6__FOH_amenities_">#REF!</definedName>
    <definedName name="WEIGHT_lvl_6__FOH_Circulation_">#REF!</definedName>
    <definedName name="WEIGHT_lvl_6__GFA_">#REF!</definedName>
    <definedName name="WEIGHT_lvl_6__GIFA_">#REF!</definedName>
    <definedName name="WEIGHT_lvl_6__Pool_">#REF!</definedName>
    <definedName name="WEIGHT_lvl_6__Roof___Pool_deck_">#REF!</definedName>
    <definedName name="WEIGHT_lvl_6__Stairs_">#REF!</definedName>
    <definedName name="WEIGHT_lvl_6__Voids_">#REF!</definedName>
    <definedName name="WEIGHT_lvl_6_External_double_doors__BOH_">#REF!</definedName>
    <definedName name="WEIGHT_lvl_6_External_double_doors__FOH_">#REF!</definedName>
    <definedName name="WEIGHT_lvl_6_External_single_doors__BOH_">#REF!</definedName>
    <definedName name="WEIGHT_lvl_6_Internal_Single_doors__BOH_">#REF!</definedName>
    <definedName name="WEIGHT_lvl_6_Internal_Single_doors__FOH_">#REF!</definedName>
    <definedName name="WEIGHT_M01__Column_C1">#REF!</definedName>
    <definedName name="WEIGHT_M01__Column_C10">#REF!</definedName>
    <definedName name="WEIGHT_M01__Column_C11">#REF!</definedName>
    <definedName name="WEIGHT_M01__Column_C12">#REF!</definedName>
    <definedName name="WEIGHT_M01__Column_C2">#REF!</definedName>
    <definedName name="WEIGHT_M01__Column_C3">#REF!</definedName>
    <definedName name="WEIGHT_M01__Column_C4">#REF!</definedName>
    <definedName name="WEIGHT_M01__Column_C5">#REF!</definedName>
    <definedName name="WEIGHT_M01__Column_C6">#REF!</definedName>
    <definedName name="WEIGHT_M01__Column_C7">#REF!</definedName>
    <definedName name="WEIGHT_M01__Column_C8">#REF!</definedName>
    <definedName name="WEIGHT_M01__Column_C9">#REF!</definedName>
    <definedName name="WEIGHT_M01__Column_FC1">#REF!</definedName>
    <definedName name="WEIGHT_M01__Column_TC1">#REF!</definedName>
    <definedName name="WEIGHT_M01__Column_TC2">#REF!</definedName>
    <definedName name="WEIGHT_M01__Column_TC3">#REF!</definedName>
    <definedName name="WEIGHT_M01__Column_TC4">#REF!</definedName>
    <definedName name="WEIGHT_M01__Column_TC5">#REF!</definedName>
    <definedName name="WEIGHT_M1__TW1_250">#REF!</definedName>
    <definedName name="WEIGHT_M1__TW2_200">#REF!</definedName>
    <definedName name="WEIGHT_M1__TW3_300">#REF!</definedName>
    <definedName name="WEIGHT_M1__TW3_400">#REF!</definedName>
    <definedName name="WEIGHT_M1__TW4_500">#REF!</definedName>
    <definedName name="WEIGHT_M1__TW4_600">#REF!</definedName>
    <definedName name="WEIGHT_M1__TW5_300">#REF!</definedName>
    <definedName name="WEIGHT_M1_Beams">#REF!</definedName>
    <definedName name="WEIGHT_M1_DP">#REF!</definedName>
    <definedName name="WEIGHT_M1_DP1">#REF!</definedName>
    <definedName name="WEIGHT_M1_DP10">#REF!</definedName>
    <definedName name="WEIGHT_M1_DP2">#REF!</definedName>
    <definedName name="WEIGHT_M1_DP3">#REF!</definedName>
    <definedName name="WEIGHT_M1_DP4">#REF!</definedName>
    <definedName name="WEIGHT_M1_DP7">#REF!</definedName>
    <definedName name="WEIGHT_M1_DP8">#REF!</definedName>
    <definedName name="WEIGHT_M1_DP9">#REF!</definedName>
    <definedName name="WEIGHT_M1_Ramp">#REF!</definedName>
    <definedName name="WEIGHT_M1_Slab_200">#REF!</definedName>
    <definedName name="WEIGHT_M1_Slab_220">#REF!</definedName>
    <definedName name="WEIGHT_M1_Slab_250">#REF!</definedName>
    <definedName name="WEIGHT_M1_Slab_280">#REF!</definedName>
    <definedName name="WEIGHT_Mezz">#REF!</definedName>
    <definedName name="WEIGHT_Mezzanine___BOH___Admin_Support">#REF!</definedName>
    <definedName name="WEIGHT_Mezzanine___BOH___Administration_Offices">#REF!</definedName>
    <definedName name="WEIGHT_Mezzanine___BOH___Administration_Offices_Toilet">#REF!</definedName>
    <definedName name="WEIGHT_Mezzanine___BOH___Conference___Meeting">#REF!</definedName>
    <definedName name="WEIGHT_Mezzanine___BOH___Event_Center_Core">#REF!</definedName>
    <definedName name="WEIGHT_Mezzanine___BOH___Event_Center_Core_lift_shafts">#REF!</definedName>
    <definedName name="WEIGHT_Mezzanine___BOH___Event_Center_Pantry___Service">#REF!</definedName>
    <definedName name="WEIGHT_Mezzanine___BOH___Event_Center_Service">#REF!</definedName>
    <definedName name="WEIGHT_Mezzanine___BOH___Finance___Accounting">#REF!</definedName>
    <definedName name="WEIGHT_Mezzanine___BOH___Fire_Escape_Stairs">#REF!</definedName>
    <definedName name="WEIGHT_Mezzanine___BOH___Guest_Core">#REF!</definedName>
    <definedName name="WEIGHT_Mezzanine___BOH___Guest_Core_lift_shafts">#REF!</definedName>
    <definedName name="WEIGHT_Mezzanine___BOH___Reservation___PABX">#REF!</definedName>
    <definedName name="WEIGHT_Mezzanine___BOH___Service_Core">#REF!</definedName>
    <definedName name="WEIGHT_Mezzanine___BOH___Service_Core_ducts">#REF!</definedName>
    <definedName name="WEIGHT_Mezzanine___BOH___Service_Core_lift_shafts">#REF!</definedName>
    <definedName name="WEIGHT_Mezzanine___BOH___Staff_Core">#REF!</definedName>
    <definedName name="WEIGHT_Mezzanine___BOH___Staff_Core_lift_shafts">#REF!</definedName>
    <definedName name="WEIGHT_Mezzanine___Double_Volume__Conference___Meeting_">#REF!</definedName>
    <definedName name="WEIGHT_Mezzanine___Double_Volume__Lobby_Bar_">#REF!</definedName>
    <definedName name="WEIGHT_Mezzanine___Double_Volume__Reception_Lobby_">#REF!</definedName>
    <definedName name="WEIGHT_Mezzanine___FOH___Ball_Room">#REF!</definedName>
    <definedName name="WEIGHT_Mezzanine___FOH___Ball_Room_Pre_Function">#REF!</definedName>
    <definedName name="WEIGHT_Mezzanine___FOH___Circulation">#REF!</definedName>
    <definedName name="WEIGHT_Mezzanine___FOH___Guestroom_Terrace">#REF!</definedName>
    <definedName name="WEIGHT_Mezzanine___FOH___Guestrooms">#REF!</definedName>
    <definedName name="WEIGHT_MF_Admin._Offices_area">#REF!</definedName>
    <definedName name="WEIGHT_MF_BOH_Service_and_Utility_area">#REF!</definedName>
    <definedName name="WEIGHT_MF_BOH_Staircase">#REF!</definedName>
    <definedName name="WEIGHT_MF_Circulation_Corr._to_Admin._Offices">#REF!</definedName>
    <definedName name="WEIGHT_MF_Guest_Core">#REF!</definedName>
    <definedName name="WEIGHT_MF_Guestrooms">#REF!</definedName>
    <definedName name="WEIGHT_MF_HGR_BOH">#REF!</definedName>
    <definedName name="WEIGHT_MF_HGR_Circulation">#REF!</definedName>
    <definedName name="WEIGHT_MF_HGR_Covered_Balcony">#REF!</definedName>
    <definedName name="WEIGHT_MF_HGR_Fire_Staircase">#REF!</definedName>
    <definedName name="WEIGHT_MF_Lift_Shaft">#REF!</definedName>
    <definedName name="WEIGHT_MF_Roof_of_MEP_area">#REF!</definedName>
    <definedName name="WEIGHT_MF_Services_Core">#REF!</definedName>
    <definedName name="WEIGHT_MF_Voids___Dead_space">#REF!</definedName>
    <definedName name="WEIGHT_Non_return_valve">#REF!</definedName>
    <definedName name="WEIGHT_Open_Terrace___2F">#REF!</definedName>
    <definedName name="WEIGHT_Open_Terrace___3F">#REF!</definedName>
    <definedName name="WEIGHT_Open_Terrace___4F">#REF!</definedName>
    <definedName name="WEIGHT_Parapet_capping">#REF!</definedName>
    <definedName name="WEIGHT_Parapet_capping_1CRF">#REF!</definedName>
    <definedName name="WEIGHT_Parapet_capping1BRF">#REF!</definedName>
    <definedName name="WEIGHT_Pedestrian_Access">#REF!</definedName>
    <definedName name="Weight_Pipe">#REF!</definedName>
    <definedName name="WEIGHT_PLATE___1F" localSheetId="1">#REF!</definedName>
    <definedName name="WEIGHT_PLATE___1F">#REF!</definedName>
    <definedName name="WEIGHT_PLATE___2F" localSheetId="1">#REF!</definedName>
    <definedName name="WEIGHT_PLATE___2F">#REF!</definedName>
    <definedName name="WEIGHT_PLATE___3F" localSheetId="1">#REF!</definedName>
    <definedName name="WEIGHT_PLATE___3F">#REF!</definedName>
    <definedName name="WEIGHT_PLATE___4F">#REF!</definedName>
    <definedName name="WEIGHT_PLATE___5F">#REF!</definedName>
    <definedName name="WEIGHT_PLATE___B1">#REF!</definedName>
    <definedName name="WEIGHT_PLATE___B2">#REF!</definedName>
    <definedName name="WEIGHT_PLATE___GF">#REF!</definedName>
    <definedName name="WEIGHT_PLATE___MF">#REF!</definedName>
    <definedName name="WEIGHT_Plot_Area">#REF!</definedName>
    <definedName name="WEIGHT_Pod_1_Internal_single_doors__BOH_">#REF!</definedName>
    <definedName name="WEIGHT_Pod_1_Internal_single_doors__FOH_">#REF!</definedName>
    <definedName name="WEIGHT_Pod_2___Internal_single_doors__BOH_">#REF!</definedName>
    <definedName name="WEIGHT_Pod_2___Internal_single_doors__FOH_">#REF!</definedName>
    <definedName name="WEIGHT_Pond">#REF!</definedName>
    <definedName name="WEIGHT_Public_Toilets__GF_">#REF!</definedName>
    <definedName name="WEIGHT_Raft___13800mm_thick_raft">#REF!</definedName>
    <definedName name="WEIGHT_Rainwater_Drain">#REF!</definedName>
    <definedName name="WEIGHT_Rainwater_Drain_GF">#REF!</definedName>
    <definedName name="WEIGHT_Rainwater_Drain_Pipe">#REF!</definedName>
    <definedName name="WEIGHT_RF__Isolation_Valve">#REF!</definedName>
    <definedName name="WEIGHT_Roof__Canopies">#REF!</definedName>
    <definedName name="WEIGHT_Roof__Suspened_Roof">#REF!</definedName>
    <definedName name="WEIGHT_Roof_External_single_doors__FOH_">#REF!</definedName>
    <definedName name="WEIGHT_Roof_Internal_Single_doors__BOH_">#REF!</definedName>
    <definedName name="WEIGHT_Roof_Internal_single_doors__FOH_">#REF!</definedName>
    <definedName name="WEIGHT_Roof_Terrace___3F">#REF!</definedName>
    <definedName name="WEIGHT_Roof_Terrace___4F">#REF!</definedName>
    <definedName name="WEIGHT_Roof_Terrace___5F">#REF!</definedName>
    <definedName name="WEIGHT_RWO">#REF!</definedName>
    <definedName name="WEIGHT_Sellable">#REF!</definedName>
    <definedName name="WEIGHT_Shops__GF_">#REF!</definedName>
    <definedName name="Weight_SOF">#REF!</definedName>
    <definedName name="WEIGHT_Stairs__GF_" localSheetId="1">#REF!</definedName>
    <definedName name="WEIGHT_Stairs__GF_">#REF!</definedName>
    <definedName name="WEIGHT_Stairs__lvl_1_">#REF!</definedName>
    <definedName name="WEIGHT_Stairs__lvl_2_">#REF!</definedName>
    <definedName name="WEIGHT_Stairs__lvl_3_">#REF!</definedName>
    <definedName name="WEIGHT_Stairs__Podium_1_">#REF!</definedName>
    <definedName name="WEIGHT_Stairs__Podium_2_">#REF!</definedName>
    <definedName name="WEIGHT_Stairs__riser___Ceramic_floor_tile_ff05">#REF!</definedName>
    <definedName name="WEIGHT_Stairs__Risers_150mm___Ceramic_Floor_tile_FF05___Copy">#REF!</definedName>
    <definedName name="WEIGHT_stairs__Roof_">#REF!</definedName>
    <definedName name="WEIGHT_Stairs__Skirting">#REF!</definedName>
    <definedName name="WEIGHT_Stairs__step_200mm___Ceramic_Floor_tile_FF05">#REF!</definedName>
    <definedName name="WEIGHT_STRUT_RAFT">#REF!</definedName>
    <definedName name="WEIGHT_Studio_2_burner_hob">#REF!</definedName>
    <definedName name="WEIGHT_Studio_balcony">#REF!</definedName>
    <definedName name="WEIGHT_Studio_bath_tub">#REF!</definedName>
    <definedName name="WEIGHT_Studio_bath_tub_mixer">#REF!</definedName>
    <definedName name="WEIGHT_Studio_Bathroom">#REF!</definedName>
    <definedName name="WEIGHT_Studio_Bedroom">#REF!</definedName>
    <definedName name="WEIGHT_Studio_kitchen_sink">#REF!</definedName>
    <definedName name="WEIGHT_Studio_kitchen_sink_mixer">#REF!</definedName>
    <definedName name="WEIGHT_studio_kitchen_units">#REF!</definedName>
    <definedName name="WEIGHT_Studio_mirror">#REF!</definedName>
    <definedName name="WEIGHT_Studio_NIA">#REF!</definedName>
    <definedName name="WEIGHT_Studio_vanitys">#REF!</definedName>
    <definedName name="WEIGHT_Studio_wardrobe">#REF!</definedName>
    <definedName name="WEIGHT_Studio_Wash_basin">#REF!</definedName>
    <definedName name="WEIGHT_Studio_Wash_basin_mixer">#REF!</definedName>
    <definedName name="WEIGHT_Studio_Washing_machine">#REF!</definedName>
    <definedName name="WEIGHT_Studio_WC">#REF!</definedName>
    <definedName name="WEIGHT_T.C._A_01AF">#REF!</definedName>
    <definedName name="WEIGHT_T.C._A_01F___U01">#REF!</definedName>
    <definedName name="WEIGHT_T.C._A_01F___U02">#REF!</definedName>
    <definedName name="WEIGHT_T.C._A_01F___U03">#REF!</definedName>
    <definedName name="WEIGHT_T.C._A_01F___U04">#REF!</definedName>
    <definedName name="WEIGHT_T.C._A_01F___U05">#REF!</definedName>
    <definedName name="WEIGHT_T.C._A_01F___U06">#REF!</definedName>
    <definedName name="WEIGHT_T.C._A_02F___04F___U01">#REF!</definedName>
    <definedName name="WEIGHT_T.C._A_02F___04F___U02">#REF!</definedName>
    <definedName name="WEIGHT_T.C._A_02F___04F___U03">#REF!</definedName>
    <definedName name="WEIGHT_T.C._A_02F___04F___U04">#REF!</definedName>
    <definedName name="WEIGHT_T.C._A_02F___04F___U06">#REF!</definedName>
    <definedName name="WEIGHT_T.C._A_03F___U01">#REF!</definedName>
    <definedName name="WEIGHT_T.C._A_03F___U02">#REF!</definedName>
    <definedName name="WEIGHT_T.C._A_03F___U03">#REF!</definedName>
    <definedName name="WEIGHT_T.C._A_03F___U04">#REF!</definedName>
    <definedName name="WEIGHT_T.C._A_03F___U05">#REF!</definedName>
    <definedName name="WEIGHT_T.C._A_03F___U06">#REF!</definedName>
    <definedName name="WEIGHT_T.C._A_05F___U01">#REF!</definedName>
    <definedName name="WEIGHT_T.C._A_05F___U02">#REF!</definedName>
    <definedName name="WEIGHT_T.C._A_05F___U03">#REF!</definedName>
    <definedName name="WEIGHT_T.C._A_05F___U04">#REF!</definedName>
    <definedName name="WEIGHT_T.C._A_05F___U05">#REF!</definedName>
    <definedName name="WEIGHT_T.C._A_05F___U06">#REF!</definedName>
    <definedName name="WEIGHT_T.C._A_06F___U01">#REF!</definedName>
    <definedName name="WEIGHT_T.C._A_06F___U02">#REF!</definedName>
    <definedName name="WEIGHT_T.C._A_06F___U03">#REF!</definedName>
    <definedName name="WEIGHT_T.C._A_06F___U04">#REF!</definedName>
    <definedName name="WEIGHT_T.C._A_06F___U06">#REF!</definedName>
    <definedName name="WEIGHT_T.C._A_07F___U01">#REF!</definedName>
    <definedName name="WEIGHT_T.C._A_07F___U02">#REF!</definedName>
    <definedName name="WEIGHT_T.C._A_07F___U03">#REF!</definedName>
    <definedName name="WEIGHT_T.C._A_07F___U04">#REF!</definedName>
    <definedName name="WEIGHT_T.C._A_07F___U05">#REF!</definedName>
    <definedName name="WEIGHT_T.C._A_07F___U06">#REF!</definedName>
    <definedName name="WEIGHT_T.C._A_08f___10F___U01">#REF!</definedName>
    <definedName name="WEIGHT_T.C._A_08f___10F___U02">#REF!</definedName>
    <definedName name="WEIGHT_T.C._A_08f___10F___U03">#REF!</definedName>
    <definedName name="WEIGHT_T.C._A_08f___10F___U04">#REF!</definedName>
    <definedName name="WEIGHT_T.C._A_08f___10F___U06">#REF!</definedName>
    <definedName name="WEIGHT_T.C._A_09F___U01">#REF!</definedName>
    <definedName name="WEIGHT_T.C._A_09F___U02">#REF!</definedName>
    <definedName name="WEIGHT_T.C._A_09F___U03">#REF!</definedName>
    <definedName name="WEIGHT_T.C._A_09F___U04">#REF!</definedName>
    <definedName name="WEIGHT_T.C._A_09F___U05">#REF!</definedName>
    <definedName name="WEIGHT_T.C._A_09F___U06">#REF!</definedName>
    <definedName name="WEIGHT_T.C._A_11F___U01">#REF!</definedName>
    <definedName name="WEIGHT_T.C._A_11F___U02">#REF!</definedName>
    <definedName name="WEIGHT_T.C._A_11F___U03">#REF!</definedName>
    <definedName name="WEIGHT_T.C._A_11F___U04">#REF!</definedName>
    <definedName name="WEIGHT_T.C._A_11F___U05">#REF!</definedName>
    <definedName name="WEIGHT_T.C._A_11F___U06">#REF!</definedName>
    <definedName name="WEIGHT_T.C._A_12F___U01">#REF!</definedName>
    <definedName name="WEIGHT_T.C._A_12F___U02">#REF!</definedName>
    <definedName name="WEIGHT_T.C._A_12F___U03">#REF!</definedName>
    <definedName name="WEIGHT_T.C._A_12F___U04">#REF!</definedName>
    <definedName name="WEIGHT_T.C._A_12F___U06">#REF!</definedName>
    <definedName name="WEIGHT_T.C._A_31F___U01">#REF!</definedName>
    <definedName name="WEIGHT_T.C._A_31F___U02">#REF!</definedName>
    <definedName name="WEIGHT_T.C._A_31F___U03">#REF!</definedName>
    <definedName name="WEIGHT_T.C._A_31F___U04">#REF!</definedName>
    <definedName name="WEIGHT_T.C._B_GF___main_entrance">#REF!</definedName>
    <definedName name="WEIGHT_T.C._B_GF___near_escape_corridor">#REF!</definedName>
    <definedName name="WEIGHT_T.C._B_GF___near_ramp">#REF!</definedName>
    <definedName name="WEIGHT_T.C._B_GF___near_tech._area">#REF!</definedName>
    <definedName name="WEIGHT_T.C._B_GF___stair_3">#REF!</definedName>
    <definedName name="WEIGHT_T.U._A_01AF">#REF!</definedName>
    <definedName name="WEIGHT_T.U._A_01AF___swimming_pool">#REF!</definedName>
    <definedName name="WEIGHT_T.U._A_07F___U03">#REF!</definedName>
    <definedName name="WEIGHT_T.U._A_07F___U04">#REF!</definedName>
    <definedName name="WEIGHT_T.U._A_31F___U02">#REF!</definedName>
    <definedName name="WEIGHT_T.U._A_31F___U05">#REF!</definedName>
    <definedName name="WEIGHT_T.U._A_32F___U01">#REF!</definedName>
    <definedName name="WEIGHT_T.U._A_32F___U02">#REF!</definedName>
    <definedName name="WEIGHT_T.U._A_32F___U03">#REF!</definedName>
    <definedName name="WEIGHT_T.U._A_32F___U04">#REF!</definedName>
    <definedName name="WEIGHT_T.U._A_33F__">#REF!</definedName>
    <definedName name="WEIGHT_T.U._A_35uRF__">#REF!</definedName>
    <definedName name="WEIGHT_T.U._B_GF___external_double_volume">#REF!</definedName>
    <definedName name="WEIGHT_T.U._B_GF___external_driveway">#REF!</definedName>
    <definedName name="WEIGHT_T.U._B_GF___external_ramp">#REF!</definedName>
    <definedName name="WEIGHT_T.U._B_GF___external_sidewalk">#REF!</definedName>
    <definedName name="WEIGHT_T.U._B_GF___external_stair">#REF!</definedName>
    <definedName name="WEIGHT_T.U._B_GF___external_stair___ramp">#REF!</definedName>
    <definedName name="WEIGHT_T.U._B_P2F__waterfall">#REF!</definedName>
    <definedName name="Weight_TeeEqual">#REF!</definedName>
    <definedName name="WEIGHT_Test_Length" localSheetId="1">#REF!</definedName>
    <definedName name="WEIGHT_Test_Length">#REF!</definedName>
    <definedName name="WEIGHT_TH__L02__Column_500_x_1000">#REF!</definedName>
    <definedName name="WEIGHT_TH__L02__Column_500_x_1100">#REF!</definedName>
    <definedName name="WEIGHT_TH__L02__Column_500_x_1200">#REF!</definedName>
    <definedName name="WEIGHT_TH__L02__TW1_250">#REF!</definedName>
    <definedName name="WEIGHT_TH__L03__Column_500_x_1000">#REF!</definedName>
    <definedName name="WEIGHT_TH__L03__Column_500_x_1100">#REF!</definedName>
    <definedName name="WEIGHT_TH__L03__Column_500_x_1200">#REF!</definedName>
    <definedName name="WEIGHT_TH__L03__TW1_250">#REF!</definedName>
    <definedName name="WEIGHT_TH_L02_Beams">#REF!</definedName>
    <definedName name="WEIGHT_TH_L02_Slab_200">#REF!</definedName>
    <definedName name="WEIGHT_TH_L02_Slab_250">#REF!</definedName>
    <definedName name="WEIGHT_TH_L02_Slab_300">#REF!</definedName>
    <definedName name="WEIGHT_TH_L03_Beams">#REF!</definedName>
    <definedName name="WEIGHT_TH_L03_Slab_250">#REF!</definedName>
    <definedName name="WEIGHT_TH2_V2__Shared_Unit_1_2____1000g_Polystyrene_Sheet_to_Footing">#REF!</definedName>
    <definedName name="WEIGHT_TH2_V2__Shared_Unit_1_2____200mm_thk_Suitable_Well_Graded_Compacted_Materiall_90__to_footing">#REF!</definedName>
    <definedName name="WEIGHT_TH2_V2__Shared_Unit_1_2____50mm_thk_PCC_to_Footing">#REF!</definedName>
    <definedName name="WEIGHT_TH2_V2__Shared_Unit_1_2____Excavation_to_Footing">#REF!</definedName>
    <definedName name="WEIGHT_TH2_V2__Shared_Unit_1_2____Soil_Compaction_to_Footing">#REF!</definedName>
    <definedName name="WEIGHT_TH2_V2__Shared_Unit_1_2___Concrete_to_Beams__FF">#REF!</definedName>
    <definedName name="WEIGHT_TH2_V2__Shared_Unit_1_2___Concrete_to_Beams_GF">#REF!</definedName>
    <definedName name="WEIGHT_TH2_V2__Shared_Unit_1_2___Concrete_to_Colum_FF">#REF!</definedName>
    <definedName name="WEIGHT_TH2_V2__Shared_Unit_1_2___Concrete_to_Column_below_grade">#REF!</definedName>
    <definedName name="WEIGHT_TH2_V2__Shared_Unit_1_2___Concrete_to_Column_GF">#REF!</definedName>
    <definedName name="WEIGHT_TH2_V2__Shared_Unit_1_2___Concrete_to_Column_RF">#REF!</definedName>
    <definedName name="WEIGHT_TH2_V2__Shared_Unit_1_2___Concrete_to_Footing">#REF!</definedName>
    <definedName name="WEIGHT_TH2_V2__Shared_Unit_1_2___Concrete_to_Grade_Beam">#REF!</definedName>
    <definedName name="WEIGHT_TH2_V2__Shared_Unit_1_2___Concrete_to_ST_Beams">#REF!</definedName>
    <definedName name="WEIGHT_TH2_V2__Shared_Unit_1_2___Excavation_to_ST_Beam">#REF!</definedName>
    <definedName name="WEIGHT_TH2_V2__Shared_Unit_1_2___Formworks_to_Sides_of_Beams_FF">#REF!</definedName>
    <definedName name="WEIGHT_TH2_V2__Shared_Unit_1_2___Formworks_to_Sides_of_Beams_GF">#REF!</definedName>
    <definedName name="WEIGHT_TH2_V2__Shared_Unit_1_2___Formworks_to_Sides_of_Colum___Copy">#REF!</definedName>
    <definedName name="WEIGHT_TH2_V2__Shared_Unit_1_2___Formworks_to_Sides_of_Column_GF">#REF!</definedName>
    <definedName name="WEIGHT_TH2_V2__Shared_Unit_1_2___Formworks_to_Sides_of_Column_RF">#REF!</definedName>
    <definedName name="WEIGHT_TH2_V2__Shared_Unit_1_2___Formworks_to_Sides_of_Columns">#REF!</definedName>
    <definedName name="WEIGHT_TH2_V2__Shared_Unit_1_2___Formworks_to_Sides_of_Grade_Beams">#REF!</definedName>
    <definedName name="WEIGHT_TH2_V2__Shared_Unit_1_2___Formworks_to_Soffit_of_Beams_FF">#REF!</definedName>
    <definedName name="WEIGHT_TH2_V2__Shared_Unit_1_2___Formworks_to_Soffit_of_Beams_GF">#REF!</definedName>
    <definedName name="WEIGHT_TH2_V2__Shared_Unit_1_2___Formworks_to_Soffit_of_Grade_Beams">#REF!</definedName>
    <definedName name="WEIGHT_TH2_V2__Shared_Unit_1_2___Reinforcement_to_Column">#REF!</definedName>
    <definedName name="WEIGHT_TH2_V2__Shared_Unit_1_2___Reinforcement_to_Footing">#REF!</definedName>
    <definedName name="WEIGHT_TH2_V2__Unit_1____1000g_polystyrene_Sheet_to_footing">#REF!</definedName>
    <definedName name="WEIGHT_TH2_V2__Unit_1____200_thk._Suitable_Well_Graded_Compacted_Materials_to_Footing">#REF!</definedName>
    <definedName name="WEIGHT_TH2_V2__Unit_1____50_mm_thk_PCC_to_footing">#REF!</definedName>
    <definedName name="WEIGHT_TH2_V2__Unit_1____Excavation_to_Footing">#REF!</definedName>
    <definedName name="WEIGHT_TH2_V2__Unit_1____Soil_Compaction_to_Footing">#REF!</definedName>
    <definedName name="WEIGHT_TH2_V2__Unit_1___Compacted_Soil_95__ready_to_receive_pavers">#REF!</definedName>
    <definedName name="WEIGHT_TH2_V2__Unit_1___Concrete_to_Beams_FF">#REF!</definedName>
    <definedName name="WEIGHT_TH2_V2__Unit_1___Concrete_to_Beams_GF">#REF!</definedName>
    <definedName name="WEIGHT_TH2_V2__Unit_1___Concrete_to_Column_below_grade">#REF!</definedName>
    <definedName name="WEIGHT_TH2_V2__Unit_1___Concrete_to_Column_FF">#REF!</definedName>
    <definedName name="WEIGHT_TH2_V2__Unit_1___Concrete_to_Column_GF">#REF!</definedName>
    <definedName name="WEIGHT_TH2_V2__Unit_1___Concrete_to_Column_RF">#REF!</definedName>
    <definedName name="WEIGHT_TH2_V2__Unit_1___Concrete_to_entry_slabs">#REF!</definedName>
    <definedName name="WEIGHT_TH2_V2__Unit_1___Concrete_to_Footing">#REF!</definedName>
    <definedName name="WEIGHT_TH2_V2__Unit_1___Concrete_to_Grade_Beams">#REF!</definedName>
    <definedName name="WEIGHT_TH2_V2__Unit_1___Concrete_to_Grade_Slab">#REF!</definedName>
    <definedName name="WEIGHT_TH2_V2__Unit_1___Concrete_to_Roof">#REF!</definedName>
    <definedName name="WEIGHT_TH2_V2__Unit_1___Concrete_to_Roof_Slab_GF">#REF!</definedName>
    <definedName name="WEIGHT_TH2_V2__Unit_1___Concrete_to_ST_Beams">#REF!</definedName>
    <definedName name="WEIGHT_TH2_V2__Unit_1___Concrete_to_steps">#REF!</definedName>
    <definedName name="WEIGHT_TH2_V2__Unit_1___Concrete_to_Suspended_Slab_GF">#REF!</definedName>
    <definedName name="WEIGHT_TH2_V2__Unit_1___Concrete_to_Suspended_Slabs_FF">#REF!</definedName>
    <definedName name="WEIGHT_TH2_V2__Unit_1___Concrete_to_terrace_slabs">#REF!</definedName>
    <definedName name="WEIGHT_TH2_V2__Unit_1___Excavation_to_Footing">#REF!</definedName>
    <definedName name="WEIGHT_TH2_V2__Unit_1___Excavation_to_ST_Beams">#REF!</definedName>
    <definedName name="WEIGHT_TH2_V2__Unit_1___Formworks_to_Roof">#REF!</definedName>
    <definedName name="WEIGHT_TH2_V2__Unit_1___Formworks_to_Roof_Slab_GF">#REF!</definedName>
    <definedName name="WEIGHT_TH2_V2__Unit_1___Formworks_to_Sides_Beams_FF">#REF!</definedName>
    <definedName name="WEIGHT_TH2_V2__Unit_1___Formworks_to_Sides_of_Beams_GF">#REF!</definedName>
    <definedName name="WEIGHT_TH2_V2__Unit_1___Formworks_to_Sides_of_Column">#REF!</definedName>
    <definedName name="WEIGHT_TH2_V2__Unit_1___Formworks_to_Sides_of_Column_FF___Copy">#REF!</definedName>
    <definedName name="WEIGHT_TH2_V2__Unit_1___Formworks_to_Sides_of_Column_RF">#REF!</definedName>
    <definedName name="WEIGHT_TH2_V2__Unit_1___Formworks_to_Sides_of_Columns_GF">#REF!</definedName>
    <definedName name="WEIGHT_TH2_V2__Unit_1___Formworks_to_Sides_of_Grade_Beams">#REF!</definedName>
    <definedName name="WEIGHT_TH2_V2__Unit_1___Formworks_to_Soffit_of_Beams_FF">#REF!</definedName>
    <definedName name="WEIGHT_TH2_V2__Unit_1___Formworks_to_Soffit_of_Beams_GF">#REF!</definedName>
    <definedName name="WEIGHT_TH2_V2__Unit_1___Formworks_to_Soffit_of_Grade_Beams">#REF!</definedName>
    <definedName name="WEIGHT_TH2_V2__Unit_1___Formworks_to_Suspended_Slab__FF">#REF!</definedName>
    <definedName name="WEIGHT_TH2_V2__Unit_1___Formworks_to_Suspended_Slab_GF">#REF!</definedName>
    <definedName name="WEIGHT_TH2_V2__Unit_1___Reinforcement_to_Column_below_grade">#REF!</definedName>
    <definedName name="WEIGHT_TH2_V2__Unit_1___Reinforcement_to_Footing">#REF!</definedName>
    <definedName name="WEIGHT_TH2_V2__Unit_1___Reinforcement_to_ST_Beams">#REF!</definedName>
    <definedName name="WEIGHT_TH2_V2__Unit_2____1000g_Polystyrene_to_Footing">#REF!</definedName>
    <definedName name="WEIGHT_TH2_V2__Unit_2____200_mm_thk_Suitable_Well_Graded_Compacted_Materials_to_Footing">#REF!</definedName>
    <definedName name="WEIGHT_TH2_V2__Unit_2____50_mm_thk_PCC_to_Footing">#REF!</definedName>
    <definedName name="WEIGHT_TH2_V2__Unit_2____Excavation_to_Footing">#REF!</definedName>
    <definedName name="WEIGHT_TH2_V2__Unit_2____Soil_Compaction_to_Footing">#REF!</definedName>
    <definedName name="WEIGHT_TH2_V2__Unit_2___Compacted_Soil_95__ready_t_o_receive_pavers">#REF!</definedName>
    <definedName name="WEIGHT_TH2_V2__Unit_2___Concrete_to_Beams_FF">#REF!</definedName>
    <definedName name="WEIGHT_TH2_V2__Unit_2___Concrete_to_Beams_GF">#REF!</definedName>
    <definedName name="WEIGHT_TH2_V2__Unit_2___Concrete_to_Column_below_grade">#REF!</definedName>
    <definedName name="WEIGHT_TH2_V2__Unit_2___Concrete_to_Column_FF">#REF!</definedName>
    <definedName name="WEIGHT_TH2_V2__Unit_2___Concrete_to_Column_RF">#REF!</definedName>
    <definedName name="WEIGHT_TH2_V2__Unit_2___Concrete_to_Columns_GF">#REF!</definedName>
    <definedName name="WEIGHT_TH2_V2__Unit_2___Concrete_to_entry_slabs">#REF!</definedName>
    <definedName name="WEIGHT_TH2_V2__Unit_2___Concrete_to_Footing">#REF!</definedName>
    <definedName name="WEIGHT_TH2_V2__UNit_2___Concrete_to_Grade_Beam">#REF!</definedName>
    <definedName name="WEIGHT_TH2_V2__Unit_2___Concrete_to_Grade_Slab">#REF!</definedName>
    <definedName name="WEIGHT_TH2_V2__Unit_2___Concrete_to_Roof">#REF!</definedName>
    <definedName name="WEIGHT_TH2_V2__Unit_2___Concrete_to_Roof_Slab_GF">#REF!</definedName>
    <definedName name="WEIGHT_TH2_V2__Unit_2___Concrete_to_ST_Beams">#REF!</definedName>
    <definedName name="WEIGHT_TH2_V2__Unit_2___Concrete_to_steps">#REF!</definedName>
    <definedName name="WEIGHT_TH2_V2__Unit_2___Concrete_to_Suspended_Slab__FF">#REF!</definedName>
    <definedName name="WEIGHT_TH2_V2__Unit_2___Concrete_to_Suspended_Slab_GF">#REF!</definedName>
    <definedName name="WEIGHT_TH2_V2__Unit_2___Concrete_to_terrace_slabs">#REF!</definedName>
    <definedName name="WEIGHT_TH2_V2__Unit_2___Excavation_to_Footing">#REF!</definedName>
    <definedName name="WEIGHT_TH2_V2__Unit_2___Excavation_to_ST_Beams">#REF!</definedName>
    <definedName name="WEIGHT_TH2_V2__Unit_2___Formworks_to_Roof">#REF!</definedName>
    <definedName name="WEIGHT_TH2_V2__Unit_2___Formworks_to_Roof_Slab_GF">#REF!</definedName>
    <definedName name="WEIGHT_TH2_V2__Unit_2___Formworks_to_Sides_of_Beams_FF">#REF!</definedName>
    <definedName name="WEIGHT_TH2_V2__Unit_2___Formworks_to_Sides_of_Beams_GF">#REF!</definedName>
    <definedName name="WEIGHT_TH2_V2__Unit_2___Formworks_to_Sides_of_Column">#REF!</definedName>
    <definedName name="WEIGHT_TH2_V2__Unit_2___Formworks_to_Sides_of_Column_FF___Copy">#REF!</definedName>
    <definedName name="WEIGHT_TH2_V2__Unit_2___Formworks_to_Sides_of_Column_RF">#REF!</definedName>
    <definedName name="WEIGHT_TH2_V2__Unit_2___Formworks_to_Sides_of_Columns_GF">#REF!</definedName>
    <definedName name="WEIGHT_TH2_V2__UNit_2___Formworks_to_Sides_of_Grade_Beam">#REF!</definedName>
    <definedName name="WEIGHT_TH2_V2__Unit_2___Formworks_to_Soffit_of_Beam_FF">#REF!</definedName>
    <definedName name="WEIGHT_TH2_V2__Unit_2___Formworks_to_Soffit_of_Beams_GF">#REF!</definedName>
    <definedName name="WEIGHT_TH2_V2__UNit_2___Formworks_to_Soffit_of_Grade_Beam">#REF!</definedName>
    <definedName name="WEIGHT_TH2_V2__Unit_2___Formworks_to_Suspended_Slab_FF">#REF!</definedName>
    <definedName name="WEIGHT_TH2_V2__Unit_2___Formworks_to_Suspended_Slab_GF">#REF!</definedName>
    <definedName name="WEIGHT_TH2_V2__Unit_2___Reinforcement_to_Column_below_grade">#REF!</definedName>
    <definedName name="WEIGHT_TH2_V2__Unit_2___Reinforcement_to_Footing">#REF!</definedName>
    <definedName name="WEIGHT_TH2_V2__Unit_2__Reinforcement_to_ST_Beams">#REF!</definedName>
    <definedName name="WEIGHT_TH2_V2__units_1___Blockworks_100mm_thick">#REF!</definedName>
    <definedName name="WEIGHT_TH2_V2__units_1___Blockworks_BW_1">#REF!</definedName>
    <definedName name="WEIGHT_TH2_V2__units_1___Blockworks_BW_2">#REF!</definedName>
    <definedName name="WEIGHT_TH2_V2__units_1___Blockworks_BW_3">#REF!</definedName>
    <definedName name="WEIGHT_TH2_V2__units_1___Blockworks_BW_3_External">#REF!</definedName>
    <definedName name="WEIGHT_TH2_V2__units_1___Blockworks_BW_4">#REF!</definedName>
    <definedName name="WEIGHT_TH2_V2__units_1___Ceiling_Finishes__390mm_high_BH">#REF!</definedName>
    <definedName name="WEIGHT_TH2_V2__units_1___Ceiling_Finishes__450mm_high_BH">#REF!</definedName>
    <definedName name="WEIGHT_TH2_V2__units_1___Ceiling_Finishes__460mm_high_BH">#REF!</definedName>
    <definedName name="WEIGHT_TH2_V2__units_1___Ceiling_Finishes__490mm_high_BH">#REF!</definedName>
    <definedName name="WEIGHT_TH2_V2__units_1___Ceiling_Finishes__560mm_high_BH">#REF!</definedName>
    <definedName name="WEIGHT_TH2_V2__units_1___Ceiling_Finishes_Plaster_w__Paint__Moisture_">#REF!</definedName>
    <definedName name="WEIGHT_TH2_V2__units_1___Ceiling_Finishes_Plaster_w__Paint_PF01">#REF!</definedName>
    <definedName name="WEIGHT_TH2_V2__units_1___Ceiling_Finishes_Plasterboard_w__Paint_PF01">#REF!</definedName>
    <definedName name="WEIGHT_TH2_V2__units_1___Ceiling_Finishes_Plasterboard_w__Paint_PF02">#REF!</definedName>
    <definedName name="WEIGHT_TH2_V2__units_1___Floor_Finishes_Ceramic_Tiles">#REF!</definedName>
    <definedName name="WEIGHT_TH2_V2__units_1___Floor_Finishes_FF01">#REF!</definedName>
    <definedName name="WEIGHT_TH2_V2__units_1___Floor_Finishes_FF03">#REF!</definedName>
    <definedName name="WEIGHT_TH2_V2__units_1___Floor_Finishes_Interlock">#REF!</definedName>
    <definedName name="WEIGHT_TH2_V2__units_1___Floor_Finishes_Pavers">#REF!</definedName>
    <definedName name="WEIGHT_TH2_V2__units_1___Floor_Finishes_Pavers_Kerbs">#REF!</definedName>
    <definedName name="WEIGHT_TH2_V2__units_1___Floor_Finishes_Screed_only">#REF!</definedName>
    <definedName name="WEIGHT_TH2_V2__units_1___Handrail__1100mm_high">#REF!</definedName>
    <definedName name="WEIGHT_TH2_V2__units_1___Roof_Finishes_Precast_Concrete">#REF!</definedName>
    <definedName name="WEIGHT_TH2_V2__units_1___Roof_Finishes_Waterproofing_w__Paint">#REF!</definedName>
    <definedName name="WEIGHT_TH2_V2__units_1___Skirting_External">#REF!</definedName>
    <definedName name="WEIGHT_TH2_V2__units_1___Skirting_FF01">#REF!</definedName>
    <definedName name="WEIGHT_TH2_V2__units_1___Staircase_Finishes_FF05">#REF!</definedName>
    <definedName name="WEIGHT_TH2_V2__units_1___Type_AL_01__1000_x_2100mm_high">#REF!</definedName>
    <definedName name="WEIGHT_TH2_V2__units_1___Type_AL_02__600_x_1350mm_high">#REF!</definedName>
    <definedName name="WEIGHT_TH2_V2__units_1___Type_AL_03__350_x_1350mm_high">#REF!</definedName>
    <definedName name="WEIGHT_TH2_V2__units_1___Type_AL_04__800_x_1350mm_high">#REF!</definedName>
    <definedName name="WEIGHT_TH2_V2__units_1___Type_D_01__1100_x_2400mm_high">#REF!</definedName>
    <definedName name="WEIGHT_TH2_V2__units_1___Type_D_02__900_x_2200mm_high">#REF!</definedName>
    <definedName name="WEIGHT_TH2_V2__units_1___Type_D_03__850_x_2200mm_high">#REF!</definedName>
    <definedName name="WEIGHT_TH2_V2__units_1___Type_D_03__850_x_2200mm_high_Internal">#REF!</definedName>
    <definedName name="WEIGHT_TH2_V2__units_1___Type_D_04__900_x_2200mm_high">#REF!</definedName>
    <definedName name="WEIGHT_TH2_V2__units_1___Type_GL_01__750_x_1250mm_high">#REF!</definedName>
    <definedName name="WEIGHT_TH2_V2__units_1___Type_GL_02__600_x_1250mm_high">#REF!</definedName>
    <definedName name="WEIGHT_TH2_V2__units_1___Type_GL_03__2225_x_3750mm_high__corner">#REF!</definedName>
    <definedName name="WEIGHT_TH2_V2__units_1___Type_GL_04__2200_x_2700mm_high">#REF!</definedName>
    <definedName name="WEIGHT_TH2_V2__units_1___Type_GL_05__2700_x_2550mm_high__corner">#REF!</definedName>
    <definedName name="WEIGHT_TH2_V2__units_1___Type_GL_06__1400_x_1250mm_high">#REF!</definedName>
    <definedName name="WEIGHT_TH2_V2__units_1___Type_GL_16__2400_x_2400mm_high__corner">#REF!</definedName>
    <definedName name="WEIGHT_TH2_V2__units_1___Type_GL_17__750_x_2550mm_high">#REF!</definedName>
    <definedName name="WEIGHT_TH2_V2__units_1___Type_GL_18__750_x_2100mm_high">#REF!</definedName>
    <definedName name="WEIGHT_TH2_V2__units_1___Type_GL_19__700_x_1250mm_high">#REF!</definedName>
    <definedName name="WEIGHT_TH2_V2__units_1___Type_GL_20__2850_x_2400mm_high">#REF!</definedName>
    <definedName name="WEIGHT_TH2_V2__units_1___Type_GL_21__1400_x_2400mm_high">#REF!</definedName>
    <definedName name="WEIGHT_TH2_V2__units_1___Type_GL_22__900_x_2200mm_high">#REF!</definedName>
    <definedName name="WEIGHT_TH2_V2__units_1___Type_GL_23__1900_x_2700mm_high">#REF!</definedName>
    <definedName name="WEIGHT_TH2_V2__units_1___Wall_Finishes_PF03">#REF!</definedName>
    <definedName name="WEIGHT_TH2_V2__units_1___Wall_Finishes_PF04">#REF!</definedName>
    <definedName name="WEIGHT_TH2_V2__units_1___Wall_Finishes_Plaster_w__paint">#REF!</definedName>
    <definedName name="WEIGHT_TH2_V2__units_1___Wall_Finishes_Plaster_w__paint__dark_">#REF!</definedName>
    <definedName name="WEIGHT_TH2_V2__units_1___Wall_Finishes_SS">#REF!</definedName>
    <definedName name="WEIGHT_TH2_V2__units_1___Wall_Finishes_WF01">#REF!</definedName>
    <definedName name="WEIGHT_TH2_V2__units_1___Wall_Finishes_WF02">#REF!</definedName>
    <definedName name="WEIGHT_TH2_V2__units_1___Wall_Finishes_WF03">#REF!</definedName>
    <definedName name="WEIGHT_TH2_V2__units_1___Wall_Finishes_WF04">#REF!</definedName>
    <definedName name="WEIGHT_TH2_V2__units_1___Wall_Finishes_WF05">#REF!</definedName>
    <definedName name="WEIGHT_TH2_V2__units_1___Wall_Finishes_WF06">#REF!</definedName>
    <definedName name="WEIGHT_TH2_V2__units_1___Wall_Finishes_WF07">#REF!</definedName>
    <definedName name="WEIGHT_TH2_V2__units_1___Wall_Finishes_WF08">#REF!</definedName>
    <definedName name="WEIGHT_TH2_V2__units_1___Wall_Insulation">#REF!</definedName>
    <definedName name="WEIGHT_TH2_V2__units_1___Waterproofing_to_walls">#REF!</definedName>
    <definedName name="WEIGHT_TH2_V2__units_1___Waterproofing_to_wet_areas">#REF!</definedName>
    <definedName name="WEIGHT_Trees___Around_Perimeter">#REF!</definedName>
    <definedName name="WEIGHT_Trees___Inside_Plot">#REF!</definedName>
    <definedName name="WEIGHT_TYPICAL__ADDL_SLAB">#REF!</definedName>
    <definedName name="WEIGHT_TYPICAL__HEB_100">#REF!</definedName>
    <definedName name="WEIGHT_TYPICAL__HEB_160">#REF!</definedName>
    <definedName name="WEIGHT_TYPICAL__L_150x150x15">#REF!</definedName>
    <definedName name="WEIGHT_TYPICAL__MEP_FLOOR">#REF!</definedName>
    <definedName name="WEIGHT_Unallocated_Rooms">#REF!</definedName>
    <definedName name="WEIGHT_uPVC_Sewage_Pipe_1F">#REF!</definedName>
    <definedName name="WEIGHT_uPVC_Sewage_Pipe_GF">#REF!</definedName>
    <definedName name="WEIGHT_uPVC_Waste_Pipe_1F">#REF!</definedName>
    <definedName name="WEIGHT_uPVC_Waste_Pipe_1F_collection">#REF!</definedName>
    <definedName name="WEIGHT_uPVC_Waste_Pipe_GF">#REF!</definedName>
    <definedName name="WEIGHT_uPVC_Waste_Pipe_GF_Collection">#REF!</definedName>
    <definedName name="Weight_ValveFlg">#REF!</definedName>
    <definedName name="WEIGHT_Water_Feature" localSheetId="1">#REF!</definedName>
    <definedName name="WEIGHT_Water_Feature">#REF!</definedName>
    <definedName name="WEIGHT_Water_Hammer_Arrestor">#REF!</definedName>
    <definedName name="WEIGHT_Water_jets">#REF!</definedName>
    <definedName name="Weight_WeldRod">#REF!</definedName>
    <definedName name="Weight_WNF">#REF!</definedName>
    <definedName name="wen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o" localSheetId="1" hidden="1">{"'Break down'!$A$4"}</definedName>
    <definedName name="weo" hidden="1">{"'Break down'!$A$4"}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rff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r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w">#REF!</definedName>
    <definedName name="wer" localSheetId="1" hidden="1">#REF!</definedName>
    <definedName name="wer" hidden="1">#REF!</definedName>
    <definedName name="WERD">#N/A</definedName>
    <definedName name="werfg" localSheetId="1" hidden="1">{#N/A,#N/A,TRUE,"Cover";#N/A,#N/A,TRUE,"Conts";#N/A,#N/A,TRUE,"VOS";#N/A,#N/A,TRUE,"Warrington";#N/A,#N/A,TRUE,"Widnes"}</definedName>
    <definedName name="werfg" hidden="1">{#N/A,#N/A,TRUE,"Cover";#N/A,#N/A,TRUE,"Conts";#N/A,#N/A,TRUE,"VOS";#N/A,#N/A,TRUE,"Warrington";#N/A,#N/A,TRUE,"Widnes"}</definedName>
    <definedName name="werfwef">#REF!</definedName>
    <definedName name="werq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R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WERR">IF(ISNA(MATCH(ROW(),RowAfterpgbrk,1)),1,MATCH(ROW(),RowAfterpgbrk,1)+1)&lt;&gt;IF(ISNA(MATCH(ROW()+1,RowAfterpgbrk,1)),1,MATCH(ROW()+1,RowAfterpgbrk,1)+1)</definedName>
    <definedName name="werrrrrrrrrrrrrrrrrrrrrrrrrrrrrrrr" localSheetId="1">#REF!</definedName>
    <definedName name="werrrrrrrrrrrrrrrrrrrrrrrrrrrrrrrr">#REF!</definedName>
    <definedName name="wert" localSheetId="1" hidden="1">{#N/A,#N/A,TRUE,"Cover";#N/A,#N/A,TRUE,"Conts";#N/A,#N/A,TRUE,"VOS";#N/A,#N/A,TRUE,"Warrington";#N/A,#N/A,TRUE,"Widnes"}</definedName>
    <definedName name="wert" hidden="1">{#N/A,#N/A,TRUE,"Cover";#N/A,#N/A,TRUE,"Conts";#N/A,#N/A,TRUE,"VOS";#N/A,#N/A,TRUE,"Warrington";#N/A,#N/A,TRUE,"Widnes"}</definedName>
    <definedName name="wert_1" localSheetId="1" hidden="1">{#N/A,#N/A,TRUE,"Cover";#N/A,#N/A,TRUE,"Conts";#N/A,#N/A,TRUE,"VOS";#N/A,#N/A,TRUE,"Warrington";#N/A,#N/A,TRUE,"Widnes"}</definedName>
    <definedName name="wert_1" hidden="1">{#N/A,#N/A,TRUE,"Cover";#N/A,#N/A,TRUE,"Conts";#N/A,#N/A,TRUE,"VOS";#N/A,#N/A,TRUE,"Warrington";#N/A,#N/A,TRUE,"Widnes"}</definedName>
    <definedName name="wertertgertwertwertertert">#REF!</definedName>
    <definedName name="WERTEW" hidden="1">#REF!</definedName>
    <definedName name="WERTGH" localSheetId="1" hidden="1">{#N/A,#N/A,TRUE,"Cover";#N/A,#N/A,TRUE,"Conts";#N/A,#N/A,TRUE,"VOS";#N/A,#N/A,TRUE,"Warrington";#N/A,#N/A,TRUE,"Widnes"}</definedName>
    <definedName name="WERTGH" hidden="1">{#N/A,#N/A,TRUE,"Cover";#N/A,#N/A,TRUE,"Conts";#N/A,#N/A,TRUE,"VOS";#N/A,#N/A,TRUE,"Warrington";#N/A,#N/A,TRUE,"Widnes"}</definedName>
    <definedName name="werttt" localSheetId="1" hidden="1">{"'Break down'!$A$4"}</definedName>
    <definedName name="werttt" hidden="1">{"'Break down'!$A$4"}</definedName>
    <definedName name="wertwr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w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yrty" localSheetId="1">"Page "&amp;IF(ISNA(MATCH(ROW(),[1]!COUNT_TH2_V2__units_1___Type_D_04__900_x_2200mm_high,1)),1,MATCH(ROW(),[1]!COUNT_TH2_V2__units_1___Type_D_04__900_x_2200mm_high,1)+1)&amp;" of " &amp; [1]!CUSTOM1_Shops__GF_ + 0*NOW()</definedName>
    <definedName name="wertyrty">"Page "&amp;IF(ISNA(MATCH(ROW(),RowAfterpgbrk,1)),1,MATCH(ROW(),RowAfterpgbrk,1)+1)&amp;" of " &amp; TotPageCount + 0*NOW()</definedName>
    <definedName name="werw">#REF!</definedName>
    <definedName name="WERWE" hidden="1">#REF!</definedName>
    <definedName name="werweasdfwd" localSheetId="1">#REF!</definedName>
    <definedName name="werweasdfwd">#REF!</definedName>
    <definedName name="werwrewrwer">#N/A</definedName>
    <definedName name="wessax" localSheetId="1">#REF!</definedName>
    <definedName name="wessax">#REF!</definedName>
    <definedName name="WET" localSheetId="1">#REF!</definedName>
    <definedName name="WET">#REF!</definedName>
    <definedName name="wetht" localSheetId="1">#REF!</definedName>
    <definedName name="wetht">#REF!</definedName>
    <definedName name="wetjy" localSheetId="1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jy_1" localSheetId="1" hidden="1">{#N/A,#N/A,TRUE,"Cover";#N/A,#N/A,TRUE,"Conts";#N/A,#N/A,TRUE,"VOS";#N/A,#N/A,TRUE,"Warrington";#N/A,#N/A,TRUE,"Widnes"}</definedName>
    <definedName name="wetjy_1" hidden="1">{#N/A,#N/A,TRUE,"Cover";#N/A,#N/A,TRUE,"Conts";#N/A,#N/A,TRUE,"VOS";#N/A,#N/A,TRUE,"Warrington";#N/A,#N/A,TRUE,"Widnes"}</definedName>
    <definedName name="wetrewtrr" localSheetId="1">BlankMacro1</definedName>
    <definedName name="wetrewtrr">BlankMacro1</definedName>
    <definedName name="wetrtyret" localSheetId="1" hidden="1">{#N/A,#N/A,FALSE,"운반시간"}</definedName>
    <definedName name="wetrtyret" hidden="1">{#N/A,#N/A,FALSE,"운반시간"}</definedName>
    <definedName name="wetwe" localSheetId="1" hidden="1">{#N/A,#N/A,TRUE,"Cover";#N/A,#N/A,TRUE,"Conts";#N/A,#N/A,TRUE,"VOS";#N/A,#N/A,TRUE,"Warrington";#N/A,#N/A,TRUE,"Widnes"}</definedName>
    <definedName name="wetwe" hidden="1">{#N/A,#N/A,TRUE,"Cover";#N/A,#N/A,TRUE,"Conts";#N/A,#N/A,TRUE,"VOS";#N/A,#N/A,TRUE,"Warrington";#N/A,#N/A,TRUE,"Widnes"}</definedName>
    <definedName name="wetwety" localSheetId="1" hidden="1">{#N/A,#N/A,FALSE,"CAM-G7";#N/A,#N/A,FALSE,"SPL";#N/A,#N/A,FALSE,"butt-in G7";#N/A,#N/A,FALSE,"dia-in G7";#N/A,#N/A,FALSE,"추가-STA G7"}</definedName>
    <definedName name="wetwety" hidden="1">{#N/A,#N/A,FALSE,"CAM-G7";#N/A,#N/A,FALSE,"SPL";#N/A,#N/A,FALSE,"butt-in G7";#N/A,#N/A,FALSE,"dia-in G7";#N/A,#N/A,FALSE,"추가-STA G7"}</definedName>
    <definedName name="wetyrutu" localSheetId="1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tyrutu_1" localSheetId="1" hidden="1">{#N/A,#N/A,TRUE,"Cover";#N/A,#N/A,TRUE,"Conts";#N/A,#N/A,TRUE,"VOS";#N/A,#N/A,TRUE,"Warrington";#N/A,#N/A,TRUE,"Widnes"}</definedName>
    <definedName name="wetyrutu_1" hidden="1">{#N/A,#N/A,TRUE,"Cover";#N/A,#N/A,TRUE,"Conts";#N/A,#N/A,TRUE,"VOS";#N/A,#N/A,TRUE,"Warrington";#N/A,#N/A,TRUE,"Widnes"}</definedName>
    <definedName name="wew">#REF!</definedName>
    <definedName name="wewe" localSheetId="1">#REF!</definedName>
    <definedName name="wewe">#REF!</definedName>
    <definedName name="wewewwewewew">#N/A</definedName>
    <definedName name="WEWQE">#N/A</definedName>
    <definedName name="wewrerewr" localSheetId="1">(#REF!=MEDIAN(#REF!,#REF!,#REF!+#REF!)*(#REF!&gt;0))*((#REF!&lt;(INT(#REF!+#REF!*#REF!)))+(#REF!=#REF!))*(#REF!&gt;0)</definedName>
    <definedName name="wewrerewr">(#REF!=MEDIAN(#REF!,#REF!,#REF!+#REF!)*(#REF!&gt;0))*((#REF!&lt;(INT(#REF!+#REF!*#REF!)))+(#REF!=#REF!))*(#REF!&gt;0)</definedName>
    <definedName name="wewwewewew">#N/A</definedName>
    <definedName name="wewww">#N/A</definedName>
    <definedName name="wf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wf">IF(ISNA(MATCH(ROW(),RowAfterpgbrk,1)),1,MATCH(ROW(),RowAfterpgbrk,1)+1)&lt;&gt;IF(ISNA(MATCH(ROW()+1,RowAfterpgbrk,1)),1,MATCH(ROW()+1,RowAfterpgbrk,1)+1)</definedName>
    <definedName name="WG" localSheetId="1">#REF!</definedName>
    <definedName name="WG">#REF!</definedName>
    <definedName name="WGEW" localSheetId="1" hidden="1">{#N/A,#N/A,TRUE,"Cover";#N/A,#N/A,TRUE,"Conts";#N/A,#N/A,TRUE,"VOS";#N/A,#N/A,TRUE,"Warrington";#N/A,#N/A,TRUE,"Widnes"}</definedName>
    <definedName name="WGEW" hidden="1">{#N/A,#N/A,TRUE,"Cover";#N/A,#N/A,TRUE,"Conts";#N/A,#N/A,TRUE,"VOS";#N/A,#N/A,TRUE,"Warrington";#N/A,#N/A,TRUE,"Widnes"}</definedName>
    <definedName name="WGEW_1" localSheetId="1" hidden="1">{#N/A,#N/A,TRUE,"Cover";#N/A,#N/A,TRUE,"Conts";#N/A,#N/A,TRUE,"VOS";#N/A,#N/A,TRUE,"Warrington";#N/A,#N/A,TRUE,"Widnes"}</definedName>
    <definedName name="WGEW_1" hidden="1">{#N/A,#N/A,TRUE,"Cover";#N/A,#N/A,TRUE,"Conts";#N/A,#N/A,TRUE,"VOS";#N/A,#N/A,TRUE,"Warrington";#N/A,#N/A,TRUE,"Widnes"}</definedName>
    <definedName name="wghjkk4" localSheetId="1">#REF!</definedName>
    <definedName name="wghjkk4">#REF!</definedName>
    <definedName name="WGW" localSheetId="1">#REF!</definedName>
    <definedName name="WGW">#REF!</definedName>
    <definedName name="wgWE" localSheetId="1" hidden="1">{#N/A,#N/A,TRUE,"Cover";#N/A,#N/A,TRUE,"Conts";#N/A,#N/A,TRUE,"VOS";#N/A,#N/A,TRUE,"Warrington";#N/A,#N/A,TRUE,"Widnes"}</definedName>
    <definedName name="wgWE" hidden="1">{#N/A,#N/A,TRUE,"Cover";#N/A,#N/A,TRUE,"Conts";#N/A,#N/A,TRUE,"VOS";#N/A,#N/A,TRUE,"Warrington";#N/A,#N/A,TRUE,"Widnes"}</definedName>
    <definedName name="wgWE_1" localSheetId="1" hidden="1">{#N/A,#N/A,TRUE,"Cover";#N/A,#N/A,TRUE,"Conts";#N/A,#N/A,TRUE,"VOS";#N/A,#N/A,TRUE,"Warrington";#N/A,#N/A,TRUE,"Widnes"}</definedName>
    <definedName name="wgWE_1" hidden="1">{#N/A,#N/A,TRUE,"Cover";#N/A,#N/A,TRUE,"Conts";#N/A,#N/A,TRUE,"VOS";#N/A,#N/A,TRUE,"Warrington";#N/A,#N/A,TRUE,"Widnes"}</definedName>
    <definedName name="What">#N/A</definedName>
    <definedName name="whatever">#REF!</definedName>
    <definedName name="whbdlarge1">#REF!</definedName>
    <definedName name="whbdsmall1">#REF!</definedName>
    <definedName name="which_question" localSheetId="1">#REF!</definedName>
    <definedName name="which_question">#REF!</definedName>
    <definedName name="WHITEWOSHUTPR">#REF!</definedName>
    <definedName name="WHTSHUTTERPR">#REF!</definedName>
    <definedName name="why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hy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d">#REF!</definedName>
    <definedName name="widabt" localSheetId="1">#REF!</definedName>
    <definedName name="widabt">#REF!</definedName>
    <definedName name="Width">#REF!</definedName>
    <definedName name="Width_of_the_cell_Y_direction__m">#REF!</definedName>
    <definedName name="widura">#REF!</definedName>
    <definedName name="widwing">#REF!</definedName>
    <definedName name="Wimpey_laboratories">#REF!</definedName>
    <definedName name="Win">#REF!</definedName>
    <definedName name="Win_rate" localSheetId="1">#REF!</definedName>
    <definedName name="Win_rate">#REF!</definedName>
    <definedName name="window" localSheetId="1" hidden="1">{#N/A,#N/A,FALSE,"VARIATIONS";#N/A,#N/A,FALSE,"BUDGET";#N/A,#N/A,FALSE,"CIVIL QNTY VAR";#N/A,#N/A,FALSE,"SUMMARY";#N/A,#N/A,FALSE,"MATERIAL VAR"}</definedName>
    <definedName name="WINDOW">#REF!</definedName>
    <definedName name="windowopening">#N/A</definedName>
    <definedName name="windows" localSheetId="1">#REF!</definedName>
    <definedName name="Windows">#REF!</definedName>
    <definedName name="WINDOWS__AND__EXTERNAL__DOORS" localSheetId="1">#REF!</definedName>
    <definedName name="WINDOWS__AND__EXTERNAL__DOORS">#REF!</definedName>
    <definedName name="Windows_and_External_Doors" localSheetId="1">#REF!</definedName>
    <definedName name="Windows_and_External_Doors">#REF!</definedName>
    <definedName name="wip" localSheetId="1">#REF!</definedName>
    <definedName name="wip">#REF!</definedName>
    <definedName name="wire" localSheetId="1">#REF!</definedName>
    <definedName name="wire">#REF!</definedName>
    <definedName name="wire_mesh" localSheetId="1">#REF!</definedName>
    <definedName name="wire_mesh">#REF!</definedName>
    <definedName name="WIRE1">5</definedName>
    <definedName name="wires" localSheetId="1">#REF!</definedName>
    <definedName name="wires">#REF!</definedName>
    <definedName name="wktoplam1" localSheetId="1">#REF!</definedName>
    <definedName name="wktoplam1">#REF!</definedName>
    <definedName name="wktopven1">#REF!</definedName>
    <definedName name="WLP" localSheetId="1">#REF!</definedName>
    <definedName name="WLP">#REF!</definedName>
    <definedName name="wm.조골재1" localSheetId="1" hidden="1">{#N/A,#N/A,FALSE,"조골재"}</definedName>
    <definedName name="wm.조골재1" hidden="1">{#N/A,#N/A,FALSE,"조골재"}</definedName>
    <definedName name="wmm">#REF!</definedName>
    <definedName name="WN" localSheetId="1">#REF!</definedName>
    <definedName name="WN">#REF!</definedName>
    <definedName name="WO">#REF!</definedName>
    <definedName name="WOL">#REF!</definedName>
    <definedName name="WOOD_DOOR">#REF!</definedName>
    <definedName name="woodb">#REF!</definedName>
    <definedName name="Wooden" hidden="1">#REF!</definedName>
    <definedName name="Wooden_Poles" localSheetId="1">#REF!</definedName>
    <definedName name="Wooden_Poles">#REF!</definedName>
    <definedName name="woodenbe" localSheetId="1">#REF!</definedName>
    <definedName name="woodenbe">#REF!</definedName>
    <definedName name="woodenben" localSheetId="1">#REF!</definedName>
    <definedName name="woodenben">#REF!</definedName>
    <definedName name="woodenbench">#REF!</definedName>
    <definedName name="woodfloat">#REF!</definedName>
    <definedName name="Woods_Bagot" localSheetId="1">#REF!</definedName>
    <definedName name="Woods_Bagot">#REF!</definedName>
    <definedName name="Wor" localSheetId="1">#REF!</definedName>
    <definedName name="Wor">#REF!</definedName>
    <definedName name="work">#REF!</definedName>
    <definedName name="Work_type">#REF!</definedName>
    <definedName name="WorkElementLookup" localSheetId="1">#REF!</definedName>
    <definedName name="WorkElementLookup">#REF!</definedName>
    <definedName name="Working">#REF!</definedName>
    <definedName name="workings">#REF!</definedName>
    <definedName name="WorkLights">#N/A</definedName>
    <definedName name="Worsley_Alumina_Expansion_Project___23747" localSheetId="1">#REF!</definedName>
    <definedName name="Worsley_Alumina_Expansion_Project___23747">#REF!</definedName>
    <definedName name="wp">#REF!</definedName>
    <definedName name="wp_1">0</definedName>
    <definedName name="WPG" localSheetId="1">{"'Revised (2)'!$A$1:$K$76"}</definedName>
    <definedName name="WPG">{"'Revised (2)'!$A$1:$K$76"}</definedName>
    <definedName name="wpp">#REF!</definedName>
    <definedName name="wproof2">#REF!</definedName>
    <definedName name="WPWPPW" localSheetId="1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">#REF!</definedName>
    <definedName name="wqdqwd">#REF!</definedName>
    <definedName name="wqe" localSheetId="1" hidden="1">{#N/A,#N/A,TRUE,"Cover";#N/A,#N/A,TRUE,"Conts";#N/A,#N/A,TRUE,"VOS";#N/A,#N/A,TRUE,"Warrington";#N/A,#N/A,TRUE,"Widnes"}</definedName>
    <definedName name="wqe" hidden="1">{#N/A,#N/A,TRUE,"Cover";#N/A,#N/A,TRUE,"Conts";#N/A,#N/A,TRUE,"VOS";#N/A,#N/A,TRUE,"Warrington";#N/A,#N/A,TRUE,"Widnes"}</definedName>
    <definedName name="wqer" localSheetId="1" hidden="1">{#N/A,#N/A,TRUE,"Cover";#N/A,#N/A,TRUE,"Conts";#N/A,#N/A,TRUE,"VOS";#N/A,#N/A,TRUE,"Warrington";#N/A,#N/A,TRUE,"Widnes"}</definedName>
    <definedName name="wqer" hidden="1">{#N/A,#N/A,TRUE,"Cover";#N/A,#N/A,TRUE,"Conts";#N/A,#N/A,TRUE,"VOS";#N/A,#N/A,TRUE,"Warrington";#N/A,#N/A,TRUE,"Widnes"}</definedName>
    <definedName name="wqer_1" localSheetId="1" hidden="1">{#N/A,#N/A,TRUE,"Cover";#N/A,#N/A,TRUE,"Conts";#N/A,#N/A,TRUE,"VOS";#N/A,#N/A,TRUE,"Warrington";#N/A,#N/A,TRUE,"Widnes"}</definedName>
    <definedName name="wqer_1" hidden="1">{#N/A,#N/A,TRUE,"Cover";#N/A,#N/A,TRUE,"Conts";#N/A,#N/A,TRUE,"VOS";#N/A,#N/A,TRUE,"Warrington";#N/A,#N/A,TRUE,"Widnes"}</definedName>
    <definedName name="wr" localSheetId="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a" localSheetId="1" hidden="1">{#N/A,#N/A,TRUE,"site_COMP"}</definedName>
    <definedName name="wra" hidden="1">{#N/A,#N/A,TRUE,"site_COMP"}</definedName>
    <definedName name="wrewt" localSheetId="1">BlankMacro1</definedName>
    <definedName name="wrewt">BlankMacro1</definedName>
    <definedName name="wrk_area">#REF!</definedName>
    <definedName name="WRK1_AREA">#REF!</definedName>
    <definedName name="WRKTOPVENRD">#REF!</definedName>
    <definedName name="WRKTPLAMI">#REF!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" hidden="1">{#N/A,#N/A,FALSE,"17MAY";#N/A,#N/A,FALSE,"24MAY"}</definedName>
    <definedName name="wrn.1." hidden="1">{#N/A,#N/A,FALSE,"17MAY";#N/A,#N/A,FALSE,"24MAY"}</definedName>
    <definedName name="wrn.1998." localSheetId="1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wrn.1998.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wrn.2.2" localSheetId="1" hidden="1">{#N/A,#N/A,FALSE,"17MAY";#N/A,#N/A,FALSE,"24MAY"}</definedName>
    <definedName name="wrn.2.2" hidden="1">{#N/A,#N/A,FALSE,"17MAY";#N/A,#N/A,FALSE,"24MAY"}</definedName>
    <definedName name="wrn.2번." localSheetId="1" hidden="1">{#N/A,#N/A,FALSE,"2~8번"}</definedName>
    <definedName name="wrn.2번." hidden="1">{#N/A,#N/A,FALSE,"2~8번"}</definedName>
    <definedName name="wrn.AA." localSheetId="1" hidden="1">{#N/A,#N/A,FALSE,"CAM-G7";#N/A,#N/A,FALSE,"SPL";#N/A,#N/A,FALSE,"butt-in G7";#N/A,#N/A,FALSE,"dia-in G7";#N/A,#N/A,FALSE,"추가-STA G7"}</definedName>
    <definedName name="wrn.AA." hidden="1">{#N/A,#N/A,FALSE,"CAM-G7";#N/A,#N/A,FALSE,"SPL";#N/A,#N/A,FALSE,"butt-in G7";#N/A,#N/A,FALSE,"dia-in G7";#N/A,#N/A,FALSE,"추가-STA G7"}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localSheetId="1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lines._1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_1" hidden="1">{#N/A,#N/A,FALSE,"Summary";#N/A,#N/A,FALSE,"3TJ";#N/A,#N/A,FALSE,"3TN";#N/A,#N/A,FALSE,"3TP";#N/A,#N/A,FALSE,"3SJ";#N/A,#N/A,FALSE,"3CJ";#N/A,#N/A,FALSE,"3CN";#N/A,#N/A,FALSE,"3CP";#N/A,#N/A,FALSE,"3A"}</definedName>
    <definedName name="wrn.all._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1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MP._.Report." localSheetId="1" hidden="1">{#N/A,#N/A,FALSE,"Others AMP";#N/A,#N/A,FALSE,"S4 AMP";#N/A,#N/A,FALSE,"S5 Amp Tunnels"}</definedName>
    <definedName name="wrn.AMP._.Report." hidden="1">{#N/A,#N/A,FALSE,"Others AMP";#N/A,#N/A,FALSE,"S4 AMP";#N/A,#N/A,FALSE,"S5 Amp Tunnels"}</definedName>
    <definedName name="wrn.AnnualRentRoll." localSheetId="1" hidden="1">{"AnnualRentRoll",#N/A,FALSE,"RentRoll"}</definedName>
    <definedName name="wrn.AnnualRentRoll." hidden="1">{"AnnualRentRoll",#N/A,FALSE,"RentRoll"}</definedName>
    <definedName name="wrn.Application." localSheetId="1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Assumption._.Book." localSheetId="1" hidden="1">{#N/A,#N/A,FALSE,"Model Assumptions"}</definedName>
    <definedName name="wrn.Assumption._.Book." hidden="1">{#N/A,#N/A,FALSE,"Model Assumptions"}</definedName>
    <definedName name="wrn.Audit._.Measured._.Works." localSheetId="1" hidden="1">{#N/A,#N/A,FALSE,"Measured Works"}</definedName>
    <definedName name="wrn.Audit._.Measured._.Works." hidden="1">{#N/A,#N/A,FALSE,"Measured Works"}</definedName>
    <definedName name="wrn.BA._.REPORT." localSheetId="1" hidden="1">{#N/A,#N/A,FALSE,"GNI Hub";#N/A,#N/A,FALSE,"GNI Pop";#N/A,#N/A,FALSE,"Cesium";#N/A,#N/A,FALSE,"LPR";#N/A,#N/A,FALSE,"LPR-LOU";#N/A,#N/A,FALSE,"GPS1100";#N/A,#N/A,FALSE,"523, Dual 2E";#N/A,#N/A,FALSE,"523,2E,3E";#N/A,#N/A,FALSE,"523, Dual 3E";#N/A,#N/A,FALSE,"520";#N/A,#N/A,FALSE,"520,3E";#N/A,#N/A,FALSE,"523,Dual 2E,Smart";#N/A,#N/A,FALSE,"523,ST2,ST3,Smart";#N/A,#N/A,FALSE," 523,Dual3E,Smart";#N/A,#N/A,FALSE,"523,Dual2E,SmartSSM";#N/A,#N/A,FALSE,"523,2E,3E,SmartSSM";#N/A,#N/A,FALSE,"523,Dual3E,SmartSSM";#N/A,#N/A,FALSE,"GNI Price Summary"}</definedName>
    <definedName name="wrn.BA._.REPORT." hidden="1">{#N/A,#N/A,FALSE,"GNI Hub";#N/A,#N/A,FALSE,"GNI Pop";#N/A,#N/A,FALSE,"Cesium";#N/A,#N/A,FALSE,"LPR";#N/A,#N/A,FALSE,"LPR-LOU";#N/A,#N/A,FALSE,"GPS1100";#N/A,#N/A,FALSE,"523, Dual 2E";#N/A,#N/A,FALSE,"523,2E,3E";#N/A,#N/A,FALSE,"523, Dual 3E";#N/A,#N/A,FALSE,"520";#N/A,#N/A,FALSE,"520,3E";#N/A,#N/A,FALSE,"523,Dual 2E,Smart";#N/A,#N/A,FALSE,"523,ST2,ST3,Smart";#N/A,#N/A,FALSE," 523,Dual3E,Smart";#N/A,#N/A,FALSE,"523,Dual2E,SmartSSM";#N/A,#N/A,FALSE,"523,2E,3E,SmartSSM";#N/A,#N/A,FALSE,"523,Dual3E,SmartSSM";#N/A,#N/A,FALSE,"GNI Price Summary"}</definedName>
    <definedName name="wrn.backup." localSheetId="1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eYearDemand." localSheetId="1" hidden="1">{"Base Year Demand",#N/A,FALSE,"Demand-Base Year"}</definedName>
    <definedName name="wrn.BaseYearDemand." hidden="1">{"Base Year Demand",#N/A,FALSE,"Demand-Base Year"}</definedName>
    <definedName name="wrn.BILLS." localSheetId="1" hidden="1">{"Bill 3.2",#N/A,FALSE,"BILLS"}</definedName>
    <definedName name="wrn.BILLS." hidden="1">{"Bill 3.2",#N/A,FALSE,"BILLS"}</definedName>
    <definedName name="wrn.Birdie." localSheetId="1" hidden="1">{#N/A,#N/A,FALSE,"Trans Summary";#N/A,#N/A,FALSE,"Proforma Five Yr";#N/A,#N/A,FALSE,"Occ and Rate"}</definedName>
    <definedName name="wrn.Birdie." hidden="1">{#N/A,#N/A,FALSE,"Trans Summary";#N/A,#N/A,FALSE,"Proforma Five Yr";#N/A,#N/A,FALSE,"Occ and Rate"}</definedName>
    <definedName name="wrn.Both._.Outputs." localSheetId="1" hidden="1">{"LTV Output",#N/A,FALSE,"Output";"DCR Output",#N/A,FALSE,"Output"}</definedName>
    <definedName name="wrn.Both._.Outputs." hidden="1">{"LTV Output",#N/A,FALSE,"Output";"DCR Output",#N/A,FALSE,"Output"}</definedName>
    <definedName name="wrn.buildstruct." localSheetId="1" hidden="1">{#N/A,#N/A,FALSE,"611m";#N/A,#N/A,FALSE,"601M";#N/A,#N/A,FALSE,"610M";#N/A,#N/A,FALSE,"612M";#N/A,#N/A,FALSE,"613M";#N/A,#N/A,FALSE,"620M";#N/A,#N/A,FALSE,"621M";#N/A,#N/A,FALSE,"622M";#N/A,#N/A,FALSE,"630M";#N/A,#N/A,FALSE,"640M";#N/A,#N/A,FALSE,"641M";#N/A,#N/A,FALSE,"650M";#N/A,#N/A,FALSE,"660M";#N/A,#N/A,FALSE,"661M";#N/A,#N/A,FALSE,"670M";#N/A,#N/A,FALSE,"680M";#N/A,#N/A,FALSE,"688M";#N/A,#N/A,FALSE,"689M";#N/A,#N/A,FALSE,"690M";#N/A,#N/A,FALSE,"698M";#N/A,#N/A,FALSE,"698O"}</definedName>
    <definedName name="wrn.buildstruct." hidden="1">{#N/A,#N/A,FALSE,"611m";#N/A,#N/A,FALSE,"601M";#N/A,#N/A,FALSE,"610M";#N/A,#N/A,FALSE,"612M";#N/A,#N/A,FALSE,"613M";#N/A,#N/A,FALSE,"620M";#N/A,#N/A,FALSE,"621M";#N/A,#N/A,FALSE,"622M";#N/A,#N/A,FALSE,"630M";#N/A,#N/A,FALSE,"640M";#N/A,#N/A,FALSE,"641M";#N/A,#N/A,FALSE,"650M";#N/A,#N/A,FALSE,"660M";#N/A,#N/A,FALSE,"661M";#N/A,#N/A,FALSE,"670M";#N/A,#N/A,FALSE,"680M";#N/A,#N/A,FALSE,"688M";#N/A,#N/A,FALSE,"689M";#N/A,#N/A,FALSE,"690M";#N/A,#N/A,FALSE,"698M";#N/A,#N/A,FALSE,"698O"}</definedName>
    <definedName name="wrn.cab." localSheetId="1" hidden="1">{#N/A,#N/A,TRUE,"site_COMP"}</definedName>
    <definedName name="wrn.cab." hidden="1">{#N/A,#N/A,TRUE,"site_COMP"}</definedName>
    <definedName name="wrn.CapersPlotter." localSheetId="1" hidden="1">{#N/A,#N/A,FALSE,"DI 2 YEAR MASTER SCHEDULE"}</definedName>
    <definedName name="wrn.CapersPlotter." hidden="1">{#N/A,#N/A,FALSE,"DI 2 YEAR MASTER SCHEDULE"}</definedName>
    <definedName name="wrn.Chandana." localSheetId="1" hidden="1">{#N/A,#N/A,FALSE,"VCR"}</definedName>
    <definedName name="wrn.Chandana." hidden="1">{#N/A,#N/A,FALSE,"VCR"}</definedName>
    <definedName name="wrn.Chandana._1" localSheetId="1" hidden="1">{#N/A,#N/A,FALSE,"VCR"}</definedName>
    <definedName name="wrn.Chandana._1" hidden="1">{#N/A,#N/A,FALSE,"VCR"}</definedName>
    <definedName name="wrn.check." localSheetId="1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i._.tiÆt." localSheetId="1">{#N/A,#N/A,FALSE,"Chi tiÆt"}</definedName>
    <definedName name="wrn.chi._.tiÆt.">{#N/A,#N/A,FALSE,"Chi tiÆt"}</definedName>
    <definedName name="wrn.CHIEF._.REVIEW." localSheetId="1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HIEF._.REVIEW._1" localSheetId="1" hidden="1">{#N/A,#N/A,FALSE,"Q&amp;AE";#N/A,#N/A,FALSE,"Params";#N/A,#N/A,FALSE,"ReconE";#N/A,#N/A,FALSE,"CostCompE";#N/A,#N/A,FALSE,"SummaryE";#N/A,#N/A,FALSE,"Detail";#N/A,#N/A,FALSE,"PayItem"}</definedName>
    <definedName name="wrn.CHIEF._.REVIEW._1" hidden="1">{#N/A,#N/A,FALSE,"Q&amp;AE";#N/A,#N/A,FALSE,"Params";#N/A,#N/A,FALSE,"ReconE";#N/A,#N/A,FALSE,"CostCompE";#N/A,#N/A,FALSE,"SummaryE";#N/A,#N/A,FALSE,"Detail";#N/A,#N/A,FALSE,"PayItem"}</definedName>
    <definedName name="wrn.CIRCUITS." localSheetId="1" hidden="1">{"DBANK",#N/A,FALSE,"PriceE";"CKTS",#N/A,FALSE,"PriceE"}</definedName>
    <definedName name="wrn.CIRCUITS." hidden="1">{"DBANK",#N/A,FALSE,"PriceE";"CKTS",#N/A,FALSE,"PriceE"}</definedName>
    <definedName name="wrn.CIRCUITS._1" localSheetId="1" hidden="1">{"DBANK",#N/A,FALSE,"PriceE";"CKTS",#N/A,FALSE,"PriceE"}</definedName>
    <definedName name="wrn.CIRCUITS._1" hidden="1">{"DBANK",#N/A,FALSE,"PriceE";"CKTS",#N/A,FALSE,"PriceE"}</definedName>
    <definedName name="wrn.Classic._.Bits." localSheetId="1" hidden="1">{#N/A,#N/A,FALSE,"523, Dual 2E";#N/A,#N/A,FALSE,"523,2E,3E";#N/A,#N/A,FALSE,"523, Dual 3E";#N/A,#N/A,FALSE,"520";#N/A,#N/A,FALSE,"520,3E"}</definedName>
    <definedName name="wrn.Classic._.Bits." hidden="1">{#N/A,#N/A,FALSE,"523, Dual 2E";#N/A,#N/A,FALSE,"523,2E,3E";#N/A,#N/A,FALSE,"523, Dual 3E";#N/A,#N/A,FALSE,"520";#N/A,#N/A,FALSE,"520,3E"}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Sys.._.Estimate." localSheetId="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_SHEETS." localSheetId="1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_SHEETS._1" localSheetId="1" hidden="1">{#N/A,#N/A,FALSE,"WBS 1.06";#N/A,#N/A,FALSE,"WBS 1.14";#N/A,#N/A,FALSE,"WBS 1.17";#N/A,#N/A,FALSE,"WBS 1.18"}</definedName>
    <definedName name="wrn.COST_SHEETS._1" hidden="1">{#N/A,#N/A,FALSE,"WBS 1.06";#N/A,#N/A,FALSE,"WBS 1.14";#N/A,#N/A,FALSE,"WBS 1.17";#N/A,#N/A,FALSE,"WBS 1.18"}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mulative._.Material._.Cost." localSheetId="1" hidden="1">{#N/A,#N/A,FALSE,"MARCH"}</definedName>
    <definedName name="wrn.Cumulative._.Material._.Cost." hidden="1">{#N/A,#N/A,FALSE,"MARCH"}</definedName>
    <definedName name="wrn.Cumulative._.Material._.Cost._1" localSheetId="1" hidden="1">{#N/A,#N/A,FALSE,"MARCH"}</definedName>
    <definedName name="wrn.Cumulative._.Material._.Cost._1" hidden="1">{#N/A,#N/A,FALSE,"MARCH"}</definedName>
    <definedName name="wrn.DCR._.Output." localSheetId="1" hidden="1">{"DCR Output",#N/A,FALSE,"Output"}</definedName>
    <definedName name="wrn.DCR._.Output." hidden="1">{"DCR Output",#N/A,FALSE,"Output"}</definedName>
    <definedName name="wrn.Demand._.Calcs." localSheetId="1" hidden="1">{#N/A,#N/A,FALSE,"Demand Calcs"}</definedName>
    <definedName name="wrn.Demand._.Calcs." hidden="1">{#N/A,#N/A,FALSE,"Demand Calcs"}</definedName>
    <definedName name="wrn.Demand._.Inputs." localSheetId="1" hidden="1">{#N/A,#N/A,FALSE,"Demand Inputs"}</definedName>
    <definedName name="wrn.Demand._.Inputs." hidden="1">{#N/A,#N/A,FALSE,"Demand Inputs"}</definedName>
    <definedName name="wrn.dep." localSheetId="1" hidden="1">{"dep. full detail",#N/A,FALSE,"annex";"3cd annex",#N/A,FALSE,"annex";"co. dep.",#N/A,FALSE,"annex"}</definedName>
    <definedName name="wrn.dep." hidden="1">{"dep. full detail",#N/A,FALSE,"annex";"3cd annex",#N/A,FALSE,"annex";"co. dep.",#N/A,FALSE,"annex"}</definedName>
    <definedName name="wrn.Differences._.only." localSheetId="1" hidden="1">{#N/A,#N/A,FALSE,"Other OT Diffs ";#N/A,#N/A,FALSE,"AMP OT DIFFS";#N/A,#N/A,FALSE,"Spend Diffs"}</definedName>
    <definedName name="wrn.Differences._.only." hidden="1">{#N/A,#N/A,FALSE,"Other OT Diffs ";#N/A,#N/A,FALSE,"AMP OT DIFFS";#N/A,#N/A,FALSE,"Spend Diffs"}</definedName>
    <definedName name="wrn.DOMESTIC._.15.1." localSheetId="1" hidden="1">{#N/A,#N/A,FALSE,"Cover Page";#N/A,#N/A,FALSE,"Version 5";#N/A,#N/A,FALSE,"DCD-LPR,GPS1100";#N/A,#N/A,FALSE,"TOD Upgrades";#N/A,#N/A,FALSE,"DCD-500";#N/A,#N/A,FALSE,"DCD-400";#N/A,#N/A,FALSE,"LPR Cables";#N/A,#N/A,FALSE,"Training";#N/A,#N/A,FALSE,"OEM"}</definedName>
    <definedName name="wrn.DOMESTIC._.15.1." hidden="1">{#N/A,#N/A,FALSE,"Cover Page";#N/A,#N/A,FALSE,"Version 5";#N/A,#N/A,FALSE,"DCD-LPR,GPS1100";#N/A,#N/A,FALSE,"TOD Upgrades";#N/A,#N/A,FALSE,"DCD-500";#N/A,#N/A,FALSE,"DCD-400";#N/A,#N/A,FALSE,"LPR Cables";#N/A,#N/A,FALSE,"Training";#N/A,#N/A,FALSE,"OEM"}</definedName>
    <definedName name="wrn.DRB._.CLAIMS._.FOR._.BILL._.A3._.SIZE." localSheetId="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D." localSheetId="1" hidden="1">{#N/A,#N/A,TRUE,"Equipment installation bm"}</definedName>
    <definedName name="wrn.ED." hidden="1">{#N/A,#N/A,TRUE,"Equipment installation bm"}</definedName>
    <definedName name="wrn.ed1." localSheetId="1" hidden="1">{#N/A,#N/A,FALSE,"1-19";#N/A,#N/A,FALSE,"2-19";#N/A,#N/A,FALSE,"2-19A";#N/A,#N/A,FALSE,"2-19B";#N/A,#N/A,FALSE,"2-19C";#N/A,#N/A,FALSE,"2-19D";#N/A,#N/A,FALSE,"2-19E";#N/A,#N/A,FALSE,"2-19F";#N/A,#N/A,FALSE,"2-19G"}</definedName>
    <definedName name="wrn.ed1." hidden="1">{#N/A,#N/A,FALSE,"1-19";#N/A,#N/A,FALSE,"2-19";#N/A,#N/A,FALSE,"2-19A";#N/A,#N/A,FALSE,"2-19B";#N/A,#N/A,FALSE,"2-19C";#N/A,#N/A,FALSE,"2-19D";#N/A,#N/A,FALSE,"2-19E";#N/A,#N/A,FALSE,"2-19F";#N/A,#N/A,FALSE,"2-19G"}</definedName>
    <definedName name="wrn.Edutainment._.Priority._.List." localSheetId="1" hidden="1">{#N/A,#N/A,FALSE,"DI 2 YEAR MASTER SCHEDULE"}</definedName>
    <definedName name="wrn.Edutainment._.Priority._.List." hidden="1">{#N/A,#N/A,FALSE,"DI 2 YEAR MASTER SCHEDULE"}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re._.File." localSheetId="1" hidden="1">{#N/A,#N/A,FALSE,"Base Cash Flow";"End of 1995",#N/A,FALSE,"Sale Year Analysis";"End of 1996",#N/A,FALSE,"Sale Year Analysis";"End of 1997",#N/A,FALSE,"Sale Year Analysis"}</definedName>
    <definedName name="wrn.Entire._.File." hidden="1">{#N/A,#N/A,FALSE,"Base Cash Flow";"End of 1995",#N/A,FALSE,"Sale Year Analysis";"End of 1996",#N/A,FALSE,"Sale Year Analysis";"End of 1997",#N/A,FALSE,"Sale Year Analysis"}</definedName>
    <definedName name="wrn.ExitAndSalesAssumptions." localSheetId="1" hidden="1">{#N/A,#N/A,FALSE,"ExitStratigy"}</definedName>
    <definedName name="wrn.ExitAndSalesAssumptions." hidden="1">{#N/A,#N/A,FALSE,"ExitStratigy"}</definedName>
    <definedName name="wrn.Facility._.Estimate." localSheetId="1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air._.Share._.Calcs." localSheetId="1" hidden="1">{#N/A,#N/A,FALSE,"Fair Share"}</definedName>
    <definedName name="wrn.Fair._.Share._.Calcs." hidden="1">{#N/A,#N/A,FALSE,"Fair Share"}</definedName>
    <definedName name="wrn.Final._.Account." localSheetId="1" hidden="1">{#N/A,#N/A,FALSE,"Header P";#N/A,#N/A,FALSE,"Summary";#N/A,#N/A,FALSE,"CONTRACT WORKS";#N/A,#N/A,FALSE,"Variations";#N/A,#N/A,FALSE,"Dwk"}</definedName>
    <definedName name="wrn.Final._.Account." hidden="1">{#N/A,#N/A,FALSE,"Header P";#N/A,#N/A,FALSE,"Summary";#N/A,#N/A,FALSE,"CONTRACT WORKS";#N/A,#N/A,FALSE,"Variations";#N/A,#N/A,FALSE,"Dwk"}</definedName>
    <definedName name="wrn.FINAL._.ACCOUNT._.ANALYSES." localSheetId="1" hidden="1">{#N/A,#N/A,FALSE,"Variations"}</definedName>
    <definedName name="wrn.FINAL._.ACCOUNT._.ANALYSES." hidden="1">{#N/A,#N/A,FALSE,"Variations"}</definedName>
    <definedName name="wrn.FINAL._.ESTIMATE.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hidden="1">{#N/A,#N/A,FALSE,"ProjInfo";#N/A,#N/A,FALSE,"Params";#N/A,#N/A,FALSE,"Q&amp;AE";#N/A,#N/A,FALSE,"CostCompE";#N/A,#N/A,FALSE,"SummaryE";#N/A,#N/A,FALSE,"PayItem";#N/A,#N/A,FALSE,"Detail";#N/A,#N/A,FALSE,"ReconE"}</definedName>
    <definedName name="wrn.Final._.Output." localSheetId="1" hidden="1">{#N/A,#N/A,FALSE,"Final Output"}</definedName>
    <definedName name="wrn.Final._.Output." hidden="1">{#N/A,#N/A,FALSE,"Final Output"}</definedName>
    <definedName name="wrn.FinStats." localSheetId="1" hidden="1">{#N/A,#N/A,FALSE,"BS-lead";#N/A,#N/A,FALSE,"BS- cladding";#N/A,#N/A,FALSE,"BS-GRC";#N/A,#N/A,FALSE,"P&amp;L-Lead";#N/A,#N/A,FALSE,"P&amp;L-Cladding";#N/A,#N/A,FALSE,"P&amp;L-GRC"}</definedName>
    <definedName name="wrn.FinStats." hidden="1">{#N/A,#N/A,FALSE,"BS-lead";#N/A,#N/A,FALSE,"BS- cladding";#N/A,#N/A,FALSE,"BS-GRC";#N/A,#N/A,FALSE,"P&amp;L-Lead";#N/A,#N/A,FALSE,"P&amp;L-Cladding";#N/A,#N/A,FALSE,"P&amp;L-GRC"}</definedName>
    <definedName name="wrn.First._.half." localSheetId="1" hidden="1">{#N/A,#N/A,TRUE,"Inflation";#N/A,#N/A,TRUE,"HCA Summary";#N/A,#N/A,TRUE,"Operating ratio graphs";#N/A,#N/A,TRUE,"HCA";#N/A,#N/A,TRUE,"Revenue";#N/A,#N/A,TRUE,"Opex";#N/A,#N/A,TRUE,"Fixed assets";#N/A,#N/A,TRUE,"Reserves"}</definedName>
    <definedName name="wrn.First._.half." hidden="1">{#N/A,#N/A,TRUE,"Inflation";#N/A,#N/A,TRUE,"HCA Summary";#N/A,#N/A,TRUE,"Operating ratio graphs";#N/A,#N/A,TRUE,"HCA";#N/A,#N/A,TRUE,"Revenue";#N/A,#N/A,TRUE,"Opex";#N/A,#N/A,TRUE,"Fixed assets";#N/A,#N/A,TRUE,"Reserves"}</definedName>
    <definedName name="wrn.FIXED._.ASSETS." localSheetId="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rn.FIXED._.ASSETS.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rn.FLASH." localSheetId="1" hidden="1">{#N/A,#N/A,FALSE,"FLASH"}</definedName>
    <definedName name="wrn.FLASH." hidden="1">{#N/A,#N/A,FALSE,"FLASH"}</definedName>
    <definedName name="wrn.Fuel._.oil._.option." localSheetId="1" hidden="1">{"FUEL OIL",#N/A,FALSE,"Option"}</definedName>
    <definedName name="wrn.Fuel._.oil._.option." hidden="1">{"FUEL OIL",#N/A,FALSE,"Option"}</definedName>
    <definedName name="wrn.Fuel._.oil._.option._1" localSheetId="1" hidden="1">{"FUEL OIL",#N/A,FALSE,"Option"}</definedName>
    <definedName name="wrn.Fuel._.oil._.option._1" hidden="1">{"FUEL OIL",#N/A,FALSE,"Option"}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fin.1" localSheetId="1" hidden="1">{#N/A,#N/A,TRUE,"Financials";#N/A,#N/A,TRUE,"Operating Statistics";#N/A,#N/A,TRUE,"Capex &amp; Depreciation";#N/A,#N/A,TRUE,"Debt"}</definedName>
    <definedName name="wrn.full.fin.1" hidden="1">{#N/A,#N/A,TRUE,"Financials";#N/A,#N/A,TRUE,"Operating Statistics";#N/A,#N/A,TRUE,"Capex &amp; Depreciation";#N/A,#N/A,TRUE,"Debt"}</definedName>
    <definedName name="wrn.G.C.P.L.." localSheetId="1" hidden="1">{#N/A,#N/A,FALSE,"gc (2)"}</definedName>
    <definedName name="wrn.G.C.P.L.." hidden="1">{#N/A,#N/A,FALSE,"gc (2)"}</definedName>
    <definedName name="wrn.G.E.G._.7.0." localSheetId="1" hidden="1">{#N/A,#N/A,FALSE,"VARIATIONS";#N/A,#N/A,FALSE,"BUDGET";#N/A,#N/A,FALSE,"CIVIL QNTY VAR";#N/A,#N/A,FALSE,"SUMMARY";#N/A,#N/A,FALSE,"MATERIAL VAR"}</definedName>
    <definedName name="wrn.G.E.G._.7.0." hidden="1">{#N/A,#N/A,FALSE,"VARIATIONS";#N/A,#N/A,FALSE,"BUDGET";#N/A,#N/A,FALSE,"CIVIL QNTY VAR";#N/A,#N/A,FALSE,"SUMMARY";#N/A,#N/A,FALSE,"MATERIAL VAR"}</definedName>
    <definedName name="wrn.Inputs." localSheetId="1" hidden="1">{#N/A,#N/A,FALSE,"Input"}</definedName>
    <definedName name="wrn.Inputs." hidden="1">{#N/A,#N/A,FALSE,"Input"}</definedName>
    <definedName name="wrn.item1." localSheetId="1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Izt." localSheetId="1" hidden="1">{"year1",#N/A,FALSE,"IZT";"year2",#N/A,FALSE,"IZT"}</definedName>
    <definedName name="wrn.Izt." hidden="1">{"year1",#N/A,FALSE,"IZT";"year2",#N/A,FALSE,"IZT"}</definedName>
    <definedName name="wrn.Japan_Capers_Ed._.Pub." localSheetId="1" hidden="1">{"Japan_Capers_Ed_Pub",#N/A,FALSE,"DI 2 YEAR MASTER SCHEDULE"}</definedName>
    <definedName name="wrn.Japan_Capers_Ed._.Pub." hidden="1">{"Japan_Capers_Ed_Pub",#N/A,FALSE,"DI 2 YEAR MASTER SCHEDULE"}</definedName>
    <definedName name="wrn.Landlords." localSheetId="1" hidden="1">{#N/A,#N/A,FALSE,"701M";#N/A,#N/A,FALSE,"710M";#N/A,#N/A,FALSE,"720M";#N/A,#N/A,FALSE,"730M";#N/A,#N/A,FALSE,"731M";#N/A,#N/A,FALSE,"732M";#N/A,#N/A,FALSE,"733M";#N/A,#N/A,FALSE,"740M";#N/A,#N/A,FALSE,"741M";#N/A,#N/A,FALSE,"742M";#N/A,#N/A,FALSE,"750M";#N/A,#N/A,FALSE,"760M";#N/A,#N/A,FALSE,"770M";#N/A,#N/A,FALSE,"771M";#N/A,#N/A,FALSE,"772M";#N/A,#N/A,FALSE,"780M";#N/A,#N/A,FALSE,"788M";#N/A,#N/A,FALSE,"789M";#N/A,#N/A,FALSE,"790M";#N/A,#N/A,FALSE,"798M";#N/A,#N/A,FALSE,"798O"}</definedName>
    <definedName name="wrn.Landlords." hidden="1">{#N/A,#N/A,FALSE,"701M";#N/A,#N/A,FALSE,"710M";#N/A,#N/A,FALSE,"720M";#N/A,#N/A,FALSE,"730M";#N/A,#N/A,FALSE,"731M";#N/A,#N/A,FALSE,"732M";#N/A,#N/A,FALSE,"733M";#N/A,#N/A,FALSE,"740M";#N/A,#N/A,FALSE,"741M";#N/A,#N/A,FALSE,"742M";#N/A,#N/A,FALSE,"750M";#N/A,#N/A,FALSE,"760M";#N/A,#N/A,FALSE,"770M";#N/A,#N/A,FALSE,"771M";#N/A,#N/A,FALSE,"772M";#N/A,#N/A,FALSE,"780M";#N/A,#N/A,FALSE,"788M";#N/A,#N/A,FALSE,"789M";#N/A,#N/A,FALSE,"790M";#N/A,#N/A,FALSE,"798M";#N/A,#N/A,FALSE,"798O"}</definedName>
    <definedName name="wrn.Latent._.Demand._.Inputs." localSheetId="1" hidden="1">{#N/A,#N/A,FALSE,"Latent"}</definedName>
    <definedName name="wrn.Latent._.Demand._.Inputs." hidden="1">{#N/A,#N/A,FALSE,"Latent"}</definedName>
    <definedName name="wrn.LeadsAPL." localSheetId="1" hidden="1">{#N/A,#N/A,FALSE,"G-Lead";#N/A,#N/A,FALSE,"LT loans";#N/A,#N/A,FALSE,"Reserves";#N/A,#N/A,FALSE,"J-lead";#N/A,#N/A,FALSE,"L-DT-lead";#N/A,#N/A,FALSE,"L-DF-lead";#N/A,#N/A,FALSE,"M associate";#N/A,#N/A,FALSE,"M subsidiary";#N/A,#N/A,FALSE,"P-Lead";#N/A,#N/A,FALSE,"N-Lead";#N/A,#N/A,FALSE,"O-Lead";#N/A,#N/A,FALSE,"G-Lead"}</definedName>
    <definedName name="wrn.LeadsAPL." hidden="1">{#N/A,#N/A,FALSE,"G-Lead";#N/A,#N/A,FALSE,"LT loans";#N/A,#N/A,FALSE,"Reserves";#N/A,#N/A,FALSE,"J-lead";#N/A,#N/A,FALSE,"L-DT-lead";#N/A,#N/A,FALSE,"L-DF-lead";#N/A,#N/A,FALSE,"M associate";#N/A,#N/A,FALSE,"M subsidiary";#N/A,#N/A,FALSE,"P-Lead";#N/A,#N/A,FALSE,"N-Lead";#N/A,#N/A,FALSE,"O-Lead";#N/A,#N/A,FALSE,"G-Lead"}</definedName>
    <definedName name="wrn.LeadsCladding." localSheetId="1" hidden="1">{#N/A,#N/A,FALSE,"J-cladding";#N/A,#N/A,FALSE,"L-DT-Cladding";#N/A,#N/A,FALSE,"L-DF-Cladding";#N/A,#N/A,FALSE,"P-Cladding";#N/A,#N/A,FALSE,"N-Cladding";#N/A,#N/A,FALSE,"O-Cladding";#N/A,#N/A,FALSE,"G-Cladding"}</definedName>
    <definedName name="wrn.LeadsCladding." hidden="1">{#N/A,#N/A,FALSE,"J-cladding";#N/A,#N/A,FALSE,"L-DT-Cladding";#N/A,#N/A,FALSE,"L-DF-Cladding";#N/A,#N/A,FALSE,"P-Cladding";#N/A,#N/A,FALSE,"N-Cladding";#N/A,#N/A,FALSE,"O-Cladding";#N/A,#N/A,FALSE,"G-Cladding"}</definedName>
    <definedName name="wrn.LeadsGRC." localSheetId="1" hidden="1">{#N/A,#N/A,FALSE,"J-GRC";#N/A,#N/A,FALSE,"L-DT-GRC";#N/A,#N/A,FALSE,"L-DF-GRC";#N/A,#N/A,FALSE,"P-GRC";#N/A,#N/A,FALSE,"N-GRC";#N/A,#N/A,FALSE,"O-GRC";#N/A,#N/A,FALSE,"G-GRC"}</definedName>
    <definedName name="wrn.LeadsGRC." hidden="1">{#N/A,#N/A,FALSE,"J-GRC";#N/A,#N/A,FALSE,"L-DT-GRC";#N/A,#N/A,FALSE,"L-DF-GRC";#N/A,#N/A,FALSE,"P-GRC";#N/A,#N/A,FALSE,"N-GRC";#N/A,#N/A,FALSE,"O-GRC";#N/A,#N/A,FALSE,"G-GRC"}</definedName>
    <definedName name="wrn.Legal." localSheetId="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oanInformation." localSheetId="1" hidden="1">{#N/A,#N/A,FALSE,"LoanAssumptions"}</definedName>
    <definedName name="wrn.LoanInformation." hidden="1">{#N/A,#N/A,FALSE,"LoanAssumptions"}</definedName>
    <definedName name="wrn.LTCG." localSheetId="1" hidden="1">{"office ltcg",#N/A,FALSE,"gain01";"IT LTCG",#N/A,FALSE,"gain01"}</definedName>
    <definedName name="wrn.LTCG." hidden="1">{"office ltcg",#N/A,FALSE,"gain01";"IT LTCG",#N/A,FALSE,"gain01"}</definedName>
    <definedName name="wrn.LTV._.Output." localSheetId="1" hidden="1">{"LTV Output",#N/A,FALSE,"Output"}</definedName>
    <definedName name="wrn.LTV._.Output." hidden="1">{"LTV Output",#N/A,FALSE,"Output"}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ission._.Bay._.Sheets." localSheetId="1" hidden="1">{#N/A,#N/A,FALSE,"General";#N/A,#N/A,FALSE,"Rooms";#N/A,#N/A,FALSE,"Undistributed";#N/A,#N/A,FALSE,"F&amp;B";#N/A,#N/A,FALSE,"NEW MODEL";#N/A,#N/A,FALSE,"P&amp;L I"}</definedName>
    <definedName name="wrn.Mission._.Bay._.Sheets." hidden="1">{#N/A,#N/A,FALSE,"General";#N/A,#N/A,FALSE,"Rooms";#N/A,#N/A,FALSE,"Undistributed";#N/A,#N/A,FALSE,"F&amp;B";#N/A,#N/A,FALSE,"NEW MODEL";#N/A,#N/A,FALSE,"P&amp;L I"}</definedName>
    <definedName name="wrn.model." localSheetId="1" hidden="1">{"basic",#N/A,FALSE,"BASIC"}</definedName>
    <definedName name="wrn.model." hidden="1">{"basic",#N/A,FALSE,"BASIC"}</definedName>
    <definedName name="wrn.MONTHLY._.REPORT." localSheetId="1" hidden="1">{#N/A,#N/A,FALSE,"O.P.";#N/A,#N/A,FALSE,"REVENUE";#N/A,#N/A,FALSE,"PAYROLL";#N/A,#N/A,FALSE,"HOUSE";#N/A,#N/A,FALSE,"OTHER";#N/A,#N/A,FALSE,"DEPRECIATION";#N/A,#N/A,FALSE,"PROF.Monthly";#N/A,#N/A,FALSE,"PROF.latest Forecast"}</definedName>
    <definedName name="wrn.MONTHLY._.REPORT." hidden="1">{#N/A,#N/A,FALSE,"O.P.";#N/A,#N/A,FALSE,"REVENUE";#N/A,#N/A,FALSE,"PAYROLL";#N/A,#N/A,FALSE,"HOUSE";#N/A,#N/A,FALSE,"OTHER";#N/A,#N/A,FALSE,"DEPRECIATION";#N/A,#N/A,FALSE,"PROF.Monthly";#N/A,#N/A,FALSE,"PROF.latest Forecast"}</definedName>
    <definedName name="wrn.MonthlyRentRoll." localSheetId="1" hidden="1">{"MonthlyRentRoll",#N/A,FALSE,"RentRoll"}</definedName>
    <definedName name="wrn.MonthlyRentRoll." hidden="1">{"MonthlyRentRoll",#N/A,FALSE,"RentRoll"}</definedName>
    <definedName name="wrn.mr." localSheetId="1" hidden="1">{#N/A,#N/A,TRUE,"Pune Sum";#N/A,#N/A,TRUE,"MATERIALS"}</definedName>
    <definedName name="wrn.mr." hidden="1">{#N/A,#N/A,TRUE,"Pune Sum";#N/A,#N/A,TRUE,"MATERIALS"}</definedName>
    <definedName name="wrn.NEW.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rn.NEW.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rn.NSC._.Summary." localSheetId="1" hidden="1">{#N/A,#N/A,FALSE,"11-NSC"}</definedName>
    <definedName name="wrn.NSC._.Summary." hidden="1">{#N/A,#N/A,FALSE,"11-NSC"}</definedName>
    <definedName name="wrn.Occupancy._.Calcs." localSheetId="1" hidden="1">{#N/A,#N/A,FALSE,"Occ. Calcs"}</definedName>
    <definedName name="wrn.Occupancy._.Calcs." hidden="1">{#N/A,#N/A,FALSE,"Occ. Calcs"}</definedName>
    <definedName name="wrn.OCS._.REPORT." localSheetId="1" hidden="1">{#N/A,#N/A,FALSE,"Cover";#N/A,#N/A,FALSE,"Index";#N/A,#N/A,FALSE,"Spec";#N/A,#N/A,FALSE,"Breakdown";#N/A,#N/A,FALSE,"Cost Plan"}</definedName>
    <definedName name="wrn.OCS._.REPORT." hidden="1">{#N/A,#N/A,FALSE,"Cover";#N/A,#N/A,FALSE,"Index";#N/A,#N/A,FALSE,"Spec";#N/A,#N/A,FALSE,"Breakdown";#N/A,#N/A,FALSE,"Cost Plan"}</definedName>
    <definedName name="wrn.OCS._.REPORT._1" localSheetId="1" hidden="1">{#N/A,#N/A,FALSE,"Cover";#N/A,#N/A,FALSE,"Index";#N/A,#N/A,FALSE,"Spec";#N/A,#N/A,FALSE,"Breakdown";#N/A,#N/A,FALSE,"Cost Plan"}</definedName>
    <definedName name="wrn.OCS._.REPORT._1" hidden="1">{#N/A,#N/A,FALSE,"Cover";#N/A,#N/A,FALSE,"Index";#N/A,#N/A,FALSE,"Spec";#N/A,#N/A,FALSE,"Breakdown";#N/A,#N/A,FALSE,"Cost Plan"}</definedName>
    <definedName name="wrn.office." localSheetId="1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N_COSTS." localSheetId="1" hidden="1">{#N/A,#N/A,FALSE,"Summary";#N/A,#N/A,FALSE,"Plant";#N/A,#N/A,FALSE,"Staff";#N/A,#N/A,FALSE,"Prelim";#N/A,#N/A,FALSE,"Others"}</definedName>
    <definedName name="wrn.ON_COSTS." hidden="1">{#N/A,#N/A,FALSE,"Summary";#N/A,#N/A,FALSE,"Plant";#N/A,#N/A,FALSE,"Staff";#N/A,#N/A,FALSE,"Prelim";#N/A,#N/A,FALSE,"Others"}</definedName>
    <definedName name="wrn.ON_COSTS._1" localSheetId="1" hidden="1">{#N/A,#N/A,FALSE,"Summary";#N/A,#N/A,FALSE,"Plant";#N/A,#N/A,FALSE,"Staff";#N/A,#N/A,FALSE,"Prelim";#N/A,#N/A,FALSE,"Others"}</definedName>
    <definedName name="wrn.ON_COSTS._1" hidden="1">{#N/A,#N/A,FALSE,"Summary";#N/A,#N/A,FALSE,"Plant";#N/A,#N/A,FALSE,"Staff";#N/A,#N/A,FALSE,"Prelim";#N/A,#N/A,FALSE,"Others"}</definedName>
    <definedName name="wrn.One._.Pager._.plus._.Technicals." localSheetId="1" hidden="1">{#N/A,#N/A,FALSE,"One Pager";#N/A,#N/A,FALSE,"Technical"}</definedName>
    <definedName name="wrn.One._.Pager._.plus._.Technicals." hidden="1">{#N/A,#N/A,FALSE,"One Pager";#N/A,#N/A,FALSE,"Technical"}</definedName>
    <definedName name="wrn.OperatingAssumtions." localSheetId="1" hidden="1">{#N/A,#N/A,FALSE,"OperatingAssumptions"}</definedName>
    <definedName name="wrn.OperatingAssumtions." hidden="1">{#N/A,#N/A,FALSE,"OperatingAssumptions"}</definedName>
    <definedName name="wrn.Ops._.Charlie._.Packet." localSheetId="1" hidden="1">{#N/A,#N/A,FALSE,"Proforma Five Yr";#N/A,#N/A,FALSE,"Occ and Rate";#N/A,#N/A,FALSE,"PF Input";#N/A,#N/A,FALSE,"Ops Summary";#N/A,#N/A,FALSE,"Hotcomps"}</definedName>
    <definedName name="wrn.Ops._.Charlie._.Packet." hidden="1">{#N/A,#N/A,FALSE,"Proforma Five Yr";#N/A,#N/A,FALSE,"Occ and Rate";#N/A,#N/A,FALSE,"PF Input";#N/A,#N/A,FALSE,"Ops Summary";#N/A,#N/A,FALSE,"Hotcomps"}</definedName>
    <definedName name="wrn.Others." localSheetId="1" hidden="1">{#N/A,#N/A,FALSE,"O-RDD";#N/A,#N/A,FALSE,"O-ODrs"}</definedName>
    <definedName name="wrn.Others." hidden="1">{#N/A,#N/A,FALSE,"O-RDD";#N/A,#N/A,FALSE,"O-ODrs"}</definedName>
    <definedName name="wrn.Package." localSheetId="1" hidden="1">{#N/A,#N/A,FALSE,"Rationale";#N/A,#N/A,FALSE,"SUPPLY &amp; DEMAND";#N/A,#N/A,FALSE,"5 YR PROFORMA";#N/A,#N/A,FALSE,"INVESTMENT RETURNS SUMMARY";#N/A,#N/A,FALSE,"Executive Summary"}</definedName>
    <definedName name="wrn.Package." hidden="1">{#N/A,#N/A,FALSE,"Rationale";#N/A,#N/A,FALSE,"SUPPLY &amp; DEMAND";#N/A,#N/A,FALSE,"5 YR PROFORMA";#N/A,#N/A,FALSE,"INVESTMENT RETURNS SUMMARY";#N/A,#N/A,FALSE,"Executive Summary"}</definedName>
    <definedName name="wrn.Payment." localSheetId="1" hidden="1">{#N/A,#N/A,FALSE,"certificate";#N/A,#N/A,FALSE,"contract works";#N/A,#N/A,FALSE,"variation";#N/A,#N/A,FALSE,"IP-Summary";#N/A,#N/A,FALSE,"status"}</definedName>
    <definedName name="wrn.Payment." hidden="1">{#N/A,#N/A,FALSE,"certificate";#N/A,#N/A,FALSE,"contract works";#N/A,#N/A,FALSE,"variation";#N/A,#N/A,FALSE,"IP-Summary";#N/A,#N/A,FALSE,"status"}</definedName>
    <definedName name="wrn.PAYROLL._.GULF." localSheetId="1" hidden="1">{#N/A,#N/A,FALSE,"ECPAY";#N/A,#N/A,FALSE,"DXBPAY";#N/A,#N/A,FALSE,"KWTPAY";#N/A,#N/A,FALSE,"ECBonus";#N/A,#N/A,FALSE,"BonusDXB"}</definedName>
    <definedName name="wrn.PAYROLL._.GULF." hidden="1">{#N/A,#N/A,FALSE,"ECPAY";#N/A,#N/A,FALSE,"DXBPAY";#N/A,#N/A,FALSE,"KWTPAY";#N/A,#N/A,FALSE,"ECBonus";#N/A,#N/A,FALSE,"BonusDXB"}</definedName>
    <definedName name="wrn.Penetration." localSheetId="1" hidden="1">{#N/A,#N/A,FALSE,"Mkt Pen"}</definedName>
    <definedName name="wrn.Penetration." hidden="1">{#N/A,#N/A,FALSE,"Mkt Pen"}</definedName>
    <definedName name="wrn.Period._.End." localSheetId="1" hidden="1">{#N/A,#N/A,FALSE,"Spo Ole";#N/A,#N/A,FALSE,"Spool";#N/A,#N/A,FALSE,"AMP OT Diffs";#N/A,#N/A,FALSE,"Other OT Diffs ";#N/A,#N/A,FALSE,"Spend Diffs"}</definedName>
    <definedName name="wrn.Period._.End." hidden="1">{#N/A,#N/A,FALSE,"Spo Ole";#N/A,#N/A,FALSE,"Spool";#N/A,#N/A,FALSE,"AMP OT Diffs";#N/A,#N/A,FALSE,"Other OT Diffs ";#N/A,#N/A,FALSE,"Spend Diffs"}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AchatDR0." localSheetId="1" hidden="1">{#N/A,#N/A,TRUE,"ENTETE";#N/A,#N/A,TRUE,"COMPOSANTS"}</definedName>
    <definedName name="wrn.PlanAchatDR0." hidden="1">{#N/A,#N/A,TRUE,"ENTETE";#N/A,#N/A,TRUE,"COMPOSANTS"}</definedName>
    <definedName name="wrn.pr3sty." localSheetId="1" hidden="1">{#N/A,#N/A,FALSE,"intag";#N/A,#N/A,FALSE,"budg";#N/A,#N/A,FALSE,"samtl"}</definedName>
    <definedName name="wrn.pr3sty." hidden="1">{#N/A,#N/A,FALSE,"intag";#N/A,#N/A,FALSE,"budg";#N/A,#N/A,FALSE,"samtl"}</definedName>
    <definedName name="wrn.pr3sty.neu" localSheetId="1" hidden="1">{#N/A,#N/A,FALSE,"intag";#N/A,#N/A,FALSE,"budg";#N/A,#N/A,FALSE,"samtl"}</definedName>
    <definedName name="wrn.pr3sty.neu" hidden="1">{#N/A,#N/A,FALSE,"intag";#N/A,#N/A,FALSE,"budg";#N/A,#N/A,FALSE,"samtl"}</definedName>
    <definedName name="wrn.PrelimSummary." localSheetId="1" hidden="1">{"Prelim_Summary",#N/A,FALSE,"Summary"}</definedName>
    <definedName name="wrn.PrelimSummary." hidden="1">{"Prelim_Summary",#N/A,FALSE,"Summary"}</definedName>
    <definedName name="wrn.Presentation." localSheetId="1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esentation._.copies." localSheetId="1" hidden="1">{"outturn",#N/A,TRUE,"HCA";#N/A,#N/A,TRUE,"HCA Summary";#N/A,#N/A,TRUE,"Operating ratio graphs";"Profit and loss",#N/A,TRUE,"HCA"}</definedName>
    <definedName name="wrn.Presentation._.copies." hidden="1">{"outturn",#N/A,TRUE,"HCA";#N/A,#N/A,TRUE,"HCA Summary";#N/A,#N/A,TRUE,"Operating ratio graphs";"Profit and loss",#N/A,TRUE,"HCA"}</definedName>
    <definedName name="wrn.Primary._.Competition." localSheetId="1" hidden="1">{#N/A,#N/A,FALSE,"Primary"}</definedName>
    <definedName name="wrn.Primary._.Competition." hidden="1">{#N/A,#N/A,FALSE,"Primary"}</definedName>
    <definedName name="wrn.Print._.Full._.Price._.List." localSheetId="1" hidden="1">{#N/A,#N/A,FALSE,"KEY";#N/A,#N/A,FALSE,"Sync Products - Int'l";#N/A,#N/A,FALSE,"Sync Products - Domestic";#N/A,#N/A,FALSE,"Proteus Intl";#N/A,#N/A,FALSE,"Proteus Domestic";#N/A,#N/A,FALSE,"TimeScan NW Mgmt";#N/A,#N/A,FALSE,"NW Mgmt Install,Setup";#N/A,#N/A,FALSE,"Training";#N/A,#N/A,FALSE,"Secure7, IDST"}</definedName>
    <definedName name="wrn.Print._.Full._.Price._.List." hidden="1">{#N/A,#N/A,FALSE,"KEY";#N/A,#N/A,FALSE,"Sync Products - Int'l";#N/A,#N/A,FALSE,"Sync Products - Domestic";#N/A,#N/A,FALSE,"Proteus Intl";#N/A,#N/A,FALSE,"Proteus Domestic";#N/A,#N/A,FALSE,"TimeScan NW Mgmt";#N/A,#N/A,FALSE,"NW Mgmt Install,Setup";#N/A,#N/A,FALSE,"Training";#N/A,#N/A,FALSE,"Secure7, IDST"}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PORT." localSheetId="1" hidden="1">{#N/A,#N/A,FALSE,"summary";#N/A,#N/A,FALSE,"preliminy";#N/A,#N/A,FALSE,"bill 3";#N/A,#N/A,FALSE,"bill 4"}</definedName>
    <definedName name="wrn.PRINT._.REPORT." hidden="1">{#N/A,#N/A,FALSE,"summary";#N/A,#N/A,FALSE,"preliminy";#N/A,#N/A,FALSE,"bill 3";#N/A,#N/A,FALSE,"bill 4"}</definedName>
    <definedName name="wrn.PRINT._.REPORT._1" localSheetId="1" hidden="1">{#N/A,#N/A,FALSE,"summary";#N/A,#N/A,FALSE,"preliminy";#N/A,#N/A,FALSE,"bill 3";#N/A,#N/A,FALSE,"bill 4"}</definedName>
    <definedName name="wrn.PRINT._.REPORT._1" hidden="1">{#N/A,#N/A,FALSE,"summary";#N/A,#N/A,FALSE,"preliminy";#N/A,#N/A,FALSE,"bill 3";#N/A,#N/A,FALSE,"bill 4"}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ority._.list." localSheetId="1" hidden="1">{#N/A,#N/A,FALSE,"DI 2 YEAR MASTER SCHEDULE"}</definedName>
    <definedName name="wrn.Priority._.list." hidden="1">{#N/A,#N/A,FALSE,"DI 2 YEAR MASTER SCHEDULE"}</definedName>
    <definedName name="wrn.Prjcted._.Mnthly._.Qtys." localSheetId="1" hidden="1">{#N/A,#N/A,FALSE,"PRJCTED MNTHLY QTY's"}</definedName>
    <definedName name="wrn.Prjcted._.Mnthly._.Qtys." hidden="1">{#N/A,#N/A,FALSE,"PRJCTED MNTHLY QTY's"}</definedName>
    <definedName name="wrn.Prjcted._.Qtrly._.Dollars." localSheetId="1" hidden="1">{#N/A,#N/A,FALSE,"PRJCTED QTRLY $'s"}</definedName>
    <definedName name="wrn.Prjcted._.Qtrly._.Dollars." hidden="1">{#N/A,#N/A,FALSE,"PRJCTED QTRLY $'s"}</definedName>
    <definedName name="wrn.Prjcted._.Qtrly._.Qtys." localSheetId="1" hidden="1">{#N/A,#N/A,FALSE,"PRJCTED QTRLY QTY's"}</definedName>
    <definedName name="wrn.Prjcted._.Qtrly._.Qtys." hidden="1">{#N/A,#N/A,FALSE,"PRJCTED QTRLY QTY's"}</definedName>
    <definedName name="wrn.Profit._.and._.loss._.account._.detail." localSheetId="1" hidden="1">{#N/A,#N/A,FALSE,"HCA";#N/A,#N/A,FALSE,"Revenue";#N/A,#N/A,FALSE,"Opex";#N/A,#N/A,FALSE,"AMP"}</definedName>
    <definedName name="wrn.Profit._.and._.loss._.account._.detail." hidden="1">{#N/A,#N/A,FALSE,"HCA";#N/A,#N/A,FALSE,"Revenue";#N/A,#N/A,FALSE,"Opex";#N/A,#N/A,FALSE,"AMP"}</definedName>
    <definedName name="wrn.PROFITABILITY." localSheetId="1" hidden="1">{#N/A,#N/A,TRUE,"PROFNETW";#N/A,#N/A,TRUE,"PROFDXB+KWT";#N/A,#N/A,TRUE,"PROFE.C.";#N/A,#N/A,TRUE,"PROFTARGETS";#N/A,#N/A,TRUE,"PROFAMA";#N/A,#N/A,TRUE,"PROFBEIRUT";#N/A,#N/A,TRUE,"PROFNETW (2)"}</definedName>
    <definedName name="wrn.PROFITABILITY." hidden="1">{#N/A,#N/A,TRUE,"PROFNETW";#N/A,#N/A,TRUE,"PROFDXB+KWT";#N/A,#N/A,TRUE,"PROFE.C.";#N/A,#N/A,TRUE,"PROFTARGETS";#N/A,#N/A,TRUE,"PROFAMA";#N/A,#N/A,TRUE,"PROFBEIRUT";#N/A,#N/A,TRUE,"PROFNETW (2)"}</definedName>
    <definedName name="wrn.PROFITABILTY." localSheetId="1" hidden="1">{#N/A,#N/A,FALSE,"BEIRUT";#N/A,#N/A,FALSE,"CAIRO";#N/A,#N/A,FALSE,"JEDDAH";#N/A,#N/A,FALSE,"RADIUS";#N/A,#N/A,FALSE,"H&amp;CLBEC";#N/A,#N/A,FALSE,"LBME NETWORK"}</definedName>
    <definedName name="wrn.PROFITABILTY." hidden="1">{#N/A,#N/A,FALSE,"BEIRUT";#N/A,#N/A,FALSE,"CAIRO";#N/A,#N/A,FALSE,"JEDDAH";#N/A,#N/A,FALSE,"RADIUS";#N/A,#N/A,FALSE,"H&amp;CLBEC";#N/A,#N/A,FALSE,"LBME NETWORK"}</definedName>
    <definedName name="wrn.Progress._.Account." localSheetId="1" hidden="1">{#N/A,#N/A,FALSE,"Variations"}</definedName>
    <definedName name="wrn.Progress._.Account." hidden="1">{#N/A,#N/A,FALSE,"Variations"}</definedName>
    <definedName name="wrn.PropertyInformation." localSheetId="1" hidden="1">{#N/A,#N/A,FALSE,"PropertyInfo"}</definedName>
    <definedName name="wrn.PropertyInformation." hidden="1">{#N/A,#N/A,FALSE,"PropertyInfo"}</definedName>
    <definedName name="wrn.PRS." localSheetId="1" hidden="1">{#N/A,#N/A,FALSE,"DCD-Cs";#N/A,#N/A,FALSE,"LPR";#N/A,#N/A,FALSE,"LPR-LOU";#N/A,#N/A,FALSE,"GPS1100";#N/A,#N/A,FALSE,"Secure7"}</definedName>
    <definedName name="wrn.PRS." hidden="1">{#N/A,#N/A,FALSE,"DCD-Cs";#N/A,#N/A,FALSE,"LPR";#N/A,#N/A,FALSE,"LPR-LOU";#N/A,#N/A,FALSE,"GPS1100";#N/A,#N/A,FALSE,"Secure7"}</definedName>
    <definedName name="wrn.QTR._.1._.LOOK." localSheetId="1" hidden="1">{"WSQ1",#N/A,FALSE,"WRK P&amp;L -Qtr";"Q1ECG",#N/A,FALSE,"ECG P&amp;L -Qtr";"SRVQ1",#N/A,FALSE,"Server P&amp;L -Qtr";"Q1OPT",#N/A,FALSE,"Server Options P&amp;L -Qtr";"SOPSQ1",#N/A,FALSE,"SOPs P&amp;L -Qtr"}</definedName>
    <definedName name="wrn.QTR._.1._.LOOK." hidden="1">{"WSQ1",#N/A,FALSE,"WRK P&amp;L -Qtr";"Q1ECG",#N/A,FALSE,"ECG P&amp;L -Qtr";"SRVQ1",#N/A,FALSE,"Server P&amp;L -Qtr";"Q1OPT",#N/A,FALSE,"Server Options P&amp;L -Qtr";"SOPSQ1",#N/A,FALSE,"SOPs P&amp;L -Qtr"}</definedName>
    <definedName name="wrn.QUARTERLY._.VIEW." localSheetId="1" hidden="1">{"QUARTERLY VIEW",#N/A,FALSE,"YEAR TOTAL"}</definedName>
    <definedName name="wrn.QUARTERLY._.VIEW." hidden="1">{"QUARTERLY VIEW",#N/A,FALSE,"YEAR TOTAL"}</definedName>
    <definedName name="wrn.RCC." localSheetId="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ap." localSheetId="1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recap.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Redundant._.Equipment._.Option." localSheetId="1" hidden="1">{"pumps",#N/A,FALSE,"Option"}</definedName>
    <definedName name="wrn.Redundant._.Equipment._.Option." hidden="1">{"pumps",#N/A,FALSE,"Option"}</definedName>
    <definedName name="wrn.Redundant._.Equipment._.Option._1" localSheetId="1" hidden="1">{"pumps",#N/A,FALSE,"Option"}</definedName>
    <definedName name="wrn.Redundant._.Equipment._.Option._1" hidden="1">{"pumps",#N/A,FALSE,"Option"}</definedName>
    <definedName name="wrn.REP501." localSheetId="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localSheetId="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localSheetId="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localSheetId="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ORT." localSheetId="1" hidden="1">{#N/A,#N/A,FALSE,"PER FLOOR FORM2";#N/A,#N/A,FALSE,"FORM2";#N/A,#N/A,FALSE,"PER FLOOR FORM1";#N/A,#N/A,FALSE,"FORM1"}</definedName>
    <definedName name="wrn.REPORT." hidden="1">{#N/A,#N/A,FALSE,"PER FLOOR FORM2";#N/A,#N/A,FALSE,"FORM2";#N/A,#N/A,FALSE,"PER FLOOR FORM1";#N/A,#N/A,FALSE,"FORM1"}</definedName>
    <definedName name="wrn.Reports." localSheetId="1" hidden="1">{#N/A,#N/A,TRUE,"Title";#N/A,#N/A,TRUE,"Index";#N/A,#N/A,TRUE,"Assumptions";#N/A,#N/A,TRUE,"Summary";#N/A,#N/A,TRUE,"CashFlow";#N/A,#N/A,TRUE,"Marina";#N/A,#N/A,TRUE,"Revenue";#N/A,#N/A,TRUE,"Costs";#N/A,#N/A,TRUE,"Areas"}</definedName>
    <definedName name="wrn.Reports." hidden="1">{#N/A,#N/A,TRUE,"Title";#N/A,#N/A,TRUE,"Index";#N/A,#N/A,TRUE,"Assumptions";#N/A,#N/A,TRUE,"Summary";#N/A,#N/A,TRUE,"CashFlow";#N/A,#N/A,TRUE,"Marina";#N/A,#N/A,TRUE,"Revenue";#N/A,#N/A,TRUE,"Costs";#N/A,#N/A,TRUE,"Areas"}</definedName>
    <definedName name="wrn.Residential.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ide._.Estimate." localSheetId="1" hidden="1">{#N/A,#N/A,TRUE,"Cover Memo";"Ride Estimate",#N/A,TRUE,"Change Summary";"Ride Estimate",#N/A,TRUE,"Estimate Summary";"Ride Estimate",#N/A,TRUE,"Dept. Summary";"Ride Estimate",#N/A,TRUE,"DOW Detail"}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cenario._.A." localSheetId="1" hidden="1">{#N/A,#N/A,FALSE,"Scenario A";#N/A,#N/A,FALSE,"Budget";#N/A,#N/A,FALSE,"Land";#N/A,#N/A,FALSE,"Proceeds";#N/A,#N/A,FALSE,"Assumptions"}</definedName>
    <definedName name="wrn.Scenario._.A." hidden="1">{#N/A,#N/A,FALSE,"Scenario A";#N/A,#N/A,FALSE,"Budget";#N/A,#N/A,FALSE,"Land";#N/A,#N/A,FALSE,"Proceeds";#N/A,#N/A,FALSE,"Assumptions"}</definedName>
    <definedName name="wrn.Scenario._.B." localSheetId="1" hidden="1">{#N/A,#N/A,FALSE,"Scenario B";#N/A,#N/A,FALSE,"Budget";#N/A,#N/A,FALSE,"Land";#N/A,#N/A,FALSE,"Proceeds";#N/A,#N/A,FALSE,"Assumptions";#N/A,#N/A,FALSE,"Ground Rent"}</definedName>
    <definedName name="wrn.Scenario._.B." hidden="1">{#N/A,#N/A,FALSE,"Scenario B";#N/A,#N/A,FALSE,"Budget";#N/A,#N/A,FALSE,"Land";#N/A,#N/A,FALSE,"Proceeds";#N/A,#N/A,FALSE,"Assumptions";#N/A,#N/A,FALSE,"Ground Rent"}</definedName>
    <definedName name="wrn.Scenario._.C." localSheetId="1" hidden="1">{#N/A,#N/A,FALSE,"Scenario C";#N/A,#N/A,FALSE,"Budget";#N/A,#N/A,FALSE,"Land";#N/A,#N/A,FALSE,"Proceeds";#N/A,#N/A,FALSE,"Assumptions";#N/A,#N/A,FALSE,"Emaar";#N/A,#N/A,FALSE,"Emaar Rent"}</definedName>
    <definedName name="wrn.Scenario._.C." hidden="1">{#N/A,#N/A,FALSE,"Scenario C";#N/A,#N/A,FALSE,"Budget";#N/A,#N/A,FALSE,"Land";#N/A,#N/A,FALSE,"Proceeds";#N/A,#N/A,FALSE,"Assumptions";#N/A,#N/A,FALSE,"Emaar";#N/A,#N/A,FALSE,"Emaar Rent"}</definedName>
    <definedName name="wrn.scenario5" localSheetId="1" hidden="1">{#N/A,#N/A,FALSE,"Scenario A";#N/A,#N/A,FALSE,"Budget";#N/A,#N/A,FALSE,"Land";#N/A,#N/A,FALSE,"Proceeds";#N/A,#N/A,FALSE,"Assumptions"}</definedName>
    <definedName name="wrn.scenario5" hidden="1">{#N/A,#N/A,FALSE,"Scenario A";#N/A,#N/A,FALSE,"Budget";#N/A,#N/A,FALSE,"Land";#N/A,#N/A,FALSE,"Proceeds";#N/A,#N/A,FALSE,"Assumptions"}</definedName>
    <definedName name="wrn.Scenaroo._.C." localSheetId="1" hidden="1">{#N/A,#N/A,FALSE,"Scenario B";#N/A,#N/A,FALSE,"Budget";#N/A,#N/A,FALSE,"Land";#N/A,#N/A,FALSE,"Proceeds";#N/A,#N/A,FALSE,"Assumptions";#N/A,#N/A,FALSE,"Ground Rent"}</definedName>
    <definedName name="wrn.Scenaroo._.C." hidden="1">{#N/A,#N/A,FALSE,"Scenario B";#N/A,#N/A,FALSE,"Budget";#N/A,#N/A,FALSE,"Land";#N/A,#N/A,FALSE,"Proceeds";#N/A,#N/A,FALSE,"Assumptions";#N/A,#N/A,FALSE,"Ground Rent"}</definedName>
    <definedName name="wrn.seafirst." localSheetId="1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._.half." localSheetId="1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rn.Second._.half.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rn.Secondary._.Competition." localSheetId="1" hidden="1">{#N/A,#N/A,FALSE,"Secondary"}</definedName>
    <definedName name="wrn.Secondary._.Competition." hidden="1">{#N/A,#N/A,FALSE,"Secondary"}</definedName>
    <definedName name="wrn.Selected._.Sheets." localSheetId="1" hidden="1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elected._.Sheets." hidden="1">{#N/A,#N/A,FALSE,"Input";#N/A,#N/A,FALSE,"Comps";#N/A,#N/A,FALSE,"Check";#N/A,#N/A,FALSE,"Sheet1";#N/A,#N/A,FALSE,"Flowthrough &amp; Analysis Final";#N/A,#N/A,FALSE,"FY Operating";#N/A,#N/A,FALSE,"Flowthrough &amp; Analysis FY";#N/A,#N/A,FALSE,"Flowthrough &amp; Analysis Hpref1";#N/A,#N/A,FALSE,"Flowthrough &amp; Analysis Total";#N/A,#N/A,FALSE,"Flowthrough &amp; Analysis 2";#N/A,#N/A,FALSE,"Debt"}</definedName>
    <definedName name="wrn.Show._.Estimate." localSheetId="1" hidden="1">{#N/A,#N/A,TRUE,"Cover Memo";"Show Estimate",#N/A,TRUE,"Change Summary";"Show Estimate",#N/A,TRUE,"Estimate Summary";"Show Estimate",#N/A,TRUE,"Dept. Summary";"Show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ite._.expenses." localSheetId="1" hidden="1">{#N/A,#N/A,FALSE,"Expenses";#N/A,#N/A,FALSE,"Expenses"}</definedName>
    <definedName name="wrn.Site._.expenses." hidden="1">{#N/A,#N/A,FALSE,"Expenses";#N/A,#N/A,FALSE,"Expenses"}</definedName>
    <definedName name="wrn.Smart._.Bits." localSheetId="1" hidden="1">{#N/A,#N/A,FALSE,"523,Dual 2E,Smart";#N/A,#N/A,FALSE,"523,ST2,ST3,Smart";#N/A,#N/A,FALSE," 523,Dual3E,Smart"}</definedName>
    <definedName name="wrn.Smart._.Bits." hidden="1">{#N/A,#N/A,FALSE,"523,Dual 2E,Smart";#N/A,#N/A,FALSE,"523,ST2,ST3,Smart";#N/A,#N/A,FALSE," 523,Dual3E,Smart"}</definedName>
    <definedName name="wrn.Smart._.Bits._.SSM." localSheetId="1" hidden="1">{#N/A,#N/A,FALSE,"523,Dual2E,SmartSSM";#N/A,#N/A,FALSE,"523,2E,3E,SmartSSM";#N/A,#N/A,FALSE,"523,Dual3E,SmartSSM"}</definedName>
    <definedName name="wrn.Smart._.Bits._.SSM." hidden="1">{#N/A,#N/A,FALSE,"523,Dual2E,SmartSSM";#N/A,#N/A,FALSE,"523,2E,3E,SmartSSM";#N/A,#N/A,FALSE,"523,Dual3E,SmartSSM"}</definedName>
    <definedName name="wrn.Spend._.by._.driver." localSheetId="1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wrn.Spend._.by._.driver.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wrn.Spend._.by._.Funding._.Catagory." localSheetId="1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wrn.Spend._.by._.Funding._.Catagory.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wrn.Spool._.And._.Spool._.Only." localSheetId="1" hidden="1">{#N/A,#N/A,FALSE,"Spo Ole";#N/A,#N/A,FALSE,"Spool"}</definedName>
    <definedName name="wrn.Spool._.And._.Spool._.Only." hidden="1">{#N/A,#N/A,FALSE,"Spo Ole";#N/A,#N/A,FALSE,"Spool"}</definedName>
    <definedName name="wrn.STG._.BLDG._.ENCLOSURE." localSheetId="1" hidden="1">{"turbine",#N/A,FALSE,"Option"}</definedName>
    <definedName name="wrn.STG._.BLDG._.ENCLOSURE." hidden="1">{"turbine",#N/A,FALSE,"Option"}</definedName>
    <definedName name="wrn.STG._.BLDG._.ENCLOSURE._1" localSheetId="1" hidden="1">{"turbine",#N/A,FALSE,"Option"}</definedName>
    <definedName name="wrn.STG._.BLDG._.ENCLOSURE._1" hidden="1">{"turbine",#N/A,FALSE,"Option"}</definedName>
    <definedName name="wrn.struckgi." localSheetId="1" hidden="1">{#N/A,#N/A,TRUE,"arnitower";#N/A,#N/A,TRUE,"arnigarage "}</definedName>
    <definedName name="wrn.struckgi." hidden="1">{#N/A,#N/A,TRUE,"arnitower";#N/A,#N/A,TRUE,"arnigarage "}</definedName>
    <definedName name="wrn.struckgi._1" localSheetId="1" hidden="1">{#N/A,#N/A,TRUE,"arnitower";#N/A,#N/A,TRUE,"arnigarage "}</definedName>
    <definedName name="wrn.struckgi._1" hidden="1">{#N/A,#N/A,TRUE,"arnitower";#N/A,#N/A,TRUE,"arnigarage "}</definedName>
    <definedName name="wrn.summ1" localSheetId="1" hidden="1">{#N/A,#N/A,FALSE,"COVER1.XLS ";#N/A,#N/A,FALSE,"RACT1.XLS";#N/A,#N/A,FALSE,"RACT2.XLS";#N/A,#N/A,FALSE,"ECCMP";#N/A,#N/A,FALSE,"WELDER.XLS"}</definedName>
    <definedName name="wrn.summ1" hidden="1">{#N/A,#N/A,FALSE,"COVER1.XLS ";#N/A,#N/A,FALSE,"RACT1.XLS";#N/A,#N/A,FALSE,"RACT2.XLS";#N/A,#N/A,FALSE,"ECCMP";#N/A,#N/A,FALSE,"WELDER.XLS"}</definedName>
    <definedName name="wrn.Summary." localSheetId="1" hidden="1">{#N/A,#N/A,FALSE,"Summary"}</definedName>
    <definedName name="wrn.Summary." hidden="1">{#N/A,#N/A,FALSE,"Summary"}</definedName>
    <definedName name="wrn.Supply._.Additions." localSheetId="1" hidden="1">{#N/A,#N/A,FALSE,"Supply Addn"}</definedName>
    <definedName name="wrn.Supply._.Additions." hidden="1">{#N/A,#N/A,FALSE,"Supply Addn"}</definedName>
    <definedName name="wrn.Tax._.copies." localSheetId="1" hidden="1">{#N/A,#N/A,TRUE,"HCA";#N/A,#N/A,TRUE,"Tax";#N/A,#N/A,TRUE,"Losses and ACT";#N/A,#N/A,TRUE,"Divis";#N/A,#N/A,TRUE,"Reserves";#N/A,#N/A,TRUE,"Enhancement data"}</definedName>
    <definedName name="wrn.Tax._.copies." hidden="1">{#N/A,#N/A,TRUE,"HCA";#N/A,#N/A,TRUE,"Tax";#N/A,#N/A,TRUE,"Losses and ACT";#N/A,#N/A,TRUE,"Divis";#N/A,#N/A,TRUE,"Reserves";#N/A,#N/A,TRUE,"Enhancement data"}</definedName>
    <definedName name="wrn.Tenants." localSheetId="1" hidden="1">{#N/A,#N/A,FALSE,"898M";#N/A,#N/A,FALSE,"898O";#N/A,#N/A,FALSE,"889M";#N/A,#N/A,FALSE,"888M";#N/A,#N/A,FALSE,"882M";#N/A,#N/A,FALSE,"881M";#N/A,#N/A,FALSE,"880M";#N/A,#N/A,FALSE,"873M";#N/A,#N/A,FALSE,"872M";#N/A,#N/A,FALSE,"871M";#N/A,#N/A,FALSE,"870M";#N/A,#N/A,FALSE,"861M";#N/A,#N/A,FALSE,"860M";#N/A,#N/A,FALSE,"850M";#N/A,#N/A,FALSE,"843M";#N/A,#N/A,FALSE,"842M";#N/A,#N/A,FALSE,"841M";#N/A,#N/A,FALSE,"840M";#N/A,#N/A,FALSE,"831M";#N/A,#N/A,FALSE,"830M";#N/A,#N/A,FALSE,"821M";#N/A,#N/A,FALSE,"820M";#N/A,#N/A,FALSE,"814M";#N/A,#N/A,FALSE,"813M";#N/A,#N/A,FALSE,"812M";#N/A,#N/A,FALSE,"811M";#N/A,#N/A,FALSE,"810M";#N/A,#N/A,FALSE,"803M";#N/A,#N/A,FALSE,"802M";#N/A,#N/A,FALSE,"801M"}</definedName>
    <definedName name="wrn.Tenants." hidden="1">{#N/A,#N/A,FALSE,"898M";#N/A,#N/A,FALSE,"898O";#N/A,#N/A,FALSE,"889M";#N/A,#N/A,FALSE,"888M";#N/A,#N/A,FALSE,"882M";#N/A,#N/A,FALSE,"881M";#N/A,#N/A,FALSE,"880M";#N/A,#N/A,FALSE,"873M";#N/A,#N/A,FALSE,"872M";#N/A,#N/A,FALSE,"871M";#N/A,#N/A,FALSE,"870M";#N/A,#N/A,FALSE,"861M";#N/A,#N/A,FALSE,"860M";#N/A,#N/A,FALSE,"850M";#N/A,#N/A,FALSE,"843M";#N/A,#N/A,FALSE,"842M";#N/A,#N/A,FALSE,"841M";#N/A,#N/A,FALSE,"840M";#N/A,#N/A,FALSE,"831M";#N/A,#N/A,FALSE,"830M";#N/A,#N/A,FALSE,"821M";#N/A,#N/A,FALSE,"820M";#N/A,#N/A,FALSE,"814M";#N/A,#N/A,FALSE,"813M";#N/A,#N/A,FALSE,"812M";#N/A,#N/A,FALSE,"811M";#N/A,#N/A,FALSE,"810M";#N/A,#N/A,FALSE,"803M";#N/A,#N/A,FALSE,"802M";#N/A,#N/A,FALSE,"801M"}</definedName>
    <definedName name="wrn.TEST." localSheetId="1" hidden="1">{#N/A,#N/A,FALSE,"估價單  (3)"}</definedName>
    <definedName name="wrn.TEST." hidden="1">{#N/A,#N/A,FALSE,"估價單  (3)"}</definedName>
    <definedName name="wrn.Test._.Report." localSheetId="1" hidden="1">{#N/A,#N/A,FALSE,"DATA D.I.";#N/A,#N/A,FALSE,"DATA C.I."}</definedName>
    <definedName name="wrn.Test._.Report." hidden="1">{#N/A,#N/A,FALSE,"DATA D.I.";#N/A,#N/A,FALSE,"DATA C.I."}</definedName>
    <definedName name="wrn.test.2" localSheetId="1" hidden="1">{#N/A,#N/A,FALSE,"Calculator"}</definedName>
    <definedName name="wrn.test.2" hidden="1">{#N/A,#N/A,FALSE,"Calculator"}</definedName>
    <definedName name="wrn.test1." localSheetId="1" hidden="1">{#N/A,#N/A,FALSE,"Calculator"}</definedName>
    <definedName name="wrn.test1." hidden="1">{#N/A,#N/A,FALSE,"Calculator"}</definedName>
    <definedName name="wrn.test2" localSheetId="1" hidden="1">{#N/A,#N/A,FALSE,"Calculator"}</definedName>
    <definedName name="wrn.test2" hidden="1">{#N/A,#N/A,FALSE,"Calculator"}</definedName>
    <definedName name="wrn.test3" localSheetId="1" hidden="1">{#N/A,#N/A,FALSE,"Calculator"}</definedName>
    <definedName name="wrn.test3" hidden="1">{#N/A,#N/A,FALSE,"Calculator"}</definedName>
    <definedName name="wrn.TOCHTERMAN." localSheetId="1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ial." localSheetId="1" hidden="1">{#N/A,#N/A,FALSE,"mpph1";#N/A,#N/A,FALSE,"mpmseb";#N/A,#N/A,FALSE,"mpph2"}</definedName>
    <definedName name="wrn.trial." hidden="1">{#N/A,#N/A,FALSE,"mpph1";#N/A,#N/A,FALSE,"mpmseb";#N/A,#N/A,FALSE,"mpph2"}</definedName>
    <definedName name="wrn.valn." localSheetId="1" hidden="1">{#N/A,#N/A,TRUE,"valbd";#N/A,#N/A,TRUE,"Summy"}</definedName>
    <definedName name="wrn.valn." hidden="1">{#N/A,#N/A,TRUE,"valbd";#N/A,#N/A,TRUE,"Summy"}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arrington._.Widnes._.QS._.Costs." localSheetId="1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arrington._.Widnes._.QS._.Costs._1" localSheetId="1" hidden="1">{#N/A,#N/A,TRUE,"Cover";#N/A,#N/A,TRUE,"Conts";#N/A,#N/A,TRUE,"VOS";#N/A,#N/A,TRUE,"Warrington";#N/A,#N/A,TRUE,"Widnes"}</definedName>
    <definedName name="wrn.Warrington._.Widnes._.QS._.Costs._1" hidden="1">{#N/A,#N/A,TRUE,"Cover";#N/A,#N/A,TRUE,"Conts";#N/A,#N/A,TRUE,"VOS";#N/A,#N/A,TRUE,"Warrington";#N/A,#N/A,TRUE,"Widnes"}</definedName>
    <definedName name="wrn.Warrington._.Widnes._.QS._.Costs._2">NA()</definedName>
    <definedName name="wrn.Warrington._.Widnes._.QS._.Costs._3">NA()</definedName>
    <definedName name="wrn.Warrington._.Widnes._.QS._.Costs._4">NA()</definedName>
    <definedName name="wrn.WETHER." localSheetId="1" hidden="1">{#N/A,#N/A,FALSE,"1-1";#N/A,#N/A,FALSE,"2-1";#N/A,#N/A,FALSE,"3-1";#N/A,#N/A,FALSE,"4-1";#N/A,#N/A,FALSE,"5-1";#N/A,#N/A,FALSE,"6-1"}</definedName>
    <definedName name="wrn.WETHER." hidden="1">{#N/A,#N/A,FALSE,"1-1";#N/A,#N/A,FALSE,"2-1";#N/A,#N/A,FALSE,"3-1";#N/A,#N/A,FALSE,"4-1";#N/A,#N/A,FALSE,"5-1";#N/A,#N/A,FALSE,"6-1"}</definedName>
    <definedName name="wrn.WHOUSE._.CT." localSheetId="1" hidden="1">{"WESTINGHOUSE",#N/A,FALSE,"Option"}</definedName>
    <definedName name="wrn.WHOUSE._.CT." hidden="1">{"WESTINGHOUSE",#N/A,FALSE,"Option"}</definedName>
    <definedName name="wrn.WHOUSE._.CT._1" localSheetId="1" hidden="1">{"WESTINGHOUSE",#N/A,FALSE,"Option"}</definedName>
    <definedName name="wrn.WHOUSE._.CT._1" hidden="1">{"WESTINGHOUSE",#N/A,FALSE,"Option"}</definedName>
    <definedName name="wrn.WorkBook._.Print." localSheetId="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TCModel." localSheetId="1" hidden="1">{#N/A,#N/A,TRUE,"A";#N/A,#N/A,TRUE,"IS";#N/A,#N/A,TRUE,"CF";#N/A,#N/A,TRUE,"BS";#N/A,#N/A,TRUE,"REV";#N/A,#N/A,TRUE,"OPS";#N/A,#N/A,TRUE,"ADM";#N/A,#N/A,TRUE,"AST";#N/A,#N/A,TRUE,"DEP"}</definedName>
    <definedName name="wrn.WTCModel." hidden="1">{#N/A,#N/A,TRUE,"A";#N/A,#N/A,TRUE,"IS";#N/A,#N/A,TRUE,"CF";#N/A,#N/A,TRUE,"BS";#N/A,#N/A,TRUE,"REV";#N/A,#N/A,TRUE,"OPS";#N/A,#N/A,TRUE,"ADM";#N/A,#N/A,TRUE,"AST";#N/A,#N/A,TRUE,"DEP"}</definedName>
    <definedName name="wrn.Xmission._.Workbook." localSheetId="1" hidden="1">{#N/A,#N/A,FALSE,"X'mission 1.1 Cover Page";#N/A,#N/A,FALSE,"Secure 7 1.1";#N/A,#N/A,FALSE,"IDST 1.1"}</definedName>
    <definedName name="wrn.Xmission._.Workbook." hidden="1">{#N/A,#N/A,FALSE,"X'mission 1.1 Cover Page";#N/A,#N/A,FALSE,"Secure 7 1.1";#N/A,#N/A,FALSE,"IDST 1.1"}</definedName>
    <definedName name="wrn.YEAR._.VIEW." localSheetId="1" hidden="1">{#N/A,#N/A,FALSE,"Sheet2"}</definedName>
    <definedName name="wrn.YEAR._.VIEW." hidden="1">{#N/A,#N/A,FALSE,"Sheet2"}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1" hidden="1">{#N/A,#N/A,FALSE,"전력간선"}</definedName>
    <definedName name="wrn.교육청." hidden="1">{#N/A,#N/A,FALSE,"전력간선"}</definedName>
    <definedName name="wrn.구조2." localSheetId="1" hidden="1">{#N/A,#N/A,FALSE,"구조2"}</definedName>
    <definedName name="wrn.구조2." hidden="1">{#N/A,#N/A,FALSE,"구조2"}</definedName>
    <definedName name="wrn.단가표지." localSheetId="1" hidden="1">{#N/A,#N/A,FALSE,"단가표지"}</definedName>
    <definedName name="wrn.단가표지." hidden="1">{#N/A,#N/A,FALSE,"단가표지"}</definedName>
    <definedName name="wrn.배수1." localSheetId="1" hidden="1">{#N/A,#N/A,FALSE,"배수1"}</definedName>
    <definedName name="wrn.배수1." hidden="1">{#N/A,#N/A,FALSE,"배수1"}</definedName>
    <definedName name="wrn.배수2." localSheetId="1" hidden="1">{#N/A,#N/A,FALSE,"배수2"}</definedName>
    <definedName name="wrn.배수2." hidden="1">{#N/A,#N/A,FALSE,"배수2"}</definedName>
    <definedName name="wrn.부대1." localSheetId="1" hidden="1">{#N/A,#N/A,FALSE,"부대1"}</definedName>
    <definedName name="wrn.부대1." hidden="1">{#N/A,#N/A,FALSE,"부대1"}</definedName>
    <definedName name="wrn.부대2." localSheetId="1" hidden="1">{#N/A,#N/A,FALSE,"부대2"}</definedName>
    <definedName name="wrn.부대2." hidden="1">{#N/A,#N/A,FALSE,"부대2"}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1" hidden="1">{#N/A,#N/A,FALSE,"속도"}</definedName>
    <definedName name="wrn.속도." hidden="1">{#N/A,#N/A,FALSE,"속도"}</definedName>
    <definedName name="wrn.실행품의." localSheetId="1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운반시간." localSheetId="1" hidden="1">{#N/A,#N/A,FALSE,"운반시간"}</definedName>
    <definedName name="wrn.운반시간." hidden="1">{#N/A,#N/A,FALSE,"운반시간"}</definedName>
    <definedName name="wrn.이인주." localSheetId="1" hidden="1">{#N/A,#N/A,FALSE,"물량산출"}</definedName>
    <definedName name="wrn.이인주." hidden="1">{#N/A,#N/A,FALSE,"물량산출"}</definedName>
    <definedName name="wrn.이정표." localSheetId="1" hidden="1">{#N/A,#N/A,FALSE,"이정표"}</definedName>
    <definedName name="wrn.이정표." hidden="1">{#N/A,#N/A,FALSE,"이정표"}</definedName>
    <definedName name="wrn.조골재." localSheetId="1" hidden="1">{#N/A,#N/A,FALSE,"조골재"}</definedName>
    <definedName name="wrn.조골재." hidden="1">{#N/A,#N/A,FALSE,"조골재"}</definedName>
    <definedName name="wrn.주간보고." localSheetId="1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토공1." localSheetId="1" hidden="1">{#N/A,#N/A,FALSE,"구조1"}</definedName>
    <definedName name="wrn.토공1." hidden="1">{#N/A,#N/A,FALSE,"구조1"}</definedName>
    <definedName name="wrn.토공2." localSheetId="1" hidden="1">{#N/A,#N/A,FALSE,"토공2"}</definedName>
    <definedName name="wrn.토공2." hidden="1">{#N/A,#N/A,FALSE,"토공2"}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1" hidden="1">{#N/A,#N/A,FALSE,"포장2"}</definedName>
    <definedName name="wrn.포장2." hidden="1">{#N/A,#N/A,FALSE,"포장2"}</definedName>
    <definedName name="wrn.표지목차." localSheetId="1" hidden="1">{#N/A,#N/A,FALSE,"표지목차"}</definedName>
    <definedName name="wrn.표지목차." hidden="1">{#N/A,#N/A,FALSE,"표지목차"}</definedName>
    <definedName name="wrn.혼합골재." localSheetId="1" hidden="1">{#N/A,#N/A,FALSE,"혼합골재"}</definedName>
    <definedName name="wrn.혼합골재." hidden="1">{#N/A,#N/A,FALSE,"혼합골재"}</definedName>
    <definedName name="WRN0" localSheetId="1" hidden="1">{#N/A,#N/A,FALSE,"COVER1.XLS ";#N/A,#N/A,FALSE,"RACT1.XLS";#N/A,#N/A,FALSE,"RACT2.XLS";#N/A,#N/A,FALSE,"ECCMP";#N/A,#N/A,FALSE,"WELDER.XLS"}</definedName>
    <definedName name="WRN0" hidden="1">{#N/A,#N/A,FALSE,"COVER1.XLS ";#N/A,#N/A,FALSE,"RACT1.XLS";#N/A,#N/A,FALSE,"RACT2.XLS";#N/A,#N/A,FALSE,"ECCMP";#N/A,#N/A,FALSE,"WELDER.XLS"}</definedName>
    <definedName name="wrnfull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rwerwrew" localSheetId="1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rwerwrew_1" localSheetId="1" hidden="1">{#N/A,#N/A,TRUE,"Cover";#N/A,#N/A,TRUE,"Conts";#N/A,#N/A,TRUE,"VOS";#N/A,#N/A,TRUE,"Warrington";#N/A,#N/A,TRUE,"Widnes"}</definedName>
    <definedName name="wrrwerwrew_1" hidden="1">{#N/A,#N/A,TRUE,"Cover";#N/A,#N/A,TRUE,"Conts";#N/A,#N/A,TRUE,"VOS";#N/A,#N/A,TRUE,"Warrington";#N/A,#N/A,TRUE,"Widnes"}</definedName>
    <definedName name="wrs" localSheetId="1" hidden="1">{#N/A,#N/A,FALSE,"Scenario C";#N/A,#N/A,FALSE,"Budget";#N/A,#N/A,FALSE,"Land";#N/A,#N/A,FALSE,"Proceeds";#N/A,#N/A,FALSE,"Assumptions";#N/A,#N/A,FALSE,"Emaar";#N/A,#N/A,FALSE,"Emaar Rent"}</definedName>
    <definedName name="wrs" hidden="1">{#N/A,#N/A,FALSE,"Scenario C";#N/A,#N/A,FALSE,"Budget";#N/A,#N/A,FALSE,"Land";#N/A,#N/A,FALSE,"Proceeds";#N/A,#N/A,FALSE,"Assumptions";#N/A,#N/A,FALSE,"Emaar";#N/A,#N/A,FALSE,"Emaar Rent"}</definedName>
    <definedName name="wrsak" localSheetId="1" hidden="1">{#N/A,#N/A,FALSE,"Scenario C";#N/A,#N/A,FALSE,"Budget";#N/A,#N/A,FALSE,"Land";#N/A,#N/A,FALSE,"Proceeds";#N/A,#N/A,FALSE,"Assumptions";#N/A,#N/A,FALSE,"Emaar";#N/A,#N/A,FALSE,"Emaar Rent"}</definedName>
    <definedName name="wrsak" hidden="1">{#N/A,#N/A,FALSE,"Scenario C";#N/A,#N/A,FALSE,"Budget";#N/A,#N/A,FALSE,"Land";#N/A,#N/A,FALSE,"Proceeds";#N/A,#N/A,FALSE,"Assumptions";#N/A,#N/A,FALSE,"Emaar";#N/A,#N/A,FALSE,"Emaar Rent"}</definedName>
    <definedName name="wrt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ttrr">#REF!</definedName>
    <definedName name="wrw" localSheetId="1" hidden="1">{"'Break down'!$A$4"}</definedName>
    <definedName name="wrw" hidden="1">{"'Break down'!$A$4"}</definedName>
    <definedName name="wryuwyrututwys" localSheetId="1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ryuwyrututwys_1" localSheetId="1" hidden="1">{#N/A,#N/A,TRUE,"Cover";#N/A,#N/A,TRUE,"Conts";#N/A,#N/A,TRUE,"VOS";#N/A,#N/A,TRUE,"Warrington";#N/A,#N/A,TRUE,"Widnes"}</definedName>
    <definedName name="wryuwyrututwys_1" hidden="1">{#N/A,#N/A,TRUE,"Cover";#N/A,#N/A,TRUE,"Conts";#N/A,#N/A,TRUE,"VOS";#N/A,#N/A,TRUE,"Warrington";#N/A,#N/A,TRUE,"Widnes"}</definedName>
    <definedName name="ws" localSheetId="1">[1]!LongTermDebt+[1]!ShortTermDebt+[1]!CurrentPortion</definedName>
    <definedName name="ws">[1]!LongTermDebt+[1]!ShortTermDebt+[1]!CurrentPortion</definedName>
    <definedName name="wsgz" localSheetId="1" hidden="1">{#N/A,#N/A,FALSE,"COVER1.XLS ";#N/A,#N/A,FALSE,"RACT1.XLS";#N/A,#N/A,FALSE,"RACT2.XLS";#N/A,#N/A,FALSE,"ECCMP";#N/A,#N/A,FALSE,"WELDER.XLS"}</definedName>
    <definedName name="wsgz" hidden="1">{#N/A,#N/A,FALSE,"COVER1.XLS ";#N/A,#N/A,FALSE,"RACT1.XLS";#N/A,#N/A,FALSE,"RACT2.XLS";#N/A,#N/A,FALSE,"ECCMP";#N/A,#N/A,FALSE,"WELDER.XLS"}</definedName>
    <definedName name="wspace">#REF!</definedName>
    <definedName name="WT" localSheetId="1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_1" localSheetId="1" hidden="1">{#N/A,#N/A,TRUE,"Cover";#N/A,#N/A,TRUE,"Conts";#N/A,#N/A,TRUE,"VOS";#N/A,#N/A,TRUE,"Warrington";#N/A,#N/A,TRUE,"Widnes"}</definedName>
    <definedName name="WT_1" hidden="1">{#N/A,#N/A,TRUE,"Cover";#N/A,#N/A,TRUE,"Conts";#N/A,#N/A,TRUE,"VOS";#N/A,#N/A,TRUE,"Warrington";#N/A,#N/A,TRUE,"Widnes"}</definedName>
    <definedName name="wtd">#REF!</definedName>
    <definedName name="wtewtwet" localSheetId="1" hidden="1">{#N/A,#N/A,FALSE,"이정표"}</definedName>
    <definedName name="wtewtwet" hidden="1">{#N/A,#N/A,FALSE,"이정표"}</definedName>
    <definedName name="wtey" localSheetId="1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ey_1" localSheetId="1" hidden="1">{#N/A,#N/A,TRUE,"Cover";#N/A,#N/A,TRUE,"Conts";#N/A,#N/A,TRUE,"VOS";#N/A,#N/A,TRUE,"Warrington";#N/A,#N/A,TRUE,"Widnes"}</definedName>
    <definedName name="wtey_1" hidden="1">{#N/A,#N/A,TRUE,"Cover";#N/A,#N/A,TRUE,"Conts";#N/A,#N/A,TRUE,"VOS";#N/A,#N/A,TRUE,"Warrington";#N/A,#N/A,TRUE,"Widnes"}</definedName>
    <definedName name="wthj47r">#REF!</definedName>
    <definedName name="WTRGREGFERGJTHREJTJERGJRJGHJERHGJRJGERJGJJERGERJEFVBFNDVJFHG" localSheetId="1">#REF!</definedName>
    <definedName name="WTRGREGFERGJTHREJTJERGJRJGHJERHGJRJGERJGJJERGERJEFVBFNDVJFHG">#REF!</definedName>
    <definedName name="wtrtwt" localSheetId="1" hidden="1">{#N/A,#N/A,FALSE,"조골재"}</definedName>
    <definedName name="wtrtwt" hidden="1">{#N/A,#N/A,FALSE,"조골재"}</definedName>
    <definedName name="wtrwt" localSheetId="1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wt_1" localSheetId="1" hidden="1">{#N/A,#N/A,TRUE,"Cover";#N/A,#N/A,TRUE,"Conts";#N/A,#N/A,TRUE,"VOS";#N/A,#N/A,TRUE,"Warrington";#N/A,#N/A,TRUE,"Widnes"}</definedName>
    <definedName name="wtrwt_1" hidden="1">{#N/A,#N/A,TRUE,"Cover";#N/A,#N/A,TRUE,"Conts";#N/A,#N/A,TRUE,"VOS";#N/A,#N/A,TRUE,"Warrington";#N/A,#N/A,TRUE,"Widnes"}</definedName>
    <definedName name="wtrywryt" localSheetId="1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rywryt_1" localSheetId="1" hidden="1">{#N/A,#N/A,TRUE,"Cover";#N/A,#N/A,TRUE,"Conts";#N/A,#N/A,TRUE,"VOS";#N/A,#N/A,TRUE,"Warrington";#N/A,#N/A,TRUE,"Widnes"}</definedName>
    <definedName name="wtrywryt_1" hidden="1">{#N/A,#N/A,TRUE,"Cover";#N/A,#N/A,TRUE,"Conts";#N/A,#N/A,TRUE,"VOS";#N/A,#N/A,TRUE,"Warrington";#N/A,#N/A,TRUE,"Widnes"}</definedName>
    <definedName name="wtwet" localSheetId="1" hidden="1">{#N/A,#N/A,FALSE,"물량산출"}</definedName>
    <definedName name="wtwet" hidden="1">{#N/A,#N/A,FALSE,"물량산출"}</definedName>
    <definedName name="wtwetert" localSheetId="1" hidden="1">{#N/A,#N/A,FALSE,"CAM-G7";#N/A,#N/A,FALSE,"SPL";#N/A,#N/A,FALSE,"butt-in G7";#N/A,#N/A,FALSE,"dia-in G7";#N/A,#N/A,FALSE,"추가-STA G7"}</definedName>
    <definedName name="wtwetert" hidden="1">{#N/A,#N/A,FALSE,"CAM-G7";#N/A,#N/A,FALSE,"SPL";#N/A,#N/A,FALSE,"butt-in G7";#N/A,#N/A,FALSE,"dia-in G7";#N/A,#N/A,FALSE,"추가-STA G7"}</definedName>
    <definedName name="wtwt" localSheetId="1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t_1" localSheetId="1" hidden="1">{#N/A,#N/A,TRUE,"Cover";#N/A,#N/A,TRUE,"Conts";#N/A,#N/A,TRUE,"VOS";#N/A,#N/A,TRUE,"Warrington";#N/A,#N/A,TRUE,"Widnes"}</definedName>
    <definedName name="wtwt_1" hidden="1">{#N/A,#N/A,TRUE,"Cover";#N/A,#N/A,TRUE,"Conts";#N/A,#N/A,TRUE,"VOS";#N/A,#N/A,TRUE,"Warrington";#N/A,#N/A,TRUE,"Widnes"}</definedName>
    <definedName name="wtwy" localSheetId="1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twy_1" localSheetId="1" hidden="1">{#N/A,#N/A,TRUE,"Cover";#N/A,#N/A,TRUE,"Conts";#N/A,#N/A,TRUE,"VOS";#N/A,#N/A,TRUE,"Warrington";#N/A,#N/A,TRUE,"Widnes"}</definedName>
    <definedName name="wtwy_1" hidden="1">{#N/A,#N/A,TRUE,"Cover";#N/A,#N/A,TRUE,"Conts";#N/A,#N/A,TRUE,"VOS";#N/A,#N/A,TRUE,"Warrington";#N/A,#N/A,TRUE,"Widnes"}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localSheetId="1">#REF!</definedName>
    <definedName name="ww">#REF!</definedName>
    <definedName name="wwe" localSheetId="1">#REF!</definedName>
    <definedName name="wwe">#REF!</definedName>
    <definedName name="wwewe">#N/A</definedName>
    <definedName name="wwewew">#N/A</definedName>
    <definedName name="WWEWR">#N/A</definedName>
    <definedName name="wwr" localSheetId="1">{"'Break down'!$A$4"}</definedName>
    <definedName name="wwr">{"'Break down'!$A$4"}</definedName>
    <definedName name="wwr_1" localSheetId="1">{"'Break down'!$A$4"}</definedName>
    <definedName name="wwr_1">{"'Break down'!$A$4"}</definedName>
    <definedName name="www">#REF!</definedName>
    <definedName name="WWWW" localSheetId="1" hidden="1">{#N/A,#N/A,FALSE,"COVER.XLS";#N/A,#N/A,FALSE,"RACT1.XLS";#N/A,#N/A,FALSE,"RACT2.XLS";#N/A,#N/A,FALSE,"ECCMP";#N/A,#N/A,FALSE,"WELDER.XLS"}</definedName>
    <definedName name="wwww">#REF!</definedName>
    <definedName name="wwwww" localSheetId="1">#REF!</definedName>
    <definedName name="wwwww">#REF!</definedName>
    <definedName name="wwwwww" localSheetId="1">#REF!</definedName>
    <definedName name="wwwwww">#REF!</definedName>
    <definedName name="wwwwwwww">#REF!</definedName>
    <definedName name="wwwwwwwwwww">#REF!</definedName>
    <definedName name="wwwwwwwwwwwww">#REF!</definedName>
    <definedName name="wwwwwwwwwwwwwwww" localSheetId="1">#REF!</definedName>
    <definedName name="wwwwwwwwwwwwwwww">#REF!</definedName>
    <definedName name="wwwwwwwwwwwwwwwwwwg" localSheetId="1" hidden="1">#REF!</definedName>
    <definedName name="wwwwwwwwwwwwwwwwwwg" hidden="1">#REF!</definedName>
    <definedName name="wy7u7y" localSheetId="1" hidden="1">{#N/A,#N/A,TRUE,"Cover";#N/A,#N/A,TRUE,"Conts";#N/A,#N/A,TRUE,"VOS";#N/A,#N/A,TRUE,"Warrington";#N/A,#N/A,TRUE,"Widnes"}</definedName>
    <definedName name="wy7u7y" hidden="1">{#N/A,#N/A,TRUE,"Cover";#N/A,#N/A,TRUE,"Conts";#N/A,#N/A,TRUE,"VOS";#N/A,#N/A,TRUE,"Warrington";#N/A,#N/A,TRUE,"Widnes"}</definedName>
    <definedName name="wy7u7y_1" localSheetId="1" hidden="1">{#N/A,#N/A,TRUE,"Cover";#N/A,#N/A,TRUE,"Conts";#N/A,#N/A,TRUE,"VOS";#N/A,#N/A,TRUE,"Warrington";#N/A,#N/A,TRUE,"Widnes"}</definedName>
    <definedName name="wy7u7y_1" hidden="1">{#N/A,#N/A,TRUE,"Cover";#N/A,#N/A,TRUE,"Conts";#N/A,#N/A,TRUE,"VOS";#N/A,#N/A,TRUE,"Warrington";#N/A,#N/A,TRUE,"Widnes"}</definedName>
    <definedName name="X" localSheetId="1">#REF!</definedName>
    <definedName name="X">#REF!</definedName>
    <definedName name="X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22">#REF!</definedName>
    <definedName name="X_BTS">#REF!</definedName>
    <definedName name="X_MC_PVC">#REF!</definedName>
    <definedName name="X_MC_XLPE">#REF!</definedName>
    <definedName name="X_SC_PVC">#REF!</definedName>
    <definedName name="X980210_payment_printing_List">#NAME?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d" localSheetId="1" hidden="1">{"'Break down'!$A$4"}</definedName>
    <definedName name="xcd" hidden="1">{"'Break down'!$A$4"}</definedName>
    <definedName name="XCDE34" localSheetId="1" hidden="1">{"'Break down'!$A$4"}</definedName>
    <definedName name="XCDE34" hidden="1">{"'Break down'!$A$4"}</definedName>
    <definedName name="xcder" localSheetId="1" hidden="1">{"'Break down'!$A$4"}</definedName>
    <definedName name="xcder" hidden="1">{"'Break down'!$A$4"}</definedName>
    <definedName name="xcdfdfd">#N/A</definedName>
    <definedName name="XCV">#N/A</definedName>
    <definedName name="XCVDXDSDA">#N/A</definedName>
    <definedName name="xcvf" localSheetId="1">IF(ISNA(MATCH(ROW(),[1]!COUNT_TH2_V2__units_1___Type_D_04__900_x_2200mm_high,1)),1,MATCH(ROW(),[1]!COUNT_TH2_V2__units_1___Type_D_04__900_x_2200mm_high,1)+1)&lt;&gt;IF(ISNA(MATCH(ROW()+1,[1]!COUNT_TH2_V2__units_1___Type_D_04__900_x_2200mm_high,1)),1,MATCH(ROW()+1,[1]!COUNT_TH2_V2__units_1___Type_D_04__900_x_2200mm_high,1)+1)</definedName>
    <definedName name="xcvf">IF(ISNA(MATCH(ROW(),RowAfterpgbrk,1)),1,MATCH(ROW(),RowAfterpgbrk,1)+1)&lt;&gt;IF(ISNA(MATCH(ROW()+1,RowAfterpgbrk,1)),1,MATCH(ROW()+1,RowAfterpgbrk,1)+1)</definedName>
    <definedName name="XCXCSDS">#N/A</definedName>
    <definedName name="XCXCXC">#N/A</definedName>
    <definedName name="XDFASF" localSheetId="1" hidden="1">{#N/A,#N/A,TRUE,"Cover";#N/A,#N/A,TRUE,"Conts";#N/A,#N/A,TRUE,"VOS";#N/A,#N/A,TRUE,"Warrington";#N/A,#N/A,TRUE,"Widnes"}</definedName>
    <definedName name="XDFASF" hidden="1">{#N/A,#N/A,TRUE,"Cover";#N/A,#N/A,TRUE,"Conts";#N/A,#N/A,TRUE,"VOS";#N/A,#N/A,TRUE,"Warrington";#N/A,#N/A,TRUE,"Widnes"}</definedName>
    <definedName name="xdfghdfxhg">#REF!</definedName>
    <definedName name="xdfvxdfgvdshd" localSheetId="1">[1]!CUSTOM1_2_bed_fridge_freezer+Extra_Payment</definedName>
    <definedName name="xdfvxdfgvdshd">Scheduled_Payment+Extra_Payment</definedName>
    <definedName name="xdxd" localSheetId="1" hidden="1">{#N/A,#N/A,FALSE,"Tower &amp; Car Park"}</definedName>
    <definedName name="xdxd" hidden="1">{#N/A,#N/A,FALSE,"Tower &amp; Car Park"}</definedName>
    <definedName name="xf">#REF!</definedName>
    <definedName name="xfac" localSheetId="1">#REF!</definedName>
    <definedName name="xfac">#REF!</definedName>
    <definedName name="xfd" localSheetId="1">#REF!</definedName>
    <definedName name="xfd">#REF!</definedName>
    <definedName name="xff" localSheetId="1">BlankMacro1</definedName>
    <definedName name="xff">BlankMacro1</definedName>
    <definedName name="Xl" localSheetId="1">#REF!</definedName>
    <definedName name="Xl">#REF!</definedName>
    <definedName name="Xl___0" localSheetId="1">#REF!</definedName>
    <definedName name="Xl___0">#REF!</definedName>
    <definedName name="Xl___13" localSheetId="1">#REF!</definedName>
    <definedName name="Xl___13">#REF!</definedName>
    <definedName name="XLK" localSheetId="1" hidden="1">{"'Break down'!$A$4"}</definedName>
    <definedName name="XLK" hidden="1">{"'Break down'!$A$4"}</definedName>
    <definedName name="xl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l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ls." localSheetId="1">{"'Break down'!$A$4"}</definedName>
    <definedName name="xls.">{"'Break down'!$A$4"}</definedName>
    <definedName name="xls._1" localSheetId="1">{"'Break down'!$A$4"}</definedName>
    <definedName name="xls._1">{"'Break down'!$A$4"}</definedName>
    <definedName name="xls1" localSheetId="1" hidden="1">{"'Break down'!$A$4"}</definedName>
    <definedName name="xls1" hidden="1">{"'Break down'!$A$4"}</definedName>
    <definedName name="xls2" localSheetId="1" hidden="1">{"'Break down'!$A$4"}</definedName>
    <definedName name="xls2" hidden="1">{"'Break down'!$A$4"}</definedName>
    <definedName name="XLSS" localSheetId="1">{"'Break down'!$A$4"}</definedName>
    <definedName name="XLSS">{"'Break down'!$A$4"}</definedName>
    <definedName name="XLSS_1" localSheetId="1">{"'Break down'!$A$4"}</definedName>
    <definedName name="XLSS_1">{"'Break down'!$A$4"}</definedName>
    <definedName name="xlst" localSheetId="1">{"'Break down'!$A$4"}</definedName>
    <definedName name="xlst">{"'Break down'!$A$4"}</definedName>
    <definedName name="xlst_1" localSheetId="1">{"'Break down'!$A$4"}</definedName>
    <definedName name="xlst_1">{"'Break down'!$A$4"}</definedName>
    <definedName name="XMTRS">#REF!</definedName>
    <definedName name="xr">#REF!</definedName>
    <definedName name="xrate">#REF!</definedName>
    <definedName name="XREF_COLUMN_1">#REF!</definedName>
    <definedName name="XREF_COLUMN_15" hidden="1">#REF!</definedName>
    <definedName name="XREF_COLUMN_7" localSheetId="1" hidden="1">#REF!</definedName>
    <definedName name="XREF_COLUMN_7">#REF!</definedName>
    <definedName name="XRefActiveRow" localSheetId="1">#REF!</definedName>
    <definedName name="XRefActiveRow">#REF!</definedName>
    <definedName name="XRefColumnsCount" hidden="1">12</definedName>
    <definedName name="XRefCopy1" localSheetId="1">#REF!</definedName>
    <definedName name="XRefCopy1">#REF!</definedName>
    <definedName name="XRefCopy1Row" localSheetId="1">#REF!</definedName>
    <definedName name="XRefCopy1Row">#REF!</definedName>
    <definedName name="XRefCopy2" localSheetId="1">#REF!</definedName>
    <definedName name="XRefCopy2">#REF!</definedName>
    <definedName name="XRefCopy3">#REF!</definedName>
    <definedName name="XRefCopy7Row" hidden="1">#REF!</definedName>
    <definedName name="XRefCopyRangeCount" hidden="1">7</definedName>
    <definedName name="XRefPaste1" localSheetId="1">#REF!</definedName>
    <definedName name="XRefPaste1">#REF!</definedName>
    <definedName name="XRefPaste110Row" localSheetId="1" hidden="1">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20Row" hidden="1">#REF!</definedName>
    <definedName name="XRefPaste121Row" hidden="1">#REF!</definedName>
    <definedName name="XRefPaste1Row" localSheetId="1" hidden="1">#REF!</definedName>
    <definedName name="XRefPaste1Row">#REF!</definedName>
    <definedName name="XRefPasteRangeCount" hidden="1">142</definedName>
    <definedName name="xs" localSheetId="1">#REF!</definedName>
    <definedName name="xs">#REF!</definedName>
    <definedName name="xscxs" localSheetId="1" hidden="1">#REF!</definedName>
    <definedName name="xscxs" hidden="1">#REF!</definedName>
    <definedName name="xservices" localSheetId="1">#REF!</definedName>
    <definedName name="xservices">#REF!</definedName>
    <definedName name="xtllwalls">#REF!</definedName>
    <definedName name="xvxc">#REF!</definedName>
    <definedName name="XX" localSheetId="1">{"'Break down'!$A$4"}</definedName>
    <definedName name="XX">{"'Break down'!$A$4"}</definedName>
    <definedName name="XX_1" localSheetId="1">{"'Break down'!$A$4"}</definedName>
    <definedName name="XX_1">{"'Break down'!$A$4"}</definedName>
    <definedName name="xxx" localSheetId="1">#REF!</definedName>
    <definedName name="xxx">#REF!</definedName>
    <definedName name="xxx12">#N/A</definedName>
    <definedName name="xxxx" localSheetId="1" hidden="1">{#N/A,#N/A,FALSE,"Header P";#N/A,#N/A,FALSE,"Summary";#N/A,#N/A,FALSE,"CONTRACT WORKS";#N/A,#N/A,FALSE,"Variations";#N/A,#N/A,FALSE,"Dwk"}</definedName>
    <definedName name="XXXX" hidden="1">#REF!</definedName>
    <definedName name="xxxxx" localSheetId="1" hidden="1">{"year1",#N/A,FALSE,"IZT";"year2",#N/A,FALSE,"IZT"}</definedName>
    <definedName name="XXXXX">#REF!</definedName>
    <definedName name="xxxxxx" localSheetId="1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XXXXXX">#REF!</definedName>
    <definedName name="xxxxxxx" localSheetId="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XXXXXXX">#REF!</definedName>
    <definedName name="xxxxxxx_1" localSheetId="1" hidden="1">{#N/A,#N/A,FALSE,"MARCH"}</definedName>
    <definedName name="xxxxxxx_1" hidden="1">{#N/A,#N/A,FALSE,"MARCH"}</definedName>
    <definedName name="XXXXXXXX" localSheetId="1">#REF!</definedName>
    <definedName name="XXXXXXXX">#REF!</definedName>
    <definedName name="XXXXXXXXX">#REF!</definedName>
    <definedName name="XXXXXXXXXX">#REF!</definedName>
    <definedName name="XXXXXXXXXXX">#REF!</definedName>
    <definedName name="xxxxxxxxxxxxx">#REF!</definedName>
    <definedName name="xxxxxxxxxxxxxxxxxxxxxxxxxxxxxxxx" hidden="1">#REF!</definedName>
    <definedName name="xyz" localSheetId="1" hidden="1">#REF!</definedName>
    <definedName name="xyz" hidden="1">#REF!</definedName>
    <definedName name="XYZA" hidden="1">#REF!</definedName>
    <definedName name="xzcvc" localSheetId="1" hidden="1">{#N/A,#N/A,FALSE,"Scenario B";#N/A,#N/A,FALSE,"Budget";#N/A,#N/A,FALSE,"Land";#N/A,#N/A,FALSE,"Proceeds";#N/A,#N/A,FALSE,"Assumptions";#N/A,#N/A,FALSE,"Ground Rent"}</definedName>
    <definedName name="xzcvc" hidden="1">{#N/A,#N/A,FALSE,"Scenario B";#N/A,#N/A,FALSE,"Budget";#N/A,#N/A,FALSE,"Land";#N/A,#N/A,FALSE,"Proceeds";#N/A,#N/A,FALSE,"Assumptions";#N/A,#N/A,FALSE,"Ground Rent"}</definedName>
    <definedName name="XZXZDSA">#N/A</definedName>
    <definedName name="xzxzxX">#N/A</definedName>
    <definedName name="XZY" localSheetId="1" hidden="1">{#N/A,#N/A,FALSE,"VARIATIONS";#N/A,#N/A,FALSE,"BUDGET";#N/A,#N/A,FALSE,"CIVIL QNTY VAR";#N/A,#N/A,FALSE,"SUMMARY";#N/A,#N/A,FALSE,"MATERIAL VAR"}</definedName>
    <definedName name="XZY" hidden="1">{#N/A,#N/A,FALSE,"VARIATIONS";#N/A,#N/A,FALSE,"BUDGET";#N/A,#N/A,FALSE,"CIVIL QNTY VAR";#N/A,#N/A,FALSE,"SUMMARY";#N/A,#N/A,FALSE,"MATERIAL VAR"}</definedName>
    <definedName name="Y" localSheetId="1">#REF!</definedName>
    <definedName name="Y">#REF!</definedName>
    <definedName name="Y_1">0</definedName>
    <definedName name="Y_22" localSheetId="1">#REF!</definedName>
    <definedName name="Y_22">#REF!</definedName>
    <definedName name="y_strainer">#REF!</definedName>
    <definedName name="y.">#N/A</definedName>
    <definedName name="ya">#REF!</definedName>
    <definedName name="Yancey_Bros">#REF!</definedName>
    <definedName name="yandudes">#REF!</definedName>
    <definedName name="YARD_INS" localSheetId="1">IF(#REF!="INS",VLOOKUP(#REF!,InsY,HLOOKUP(#REF!,YARD,2)+1,FALSE),0)</definedName>
    <definedName name="YARD_INS">IF(#REF!="INS",VLOOKUP(#REF!,InsY,HLOOKUP(#REF!,YARD,2)+1,FALSE),0)</definedName>
    <definedName name="YARD_LAB" localSheetId="1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LAB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MAT" localSheetId="1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RD_MAT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s">#REF!</definedName>
    <definedName name="YD5YD7">#N/A</definedName>
    <definedName name="ydtyt" localSheetId="1">BlankMacro1</definedName>
    <definedName name="ydtyt">BlankMacro1</definedName>
    <definedName name="ydyydt">#N/A</definedName>
    <definedName name="Year" localSheetId="1">#REF!</definedName>
    <definedName name="Year">#REF!</definedName>
    <definedName name="YearEnd" localSheetId="1">#REF!</definedName>
    <definedName name="YearEnd">#REF!</definedName>
    <definedName name="Yearly_Incrmtl_Factor_staff_Cst" localSheetId="1">#REF!</definedName>
    <definedName name="Yearly_Incrmtl_Factor_staff_Cst">#REF!</definedName>
    <definedName name="YearNo" localSheetId="1">#REF!</definedName>
    <definedName name="YearNo">#REF!</definedName>
    <definedName name="yearone">#REF!</definedName>
    <definedName name="YearSplit" localSheetId="1">#REF!</definedName>
    <definedName name="YearSplit">#REF!</definedName>
    <definedName name="YearStart">#REF!</definedName>
    <definedName name="YearsToStabilizeFX">#REF!</definedName>
    <definedName name="YEN1">#REF!</definedName>
    <definedName name="yes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es_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es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fdyjfdukuk" localSheetId="1">[1]!CUSTOM1_2_bed_fridge_freezer+Extra_Payment</definedName>
    <definedName name="yfdyjfdukuk">Scheduled_Payment+Extra_Payment</definedName>
    <definedName name="yfkf" localSheetId="1">BlankMacro1</definedName>
    <definedName name="yfkf">BlankMacro1</definedName>
    <definedName name="yfu" localSheetId="1">#REF!</definedName>
    <definedName name="yfu">#REF!</definedName>
    <definedName name="YG" localSheetId="1">#REF!</definedName>
    <definedName name="YG">#REF!</definedName>
    <definedName name="YGHJ">#N/A</definedName>
    <definedName name="YH" localSheetId="1">#REF!</definedName>
    <definedName name="YH">#REF!</definedName>
    <definedName name="yhbtrgevfcdw" localSheetId="1">#REF!</definedName>
    <definedName name="yhbtrgevfcdw">#REF!</definedName>
    <definedName name="yhrsh" localSheetId="1" hidden="1">{#N/A,#N/A,TRUE,"Cover";#N/A,#N/A,TRUE,"Conts";#N/A,#N/A,TRUE,"VOS";#N/A,#N/A,TRUE,"Warrington";#N/A,#N/A,TRUE,"Widnes"}</definedName>
    <definedName name="yhrsh" hidden="1">{#N/A,#N/A,TRUE,"Cover";#N/A,#N/A,TRUE,"Conts";#N/A,#N/A,TRUE,"VOS";#N/A,#N/A,TRUE,"Warrington";#N/A,#N/A,TRUE,"Widnes"}</definedName>
    <definedName name="yhrsh_1" localSheetId="1" hidden="1">{#N/A,#N/A,TRUE,"Cover";#N/A,#N/A,TRUE,"Conts";#N/A,#N/A,TRUE,"VOS";#N/A,#N/A,TRUE,"Warrington";#N/A,#N/A,TRUE,"Widnes"}</definedName>
    <definedName name="yhrsh_1" hidden="1">{#N/A,#N/A,TRUE,"Cover";#N/A,#N/A,TRUE,"Conts";#N/A,#N/A,TRUE,"VOS";#N/A,#N/A,TRUE,"Warrington";#N/A,#N/A,TRUE,"Widnes"}</definedName>
    <definedName name="yhu">#REF!</definedName>
    <definedName name="yhvju" localSheetId="1" hidden="1">{"'Break down'!$A$4"}</definedName>
    <definedName name="yhvju" hidden="1">{"'Break down'!$A$4"}</definedName>
    <definedName name="yjg">#REF!</definedName>
    <definedName name="yjguj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yjguj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YJHMH">#N/A</definedName>
    <definedName name="yjhyj" localSheetId="1">#REF!</definedName>
    <definedName name="yjhyj">#REF!</definedName>
    <definedName name="ykhljkdggzsf" localSheetId="1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hljkdggzsf_1" localSheetId="1" hidden="1">{#N/A,#N/A,TRUE,"Cover";#N/A,#N/A,TRUE,"Conts";#N/A,#N/A,TRUE,"VOS";#N/A,#N/A,TRUE,"Warrington";#N/A,#N/A,TRUE,"Widnes"}</definedName>
    <definedName name="ykhljkdggzsf_1" hidden="1">{#N/A,#N/A,TRUE,"Cover";#N/A,#N/A,TRUE,"Conts";#N/A,#N/A,TRUE,"VOS";#N/A,#N/A,TRUE,"Warrington";#N/A,#N/A,TRUE,"Widnes"}</definedName>
    <definedName name="ykkllylulf" localSheetId="1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kkllylulf_1" localSheetId="1" hidden="1">{#N/A,#N/A,TRUE,"Cover";#N/A,#N/A,TRUE,"Conts";#N/A,#N/A,TRUE,"VOS";#N/A,#N/A,TRUE,"Warrington";#N/A,#N/A,TRUE,"Widnes"}</definedName>
    <definedName name="ykkllylulf_1" hidden="1">{#N/A,#N/A,TRUE,"Cover";#N/A,#N/A,TRUE,"Conts";#N/A,#N/A,TRUE,"VOS";#N/A,#N/A,TRUE,"Warrington";#N/A,#N/A,TRUE,"Widnes"}</definedName>
    <definedName name="YN" localSheetId="1">#REF!</definedName>
    <definedName name="YN">#REF!</definedName>
    <definedName name="Yoginder" localSheetId="1">#REF!</definedName>
    <definedName name="Yoginder">#REF!</definedName>
    <definedName name="YOGITA" localSheetId="1">#REF!</definedName>
    <definedName name="YOGITA">#REF!</definedName>
    <definedName name="yp" localSheetId="1">BlankMacro1</definedName>
    <definedName name="yp">BlankMacro1</definedName>
    <definedName name="YR" localSheetId="1">#REF!</definedName>
    <definedName name="YR">#REF!</definedName>
    <definedName name="yretyery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rety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rou" localSheetId="1">BlankMacro1</definedName>
    <definedName name="yrou">BlankMacro1</definedName>
    <definedName name="yrryry">#N/A</definedName>
    <definedName name="yrtee">#N/A</definedName>
    <definedName name="yrteyyew" localSheetId="1" hidden="1">{#N/A,#N/A,FALSE,"골재소요량";#N/A,#N/A,FALSE,"골재소요량"}</definedName>
    <definedName name="yrteyyew" hidden="1">{#N/A,#N/A,FALSE,"골재소요량";#N/A,#N/A,FALSE,"골재소요량"}</definedName>
    <definedName name="yrty">#N/A</definedName>
    <definedName name="yrtyerye" localSheetId="1" hidden="1">{#N/A,#N/A,FALSE,"전력간선"}</definedName>
    <definedName name="yrtyerye" hidden="1">{#N/A,#N/A,FALSE,"전력간선"}</definedName>
    <definedName name="yrtyet" localSheetId="1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tyet_1" localSheetId="1" hidden="1">{#N/A,#N/A,TRUE,"Cover";#N/A,#N/A,TRUE,"Conts";#N/A,#N/A,TRUE,"VOS";#N/A,#N/A,TRUE,"Warrington";#N/A,#N/A,TRUE,"Widnes"}</definedName>
    <definedName name="yrtyet_1" hidden="1">{#N/A,#N/A,TRUE,"Cover";#N/A,#N/A,TRUE,"Conts";#N/A,#N/A,TRUE,"VOS";#N/A,#N/A,TRUE,"Warrington";#N/A,#N/A,TRUE,"Widnes"}</definedName>
    <definedName name="yry" localSheetId="1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ry_1" localSheetId="1" hidden="1">{#N/A,#N/A,TRUE,"Cover";#N/A,#N/A,TRUE,"Conts";#N/A,#N/A,TRUE,"VOS";#N/A,#N/A,TRUE,"Warrington";#N/A,#N/A,TRUE,"Widnes"}</definedName>
    <definedName name="yry_1" hidden="1">{#N/A,#N/A,TRUE,"Cover";#N/A,#N/A,TRUE,"Conts";#N/A,#N/A,TRUE,"VOS";#N/A,#N/A,TRUE,"Warrington";#N/A,#N/A,TRUE,"Widnes"}</definedName>
    <definedName name="yry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r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 localSheetId="1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_1" localSheetId="1" hidden="1">{#N/A,#N/A,TRUE,"Cover";#N/A,#N/A,TRUE,"Conts";#N/A,#N/A,TRUE,"VOS";#N/A,#N/A,TRUE,"Warrington";#N/A,#N/A,TRUE,"Widnes"}</definedName>
    <definedName name="yt_1" hidden="1">{#N/A,#N/A,TRUE,"Cover";#N/A,#N/A,TRUE,"Conts";#N/A,#N/A,TRUE,"VOS";#N/A,#N/A,TRUE,"Warrington";#N/A,#N/A,TRUE,"Widnes"}</definedName>
    <definedName name="yt5jeitryu">#REF!</definedName>
    <definedName name="ytds" localSheetId="1">#REF!</definedName>
    <definedName name="ytds">#REF!</definedName>
    <definedName name="yteeeee" localSheetId="1" hidden="1">{#N/A,#N/A,TRUE,"Cover";#N/A,#N/A,TRUE,"Conts";#N/A,#N/A,TRUE,"VOS";#N/A,#N/A,TRUE,"Warrington";#N/A,#N/A,TRUE,"Widnes"}</definedName>
    <definedName name="yteeeee" hidden="1">{#N/A,#N/A,TRUE,"Cover";#N/A,#N/A,TRUE,"Conts";#N/A,#N/A,TRUE,"VOS";#N/A,#N/A,TRUE,"Warrington";#N/A,#N/A,TRUE,"Widnes"}</definedName>
    <definedName name="ytegifygw" localSheetId="1">BlankMacro1</definedName>
    <definedName name="ytegifygw">BlankMacro1</definedName>
    <definedName name="ytety" localSheetId="1" hidden="1">{"'Sheet1'!$L$16"}</definedName>
    <definedName name="ytety" hidden="1">{"'Sheet1'!$L$16"}</definedName>
    <definedName name="yteu" localSheetId="1">BlankMacro1</definedName>
    <definedName name="yteu">BlankMacro1</definedName>
    <definedName name="ytjtyjre" localSheetId="1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jtyjre_1" localSheetId="1" hidden="1">{#N/A,#N/A,TRUE,"Cover";#N/A,#N/A,TRUE,"Conts";#N/A,#N/A,TRUE,"VOS";#N/A,#N/A,TRUE,"Warrington";#N/A,#N/A,TRUE,"Widnes"}</definedName>
    <definedName name="ytjtyjre_1" hidden="1">{#N/A,#N/A,TRUE,"Cover";#N/A,#N/A,TRUE,"Conts";#N/A,#N/A,TRUE,"VOS";#N/A,#N/A,TRUE,"Warrington";#N/A,#N/A,TRUE,"Widnes"}</definedName>
    <definedName name="ytr" localSheetId="1">{"'Break down'!$A$4"}</definedName>
    <definedName name="ytr">{"'Break down'!$A$4"}</definedName>
    <definedName name="ytr_1" localSheetId="1">{"'Break down'!$A$4"}</definedName>
    <definedName name="ytr_1">{"'Break down'!$A$4"}</definedName>
    <definedName name="YTRE">#N/A</definedName>
    <definedName name="ytrrtr">#N/A</definedName>
    <definedName name="ytrtr">#N/A</definedName>
    <definedName name="ytt" localSheetId="1">BlankMacro1</definedName>
    <definedName name="ytt">BlankMacro1</definedName>
    <definedName name="ytuloioio" localSheetId="1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tuloioio_1" localSheetId="1" hidden="1">{#N/A,#N/A,TRUE,"Cover";#N/A,#N/A,TRUE,"Conts";#N/A,#N/A,TRUE,"VOS";#N/A,#N/A,TRUE,"Warrington";#N/A,#N/A,TRUE,"Widnes"}</definedName>
    <definedName name="ytuloioio_1" hidden="1">{#N/A,#N/A,TRUE,"Cover";#N/A,#N/A,TRUE,"Conts";#N/A,#N/A,TRUE,"VOS";#N/A,#N/A,TRUE,"Warrington";#N/A,#N/A,TRUE,"Widnes"}</definedName>
    <definedName name="ytwetwt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wetw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y">#REF!</definedName>
    <definedName name="ytygd">#N/A</definedName>
    <definedName name="YTYT">#N/A</definedName>
    <definedName name="YTYTY" localSheetId="1" hidden="1">{#N/A,#N/A,TRUE,"Cover";#N/A,#N/A,TRUE,"Conts";#N/A,#N/A,TRUE,"VOS";#N/A,#N/A,TRUE,"Warrington";#N/A,#N/A,TRUE,"Widnes"}</definedName>
    <definedName name="YTYTY" hidden="1">{#N/A,#N/A,TRUE,"Cover";#N/A,#N/A,TRUE,"Conts";#N/A,#N/A,TRUE,"VOS";#N/A,#N/A,TRUE,"Warrington";#N/A,#N/A,TRUE,"Widnes"}</definedName>
    <definedName name="ytytyt">#N/A</definedName>
    <definedName name="ytytytyt">#N/A</definedName>
    <definedName name="ytytytytyty">#N/A</definedName>
    <definedName name="YTYY">#N/A</definedName>
    <definedName name="yu" localSheetId="1" hidden="1">{"'Break down'!$A$4"}</definedName>
    <definedName name="yu" hidden="1">{"'Break down'!$A$4"}</definedName>
    <definedName name="yuhi" localSheetId="1">"Page "&amp;IF(ISNA(MATCH(ROW(),[1]!COUNT_TH2_V2__units_1___Type_D_04__900_x_2200mm_high,1)),1,MATCH(ROW(),[1]!COUNT_TH2_V2__units_1___Type_D_04__900_x_2200mm_high,1)+1)&amp;" of " &amp; [1]!CUSTOM1_Shops__GF_ + 0*NOW()</definedName>
    <definedName name="yuhi">"Page "&amp;IF(ISNA(MATCH(ROW(),RowAfterpgbrk,1)),1,MATCH(ROW(),RowAfterpgbrk,1)+1)&amp;" of " &amp; TotPageCount + 0*NOW()</definedName>
    <definedName name="yui" localSheetId="1" hidden="1">{"'Break down'!$A$4"}</definedName>
    <definedName name="yui" hidden="1">{"'Break down'!$A$4"}</definedName>
    <definedName name="yuj" localSheetId="1" hidden="1">{#N/A,#N/A,TRUE,"Cover";#N/A,#N/A,TRUE,"Conts";#N/A,#N/A,TRUE,"VOS";#N/A,#N/A,TRUE,"Warrington";#N/A,#N/A,TRUE,"Widnes"}</definedName>
    <definedName name="yuj" hidden="1">{#N/A,#N/A,TRUE,"Cover";#N/A,#N/A,TRUE,"Conts";#N/A,#N/A,TRUE,"VOS";#N/A,#N/A,TRUE,"Warrington";#N/A,#N/A,TRUE,"Widnes"}</definedName>
    <definedName name="yuk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yuk">IF(ISNA(MATCH(ROW(),RowAfterpgbrk,1)),1,MATCH(ROW(),RowAfterpgbrk,1)+1)&lt;&gt;IF(ISNA(MATCH(ROW()-1,RowAfterpgbrk,1)),1,MATCH(ROW()-1,RowAfterpgbrk,1)+1)</definedName>
    <definedName name="yukigoph" localSheetId="1">#REF!</definedName>
    <definedName name="yukigoph">#REF!</definedName>
    <definedName name="yup" localSheetId="1" hidden="1">{"'Break down'!$A$4"}</definedName>
    <definedName name="yup" hidden="1">{"'Break down'!$A$4"}</definedName>
    <definedName name="yut" localSheetId="1" hidden="1">{#N/A,#N/A,FALSE,"Header P";#N/A,#N/A,FALSE,"Summary";#N/A,#N/A,FALSE,"CONTRACT WORKS";#N/A,#N/A,FALSE,"Variations";#N/A,#N/A,FALSE,"Dwk"}</definedName>
    <definedName name="yut" hidden="1">{#N/A,#N/A,FALSE,"Header P";#N/A,#N/A,FALSE,"Summary";#N/A,#N/A,FALSE,"CONTRACT WORKS";#N/A,#N/A,FALSE,"Variations";#N/A,#N/A,FALSE,"Dwk"}</definedName>
    <definedName name="yuti" localSheetId="1" hidden="1">{#N/A,#N/A,FALSE,"估價單  (3)"}</definedName>
    <definedName name="yuti" hidden="1">{#N/A,#N/A,FALSE,"估價單  (3)"}</definedName>
    <definedName name="yuti7i78o" localSheetId="1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uti7i78o_1" localSheetId="1" hidden="1">{#N/A,#N/A,TRUE,"Cover";#N/A,#N/A,TRUE,"Conts";#N/A,#N/A,TRUE,"VOS";#N/A,#N/A,TRUE,"Warrington";#N/A,#N/A,TRUE,"Widnes"}</definedName>
    <definedName name="yuti7i78o_1" hidden="1">{#N/A,#N/A,TRUE,"Cover";#N/A,#N/A,TRUE,"Conts";#N/A,#N/A,TRUE,"VOS";#N/A,#N/A,TRUE,"Warrington";#N/A,#N/A,TRUE,"Widnes"}</definedName>
    <definedName name="yutr" localSheetId="1">BlankMacro1</definedName>
    <definedName name="yutr">BlankMacro1</definedName>
    <definedName name="yuu" localSheetId="1" hidden="1">#REF!</definedName>
    <definedName name="yuu" hidden="1">#REF!</definedName>
    <definedName name="yuyty" localSheetId="1">#REF!</definedName>
    <definedName name="yuyty">#REF!</definedName>
    <definedName name="yuyu">#N/A</definedName>
    <definedName name="yuyuyu" localSheetId="1">#REF!</definedName>
    <definedName name="yuyuyu">#REF!</definedName>
    <definedName name="yuyyy" localSheetId="1" hidden="1">{#N/A,#N/A,FALSE,"Header P";#N/A,#N/A,FALSE,"Summary";#N/A,#N/A,FALSE,"CONTRACT WORKS";#N/A,#N/A,FALSE,"Variations";#N/A,#N/A,FALSE,"Dwk"}</definedName>
    <definedName name="yuyyy" hidden="1">{#N/A,#N/A,FALSE,"Header P";#N/A,#N/A,FALSE,"Summary";#N/A,#N/A,FALSE,"CONTRACT WORKS";#N/A,#N/A,FALSE,"Variations";#N/A,#N/A,FALSE,"Dwk"}</definedName>
    <definedName name="yy" localSheetId="1" hidden="1">{#N/A,#N/A,FALSE,"VCR"}</definedName>
    <definedName name="yy" hidden="1">{#N/A,#N/A,FALSE,"VCR"}</definedName>
    <definedName name="YYRRR">#N/A</definedName>
    <definedName name="yytsgrter">#N/A</definedName>
    <definedName name="yyttt">#REF!</definedName>
    <definedName name="YYTYT">#N/A</definedName>
    <definedName name="yyy" localSheetId="1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yyy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yyyy">#REF!</definedName>
    <definedName name="yyyyyyyyyyy" localSheetId="1">#REF!</definedName>
    <definedName name="yyyyyyyyyyy">#REF!</definedName>
    <definedName name="yyyyyyyyyyyyyyyy" localSheetId="1">#REF!</definedName>
    <definedName name="yyyyyyyyyyyyyyyy">#REF!</definedName>
    <definedName name="yyzz">#REF!</definedName>
    <definedName name="yzs" localSheetId="1" hidden="1">{#N/A,#N/A,FALSE,"VARIATIONS";#N/A,#N/A,FALSE,"BUDGET";#N/A,#N/A,FALSE,"CIVIL QNTY VAR";#N/A,#N/A,FALSE,"SUMMARY";#N/A,#N/A,FALSE,"MATERIAL VAR"}</definedName>
    <definedName name="yzs" hidden="1">{#N/A,#N/A,FALSE,"VARIATIONS";#N/A,#N/A,FALSE,"BUDGET";#N/A,#N/A,FALSE,"CIVIL QNTY VAR";#N/A,#N/A,FALSE,"SUMMARY";#N/A,#N/A,FALSE,"MATERIAL VAR"}</definedName>
    <definedName name="Z" localSheetId="1">#REF!</definedName>
    <definedName name="Z">#REF!</definedName>
    <definedName name="Z_0C509CAE_4B28_497F_9463_E056D87AE422_.wvu.Rows" localSheetId="1" hidden="1">#REF!</definedName>
    <definedName name="Z_0C509CAE_4B28_497F_9463_E056D87AE422_.wvu.Rows" hidden="1">#REF!</definedName>
    <definedName name="Z_0E5612F1_1C5C_4147_BE42_908BDE0B1405_.wvu.FilterData" localSheetId="1" hidden="1">#REF!</definedName>
    <definedName name="Z_0E5612F1_1C5C_4147_BE42_908BDE0B1405_.wvu.FilterData" hidden="1">#REF!</definedName>
    <definedName name="Z_0E5612F1_1C5C_4147_BE42_908BDE0B1405_.wvu.PrintTitles" localSheetId="1" hidden="1">#REF!</definedName>
    <definedName name="Z_0E5612F1_1C5C_4147_BE42_908BDE0B1405_.wvu.PrintTitles" hidden="1">#REF!</definedName>
    <definedName name="Z_1">0</definedName>
    <definedName name="Z_12E00B07_49E0_4B9D_AF6F_BADFDF082C4E_.wvu.FilterData" localSheetId="1">#REF!</definedName>
    <definedName name="Z_12E00B07_49E0_4B9D_AF6F_BADFDF082C4E_.wvu.FilterData">#REF!</definedName>
    <definedName name="Z_12E00B07_49E0_4B9D_AF6F_BADFDF082C4E_.wvu.PrintTitles">#REF!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22" localSheetId="1">#REF!</definedName>
    <definedName name="Z_22">#REF!</definedName>
    <definedName name="Z_32DE5C65_0ED6_11D3_A535_008048FCDF23_.wvu.Cols" localSheetId="1" hidden="1">#REF!,#REF!,#REF!,#REF!,#REF!,#REF!</definedName>
    <definedName name="Z_32DE5C65_0ED6_11D3_A535_008048FCDF23_.wvu.Cols" hidden="1">#REF!,#REF!,#REF!,#REF!,#REF!,#REF!</definedName>
    <definedName name="Z_33DA700D_6FD8_4937_80B6_394F2CBF9FE4_.wvu.FilterData" localSheetId="1">#REF!</definedName>
    <definedName name="Z_33DA700D_6FD8_4937_80B6_394F2CBF9FE4_.wvu.FilterData">#REF!</definedName>
    <definedName name="Z_33DA700D_6FD8_4937_80B6_394F2CBF9FE4_.wvu.PrintTitles">#REF!</definedName>
    <definedName name="Z_35612544_ED60_4689_B95E_6EC35447D896_.wvu.FilterData" localSheetId="1">#REF!</definedName>
    <definedName name="Z_35612544_ED60_4689_B95E_6EC35447D896_.wvu.FilterData">#REF!</definedName>
    <definedName name="Z_35612544_ED60_4689_B95E_6EC35447D896_.wvu.PrintTitles">#REF!</definedName>
    <definedName name="Z_5A4CDE39_BC84_48C0_8208_6970E7A71896_.wvu.Cols" localSheetId="1" hidden="1">#REF!,#REF!,#REF!</definedName>
    <definedName name="Z_5A4CDE39_BC84_48C0_8208_6970E7A71896_.wvu.Cols" hidden="1">#REF!,#REF!,#REF!</definedName>
    <definedName name="Z_64FBE21F_D610_4122_B662_C1CA556F0E6B_.wvu.Rows" localSheetId="1" hidden="1">#REF!,#REF!</definedName>
    <definedName name="Z_64FBE21F_D610_4122_B662_C1CA556F0E6B_.wvu.Rows" hidden="1">#REF!,#REF!</definedName>
    <definedName name="Z_7737BCCD_FE4E_4DF6_9811_53E825C5651B_.wvu.PrintArea" localSheetId="1" hidden="1">'City Walk - Comparison'!$A$1:$G$56</definedName>
    <definedName name="Z_821080B5_A53F_46D5_A7A8_C550E9A6DB8E_.wvu.Rows" localSheetId="1" hidden="1">#REF!</definedName>
    <definedName name="Z_821080B5_A53F_46D5_A7A8_C550E9A6DB8E_.wvu.Rows" hidden="1">#REF!</definedName>
    <definedName name="Z_893D3CDD_E6EC_4FBE_9F4B_7C063AADDAA3_.wvu.FilterData" localSheetId="1" hidden="1">#REF!</definedName>
    <definedName name="Z_893D3CDD_E6EC_4FBE_9F4B_7C063AADDAA3_.wvu.FilterData" hidden="1">#REF!</definedName>
    <definedName name="Z_893D3CDD_E6EC_4FBE_9F4B_7C063AADDAA3_.wvu.PrintTitles" localSheetId="1" hidden="1">#REF!</definedName>
    <definedName name="Z_893D3CDD_E6EC_4FBE_9F4B_7C063AADDAA3_.wvu.PrintTitles" hidden="1">#REF!</definedName>
    <definedName name="Z_893D3CDD_E6EC_4FBE_9F4B_7C063AADDAA3_.wvu.Rows" localSheetId="1" hidden="1">#REF!</definedName>
    <definedName name="Z_893D3CDD_E6EC_4FBE_9F4B_7C063AADDAA3_.wvu.Rows" hidden="1">#REF!</definedName>
    <definedName name="Z_89FC4C3A_6586_42BA_B0E6_F0959042E6A0_.wvu.Rows" hidden="1">#REF!</definedName>
    <definedName name="Z_8FCC9949_BB10_48DD_835F_9D6E68B3AE12_.wvu.PrintTitles" localSheetId="1" hidden="1">#REF!</definedName>
    <definedName name="Z_8FCC9949_BB10_48DD_835F_9D6E68B3AE12_.wvu.PrintTitles" hidden="1">#REF!</definedName>
    <definedName name="Z_8FCC9949_BB10_48DD_835F_9D6E68B3AE12_.wvu.Rows" localSheetId="1" hidden="1">#REF!,#REF!</definedName>
    <definedName name="Z_8FCC9949_BB10_48DD_835F_9D6E68B3AE12_.wvu.Rows" hidden="1">#REF!,#REF!</definedName>
    <definedName name="Z_911FCEE4_2CBF_4A90_9E55_ED72CBEECF9A_.wvu.FilterData" localSheetId="1" hidden="1">#REF!</definedName>
    <definedName name="Z_911FCEE4_2CBF_4A90_9E55_ED72CBEECF9A_.wvu.FilterData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localSheetId="1" hidden="1">#REF!,#REF!,#REF!,#REF!,#REF!,#REF!,#REF!,#REF!</definedName>
    <definedName name="Z_9A428CE1_B4D9_11D0_A8AA_0000C071AEE7_.wvu.Rows" hidden="1">#REF!,#REF!,#REF!,#REF!,#REF!,#REF!,#REF!,#REF!</definedName>
    <definedName name="Z_9E388736_C39B_493C_9BA9_D03D4D9BB24E_.wvu.PrintArea" localSheetId="1" hidden="1">'City Walk - Comparison'!$A$1:$G$56</definedName>
    <definedName name="Z_B69AE2F6_CB28_11D2_A535_008048FCDF23_.wvu.Cols" localSheetId="1" hidden="1">#REF!,#REF!,#REF!,#REF!,#REF!,#REF!</definedName>
    <definedName name="Z_B69AE2F6_CB28_11D2_A535_008048FCDF23_.wvu.Cols" hidden="1">#REF!,#REF!,#REF!,#REF!,#REF!,#REF!</definedName>
    <definedName name="Z_B69AE2F6_CB28_11D2_A535_008048FCDF23_.wvu.Rows" localSheetId="1" hidden="1">#REF!,#REF!</definedName>
    <definedName name="Z_B69AE2F6_CB28_11D2_A535_008048FCDF23_.wvu.Rows" hidden="1">#REF!,#REF!</definedName>
    <definedName name="Z_C4987C22_A4BC_4088_8093_02A2E532FBED_.wvu.FilterData" localSheetId="1" hidden="1">#REF!</definedName>
    <definedName name="Z_C4987C22_A4BC_4088_8093_02A2E532FBED_.wvu.FilterData" hidden="1">#REF!</definedName>
    <definedName name="Z_C4987C22_A4BC_4088_8093_02A2E532FBED_.wvu.PrintTitles" localSheetId="1" hidden="1">#REF!</definedName>
    <definedName name="Z_C4987C22_A4BC_4088_8093_02A2E532FBED_.wvu.PrintTitles" hidden="1">#REF!</definedName>
    <definedName name="Z_E61184E6_4A82_48AD_BD46_AD03682B9E61_.wvu.Rows" localSheetId="1" hidden="1">#REF!</definedName>
    <definedName name="Z_E61184E6_4A82_48AD_BD46_AD03682B9E61_.wvu.Rows" hidden="1">#REF!</definedName>
    <definedName name="Z_F8A287BF_980C_4986_B08C_54EAB9AA17CB_.wvu.FilterData" localSheetId="1" hidden="1">#REF!</definedName>
    <definedName name="Z_F8A287BF_980C_4986_B08C_54EAB9AA17CB_.wvu.FilterData" hidden="1">#REF!</definedName>
    <definedName name="Z_F8A287BF_980C_4986_B08C_54EAB9AA17CB_.wvu.PrintTitles" localSheetId="1" hidden="1">#REF!</definedName>
    <definedName name="Z_F8A287BF_980C_4986_B08C_54EAB9AA17CB_.wvu.PrintTitles" hidden="1">#REF!</definedName>
    <definedName name="za" localSheetId="1" hidden="1">{"'Break down'!$A$4"}</definedName>
    <definedName name="za" hidden="1">{"'Break down'!$A$4"}</definedName>
    <definedName name="zaa1">#REF!</definedName>
    <definedName name="zaed" localSheetId="1" hidden="1">{#N/A,#N/A,TRUE,"Cover";#N/A,#N/A,TRUE,"Conts";#N/A,#N/A,TRUE,"VOS";#N/A,#N/A,TRUE,"Warrington";#N/A,#N/A,TRUE,"Widnes"}</definedName>
    <definedName name="zaed" hidden="1">{#N/A,#N/A,TRUE,"Cover";#N/A,#N/A,TRUE,"Conts";#N/A,#N/A,TRUE,"VOS";#N/A,#N/A,TRUE,"Warrington";#N/A,#N/A,TRUE,"Widnes"}</definedName>
    <definedName name="zaed_1" localSheetId="1" hidden="1">{#N/A,#N/A,TRUE,"Cover";#N/A,#N/A,TRUE,"Conts";#N/A,#N/A,TRUE,"VOS";#N/A,#N/A,TRUE,"Warrington";#N/A,#N/A,TRUE,"Widnes"}</definedName>
    <definedName name="zaed_1" hidden="1">{#N/A,#N/A,TRUE,"Cover";#N/A,#N/A,TRUE,"Conts";#N/A,#N/A,TRUE,"VOS";#N/A,#N/A,TRUE,"Warrington";#N/A,#N/A,TRUE,"Widnes"}</definedName>
    <definedName name="ZAHJ567" localSheetId="1" hidden="1">{"'Break down'!$A$4"}</definedName>
    <definedName name="ZAHJ567" hidden="1">{"'Break down'!$A$4"}</definedName>
    <definedName name="ZAR" localSheetId="1">#N/A</definedName>
    <definedName name="ZAR">#REF!</definedName>
    <definedName name="zasdx" localSheetId="1" hidden="1">{#N/A,#N/A,TRUE,"Cover";#N/A,#N/A,TRUE,"Conts";#N/A,#N/A,TRUE,"VOS";#N/A,#N/A,TRUE,"Warrington";#N/A,#N/A,TRUE,"Widnes"}</definedName>
    <definedName name="zasdx" hidden="1">{#N/A,#N/A,TRUE,"Cover";#N/A,#N/A,TRUE,"Conts";#N/A,#N/A,TRUE,"VOS";#N/A,#N/A,TRUE,"Warrington";#N/A,#N/A,TRUE,"Widnes"}</definedName>
    <definedName name="zazzzzzzzzzzzzzzzzzzzzzzzzzzzzzzzz" hidden="1">#REF!</definedName>
    <definedName name="ZBDZBDFB" localSheetId="1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BDZBDFB_1" localSheetId="1" hidden="1">{#N/A,#N/A,TRUE,"Cover";#N/A,#N/A,TRUE,"Conts";#N/A,#N/A,TRUE,"VOS";#N/A,#N/A,TRUE,"Warrington";#N/A,#N/A,TRUE,"Widnes"}</definedName>
    <definedName name="ZBDZBDFB_1" hidden="1">{#N/A,#N/A,TRUE,"Cover";#N/A,#N/A,TRUE,"Conts";#N/A,#N/A,TRUE,"VOS";#N/A,#N/A,TRUE,"Warrington";#N/A,#N/A,TRUE,"Widnes"}</definedName>
    <definedName name="ze" localSheetId="1">#REF!</definedName>
    <definedName name="ze">#REF!</definedName>
    <definedName name="zee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zee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ZENANA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NAN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fdgsh">#REF!</definedName>
    <definedName name="zhdrt" localSheetId="1" hidden="1">{"'Break down'!$A$4"}</definedName>
    <definedName name="zhdrt" hidden="1">{"'Break down'!$A$4"}</definedName>
    <definedName name="zio" localSheetId="1" hidden="1">{#N/A,#N/A,TRUE,"Cover";#N/A,#N/A,TRUE,"Conts";#N/A,#N/A,TRUE,"VOS";#N/A,#N/A,TRUE,"Warrington";#N/A,#N/A,TRUE,"Widnes"}</definedName>
    <definedName name="zio" hidden="1">{#N/A,#N/A,TRUE,"Cover";#N/A,#N/A,TRUE,"Conts";#N/A,#N/A,TRUE,"VOS";#N/A,#N/A,TRUE,"Warrington";#N/A,#N/A,TRUE,"Widnes"}</definedName>
    <definedName name="Zip">#REF!</definedName>
    <definedName name="Zip1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l">#REF!</definedName>
    <definedName name="zl___0" localSheetId="1">#REF!</definedName>
    <definedName name="zl___0">#REF!</definedName>
    <definedName name="zl___13" localSheetId="1">#REF!</definedName>
    <definedName name="zl___13">#REF!</definedName>
    <definedName name="zlpu">#REF!</definedName>
    <definedName name="zlpu___0">#REF!</definedName>
    <definedName name="zlpu___13">#REF!</definedName>
    <definedName name="zndgtt" localSheetId="1" hidden="1">{"'Break down'!$A$4"}</definedName>
    <definedName name="zndgtt" hidden="1">{"'Break down'!$A$4"}</definedName>
    <definedName name="znm" localSheetId="1" hidden="1">{#N/A,#N/A,TRUE,"Cover";#N/A,#N/A,TRUE,"Conts";#N/A,#N/A,TRUE,"VOS";#N/A,#N/A,TRUE,"Warrington";#N/A,#N/A,TRUE,"Widnes"}</definedName>
    <definedName name="znm" hidden="1">{#N/A,#N/A,TRUE,"Cover";#N/A,#N/A,TRUE,"Conts";#N/A,#N/A,TRUE,"VOS";#N/A,#N/A,TRUE,"Warrington";#N/A,#N/A,TRUE,"Widnes"}</definedName>
    <definedName name="Zölle" localSheetId="1">'City Walk - Comparison'!Zölle</definedName>
    <definedName name="Zölle">[1]!Zölle</definedName>
    <definedName name="ZONE" localSheetId="1">#REF!</definedName>
    <definedName name="ZONE">#REF!</definedName>
    <definedName name="Zone_eff_dis" localSheetId="1">#REF!</definedName>
    <definedName name="Zone_eff_dis">#REF!</definedName>
    <definedName name="Zone_impres_MI" localSheetId="1">#REF!</definedName>
    <definedName name="Zone_impres_MI">#REF!</definedName>
    <definedName name="zone_saisie" localSheetId="1">#REF!,#REF!,#REF!,#REF!</definedName>
    <definedName name="zone_saisie">#REF!,#REF!,#REF!,#REF!</definedName>
    <definedName name="zpr" localSheetId="1">#REF!</definedName>
    <definedName name="zpr">#REF!</definedName>
    <definedName name="zs" localSheetId="1">#REF!</definedName>
    <definedName name="zs">#REF!</definedName>
    <definedName name="zs___0">#REF!</definedName>
    <definedName name="zs___13">#REF!</definedName>
    <definedName name="zsd" localSheetId="1" hidden="1">{#N/A,#N/A,FALSE,"Header P";#N/A,#N/A,FALSE,"Summary";#N/A,#N/A,FALSE,"CONTRACT WORKS";#N/A,#N/A,FALSE,"Variations";#N/A,#N/A,FALSE,"Dwk"}</definedName>
    <definedName name="zsd" hidden="1">{#N/A,#N/A,FALSE,"Header P";#N/A,#N/A,FALSE,"Summary";#N/A,#N/A,FALSE,"CONTRACT WORKS";#N/A,#N/A,FALSE,"Variations";#N/A,#N/A,FALSE,"Dwk"}</definedName>
    <definedName name="ZSDgsdgsdg">#REF!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" localSheetId="1" hidden="1">{#N/A,#N/A,FALSE,"VARIATIONS";#N/A,#N/A,FALSE,"BUDGET";#N/A,#N/A,FALSE,"CIVIL QNTY VAR";#N/A,#N/A,FALSE,"SUMMARY";#N/A,#N/A,FALSE,"MATERIAL VAR"}</definedName>
    <definedName name="zsfs" hidden="1">{#N/A,#N/A,FALSE,"VARIATIONS";#N/A,#N/A,FALSE,"BUDGET";#N/A,#N/A,FALSE,"CIVIL QNTY VAR";#N/A,#N/A,FALSE,"SUMMARY";#N/A,#N/A,FALSE,"MATERIAL VAR"}</definedName>
    <definedName name="zspu">#REF!</definedName>
    <definedName name="zspu___0" localSheetId="1">#REF!</definedName>
    <definedName name="zspu___0">#REF!</definedName>
    <definedName name="zspu___13" localSheetId="1">#REF!</definedName>
    <definedName name="zspu___13">#REF!</definedName>
    <definedName name="ZSS">#REF!</definedName>
    <definedName name="ZSS___0">#REF!</definedName>
    <definedName name="ZSS___13">#REF!</definedName>
    <definedName name="zsxc" localSheetId="1" hidden="1">{#N/A,#N/A,TRUE,"Cover";#N/A,#N/A,TRUE,"Conts";#N/A,#N/A,TRUE,"VOS";#N/A,#N/A,TRUE,"Warrington";#N/A,#N/A,TRUE,"Widnes"}</definedName>
    <definedName name="zsxc" hidden="1">{#N/A,#N/A,TRUE,"Cover";#N/A,#N/A,TRUE,"Conts";#N/A,#N/A,TRUE,"VOS";#N/A,#N/A,TRUE,"Warrington";#N/A,#N/A,TRUE,"Widnes"}</definedName>
    <definedName name="ztpu">#REF!</definedName>
    <definedName name="ztpu___0" localSheetId="1">#REF!</definedName>
    <definedName name="ztpu___0">#REF!</definedName>
    <definedName name="ztpu___13" localSheetId="1">#REF!</definedName>
    <definedName name="ztpu___13">#REF!</definedName>
    <definedName name="Zusatz">#REF!</definedName>
    <definedName name="zv" localSheetId="1">IF(ISNA(MATCH(ROW(),[1]!COUNT_TH2_V2__units_1___Type_D_04__900_x_2200mm_high,1)),1,MATCH(ROW(),[1]!COUNT_TH2_V2__units_1___Type_D_04__900_x_2200mm_high,1)+1)</definedName>
    <definedName name="zv">IF(ISNA(MATCH(ROW(),RowAfterpgbrk,1)),1,MATCH(ROW(),RowAfterpgbrk,1)+1)</definedName>
    <definedName name="zwe" localSheetId="1" hidden="1">{#N/A,#N/A,TRUE,"Cover";#N/A,#N/A,TRUE,"Conts";#N/A,#N/A,TRUE,"VOS";#N/A,#N/A,TRUE,"Warrington";#N/A,#N/A,TRUE,"Widnes"}</definedName>
    <definedName name="zwe" hidden="1">{#N/A,#N/A,TRUE,"Cover";#N/A,#N/A,TRUE,"Conts";#N/A,#N/A,TRUE,"VOS";#N/A,#N/A,TRUE,"Warrington";#N/A,#N/A,TRUE,"Widnes"}</definedName>
    <definedName name="ZwischMont">#REF!</definedName>
    <definedName name="zx" localSheetId="1">#REF!</definedName>
    <definedName name="zx">#REF!</definedName>
    <definedName name="zxc" localSheetId="1">IF(ISNA(MATCH(ROW(),[1]!COUNT_TH2_V2__units_1___Type_D_04__900_x_2200mm_high,1)),1,MATCH(ROW(),[1]!COUNT_TH2_V2__units_1___Type_D_04__900_x_2200mm_high,1)+1)&lt;&gt;IF(ISNA(MATCH(ROW()-1,[1]!COUNT_TH2_V2__units_1___Type_D_04__900_x_2200mm_high,1)),1,MATCH(ROW()-1,[1]!COUNT_TH2_V2__units_1___Type_D_04__900_x_2200mm_high,1)+1)</definedName>
    <definedName name="zxc">IF(ISNA(MATCH(ROW(),RowAfterpgbrk,1)),1,MATCH(ROW(),RowAfterpgbrk,1)+1)&lt;&gt;IF(ISNA(MATCH(ROW()-1,RowAfterpgbrk,1)),1,MATCH(ROW()-1,RowAfterpgbrk,1)+1)</definedName>
    <definedName name="zxcge" localSheetId="1">BlankMacro1</definedName>
    <definedName name="zxcge">BlankMacro1</definedName>
    <definedName name="zxcv" localSheetId="1">BlankMacro1</definedName>
    <definedName name="zxcv">BlankMacro1</definedName>
    <definedName name="zxdf" localSheetId="1">#REF!</definedName>
    <definedName name="zxdf">#REF!</definedName>
    <definedName name="zxdvzdv" localSheetId="1" hidden="1">{#N/A,#N/A,TRUE,"Cover";#N/A,#N/A,TRUE,"Conts";#N/A,#N/A,TRUE,"VOS";#N/A,#N/A,TRUE,"Warrington";#N/A,#N/A,TRUE,"Widnes"}</definedName>
    <definedName name="zxdvzdv" hidden="1">{#N/A,#N/A,TRUE,"Cover";#N/A,#N/A,TRUE,"Conts";#N/A,#N/A,TRUE,"VOS";#N/A,#N/A,TRUE,"Warrington";#N/A,#N/A,TRUE,"Widnes"}</definedName>
    <definedName name="zxdvzdv_1" localSheetId="1" hidden="1">{#N/A,#N/A,TRUE,"Cover";#N/A,#N/A,TRUE,"Conts";#N/A,#N/A,TRUE,"VOS";#N/A,#N/A,TRUE,"Warrington";#N/A,#N/A,TRUE,"Widnes"}</definedName>
    <definedName name="zxdvzdv_1" hidden="1">{#N/A,#N/A,TRUE,"Cover";#N/A,#N/A,TRUE,"Conts";#N/A,#N/A,TRUE,"VOS";#N/A,#N/A,TRUE,"Warrington";#N/A,#N/A,TRUE,"Widnes"}</definedName>
    <definedName name="zxfvc" localSheetId="1" hidden="1">{"'Sheet1'!$L$16"}</definedName>
    <definedName name="zxfvc" hidden="1">{"'Sheet1'!$L$16"}</definedName>
    <definedName name="zxgsdfg" localSheetId="1" hidden="1">{"'Bill No. 7'!$A$1:$G$32"}</definedName>
    <definedName name="zxgsdfg" hidden="1">{"'Bill No. 7'!$A$1:$G$32"}</definedName>
    <definedName name="zxv" localSheetId="1" hidden="1">{#N/A,#N/A,TRUE,"Cover";#N/A,#N/A,TRUE,"Conts";#N/A,#N/A,TRUE,"VOS";#N/A,#N/A,TRUE,"Warrington";#N/A,#N/A,TRUE,"Widnes"}</definedName>
    <definedName name="zxv" hidden="1">{#N/A,#N/A,TRUE,"Cover";#N/A,#N/A,TRUE,"Conts";#N/A,#N/A,TRUE,"VOS";#N/A,#N/A,TRUE,"Warrington";#N/A,#N/A,TRUE,"Widnes"}</definedName>
    <definedName name="zy" localSheetId="1">#REF!</definedName>
    <definedName name="zy">#REF!</definedName>
    <definedName name="ZY___0">#REF!</definedName>
    <definedName name="ZY___13">#REF!</definedName>
    <definedName name="ZYX">#REF!</definedName>
    <definedName name="ZYZ" hidden="1">#REF!</definedName>
    <definedName name="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COV_Cover">#REF!</definedName>
    <definedName name="ZZChart1_Date" localSheetId="1">#N/A</definedName>
    <definedName name="ZZChart1_Date">OFFSET(#REF!,0,0,1,Projectend+1)</definedName>
    <definedName name="ZZChart1_DEquity" localSheetId="1">#N/A</definedName>
    <definedName name="ZZChart1_DEquity">OFFSET(#REF!,0,0,1,Projectend+1)</definedName>
    <definedName name="ZZChart1_L1" localSheetId="1">#N/A</definedName>
    <definedName name="ZZChart1_L1">OFFSET(#REF!,0,0,1,Projectend+1)</definedName>
    <definedName name="ZZChart1_L2" localSheetId="1">#N/A</definedName>
    <definedName name="ZZChart1_L2">OFFSET(#REF!,0,0,1,Projectend+1)</definedName>
    <definedName name="ZZChart1_L3" localSheetId="1">#N/A</definedName>
    <definedName name="ZZChart1_L3">OFFSET(#REF!,0,0,1,Projectend+1)</definedName>
    <definedName name="ZZChart1_L4" localSheetId="1">#N/A</definedName>
    <definedName name="ZZChart1_L4">OFFSET(#REF!,0,0,1,Projectend+1)</definedName>
    <definedName name="ZZChart1_LOEquity" localSheetId="1">#N/A</definedName>
    <definedName name="ZZChart1_LOEquity">OFFSET(#REF!,0,0,1,Projectend+1)</definedName>
    <definedName name="ZZChart2_CNCF" localSheetId="1">#N/A</definedName>
    <definedName name="ZZChart2_CNCF">OFFSET(#REF!,0,0,1,Projectend+1)</definedName>
    <definedName name="ZZChart2_NCF" localSheetId="1">#N/A</definedName>
    <definedName name="ZZChart2_NCF">OFFSET(#REF!,0,0,1,Projectend+1)</definedName>
    <definedName name="ZZChart2_OD" localSheetId="1">#N/A</definedName>
    <definedName name="ZZChart2_OD">OFFSET(#REF!,0,0,1,Projectend+1)</definedName>
    <definedName name="ZZChart3_CNCF" localSheetId="1">#N/A</definedName>
    <definedName name="ZZChart3_CNCF">OFFSET(#REF!,0,0,Consolidate_end+1,1)</definedName>
    <definedName name="ZZChart3_Date" localSheetId="1">#N/A</definedName>
    <definedName name="ZZChart3_Date">OFFSET(#REF!,0,0,Consolidate_end+1,1)</definedName>
    <definedName name="ZZChart3_NCF" localSheetId="1">#N/A</definedName>
    <definedName name="ZZChart3_NCF">OFFSET(#REF!,0,0,Consolidate_end+1,1)</definedName>
    <definedName name="ZZChart3a_1" localSheetId="1">#N/A</definedName>
    <definedName name="ZZChart3a_1">OFFSET(#REF!,0,0,Comparison_end+1,1)</definedName>
    <definedName name="ZZChart3a_2" localSheetId="1">#N/A</definedName>
    <definedName name="ZZChart3a_2">OFFSET(#REF!,0,0,Comparison_end+1,1)</definedName>
    <definedName name="ZZChart3a_3" localSheetId="1">#N/A</definedName>
    <definedName name="ZZChart3a_3">OFFSET(#REF!,0,0,Comparison_end+1,1)</definedName>
    <definedName name="ZZChart3a_4" localSheetId="1">#N/A</definedName>
    <definedName name="ZZChart3a_4">OFFSET(#REF!,0,0,Comparison_end+1,1)</definedName>
    <definedName name="ZZChart3a_5" localSheetId="1">#N/A</definedName>
    <definedName name="ZZChart3a_5">OFFSET(#REF!,0,0,Comparison_end+1,1)</definedName>
    <definedName name="ZZChart3a_6" localSheetId="1">#N/A</definedName>
    <definedName name="ZZChart3a_6">OFFSET(#REF!,0,0,Comparison_end+1,1)</definedName>
    <definedName name="ZZChart3a_7" localSheetId="1">#N/A</definedName>
    <definedName name="ZZChart3a_7">OFFSET(#REF!,0,0,Comparison_end+1,1)</definedName>
    <definedName name="ZZChart3a_8" localSheetId="1">#N/A</definedName>
    <definedName name="ZZChart3a_8">OFFSET(#REF!,0,0,Comparison_end+1,1)</definedName>
    <definedName name="ZZChart4_DECF" localSheetId="1">#N/A</definedName>
    <definedName name="ZZChart4_DECF">OFFSET(#REF!,0,0,1,Projectend+1)</definedName>
    <definedName name="ZZChart4_LOCF" localSheetId="1">#N/A</definedName>
    <definedName name="ZZChart4_LOCF">OFFSET(#REF!,0,0,1,Projectend+1)</definedName>
    <definedName name="zzx" localSheetId="1">#REF!</definedName>
    <definedName name="zzx">#REF!</definedName>
    <definedName name="ZZXCZXCZ">#N/A</definedName>
    <definedName name="zzz" localSheetId="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ZZZ">#REF!</definedName>
    <definedName name="ZZZZ" localSheetId="1">#REF!</definedName>
    <definedName name="ZZZZ">#REF!</definedName>
    <definedName name="ZZZZZ">#REF!</definedName>
    <definedName name="ZZZZZZ">#REF!</definedName>
    <definedName name="ZZZZZZZ">#REF!</definedName>
    <definedName name="ZZZZZZZZ">#REF!</definedName>
    <definedName name="ZZZZZZZZZ">#REF!</definedName>
    <definedName name="ZZZZZZZZZZ">#REF!</definedName>
    <definedName name="ZZZZZZZZZZZZZZ" hidden="1">#REF!</definedName>
    <definedName name="zzzzzzzzzzzzzzzzzzzz">#REF!</definedName>
    <definedName name="ش1502">#REF!</definedName>
    <definedName name="غفقف" localSheetId="1" hidden="1">{#N/A,#N/A,TRUE,"Cover";#N/A,#N/A,TRUE,"Conts";#N/A,#N/A,TRUE,"VOS";#N/A,#N/A,TRUE,"Warrington";#N/A,#N/A,TRUE,"Widnes"}</definedName>
    <definedName name="غفقف" hidden="1">{#N/A,#N/A,TRUE,"Cover";#N/A,#N/A,TRUE,"Conts";#N/A,#N/A,TRUE,"VOS";#N/A,#N/A,TRUE,"Warrington";#N/A,#N/A,TRUE,"Widnes"}</definedName>
    <definedName name="ففقف" localSheetId="1" hidden="1">{#N/A,#N/A,TRUE,"Cover";#N/A,#N/A,TRUE,"Conts";#N/A,#N/A,TRUE,"VOS";#N/A,#N/A,TRUE,"Warrington";#N/A,#N/A,TRUE,"Widnes"}</definedName>
    <definedName name="ففقف" hidden="1">{#N/A,#N/A,TRUE,"Cover";#N/A,#N/A,TRUE,"Conts";#N/A,#N/A,TRUE,"VOS";#N/A,#N/A,TRUE,"Warrington";#N/A,#N/A,TRUE,"Widnes"}</definedName>
    <definedName name="ㄱㅈㅎ" hidden="1">#REF!</definedName>
    <definedName name="가노" localSheetId="1">#REF!</definedName>
    <definedName name="가노">#REF!</definedName>
    <definedName name="가설계획" localSheetId="1" hidden="1">{#N/A,#N/A,FALSE,"갑지";#N/A,#N/A,FALSE,"개요";#N/A,#N/A,FALSE,"비목별";#N/A,#N/A,FALSE,"건물별";#N/A,#N/A,FALSE,"기구표";#N/A,#N/A,FALSE,"직원투입"}</definedName>
    <definedName name="가설계획" hidden="1">{#N/A,#N/A,FALSE,"갑지";#N/A,#N/A,FALSE,"개요";#N/A,#N/A,FALSE,"비목별";#N/A,#N/A,FALSE,"건물별";#N/A,#N/A,FALSE,"기구표";#N/A,#N/A,FALSE,"직원투입"}</definedName>
    <definedName name="간노" localSheetId="1">#REF!</definedName>
    <definedName name="간노">#REF!</definedName>
    <definedName name="간접비" localSheetId="1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1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개요">#REF!</definedName>
    <definedName name="건축" localSheetId="1">#REF!</definedName>
    <definedName name="건축">#REF!</definedName>
    <definedName name="견적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>#REF!</definedName>
    <definedName name="계수" localSheetId="1">#REF!</definedName>
    <definedName name="계수">#REF!</definedName>
    <definedName name="계수1">#REF!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재" localSheetId="1" hidden="1">{#N/A,#N/A,FALSE,"골재소요량";#N/A,#N/A,FALSE,"골재소요량"}</definedName>
    <definedName name="골재" hidden="1">{#N/A,#N/A,FALSE,"골재소요량";#N/A,#N/A,FALSE,"골재소요량"}</definedName>
    <definedName name="골조" localSheetId="1" hidden="1">{#N/A,#N/A,FALSE,"물량산출"}</definedName>
    <definedName name="골조" hidden="1">{#N/A,#N/A,FALSE,"물량산출"}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명" localSheetId="1">#REF!</definedName>
    <definedName name="공사명">#REF!</definedName>
    <definedName name="공정" localSheetId="1" hidden="1">{#N/A,#N/A,FALSE,"물량산출"}</definedName>
    <definedName name="공정" hidden="1">{#N/A,#N/A,FALSE,"물량산출"}</definedName>
    <definedName name="공정수량" localSheetId="1">#REF!</definedName>
    <definedName name="공정수량">#REF!</definedName>
    <definedName name="공정집계">#REF!</definedName>
    <definedName name="공종">#REF!</definedName>
    <definedName name="관급자재">#REF!</definedName>
    <definedName name="관리비2" localSheetId="1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광" localSheetId="1" hidden="1">{#N/A,#N/A,FALSE,"물량산출"}</definedName>
    <definedName name="광" hidden="1">{#N/A,#N/A,FALSE,"물량산출"}</definedName>
    <definedName name="광덕기업" localSheetId="1" hidden="1">{#N/A,#N/A,FALSE,"물량산출"}</definedName>
    <definedName name="광덕기업" hidden="1">{#N/A,#N/A,FALSE,"물량산출"}</definedName>
    <definedName name="교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육" localSheetId="1" hidden="1">{#N/A,#N/A,FALSE,"전력간선"}</definedName>
    <definedName name="교육" hidden="1">{#N/A,#N/A,FALSE,"전력간선"}</definedName>
    <definedName name="구분" localSheetId="1">#REF!</definedName>
    <definedName name="구분">#REF!</definedName>
    <definedName name="금강" localSheetId="1" hidden="1">{#N/A,#N/A,FALSE,"물량산출"}</definedName>
    <definedName name="금강" hidden="1">{#N/A,#N/A,FALSE,"물량산출"}</definedName>
    <definedName name="금강고려" localSheetId="1" hidden="1">{#N/A,#N/A,FALSE,"물량산출"}</definedName>
    <definedName name="금강고려" hidden="1">{#N/A,#N/A,FALSE,"물량산출"}</definedName>
    <definedName name="금액대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" localSheetId="1">#REF!</definedName>
    <definedName name="기계">#REF!</definedName>
    <definedName name="기존도로상태" localSheetId="1" hidden="1">{#N/A,#N/A,FALSE,"혼합골재"}</definedName>
    <definedName name="기존도로상태" hidden="1">{#N/A,#N/A,FALSE,"혼합골재"}</definedName>
    <definedName name="기타" localSheetId="1">#REF!</definedName>
    <definedName name="기타">#REF!</definedName>
    <definedName name="기타세" localSheetId="1">#REF!</definedName>
    <definedName name="기타세">#REF!</definedName>
    <definedName name="기타주민세" localSheetId="1">#REF!</definedName>
    <definedName name="기타주민세">#REF!</definedName>
    <definedName name="ㄴㄱㄹ" hidden="1">#REF!</definedName>
    <definedName name="ㄴㄴ" localSheetId="1" hidden="1">{#N/A,#N/A,FALSE,"물량산출"}</definedName>
    <definedName name="ㄴㄴ" hidden="1">{#N/A,#N/A,FALSE,"물량산출"}</definedName>
    <definedName name="ㄴㅁ" hidden="1">#REF!</definedName>
    <definedName name="ㄴㅇ" localSheetId="1" hidden="1">{#N/A,#N/A,FALSE,"물량산출"}</definedName>
    <definedName name="ㄴㅇ" hidden="1">{#N/A,#N/A,FALSE,"물량산출"}</definedName>
    <definedName name="나난" localSheetId="1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고가" localSheetId="1" hidden="1">{#N/A,#N/A,FALSE,"물량산출"}</definedName>
    <definedName name="내고가" hidden="1">{#N/A,#N/A,FALSE,"물량산출"}</definedName>
    <definedName name="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1">#REF!</definedName>
    <definedName name="노임">#REF!</definedName>
    <definedName name="노임단가">#REF!</definedName>
    <definedName name="니니ㅣㄴ" localSheetId="1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ㄷ1">#REF!</definedName>
    <definedName name="다음" localSheetId="1" hidden="1">{#N/A,#N/A,FALSE,"갑지";#N/A,#N/A,FALSE,"개요";#N/A,#N/A,FALSE,"비목별";#N/A,#N/A,FALSE,"건물별";#N/A,#N/A,FALSE,"기구표";#N/A,#N/A,FALSE,"직원투입"}</definedName>
    <definedName name="다음" hidden="1">{#N/A,#N/A,FALSE,"갑지";#N/A,#N/A,FALSE,"개요";#N/A,#N/A,FALSE,"비목별";#N/A,#N/A,FALSE,"건물별";#N/A,#N/A,FALSE,"기구표";#N/A,#N/A,FALSE,"직원투입"}</definedName>
    <definedName name="단_">"$#REF!.$#REF!$#REF!:$#REF!$#REF!"</definedName>
    <definedName name="단__1">"$#REF!.$#REF!$#REF!:$#REF!$#REF!"</definedName>
    <definedName name="단_가">#REF!</definedName>
    <definedName name="단_가_1">"$#REF!.$G$5:$P$5"</definedName>
    <definedName name="단_가2">#REF!</definedName>
    <definedName name="단_가3" localSheetId="1">#REF!</definedName>
    <definedName name="단_가3">#REF!</definedName>
    <definedName name="단_가4" localSheetId="1">#REF!</definedName>
    <definedName name="단_가4">#REF!</definedName>
    <definedName name="단_가5">#REF!</definedName>
    <definedName name="단_가6">#REF!</definedName>
    <definedName name="단가">#REF!</definedName>
    <definedName name="단가비교">#N/A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위" localSheetId="1">#REF!</definedName>
    <definedName name="단위">#REF!</definedName>
    <definedName name="단위공량10" localSheetId="1">#REF!</definedName>
    <definedName name="단위공량10">#REF!</definedName>
    <definedName name="단위공량11">#REF!</definedName>
    <definedName name="단위공량12">#REF!</definedName>
    <definedName name="단위공량13">#REF!</definedName>
    <definedName name="단위공량14">#REF!</definedName>
    <definedName name="단위공량15">#REF!</definedName>
    <definedName name="단위공량16">#REF!</definedName>
    <definedName name="단위공량17">#REF!</definedName>
    <definedName name="단위공량2">#REF!</definedName>
    <definedName name="단위공량3">#REF!</definedName>
    <definedName name="단위공량3_1">"$#REF!.$G$16:$P$16"</definedName>
    <definedName name="단위공량4">#REF!</definedName>
    <definedName name="단위공량5" localSheetId="1">#REF!</definedName>
    <definedName name="단위공량5">#REF!</definedName>
    <definedName name="단위공량6" localSheetId="1">#REF!</definedName>
    <definedName name="단위공량6">#REF!</definedName>
    <definedName name="단위공량7">#REF!</definedName>
    <definedName name="단위공량8">#REF!</definedName>
    <definedName name="단위공량9">#REF!</definedName>
    <definedName name="대">#REF!</definedName>
    <definedName name="대구" localSheetId="1">#REF!</definedName>
    <definedName name="대구">#REF!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방범확정">#REF!</definedName>
    <definedName name="대대대대대" localSheetId="1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전내역서_대전추가비교표_List" localSheetId="1">#REF!</definedName>
    <definedName name="대전내역서_대전추가비교표_List">#REF!</definedName>
    <definedName name="도급대하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대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로" localSheetId="1" hidden="1">{#N/A,#N/A,FALSE,"2~8번"}</definedName>
    <definedName name="도로" hidden="1">{#N/A,#N/A,FALSE,"2~8번"}</definedName>
    <definedName name="동락내역">#REF!</definedName>
    <definedName name="뚜껑">#REF!</definedName>
    <definedName name="띠장" localSheetId="1">#REF!</definedName>
    <definedName name="띠장">#REF!</definedName>
    <definedName name="ㄹ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라미우드" localSheetId="1" hidden="1">{#N/A,#N/A,FALSE,"물량산출"}</definedName>
    <definedName name="라미우드" hidden="1">{#N/A,#N/A,FALSE,"물량산출"}</definedName>
    <definedName name="러러럴" localSheetId="1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ㅏㄹ" localSheetId="1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ㅁ1">#REF!</definedName>
    <definedName name="ㅁ1400">#REF!</definedName>
    <definedName name="ㅁ1500" localSheetId="1">#REF!</definedName>
    <definedName name="ㅁ1500">#REF!</definedName>
    <definedName name="ㅁ200">#REF!</definedName>
    <definedName name="ㅁ600">#REF!</definedName>
    <definedName name="ㅁ800">#REF!</definedName>
    <definedName name="ㅁㅁ" localSheetId="1" hidden="1">{#N/A,#N/A,FALSE,"운반시간"}</definedName>
    <definedName name="ㅁㅁ" hidden="1">{#N/A,#N/A,FALSE,"운반시간"}</definedName>
    <definedName name="ㅁㅁㅁ" localSheetId="1">#REF!</definedName>
    <definedName name="ㅁㅁㅁ">#REF!</definedName>
    <definedName name="ㅁㅁㅁㅁ" localSheetId="1" hidden="1">{#N/A,#N/A,FALSE,"혼합골재"}</definedName>
    <definedName name="ㅁㅁㅁㅁ" hidden="1">{#N/A,#N/A,FALSE,"혼합골재"}</definedName>
    <definedName name="ㅁㅁㅁㅁㅁㅁ" hidden="1">#REF!</definedName>
    <definedName name="ㅁㅂ" localSheetId="1">#REF!</definedName>
    <definedName name="ㅁㅂ">#REF!</definedName>
    <definedName name="만" localSheetId="1">#REF!</definedName>
    <definedName name="만">#REF!</definedName>
    <definedName name="매매일">#REF!</definedName>
    <definedName name="매매주식수">#REF!</definedName>
    <definedName name="매크로19">#REF!</definedName>
    <definedName name="미제" localSheetId="1">#REF!</definedName>
    <definedName name="미제">#REF!</definedName>
    <definedName name="ㅂㅂ">#REF!</definedName>
    <definedName name="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바보" localSheetId="1" hidden="1">{#N/A,#N/A,FALSE,"표지목차"}</definedName>
    <definedName name="바보" hidden="1">{#N/A,#N/A,FALSE,"표지목차"}</definedName>
    <definedName name="바보2" localSheetId="1" hidden="1">{#N/A,#N/A,FALSE,"운반시간"}</definedName>
    <definedName name="바보2" hidden="1">{#N/A,#N/A,FALSE,"운반시간"}</definedName>
    <definedName name="발코니난간" localSheetId="1" hidden="1">{#N/A,#N/A,FALSE,"물량산출"}</definedName>
    <definedName name="발코니난간" hidden="1">{#N/A,#N/A,FALSE,"물량산출"}</definedName>
    <definedName name="발행회사명">#REF!</definedName>
    <definedName name="밥보" localSheetId="1" hidden="1">{#N/A,#N/A,FALSE,"표지목차"}</definedName>
    <definedName name="밥보" hidden="1">{#N/A,#N/A,FALSE,"표지목차"}</definedName>
    <definedName name="백">#REF!</definedName>
    <definedName name="백만">#REF!</definedName>
    <definedName name="법인세">#REF!</definedName>
    <definedName name="법인주민세">#REF!</definedName>
    <definedName name="보라" localSheetId="1" hidden="1">{#N/A,#N/A,FALSE,"갑지";#N/A,#N/A,FALSE,"개요";#N/A,#N/A,FALSE,"비목별";#N/A,#N/A,FALSE,"건물별";#N/A,#N/A,FALSE,"기구표";#N/A,#N/A,FALSE,"직원투입"}</definedName>
    <definedName name="보라" hidden="1">{#N/A,#N/A,FALSE,"갑지";#N/A,#N/A,FALSE,"개요";#N/A,#N/A,FALSE,"비목별";#N/A,#N/A,FALSE,"건물별";#N/A,#N/A,FALSE,"기구표";#N/A,#N/A,FALSE,"직원투입"}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본점소재지">#REF!</definedName>
    <definedName name="비목1" localSheetId="1">#REF!</definedName>
    <definedName name="비목1">#REF!</definedName>
    <definedName name="비목2">#REF!</definedName>
    <definedName name="비목3">#REF!</definedName>
    <definedName name="비목4">#REF!</definedName>
    <definedName name="사" hidden="1">#REF!</definedName>
    <definedName name="사진" localSheetId="1">#REF!</definedName>
    <definedName name="사진">#REF!</definedName>
    <definedName name="사팔">#REF!</definedName>
    <definedName name="산출근거">#REF!</definedName>
    <definedName name="산출근거111">#REF!</definedName>
    <definedName name="소갑">#REF!</definedName>
    <definedName name="소모비">#REF!</definedName>
    <definedName name="수량">#REF!</definedName>
    <definedName name="수량산출">#REF!</definedName>
    <definedName name="신고일">#REF!</definedName>
    <definedName name="십">#REF!</definedName>
    <definedName name="십만">#REF!</definedName>
    <definedName name="ㅇㄴㅁ" hidden="1">#REF!</definedName>
    <definedName name="ㅇㄹ" hidden="1">#REF!</definedName>
    <definedName name="ㅇ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localSheetId="1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ㅇ" localSheetId="1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아" localSheetId="1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아아앙" localSheetId="1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1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양도자">#REF!</definedName>
    <definedName name="양도자등록번호">#REF!</definedName>
    <definedName name="양도자사업자번호">#REF!</definedName>
    <definedName name="양도자상호">#REF!</definedName>
    <definedName name="양도자주소">#REF!</definedName>
    <definedName name="양수자">#REF!</definedName>
    <definedName name="양수자등록번호">#REF!</definedName>
    <definedName name="양수자사업자번호">#REF!</definedName>
    <definedName name="양수자상호">#REF!</definedName>
    <definedName name="양수자주소">#REF!</definedName>
    <definedName name="어어엉" localSheetId="1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억이상" localSheetId="1" hidden="1">{#N/A,#N/A,FALSE,"2~8번"}</definedName>
    <definedName name="억이상" hidden="1">{#N/A,#N/A,FALSE,"2~8번"}</definedName>
    <definedName name="업체" hidden="1">#REF!</definedName>
    <definedName name="오" hidden="1">#REF!</definedName>
    <definedName name="울산" localSheetId="1" hidden="1">{#N/A,#N/A,FALSE,"물량산출"}</definedName>
    <definedName name="울산" hidden="1">{#N/A,#N/A,FALSE,"물량산출"}</definedName>
    <definedName name="원">#REF!</definedName>
    <definedName name="원가" localSheetId="1" hidden="1">{#N/A,#N/A,FALSE,"운반시간"}</definedName>
    <definedName name="원가" hidden="1">{#N/A,#N/A,FALSE,"운반시간"}</definedName>
    <definedName name="원남내역" hidden="1">#REF!</definedName>
    <definedName name="의" localSheetId="1" hidden="1">{#N/A,#N/A,FALSE,"운반시간"}</definedName>
    <definedName name="의" hidden="1">{#N/A,#N/A,FALSE,"운반시간"}</definedName>
    <definedName name="인력품" localSheetId="1">#REF!</definedName>
    <definedName name="인력품">#REF!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대1" localSheetId="1">#REF!</definedName>
    <definedName name="일대1">#REF!</definedName>
    <definedName name="일련번호" localSheetId="1">#REF!</definedName>
    <definedName name="일련번호">#REF!</definedName>
    <definedName name="일련번호_1">"$#REF!.$E$8"</definedName>
    <definedName name="일반" localSheetId="1" hidden="1">{#N/A,#N/A,FALSE,"갑지";#N/A,#N/A,FALSE,"개요";#N/A,#N/A,FALSE,"비목별";#N/A,#N/A,FALSE,"건물별";#N/A,#N/A,FALSE,"기구표";#N/A,#N/A,FALSE,"직원투입"}</definedName>
    <definedName name="일반" hidden="1">{#N/A,#N/A,FALSE,"갑지";#N/A,#N/A,FALSE,"개요";#N/A,#N/A,FALSE,"비목별";#N/A,#N/A,FALSE,"건물별";#N/A,#N/A,FALSE,"기구표";#N/A,#N/A,FALSE,"직원투입"}</definedName>
    <definedName name="일반조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조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위" localSheetId="1">#REF!</definedName>
    <definedName name="일위">#REF!</definedName>
    <definedName name="일위1">#REF!</definedName>
    <definedName name="일위대가">#REF!</definedName>
    <definedName name="일위수량" localSheetId="1">#REF!</definedName>
    <definedName name="일위수량">#REF!</definedName>
    <definedName name="일제">#REF!</definedName>
    <definedName name="입찰금액안" hidden="1">#REF!</definedName>
    <definedName name="ㅈㄷ" localSheetId="1" hidden="1">{#N/A,#N/A,FALSE,"물량산출"}</definedName>
    <definedName name="ㅈㄷ" hidden="1">{#N/A,#N/A,FALSE,"물량산출"}</definedName>
    <definedName name="ㅈㄷㅈㄱㅈㅂ" localSheetId="1" hidden="1">{#N/A,#N/A,FALSE,"갑지";#N/A,#N/A,FALSE,"개요";#N/A,#N/A,FALSE,"비목별";#N/A,#N/A,FALSE,"건물별";#N/A,#N/A,FALSE,"기구표";#N/A,#N/A,FALSE,"직원투입"}</definedName>
    <definedName name="ㅈㄷㅈㄱㅈㅂ" hidden="1">{#N/A,#N/A,FALSE,"갑지";#N/A,#N/A,FALSE,"개요";#N/A,#N/A,FALSE,"비목별";#N/A,#N/A,FALSE,"건물별";#N/A,#N/A,FALSE,"기구표";#N/A,#N/A,FALSE,"직원투입"}</definedName>
    <definedName name="자금수지이자" localSheetId="1">#REF!</definedName>
    <definedName name="자금수지이자">#REF!</definedName>
    <definedName name="자유세" localSheetId="1">#REF!</definedName>
    <definedName name="자유세">#REF!</definedName>
    <definedName name="자유주민세" localSheetId="1">#REF!</definedName>
    <definedName name="자유주민세">#REF!</definedName>
    <definedName name="자재단가" localSheetId="1">#REF!</definedName>
    <definedName name="자재단가">#REF!</definedName>
    <definedName name="자재비">#REF!</definedName>
    <definedName name="작업계획">#REF!</definedName>
    <definedName name="재">#REF!</definedName>
    <definedName name="저층부공내역" localSheetId="1" hidden="1">{#N/A,#N/A,FALSE,"估價單  (3)"}</definedName>
    <definedName name="저층부공내역" hidden="1">{#N/A,#N/A,FALSE,"估價單  (3)"}</definedName>
    <definedName name="저층부금액" localSheetId="1" hidden="1">{#N/A,#N/A,FALSE,"估價單  (3)"}</definedName>
    <definedName name="저층부금액" hidden="1">{#N/A,#N/A,FALSE,"估價單  (3)"}</definedName>
    <definedName name="저층부금액1" localSheetId="1" hidden="1">{#N/A,#N/A,FALSE,"估價單  (3)"}</definedName>
    <definedName name="저층부금액1" hidden="1">{#N/A,#N/A,FALSE,"估價單  (3)"}</definedName>
    <definedName name="전기계장" localSheetId="1">#REF!</definedName>
    <definedName name="전기계장">#REF!</definedName>
    <definedName name="전화">#REF!</definedName>
    <definedName name="정리용" localSheetId="1" hidden="1">{#N/A,#N/A,FALSE,"Tower &amp; Car Park"}</definedName>
    <definedName name="정리용" hidden="1">{#N/A,#N/A,FALSE,"Tower &amp; Car Park"}</definedName>
    <definedName name="정리용2" localSheetId="1" hidden="1">{#N/A,#N/A,FALSE,"Tower &amp; Car Park"}</definedName>
    <definedName name="정리용2" hidden="1">{#N/A,#N/A,FALSE,"Tower &amp; Car Park"}</definedName>
    <definedName name="제작비" localSheetId="1">#REF!</definedName>
    <definedName name="제작비">#REF!</definedName>
    <definedName name="제출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집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집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사가" hidden="1">#REF!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당매매가액">#REF!</definedName>
    <definedName name="주당액면가액">#REF!</definedName>
    <definedName name="주요공종" localSheetId="1">#REF!</definedName>
    <definedName name="주요공종">#REF!</definedName>
    <definedName name="중기" localSheetId="1">#REF!</definedName>
    <definedName name="중기">#REF!</definedName>
    <definedName name="직노">#REF!</definedName>
    <definedName name="직접공사비계">#REF!</definedName>
    <definedName name="직종">#REF!</definedName>
    <definedName name="진짜원가">#REF!</definedName>
    <definedName name="진짜원가_1">"$#REF!.$S$1:$U$39"</definedName>
    <definedName name="집계SHEET">#REF!</definedName>
    <definedName name="천">#REF!</definedName>
    <definedName name="총매매가액">#REF!</definedName>
    <definedName name="ㅌ">#REF!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토" hidden="1">#REF!</definedName>
    <definedName name="토류판" localSheetId="1">#REF!</definedName>
    <definedName name="토류판">#REF!</definedName>
    <definedName name="토목">#REF!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토목실행">#REF!</definedName>
    <definedName name="통1" localSheetId="1">#REF!</definedName>
    <definedName name="통1">#REF!</definedName>
    <definedName name="통1_1">"$#REF!.$G$8"</definedName>
    <definedName name="퇴직세">#REF!</definedName>
    <definedName name="퇴직주민세">#REF!</definedName>
    <definedName name="팔" hidden="1">#REF!</definedName>
    <definedName name="포항내역서">#REF!</definedName>
    <definedName name="표지" localSheetId="1">#REF!</definedName>
    <definedName name="표지">#REF!</definedName>
    <definedName name="표지1">#REF!</definedName>
    <definedName name="표품_통신_6_13">#REF!</definedName>
    <definedName name="품명">#REF!</definedName>
    <definedName name="품셈공종">#REF!</definedName>
    <definedName name="품셈단가">#REF!</definedName>
    <definedName name="피팅" localSheetId="1">BlankMacro1</definedName>
    <definedName name="피팅">BlankMacro1</definedName>
    <definedName name="하늘" localSheetId="1" hidden="1">{#N/A,#N/A,FALSE,"물량산출"}</definedName>
    <definedName name="하늘" hidden="1">{#N/A,#N/A,FALSE,"물량산출"}</definedName>
    <definedName name="하도급일반조건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급일반조건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합판거푸집">#REF!</definedName>
    <definedName name="호이스느" localSheetId="1" hidden="1">{#N/A,#N/A,FALSE,"물량산출"}</definedName>
    <definedName name="호이스느" hidden="1">{#N/A,#N/A,FALSE,"물량산출"}</definedName>
    <definedName name="호ㅓㅕㅏ6ㅅ서ㅛㅓ" hidden="1">#REF!</definedName>
    <definedName name="ㅏ271" localSheetId="1">#REF!</definedName>
    <definedName name="ㅏ271">#REF!</definedName>
    <definedName name="ㅏ이이ㅏ리" localSheetId="1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1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ㅐㅐㅐ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#REF!</definedName>
    <definedName name="ㅔㅔ" hidden="1">#REF!</definedName>
    <definedName name="ㅕ겨겨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1066" localSheetId="1">#REF!</definedName>
    <definedName name="ㅠ1066">#REF!</definedName>
    <definedName name="ㅠㅠ" localSheetId="1" hidden="1">{#N/A,#N/A,FALSE,"포장2"}</definedName>
    <definedName name="ㅠㅠ" hidden="1">{#N/A,#N/A,FALSE,"포장2"}</definedName>
    <definedName name="ㅣㅣㅣ" localSheetId="1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ㅣㅣ" localSheetId="1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  <definedName name="ㄻㄴㄹ" localSheetId="1" hidden="1">{#N/A,#N/A,FALSE,"물량산출"}</definedName>
    <definedName name="ㄻㄴㄹ" hidden="1">{#N/A,#N/A,FALSE,"물량산출"}</definedName>
    <definedName name="もりた">#REF!</definedName>
    <definedName name="估價單" localSheetId="1" hidden="1">{#N/A,#N/A,FALSE,"估價單  (3)"}</definedName>
    <definedName name="估價單" hidden="1">{#N/A,#N/A,FALSE,"估價單  (3)"}</definedName>
    <definedName name="勝">#REF!</definedName>
    <definedName name="地" localSheetId="1">#REF!</definedName>
    <definedName name="地">#REF!</definedName>
    <definedName name="外委加工.dbf" localSheetId="1">#REF!</definedName>
    <definedName name="外委加工.dbf">#REF!</definedName>
    <definedName name="工・">#REF!</definedName>
    <definedName name="工事">#REF!</definedName>
    <definedName name="我的" localSheetId="1" hidden="1">{#N/A,#N/A,FALSE,"Tower &amp; Car Park"}</definedName>
    <definedName name="我的" hidden="1">{#N/A,#N/A,FALSE,"Tower &amp; Car Park"}</definedName>
    <definedName name="現法">#REF!</definedName>
    <definedName name="直轄" localSheetId="1">#REF!</definedName>
    <definedName name="直轄">#REF!</definedName>
    <definedName name="空調労務割掛">#N/A</definedName>
    <definedName name="空調継手・支持金物" localSheetId="1">#REF!</definedName>
    <definedName name="空調継手・支持金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1" i="2" l="1"/>
  <c r="Z351" i="2"/>
  <c r="AA351" i="2"/>
  <c r="AB351" i="2"/>
  <c r="AC351" i="2"/>
  <c r="Y352" i="2"/>
  <c r="Z352" i="2"/>
  <c r="AA352" i="2"/>
  <c r="AB352" i="2"/>
  <c r="AC352" i="2"/>
  <c r="Y353" i="2"/>
  <c r="Z353" i="2"/>
  <c r="AA353" i="2"/>
  <c r="AB353" i="2"/>
  <c r="AC353" i="2"/>
  <c r="Y354" i="2"/>
  <c r="Z354" i="2"/>
  <c r="AA354" i="2"/>
  <c r="AB354" i="2"/>
  <c r="AC354" i="2"/>
  <c r="Y355" i="2"/>
  <c r="Z355" i="2"/>
  <c r="AA355" i="2"/>
  <c r="AB355" i="2"/>
  <c r="AC355" i="2"/>
  <c r="Y356" i="2"/>
  <c r="Z356" i="2"/>
  <c r="AA356" i="2"/>
  <c r="AB356" i="2"/>
  <c r="AC356" i="2"/>
  <c r="Y357" i="2"/>
  <c r="Z357" i="2"/>
  <c r="AA357" i="2"/>
  <c r="AB357" i="2"/>
  <c r="AC357" i="2"/>
  <c r="Y358" i="2"/>
  <c r="Z358" i="2"/>
  <c r="AA358" i="2"/>
  <c r="AB358" i="2"/>
  <c r="AC358" i="2"/>
  <c r="X352" i="2"/>
  <c r="X353" i="2"/>
  <c r="X354" i="2"/>
  <c r="X355" i="2"/>
  <c r="X356" i="2"/>
  <c r="X357" i="2"/>
  <c r="X358" i="2"/>
  <c r="X351" i="2"/>
  <c r="AA4" i="2" l="1"/>
  <c r="AB4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A57" i="2"/>
  <c r="AB57" i="2"/>
  <c r="AA58" i="2"/>
  <c r="AB58" i="2"/>
  <c r="AA59" i="2"/>
  <c r="AB59" i="2"/>
  <c r="AA60" i="2"/>
  <c r="AB60" i="2"/>
  <c r="AA61" i="2"/>
  <c r="AB61" i="2"/>
  <c r="AA62" i="2"/>
  <c r="AB62" i="2"/>
  <c r="AA63" i="2"/>
  <c r="AB63" i="2"/>
  <c r="AA64" i="2"/>
  <c r="AB64" i="2"/>
  <c r="AA65" i="2"/>
  <c r="AB65" i="2"/>
  <c r="AA66" i="2"/>
  <c r="AB66" i="2"/>
  <c r="AA67" i="2"/>
  <c r="AB67" i="2"/>
  <c r="AA68" i="2"/>
  <c r="AB68" i="2"/>
  <c r="AA69" i="2"/>
  <c r="AB69" i="2"/>
  <c r="AA70" i="2"/>
  <c r="AB70" i="2"/>
  <c r="AA71" i="2"/>
  <c r="AB71" i="2"/>
  <c r="AA72" i="2"/>
  <c r="AB72" i="2"/>
  <c r="AA73" i="2"/>
  <c r="AB73" i="2"/>
  <c r="AA74" i="2"/>
  <c r="AB74" i="2"/>
  <c r="AA75" i="2"/>
  <c r="AB75" i="2"/>
  <c r="AA76" i="2"/>
  <c r="AB76" i="2"/>
  <c r="AA77" i="2"/>
  <c r="AB77" i="2"/>
  <c r="AA78" i="2"/>
  <c r="AB78" i="2"/>
  <c r="AA79" i="2"/>
  <c r="AB79" i="2"/>
  <c r="AA80" i="2"/>
  <c r="AB80" i="2"/>
  <c r="AA81" i="2"/>
  <c r="AB81" i="2"/>
  <c r="AA82" i="2"/>
  <c r="AB82" i="2"/>
  <c r="AA83" i="2"/>
  <c r="AB83" i="2"/>
  <c r="AA84" i="2"/>
  <c r="AB84" i="2"/>
  <c r="AA85" i="2"/>
  <c r="AB85" i="2"/>
  <c r="AA86" i="2"/>
  <c r="AB86" i="2"/>
  <c r="AA87" i="2"/>
  <c r="AB87" i="2"/>
  <c r="AA88" i="2"/>
  <c r="AB88" i="2"/>
  <c r="AA89" i="2"/>
  <c r="AB89" i="2"/>
  <c r="AA90" i="2"/>
  <c r="AB90" i="2"/>
  <c r="AA91" i="2"/>
  <c r="AB91" i="2"/>
  <c r="AA92" i="2"/>
  <c r="AB92" i="2"/>
  <c r="AA93" i="2"/>
  <c r="AB93" i="2"/>
  <c r="AA94" i="2"/>
  <c r="AB94" i="2"/>
  <c r="AA95" i="2"/>
  <c r="AB95" i="2"/>
  <c r="AA96" i="2"/>
  <c r="AB96" i="2"/>
  <c r="AA97" i="2"/>
  <c r="AB97" i="2"/>
  <c r="AA98" i="2"/>
  <c r="AB98" i="2"/>
  <c r="AA99" i="2"/>
  <c r="AB99" i="2"/>
  <c r="AA100" i="2"/>
  <c r="AB100" i="2"/>
  <c r="AA101" i="2"/>
  <c r="AB101" i="2"/>
  <c r="AA102" i="2"/>
  <c r="AB102" i="2"/>
  <c r="AA103" i="2"/>
  <c r="AB103" i="2"/>
  <c r="AA104" i="2"/>
  <c r="AB104" i="2"/>
  <c r="AA105" i="2"/>
  <c r="AB105" i="2"/>
  <c r="AA106" i="2"/>
  <c r="AB106" i="2"/>
  <c r="AA107" i="2"/>
  <c r="AB107" i="2"/>
  <c r="AA108" i="2"/>
  <c r="AB108" i="2"/>
  <c r="AA109" i="2"/>
  <c r="AB109" i="2"/>
  <c r="AA110" i="2"/>
  <c r="AB110" i="2"/>
  <c r="AA111" i="2"/>
  <c r="AB111" i="2"/>
  <c r="AA112" i="2"/>
  <c r="AB112" i="2"/>
  <c r="AA113" i="2"/>
  <c r="AB113" i="2"/>
  <c r="AA114" i="2"/>
  <c r="AB114" i="2"/>
  <c r="AA115" i="2"/>
  <c r="AB115" i="2"/>
  <c r="AA116" i="2"/>
  <c r="AB116" i="2"/>
  <c r="AA117" i="2"/>
  <c r="AB117" i="2"/>
  <c r="AA118" i="2"/>
  <c r="AB118" i="2"/>
  <c r="AA119" i="2"/>
  <c r="AB119" i="2"/>
  <c r="AA120" i="2"/>
  <c r="AB120" i="2"/>
  <c r="AA121" i="2"/>
  <c r="AB121" i="2"/>
  <c r="AA122" i="2"/>
  <c r="AB122" i="2"/>
  <c r="AA123" i="2"/>
  <c r="AB123" i="2"/>
  <c r="AA124" i="2"/>
  <c r="AB124" i="2"/>
  <c r="AA125" i="2"/>
  <c r="AB125" i="2"/>
  <c r="AA126" i="2"/>
  <c r="AB126" i="2"/>
  <c r="AA127" i="2"/>
  <c r="AB127" i="2"/>
  <c r="AA128" i="2"/>
  <c r="AB128" i="2"/>
  <c r="AA129" i="2"/>
  <c r="AB129" i="2"/>
  <c r="AA130" i="2"/>
  <c r="AB130" i="2"/>
  <c r="AA131" i="2"/>
  <c r="AB131" i="2"/>
  <c r="AA132" i="2"/>
  <c r="AB132" i="2"/>
  <c r="AA133" i="2"/>
  <c r="AB133" i="2"/>
  <c r="AA134" i="2"/>
  <c r="AB134" i="2"/>
  <c r="AA135" i="2"/>
  <c r="AB135" i="2"/>
  <c r="AA136" i="2"/>
  <c r="AB136" i="2"/>
  <c r="AA137" i="2"/>
  <c r="AB137" i="2"/>
  <c r="AA138" i="2"/>
  <c r="AB138" i="2"/>
  <c r="AA139" i="2"/>
  <c r="AB139" i="2"/>
  <c r="AA140" i="2"/>
  <c r="AB140" i="2"/>
  <c r="AA141" i="2"/>
  <c r="AB141" i="2"/>
  <c r="AA142" i="2"/>
  <c r="AB142" i="2"/>
  <c r="AA143" i="2"/>
  <c r="AB143" i="2"/>
  <c r="AA144" i="2"/>
  <c r="AB144" i="2"/>
  <c r="AA145" i="2"/>
  <c r="AB145" i="2"/>
  <c r="AA146" i="2"/>
  <c r="AB146" i="2"/>
  <c r="AA147" i="2"/>
  <c r="AB147" i="2"/>
  <c r="AA148" i="2"/>
  <c r="AB148" i="2"/>
  <c r="AA149" i="2"/>
  <c r="AB149" i="2"/>
  <c r="AA150" i="2"/>
  <c r="AB150" i="2"/>
  <c r="AA151" i="2"/>
  <c r="AB151" i="2"/>
  <c r="AA152" i="2"/>
  <c r="AB152" i="2"/>
  <c r="AA153" i="2"/>
  <c r="AB153" i="2"/>
  <c r="AA154" i="2"/>
  <c r="AB154" i="2"/>
  <c r="AA155" i="2"/>
  <c r="AB155" i="2"/>
  <c r="AA156" i="2"/>
  <c r="AB156" i="2"/>
  <c r="AA157" i="2"/>
  <c r="AB157" i="2"/>
  <c r="AA158" i="2"/>
  <c r="AB158" i="2"/>
  <c r="AA159" i="2"/>
  <c r="AB159" i="2"/>
  <c r="AA160" i="2"/>
  <c r="AB160" i="2"/>
  <c r="AA161" i="2"/>
  <c r="AB161" i="2"/>
  <c r="AA162" i="2"/>
  <c r="AB162" i="2"/>
  <c r="AA163" i="2"/>
  <c r="AB163" i="2"/>
  <c r="AA164" i="2"/>
  <c r="AB164" i="2"/>
  <c r="AA165" i="2"/>
  <c r="AB165" i="2"/>
  <c r="AA166" i="2"/>
  <c r="AB166" i="2"/>
  <c r="AA167" i="2"/>
  <c r="AB167" i="2"/>
  <c r="AA168" i="2"/>
  <c r="AB168" i="2"/>
  <c r="AA169" i="2"/>
  <c r="AB169" i="2"/>
  <c r="AA170" i="2"/>
  <c r="AB170" i="2"/>
  <c r="AA171" i="2"/>
  <c r="AB171" i="2"/>
  <c r="AA172" i="2"/>
  <c r="AB172" i="2"/>
  <c r="AA173" i="2"/>
  <c r="AB173" i="2"/>
  <c r="AA174" i="2"/>
  <c r="AB174" i="2"/>
  <c r="AA175" i="2"/>
  <c r="AB175" i="2"/>
  <c r="AA176" i="2"/>
  <c r="AB176" i="2"/>
  <c r="AA177" i="2"/>
  <c r="AB177" i="2"/>
  <c r="AA178" i="2"/>
  <c r="AB178" i="2"/>
  <c r="AA179" i="2"/>
  <c r="AB179" i="2"/>
  <c r="AA180" i="2"/>
  <c r="AB180" i="2"/>
  <c r="AA181" i="2"/>
  <c r="AB181" i="2"/>
  <c r="AA182" i="2"/>
  <c r="AB182" i="2"/>
  <c r="AA183" i="2"/>
  <c r="AB183" i="2"/>
  <c r="AA184" i="2"/>
  <c r="AB184" i="2"/>
  <c r="AA185" i="2"/>
  <c r="AB185" i="2"/>
  <c r="AA186" i="2"/>
  <c r="AB186" i="2"/>
  <c r="AA187" i="2"/>
  <c r="AB187" i="2"/>
  <c r="AA188" i="2"/>
  <c r="AB188" i="2"/>
  <c r="AA189" i="2"/>
  <c r="AB189" i="2"/>
  <c r="AA190" i="2"/>
  <c r="AB190" i="2"/>
  <c r="AA191" i="2"/>
  <c r="AB191" i="2"/>
  <c r="AA192" i="2"/>
  <c r="AB192" i="2"/>
  <c r="AA193" i="2"/>
  <c r="AB193" i="2"/>
  <c r="AA194" i="2"/>
  <c r="AB194" i="2"/>
  <c r="AA195" i="2"/>
  <c r="AB195" i="2"/>
  <c r="AA196" i="2"/>
  <c r="AB196" i="2"/>
  <c r="AA197" i="2"/>
  <c r="AB197" i="2"/>
  <c r="AA198" i="2"/>
  <c r="AB198" i="2"/>
  <c r="AA199" i="2"/>
  <c r="AB199" i="2"/>
  <c r="AA200" i="2"/>
  <c r="AB200" i="2"/>
  <c r="AA201" i="2"/>
  <c r="AB201" i="2"/>
  <c r="AA202" i="2"/>
  <c r="AB202" i="2"/>
  <c r="AA203" i="2"/>
  <c r="AB203" i="2"/>
  <c r="AA204" i="2"/>
  <c r="AB204" i="2"/>
  <c r="AA205" i="2"/>
  <c r="AB205" i="2"/>
  <c r="AA206" i="2"/>
  <c r="AB206" i="2"/>
  <c r="AA207" i="2"/>
  <c r="AB207" i="2"/>
  <c r="AA208" i="2"/>
  <c r="AB208" i="2"/>
  <c r="AA209" i="2"/>
  <c r="AB209" i="2"/>
  <c r="AA210" i="2"/>
  <c r="AB210" i="2"/>
  <c r="AA211" i="2"/>
  <c r="AB211" i="2"/>
  <c r="AA212" i="2"/>
  <c r="AB212" i="2"/>
  <c r="AA213" i="2"/>
  <c r="AB213" i="2"/>
  <c r="AA214" i="2"/>
  <c r="AB214" i="2"/>
  <c r="AA215" i="2"/>
  <c r="AB215" i="2"/>
  <c r="AA216" i="2"/>
  <c r="AB216" i="2"/>
  <c r="AA217" i="2"/>
  <c r="AB217" i="2"/>
  <c r="AA218" i="2"/>
  <c r="AB218" i="2"/>
  <c r="AA219" i="2"/>
  <c r="AB219" i="2"/>
  <c r="AA220" i="2"/>
  <c r="AB220" i="2"/>
  <c r="AA221" i="2"/>
  <c r="AB221" i="2"/>
  <c r="AA222" i="2"/>
  <c r="AB222" i="2"/>
  <c r="AA223" i="2"/>
  <c r="AB223" i="2"/>
  <c r="AA224" i="2"/>
  <c r="AB224" i="2"/>
  <c r="AA225" i="2"/>
  <c r="AB225" i="2"/>
  <c r="AA226" i="2"/>
  <c r="AB226" i="2"/>
  <c r="AA227" i="2"/>
  <c r="AB227" i="2"/>
  <c r="AA228" i="2"/>
  <c r="AB228" i="2"/>
  <c r="AA229" i="2"/>
  <c r="AB229" i="2"/>
  <c r="AA230" i="2"/>
  <c r="AB230" i="2"/>
  <c r="AA231" i="2"/>
  <c r="AB231" i="2"/>
  <c r="AA232" i="2"/>
  <c r="AB232" i="2"/>
  <c r="AA233" i="2"/>
  <c r="AB233" i="2"/>
  <c r="AA234" i="2"/>
  <c r="AB234" i="2"/>
  <c r="AA235" i="2"/>
  <c r="AB235" i="2"/>
  <c r="AA236" i="2"/>
  <c r="AB236" i="2"/>
  <c r="AA237" i="2"/>
  <c r="AB237" i="2"/>
  <c r="AA238" i="2"/>
  <c r="AB238" i="2"/>
  <c r="AA239" i="2"/>
  <c r="AB239" i="2"/>
  <c r="AA240" i="2"/>
  <c r="AB240" i="2"/>
  <c r="AA241" i="2"/>
  <c r="AB241" i="2"/>
  <c r="AA242" i="2"/>
  <c r="AB242" i="2"/>
  <c r="AA243" i="2"/>
  <c r="AB243" i="2"/>
  <c r="AA244" i="2"/>
  <c r="AB244" i="2"/>
  <c r="AA245" i="2"/>
  <c r="AB245" i="2"/>
  <c r="AA246" i="2"/>
  <c r="AB246" i="2"/>
  <c r="AA247" i="2"/>
  <c r="AB247" i="2"/>
  <c r="AA248" i="2"/>
  <c r="AB248" i="2"/>
  <c r="AA249" i="2"/>
  <c r="AB249" i="2"/>
  <c r="AA250" i="2"/>
  <c r="AB250" i="2"/>
  <c r="AA251" i="2"/>
  <c r="AB251" i="2"/>
  <c r="AA252" i="2"/>
  <c r="AB252" i="2"/>
  <c r="AA253" i="2"/>
  <c r="AB253" i="2"/>
  <c r="AA254" i="2"/>
  <c r="AB254" i="2"/>
  <c r="AA255" i="2"/>
  <c r="AB255" i="2"/>
  <c r="AA256" i="2"/>
  <c r="AB256" i="2"/>
  <c r="AA257" i="2"/>
  <c r="AB257" i="2"/>
  <c r="AA258" i="2"/>
  <c r="AB258" i="2"/>
  <c r="AA259" i="2"/>
  <c r="AB259" i="2"/>
  <c r="AA260" i="2"/>
  <c r="AB260" i="2"/>
  <c r="AA261" i="2"/>
  <c r="AB261" i="2"/>
  <c r="AA262" i="2"/>
  <c r="AB262" i="2"/>
  <c r="AA263" i="2"/>
  <c r="AB263" i="2"/>
  <c r="AA264" i="2"/>
  <c r="AB264" i="2"/>
  <c r="AA265" i="2"/>
  <c r="AB265" i="2"/>
  <c r="AA266" i="2"/>
  <c r="AB266" i="2"/>
  <c r="AA267" i="2"/>
  <c r="AB267" i="2"/>
  <c r="AA268" i="2"/>
  <c r="AB268" i="2"/>
  <c r="AA269" i="2"/>
  <c r="AB269" i="2"/>
  <c r="AA270" i="2"/>
  <c r="AB270" i="2"/>
  <c r="AA271" i="2"/>
  <c r="AB271" i="2"/>
  <c r="AA272" i="2"/>
  <c r="AB272" i="2"/>
  <c r="AA273" i="2"/>
  <c r="AB273" i="2"/>
  <c r="AA274" i="2"/>
  <c r="AB274" i="2"/>
  <c r="AA275" i="2"/>
  <c r="AB275" i="2"/>
  <c r="AA276" i="2"/>
  <c r="AB276" i="2"/>
  <c r="AA277" i="2"/>
  <c r="AB277" i="2"/>
  <c r="AA278" i="2"/>
  <c r="AB278" i="2"/>
  <c r="AA279" i="2"/>
  <c r="AB279" i="2"/>
  <c r="AA280" i="2"/>
  <c r="AB280" i="2"/>
  <c r="AA281" i="2"/>
  <c r="AB281" i="2"/>
  <c r="AA282" i="2"/>
  <c r="AB282" i="2"/>
  <c r="AA283" i="2"/>
  <c r="AB283" i="2"/>
  <c r="AA284" i="2"/>
  <c r="AB284" i="2"/>
  <c r="AA285" i="2"/>
  <c r="AB285" i="2"/>
  <c r="AA286" i="2"/>
  <c r="AB286" i="2"/>
  <c r="AA287" i="2"/>
  <c r="AB287" i="2"/>
  <c r="AA288" i="2"/>
  <c r="AB288" i="2"/>
  <c r="AA289" i="2"/>
  <c r="AB289" i="2"/>
  <c r="AA290" i="2"/>
  <c r="AB290" i="2"/>
  <c r="AA291" i="2"/>
  <c r="AB291" i="2"/>
  <c r="AA292" i="2"/>
  <c r="AB292" i="2"/>
  <c r="AA293" i="2"/>
  <c r="AB293" i="2"/>
  <c r="AA294" i="2"/>
  <c r="AB294" i="2"/>
  <c r="AA295" i="2"/>
  <c r="AB295" i="2"/>
  <c r="AA296" i="2"/>
  <c r="AB296" i="2"/>
  <c r="AA297" i="2"/>
  <c r="AB297" i="2"/>
  <c r="AA298" i="2"/>
  <c r="AB298" i="2"/>
  <c r="AA299" i="2"/>
  <c r="AB299" i="2"/>
  <c r="AA300" i="2"/>
  <c r="AB300" i="2"/>
  <c r="AA301" i="2"/>
  <c r="AB301" i="2"/>
  <c r="AA302" i="2"/>
  <c r="AB302" i="2"/>
  <c r="AA303" i="2"/>
  <c r="AB303" i="2"/>
  <c r="AA304" i="2"/>
  <c r="AB304" i="2"/>
  <c r="AA305" i="2"/>
  <c r="AB305" i="2"/>
  <c r="AA306" i="2"/>
  <c r="AB306" i="2"/>
  <c r="AA307" i="2"/>
  <c r="AB307" i="2"/>
  <c r="AA308" i="2"/>
  <c r="AB308" i="2"/>
  <c r="AA309" i="2"/>
  <c r="AB309" i="2"/>
  <c r="AA310" i="2"/>
  <c r="AB310" i="2"/>
  <c r="AA311" i="2"/>
  <c r="AB311" i="2"/>
  <c r="AA312" i="2"/>
  <c r="AB312" i="2"/>
  <c r="AA313" i="2"/>
  <c r="AB313" i="2"/>
  <c r="AA314" i="2"/>
  <c r="AB314" i="2"/>
  <c r="AA315" i="2"/>
  <c r="AB315" i="2"/>
  <c r="AA316" i="2"/>
  <c r="AB316" i="2"/>
  <c r="AA317" i="2"/>
  <c r="AB317" i="2"/>
  <c r="AA318" i="2"/>
  <c r="AB318" i="2"/>
  <c r="AA319" i="2"/>
  <c r="AB319" i="2"/>
  <c r="AA320" i="2"/>
  <c r="AB320" i="2"/>
  <c r="AA321" i="2"/>
  <c r="AB321" i="2"/>
  <c r="AA322" i="2"/>
  <c r="AB322" i="2"/>
  <c r="AA323" i="2"/>
  <c r="AB323" i="2"/>
  <c r="AA324" i="2"/>
  <c r="AB324" i="2"/>
  <c r="AA325" i="2"/>
  <c r="AB325" i="2"/>
  <c r="AA326" i="2"/>
  <c r="AB326" i="2"/>
  <c r="AA327" i="2"/>
  <c r="AB327" i="2"/>
  <c r="AA328" i="2"/>
  <c r="AB328" i="2"/>
  <c r="AA329" i="2"/>
  <c r="AB329" i="2"/>
  <c r="AA330" i="2"/>
  <c r="AB330" i="2"/>
  <c r="AA331" i="2"/>
  <c r="AB331" i="2"/>
  <c r="AA332" i="2"/>
  <c r="AB332" i="2"/>
  <c r="AA333" i="2"/>
  <c r="AB333" i="2"/>
  <c r="AA334" i="2"/>
  <c r="AB334" i="2"/>
  <c r="AA335" i="2"/>
  <c r="AB335" i="2"/>
  <c r="AA336" i="2"/>
  <c r="AB336" i="2"/>
  <c r="AA337" i="2"/>
  <c r="AB337" i="2"/>
  <c r="AA338" i="2"/>
  <c r="AB338" i="2"/>
  <c r="AA339" i="2"/>
  <c r="AB339" i="2"/>
  <c r="AA340" i="2"/>
  <c r="AB340" i="2"/>
  <c r="AA341" i="2"/>
  <c r="AB341" i="2"/>
  <c r="AA342" i="2"/>
  <c r="AB342" i="2"/>
  <c r="AA343" i="2"/>
  <c r="AB343" i="2"/>
  <c r="AA344" i="2"/>
  <c r="AB344" i="2"/>
  <c r="AA345" i="2"/>
  <c r="AB345" i="2"/>
  <c r="AA346" i="2"/>
  <c r="AB346" i="2"/>
  <c r="AB347" i="2"/>
  <c r="T1" i="2"/>
  <c r="Y348" i="2"/>
  <c r="X348" i="2"/>
  <c r="U9" i="1"/>
  <c r="W9" i="1" s="1"/>
  <c r="V9" i="1"/>
  <c r="X9" i="1" s="1"/>
  <c r="U10" i="1"/>
  <c r="V10" i="1"/>
  <c r="X10" i="1" s="1"/>
  <c r="W10" i="1"/>
  <c r="W109" i="1"/>
  <c r="U109" i="1"/>
  <c r="X11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10" i="1"/>
  <c r="U20" i="1"/>
  <c r="W20" i="1" s="1"/>
  <c r="U28" i="1"/>
  <c r="W28" i="1" s="1"/>
  <c r="U37" i="1"/>
  <c r="W37" i="1"/>
  <c r="U61" i="1"/>
  <c r="W61" i="1" s="1"/>
  <c r="U62" i="1"/>
  <c r="W62" i="1"/>
  <c r="U65" i="1"/>
  <c r="W65" i="1"/>
  <c r="U69" i="1"/>
  <c r="W69" i="1"/>
  <c r="U97" i="1"/>
  <c r="W97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Q357" i="2" l="1"/>
  <c r="S356" i="2"/>
  <c r="R357" i="2"/>
  <c r="R353" i="2"/>
  <c r="S352" i="2"/>
  <c r="Q358" i="2"/>
  <c r="Q355" i="2"/>
  <c r="Q354" i="2"/>
  <c r="S357" i="2"/>
  <c r="R356" i="2"/>
  <c r="R352" i="2"/>
  <c r="Q353" i="2"/>
  <c r="S355" i="2"/>
  <c r="Q352" i="2"/>
  <c r="R355" i="2"/>
  <c r="R351" i="2"/>
  <c r="Q351" i="2"/>
  <c r="S358" i="2"/>
  <c r="S354" i="2"/>
  <c r="R358" i="2"/>
  <c r="R354" i="2"/>
  <c r="S353" i="2"/>
  <c r="Q356" i="2"/>
  <c r="R359" i="2" l="1"/>
  <c r="Y349" i="2" s="1"/>
  <c r="Q359" i="2"/>
  <c r="X349" i="2" s="1"/>
  <c r="B34" i="2" l="1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14" i="2"/>
  <c r="B15" i="2"/>
  <c r="B16" i="2"/>
  <c r="B17" i="2"/>
  <c r="B18" i="2"/>
  <c r="B19" i="2"/>
  <c r="B5" i="2"/>
  <c r="B6" i="2"/>
  <c r="B7" i="2"/>
  <c r="B8" i="2"/>
  <c r="B9" i="2"/>
  <c r="B10" i="2"/>
  <c r="B11" i="2"/>
  <c r="B12" i="2"/>
  <c r="B13" i="2"/>
  <c r="B4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AC47" i="2" s="1"/>
  <c r="Z48" i="2"/>
  <c r="AC48" i="2" s="1"/>
  <c r="Z49" i="2"/>
  <c r="AC49" i="2" s="1"/>
  <c r="Z50" i="2"/>
  <c r="AC50" i="2" s="1"/>
  <c r="Z51" i="2"/>
  <c r="AC51" i="2" s="1"/>
  <c r="Z52" i="2"/>
  <c r="AC52" i="2" s="1"/>
  <c r="Z53" i="2"/>
  <c r="AC53" i="2" s="1"/>
  <c r="Z54" i="2"/>
  <c r="AC54" i="2" s="1"/>
  <c r="Z55" i="2"/>
  <c r="AC55" i="2" s="1"/>
  <c r="Z56" i="2"/>
  <c r="AC56" i="2" s="1"/>
  <c r="Z57" i="2"/>
  <c r="AC57" i="2" s="1"/>
  <c r="Z58" i="2"/>
  <c r="AC58" i="2" s="1"/>
  <c r="Z59" i="2"/>
  <c r="AC59" i="2" s="1"/>
  <c r="Z60" i="2"/>
  <c r="AC60" i="2" s="1"/>
  <c r="Z61" i="2"/>
  <c r="AC61" i="2" s="1"/>
  <c r="Z62" i="2"/>
  <c r="AC62" i="2" s="1"/>
  <c r="Z63" i="2"/>
  <c r="AC63" i="2" s="1"/>
  <c r="Z64" i="2"/>
  <c r="AC64" i="2" s="1"/>
  <c r="Z65" i="2"/>
  <c r="AC65" i="2" s="1"/>
  <c r="Z66" i="2"/>
  <c r="AC66" i="2" s="1"/>
  <c r="Z67" i="2"/>
  <c r="AC67" i="2" s="1"/>
  <c r="Z68" i="2"/>
  <c r="AC68" i="2" s="1"/>
  <c r="Z69" i="2"/>
  <c r="AC69" i="2" s="1"/>
  <c r="Z70" i="2"/>
  <c r="AC70" i="2" s="1"/>
  <c r="Z71" i="2"/>
  <c r="AC71" i="2" s="1"/>
  <c r="Z72" i="2"/>
  <c r="AC72" i="2" s="1"/>
  <c r="Z73" i="2"/>
  <c r="AC73" i="2" s="1"/>
  <c r="Z74" i="2"/>
  <c r="AC74" i="2" s="1"/>
  <c r="Z75" i="2"/>
  <c r="AC75" i="2" s="1"/>
  <c r="Z76" i="2"/>
  <c r="AC76" i="2" s="1"/>
  <c r="Z77" i="2"/>
  <c r="AC77" i="2" s="1"/>
  <c r="Z78" i="2"/>
  <c r="AC78" i="2" s="1"/>
  <c r="Z79" i="2"/>
  <c r="AC79" i="2" s="1"/>
  <c r="Z80" i="2"/>
  <c r="AC80" i="2" s="1"/>
  <c r="Z81" i="2"/>
  <c r="AC81" i="2" s="1"/>
  <c r="Z82" i="2"/>
  <c r="AC82" i="2" s="1"/>
  <c r="Z83" i="2"/>
  <c r="AC83" i="2" s="1"/>
  <c r="Z84" i="2"/>
  <c r="AC84" i="2" s="1"/>
  <c r="Z85" i="2"/>
  <c r="AC85" i="2" s="1"/>
  <c r="Z86" i="2"/>
  <c r="AC86" i="2" s="1"/>
  <c r="Z87" i="2"/>
  <c r="AC87" i="2" s="1"/>
  <c r="Z88" i="2"/>
  <c r="AC88" i="2" s="1"/>
  <c r="Z89" i="2"/>
  <c r="AC89" i="2" s="1"/>
  <c r="Z90" i="2"/>
  <c r="AC90" i="2" s="1"/>
  <c r="Z91" i="2"/>
  <c r="AC91" i="2" s="1"/>
  <c r="Z92" i="2"/>
  <c r="AC92" i="2" s="1"/>
  <c r="Z93" i="2"/>
  <c r="AC93" i="2" s="1"/>
  <c r="Z94" i="2"/>
  <c r="AC94" i="2" s="1"/>
  <c r="Z95" i="2"/>
  <c r="AC95" i="2" s="1"/>
  <c r="Z96" i="2"/>
  <c r="AC96" i="2" s="1"/>
  <c r="Z97" i="2"/>
  <c r="AC97" i="2" s="1"/>
  <c r="Z98" i="2"/>
  <c r="AC98" i="2" s="1"/>
  <c r="Z99" i="2"/>
  <c r="AC99" i="2" s="1"/>
  <c r="Z100" i="2"/>
  <c r="AC100" i="2" s="1"/>
  <c r="Z101" i="2"/>
  <c r="AC101" i="2" s="1"/>
  <c r="Z102" i="2"/>
  <c r="AC102" i="2" s="1"/>
  <c r="Z103" i="2"/>
  <c r="AC103" i="2" s="1"/>
  <c r="Z104" i="2"/>
  <c r="AC104" i="2" s="1"/>
  <c r="Z105" i="2"/>
  <c r="AC105" i="2" s="1"/>
  <c r="Z106" i="2"/>
  <c r="AC106" i="2" s="1"/>
  <c r="Z107" i="2"/>
  <c r="AC107" i="2" s="1"/>
  <c r="Z108" i="2"/>
  <c r="AC108" i="2" s="1"/>
  <c r="Z109" i="2"/>
  <c r="AC109" i="2" s="1"/>
  <c r="Z110" i="2"/>
  <c r="AC110" i="2" s="1"/>
  <c r="Z111" i="2"/>
  <c r="AC111" i="2" s="1"/>
  <c r="Z112" i="2"/>
  <c r="AC112" i="2" s="1"/>
  <c r="Z113" i="2"/>
  <c r="AC113" i="2" s="1"/>
  <c r="Z114" i="2"/>
  <c r="AC114" i="2" s="1"/>
  <c r="Z115" i="2"/>
  <c r="AC115" i="2" s="1"/>
  <c r="Z116" i="2"/>
  <c r="AC116" i="2" s="1"/>
  <c r="Z117" i="2"/>
  <c r="AC117" i="2" s="1"/>
  <c r="Z118" i="2"/>
  <c r="AC118" i="2" s="1"/>
  <c r="Z119" i="2"/>
  <c r="AC119" i="2" s="1"/>
  <c r="Z120" i="2"/>
  <c r="AC120" i="2" s="1"/>
  <c r="Z121" i="2"/>
  <c r="AC121" i="2" s="1"/>
  <c r="Z122" i="2"/>
  <c r="AC122" i="2" s="1"/>
  <c r="Z123" i="2"/>
  <c r="AC123" i="2" s="1"/>
  <c r="Z124" i="2"/>
  <c r="AC124" i="2" s="1"/>
  <c r="Z125" i="2"/>
  <c r="AC125" i="2" s="1"/>
  <c r="Z126" i="2"/>
  <c r="AC126" i="2" s="1"/>
  <c r="Z127" i="2"/>
  <c r="AC127" i="2" s="1"/>
  <c r="Z128" i="2"/>
  <c r="AC128" i="2" s="1"/>
  <c r="Z129" i="2"/>
  <c r="AC129" i="2" s="1"/>
  <c r="Z130" i="2"/>
  <c r="AC130" i="2" s="1"/>
  <c r="Z131" i="2"/>
  <c r="AC131" i="2" s="1"/>
  <c r="Z132" i="2"/>
  <c r="AC132" i="2" s="1"/>
  <c r="Z133" i="2"/>
  <c r="AC133" i="2" s="1"/>
  <c r="Z134" i="2"/>
  <c r="AC134" i="2" s="1"/>
  <c r="Z135" i="2"/>
  <c r="AC135" i="2" s="1"/>
  <c r="Z136" i="2"/>
  <c r="AC136" i="2" s="1"/>
  <c r="Z137" i="2"/>
  <c r="AC137" i="2" s="1"/>
  <c r="Z138" i="2"/>
  <c r="AC138" i="2" s="1"/>
  <c r="Z139" i="2"/>
  <c r="AC139" i="2" s="1"/>
  <c r="Z140" i="2"/>
  <c r="AC140" i="2" s="1"/>
  <c r="Z141" i="2"/>
  <c r="AC141" i="2" s="1"/>
  <c r="Z142" i="2"/>
  <c r="AC142" i="2" s="1"/>
  <c r="Z143" i="2"/>
  <c r="AC143" i="2" s="1"/>
  <c r="Z144" i="2"/>
  <c r="AC144" i="2" s="1"/>
  <c r="Z145" i="2"/>
  <c r="AC145" i="2" s="1"/>
  <c r="Z146" i="2"/>
  <c r="AC146" i="2" s="1"/>
  <c r="Z147" i="2"/>
  <c r="AC147" i="2" s="1"/>
  <c r="Z148" i="2"/>
  <c r="AC148" i="2" s="1"/>
  <c r="Z149" i="2"/>
  <c r="AC149" i="2" s="1"/>
  <c r="Z150" i="2"/>
  <c r="AC150" i="2" s="1"/>
  <c r="Z151" i="2"/>
  <c r="AC151" i="2" s="1"/>
  <c r="Z152" i="2"/>
  <c r="AC152" i="2" s="1"/>
  <c r="Z153" i="2"/>
  <c r="AC153" i="2" s="1"/>
  <c r="Z154" i="2"/>
  <c r="AC154" i="2" s="1"/>
  <c r="Z155" i="2"/>
  <c r="AC155" i="2" s="1"/>
  <c r="Z156" i="2"/>
  <c r="AC156" i="2" s="1"/>
  <c r="Z157" i="2"/>
  <c r="AC157" i="2" s="1"/>
  <c r="Z158" i="2"/>
  <c r="AC158" i="2" s="1"/>
  <c r="Z159" i="2"/>
  <c r="AC159" i="2" s="1"/>
  <c r="Z160" i="2"/>
  <c r="AC160" i="2" s="1"/>
  <c r="Z161" i="2"/>
  <c r="AC161" i="2" s="1"/>
  <c r="Z162" i="2"/>
  <c r="AC162" i="2" s="1"/>
  <c r="Z163" i="2"/>
  <c r="AC163" i="2" s="1"/>
  <c r="Z164" i="2"/>
  <c r="AC164" i="2" s="1"/>
  <c r="Z165" i="2"/>
  <c r="AC165" i="2" s="1"/>
  <c r="Z166" i="2"/>
  <c r="AC166" i="2" s="1"/>
  <c r="Z167" i="2"/>
  <c r="AC167" i="2" s="1"/>
  <c r="Z168" i="2"/>
  <c r="AC168" i="2" s="1"/>
  <c r="Z169" i="2"/>
  <c r="AC169" i="2" s="1"/>
  <c r="Z170" i="2"/>
  <c r="AC170" i="2" s="1"/>
  <c r="Z171" i="2"/>
  <c r="AC171" i="2" s="1"/>
  <c r="Z172" i="2"/>
  <c r="AC172" i="2" s="1"/>
  <c r="Z173" i="2"/>
  <c r="AC173" i="2" s="1"/>
  <c r="Z174" i="2"/>
  <c r="AC174" i="2" s="1"/>
  <c r="Z175" i="2"/>
  <c r="AC175" i="2" s="1"/>
  <c r="Z176" i="2"/>
  <c r="AC176" i="2" s="1"/>
  <c r="Z177" i="2"/>
  <c r="AC177" i="2" s="1"/>
  <c r="Z178" i="2"/>
  <c r="AC178" i="2" s="1"/>
  <c r="Z179" i="2"/>
  <c r="AC179" i="2" s="1"/>
  <c r="Z180" i="2"/>
  <c r="AC180" i="2" s="1"/>
  <c r="Z181" i="2"/>
  <c r="AC181" i="2" s="1"/>
  <c r="Z182" i="2"/>
  <c r="AC182" i="2" s="1"/>
  <c r="Z183" i="2"/>
  <c r="AC183" i="2" s="1"/>
  <c r="Z184" i="2"/>
  <c r="AC184" i="2" s="1"/>
  <c r="Z185" i="2"/>
  <c r="AC185" i="2" s="1"/>
  <c r="Z186" i="2"/>
  <c r="AC186" i="2" s="1"/>
  <c r="Z187" i="2"/>
  <c r="AC187" i="2" s="1"/>
  <c r="Z188" i="2"/>
  <c r="AC188" i="2" s="1"/>
  <c r="Z189" i="2"/>
  <c r="AC189" i="2" s="1"/>
  <c r="Z190" i="2"/>
  <c r="AC190" i="2" s="1"/>
  <c r="Z191" i="2"/>
  <c r="AC191" i="2" s="1"/>
  <c r="Z192" i="2"/>
  <c r="AC192" i="2" s="1"/>
  <c r="Z193" i="2"/>
  <c r="AC193" i="2" s="1"/>
  <c r="Z194" i="2"/>
  <c r="AC194" i="2" s="1"/>
  <c r="Z195" i="2"/>
  <c r="AC195" i="2" s="1"/>
  <c r="Z196" i="2"/>
  <c r="AC196" i="2" s="1"/>
  <c r="Z197" i="2"/>
  <c r="AC197" i="2" s="1"/>
  <c r="Z198" i="2"/>
  <c r="AC198" i="2" s="1"/>
  <c r="Z199" i="2"/>
  <c r="AC199" i="2" s="1"/>
  <c r="Z200" i="2"/>
  <c r="AC200" i="2" s="1"/>
  <c r="Z201" i="2"/>
  <c r="AC201" i="2" s="1"/>
  <c r="Z202" i="2"/>
  <c r="AC202" i="2" s="1"/>
  <c r="Z203" i="2"/>
  <c r="AC203" i="2" s="1"/>
  <c r="Z204" i="2"/>
  <c r="AC204" i="2" s="1"/>
  <c r="Z205" i="2"/>
  <c r="AC205" i="2" s="1"/>
  <c r="Z206" i="2"/>
  <c r="AC206" i="2" s="1"/>
  <c r="Z207" i="2"/>
  <c r="AC207" i="2" s="1"/>
  <c r="Z208" i="2"/>
  <c r="AC208" i="2" s="1"/>
  <c r="Z209" i="2"/>
  <c r="AC209" i="2" s="1"/>
  <c r="Z210" i="2"/>
  <c r="AC210" i="2" s="1"/>
  <c r="Z211" i="2"/>
  <c r="AC211" i="2" s="1"/>
  <c r="Z212" i="2"/>
  <c r="AC212" i="2" s="1"/>
  <c r="Z213" i="2"/>
  <c r="AC213" i="2" s="1"/>
  <c r="Z214" i="2"/>
  <c r="AC214" i="2" s="1"/>
  <c r="Z215" i="2"/>
  <c r="AC215" i="2" s="1"/>
  <c r="Z216" i="2"/>
  <c r="AC216" i="2" s="1"/>
  <c r="Z217" i="2"/>
  <c r="AC217" i="2" s="1"/>
  <c r="Z218" i="2"/>
  <c r="AC218" i="2" s="1"/>
  <c r="Z219" i="2"/>
  <c r="AC219" i="2" s="1"/>
  <c r="Z220" i="2"/>
  <c r="AC220" i="2" s="1"/>
  <c r="Z221" i="2"/>
  <c r="AC221" i="2" s="1"/>
  <c r="Z222" i="2"/>
  <c r="AC222" i="2" s="1"/>
  <c r="Z223" i="2"/>
  <c r="AC223" i="2" s="1"/>
  <c r="Z224" i="2"/>
  <c r="AC224" i="2" s="1"/>
  <c r="Z225" i="2"/>
  <c r="AC225" i="2" s="1"/>
  <c r="Z226" i="2"/>
  <c r="AC226" i="2" s="1"/>
  <c r="Z227" i="2"/>
  <c r="AC227" i="2" s="1"/>
  <c r="Z228" i="2"/>
  <c r="AC228" i="2" s="1"/>
  <c r="Z229" i="2"/>
  <c r="AC229" i="2" s="1"/>
  <c r="Z230" i="2"/>
  <c r="AC230" i="2" s="1"/>
  <c r="Z231" i="2"/>
  <c r="AC231" i="2" s="1"/>
  <c r="Z232" i="2"/>
  <c r="AC232" i="2" s="1"/>
  <c r="Z233" i="2"/>
  <c r="AC233" i="2" s="1"/>
  <c r="Z234" i="2"/>
  <c r="AC234" i="2" s="1"/>
  <c r="Z235" i="2"/>
  <c r="AC235" i="2" s="1"/>
  <c r="Z236" i="2"/>
  <c r="AC236" i="2" s="1"/>
  <c r="Z237" i="2"/>
  <c r="AC237" i="2" s="1"/>
  <c r="Z238" i="2"/>
  <c r="AC238" i="2" s="1"/>
  <c r="Z239" i="2"/>
  <c r="AC239" i="2" s="1"/>
  <c r="Z240" i="2"/>
  <c r="AC240" i="2" s="1"/>
  <c r="Z241" i="2"/>
  <c r="AC241" i="2" s="1"/>
  <c r="Z242" i="2"/>
  <c r="AC242" i="2" s="1"/>
  <c r="Z243" i="2"/>
  <c r="AC243" i="2" s="1"/>
  <c r="Z244" i="2"/>
  <c r="AC244" i="2" s="1"/>
  <c r="Z245" i="2"/>
  <c r="AC245" i="2" s="1"/>
  <c r="Z246" i="2"/>
  <c r="AC246" i="2" s="1"/>
  <c r="Z247" i="2"/>
  <c r="AC247" i="2" s="1"/>
  <c r="Z248" i="2"/>
  <c r="AC248" i="2" s="1"/>
  <c r="Z249" i="2"/>
  <c r="AC249" i="2" s="1"/>
  <c r="Z250" i="2"/>
  <c r="AC250" i="2" s="1"/>
  <c r="Z251" i="2"/>
  <c r="AC251" i="2" s="1"/>
  <c r="Z252" i="2"/>
  <c r="AC252" i="2" s="1"/>
  <c r="Z253" i="2"/>
  <c r="AC253" i="2" s="1"/>
  <c r="Z254" i="2"/>
  <c r="AC254" i="2" s="1"/>
  <c r="Z255" i="2"/>
  <c r="AC255" i="2" s="1"/>
  <c r="Z256" i="2"/>
  <c r="AC256" i="2" s="1"/>
  <c r="Z257" i="2"/>
  <c r="AC257" i="2" s="1"/>
  <c r="Z258" i="2"/>
  <c r="AC258" i="2" s="1"/>
  <c r="Z259" i="2"/>
  <c r="AC259" i="2" s="1"/>
  <c r="Z260" i="2"/>
  <c r="AC260" i="2" s="1"/>
  <c r="Z261" i="2"/>
  <c r="AC261" i="2" s="1"/>
  <c r="Z262" i="2"/>
  <c r="AC262" i="2" s="1"/>
  <c r="Z263" i="2"/>
  <c r="AC263" i="2" s="1"/>
  <c r="Z264" i="2"/>
  <c r="AC264" i="2" s="1"/>
  <c r="Z265" i="2"/>
  <c r="AC265" i="2" s="1"/>
  <c r="Z266" i="2"/>
  <c r="AC266" i="2" s="1"/>
  <c r="Z267" i="2"/>
  <c r="AC267" i="2" s="1"/>
  <c r="Z268" i="2"/>
  <c r="AC268" i="2" s="1"/>
  <c r="Z269" i="2"/>
  <c r="AC269" i="2" s="1"/>
  <c r="Z270" i="2"/>
  <c r="AC270" i="2" s="1"/>
  <c r="Z271" i="2"/>
  <c r="AC271" i="2" s="1"/>
  <c r="Z272" i="2"/>
  <c r="AC272" i="2" s="1"/>
  <c r="Z273" i="2"/>
  <c r="AC273" i="2" s="1"/>
  <c r="Z274" i="2"/>
  <c r="AC274" i="2" s="1"/>
  <c r="Z275" i="2"/>
  <c r="AC275" i="2" s="1"/>
  <c r="Z276" i="2"/>
  <c r="AC276" i="2" s="1"/>
  <c r="Z277" i="2"/>
  <c r="AC277" i="2" s="1"/>
  <c r="Z278" i="2"/>
  <c r="AC278" i="2" s="1"/>
  <c r="Z279" i="2"/>
  <c r="AC279" i="2" s="1"/>
  <c r="Z280" i="2"/>
  <c r="AC280" i="2" s="1"/>
  <c r="Z281" i="2"/>
  <c r="AC281" i="2" s="1"/>
  <c r="Z282" i="2"/>
  <c r="AC282" i="2" s="1"/>
  <c r="Z283" i="2"/>
  <c r="AC283" i="2" s="1"/>
  <c r="Z284" i="2"/>
  <c r="AC284" i="2" s="1"/>
  <c r="Z285" i="2"/>
  <c r="AC285" i="2" s="1"/>
  <c r="Z286" i="2"/>
  <c r="AC286" i="2" s="1"/>
  <c r="Z287" i="2"/>
  <c r="AC287" i="2" s="1"/>
  <c r="Z288" i="2"/>
  <c r="AC288" i="2" s="1"/>
  <c r="Z289" i="2"/>
  <c r="AC289" i="2" s="1"/>
  <c r="Z290" i="2"/>
  <c r="AC290" i="2" s="1"/>
  <c r="Z291" i="2"/>
  <c r="AC291" i="2" s="1"/>
  <c r="Z292" i="2"/>
  <c r="AC292" i="2" s="1"/>
  <c r="Z293" i="2"/>
  <c r="AC293" i="2" s="1"/>
  <c r="Z294" i="2"/>
  <c r="AC294" i="2" s="1"/>
  <c r="Z295" i="2"/>
  <c r="AC295" i="2" s="1"/>
  <c r="Z296" i="2"/>
  <c r="AC296" i="2" s="1"/>
  <c r="Z297" i="2"/>
  <c r="AC297" i="2" s="1"/>
  <c r="Z298" i="2"/>
  <c r="AC298" i="2" s="1"/>
  <c r="Z299" i="2"/>
  <c r="AC299" i="2" s="1"/>
  <c r="Z300" i="2"/>
  <c r="AC300" i="2" s="1"/>
  <c r="Z301" i="2"/>
  <c r="AC301" i="2" s="1"/>
  <c r="Z302" i="2"/>
  <c r="AC302" i="2" s="1"/>
  <c r="Z303" i="2"/>
  <c r="AC303" i="2" s="1"/>
  <c r="Z304" i="2"/>
  <c r="AC304" i="2" s="1"/>
  <c r="Z305" i="2"/>
  <c r="AC305" i="2" s="1"/>
  <c r="Z306" i="2"/>
  <c r="AC306" i="2" s="1"/>
  <c r="Z307" i="2"/>
  <c r="AC307" i="2" s="1"/>
  <c r="Z308" i="2"/>
  <c r="AC308" i="2" s="1"/>
  <c r="Z309" i="2"/>
  <c r="AC309" i="2" s="1"/>
  <c r="Z310" i="2"/>
  <c r="AC310" i="2" s="1"/>
  <c r="Z311" i="2"/>
  <c r="AC311" i="2" s="1"/>
  <c r="Z312" i="2"/>
  <c r="AC312" i="2" s="1"/>
  <c r="Z313" i="2"/>
  <c r="AC313" i="2" s="1"/>
  <c r="Z314" i="2"/>
  <c r="AC314" i="2" s="1"/>
  <c r="Z315" i="2"/>
  <c r="AC315" i="2" s="1"/>
  <c r="Z316" i="2"/>
  <c r="AC316" i="2" s="1"/>
  <c r="Z317" i="2"/>
  <c r="AC317" i="2" s="1"/>
  <c r="Z318" i="2"/>
  <c r="AC318" i="2" s="1"/>
  <c r="Z319" i="2"/>
  <c r="AC319" i="2" s="1"/>
  <c r="Z320" i="2"/>
  <c r="AC320" i="2" s="1"/>
  <c r="Z321" i="2"/>
  <c r="AC321" i="2" s="1"/>
  <c r="Z322" i="2"/>
  <c r="AC322" i="2" s="1"/>
  <c r="Z323" i="2"/>
  <c r="AC323" i="2" s="1"/>
  <c r="Z324" i="2"/>
  <c r="AC324" i="2" s="1"/>
  <c r="Z325" i="2"/>
  <c r="AC325" i="2" s="1"/>
  <c r="Z326" i="2"/>
  <c r="AC326" i="2" s="1"/>
  <c r="Z327" i="2"/>
  <c r="AC327" i="2" s="1"/>
  <c r="Z328" i="2"/>
  <c r="AC328" i="2" s="1"/>
  <c r="Z329" i="2"/>
  <c r="AC329" i="2" s="1"/>
  <c r="Z330" i="2"/>
  <c r="AC330" i="2" s="1"/>
  <c r="Z331" i="2"/>
  <c r="AC331" i="2" s="1"/>
  <c r="Z332" i="2"/>
  <c r="AC332" i="2" s="1"/>
  <c r="Z333" i="2"/>
  <c r="AC333" i="2" s="1"/>
  <c r="Z334" i="2"/>
  <c r="AC334" i="2" s="1"/>
  <c r="Z335" i="2"/>
  <c r="AC335" i="2" s="1"/>
  <c r="Z336" i="2"/>
  <c r="AC336" i="2" s="1"/>
  <c r="Z337" i="2"/>
  <c r="AC337" i="2" s="1"/>
  <c r="Z338" i="2"/>
  <c r="AC338" i="2" s="1"/>
  <c r="Z339" i="2"/>
  <c r="AC339" i="2" s="1"/>
  <c r="Z340" i="2"/>
  <c r="AC340" i="2" s="1"/>
  <c r="Z341" i="2"/>
  <c r="AC341" i="2" s="1"/>
  <c r="Z342" i="2"/>
  <c r="AC342" i="2" s="1"/>
  <c r="Z343" i="2"/>
  <c r="AC343" i="2" s="1"/>
  <c r="Z344" i="2"/>
  <c r="AC344" i="2" s="1"/>
  <c r="Z345" i="2"/>
  <c r="AC345" i="2" s="1"/>
  <c r="Z346" i="2"/>
  <c r="AC346" i="2" s="1"/>
  <c r="Z347" i="2"/>
  <c r="AC347" i="2" s="1"/>
  <c r="AA347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AC42" i="2" l="1"/>
  <c r="AC34" i="2"/>
  <c r="AC26" i="2"/>
  <c r="AC18" i="2"/>
  <c r="AC10" i="2"/>
  <c r="AC25" i="2"/>
  <c r="AC16" i="2"/>
  <c r="AC23" i="2"/>
  <c r="AC43" i="2"/>
  <c r="AC35" i="2"/>
  <c r="AC27" i="2"/>
  <c r="AC19" i="2"/>
  <c r="AC11" i="2"/>
  <c r="AC33" i="2"/>
  <c r="AC8" i="2"/>
  <c r="AC41" i="2"/>
  <c r="AC40" i="2"/>
  <c r="AC31" i="2"/>
  <c r="AC24" i="2"/>
  <c r="AC39" i="2"/>
  <c r="AC15" i="2"/>
  <c r="AC7" i="2"/>
  <c r="AC46" i="2"/>
  <c r="AC38" i="2"/>
  <c r="AC30" i="2"/>
  <c r="AC22" i="2"/>
  <c r="AC14" i="2"/>
  <c r="AC6" i="2"/>
  <c r="AC9" i="2"/>
  <c r="AC32" i="2"/>
  <c r="S351" i="2"/>
  <c r="S359" i="2" s="1"/>
  <c r="AC45" i="2"/>
  <c r="AC37" i="2"/>
  <c r="AC29" i="2"/>
  <c r="AC21" i="2"/>
  <c r="AC13" i="2"/>
  <c r="AC5" i="2"/>
  <c r="AC17" i="2"/>
  <c r="AC44" i="2"/>
  <c r="AC36" i="2"/>
  <c r="AC28" i="2"/>
  <c r="AC20" i="2"/>
  <c r="AC12" i="2"/>
  <c r="AC4" i="2"/>
  <c r="Z348" i="2"/>
  <c r="X361" i="2"/>
  <c r="AA372" i="2"/>
  <c r="X371" i="2"/>
  <c r="X368" i="2"/>
  <c r="Z375" i="2"/>
  <c r="Y373" i="2"/>
  <c r="X370" i="2"/>
  <c r="X360" i="2"/>
  <c r="X367" i="2"/>
  <c r="AC374" i="2"/>
  <c r="AC372" i="2"/>
  <c r="X365" i="2"/>
  <c r="AB374" i="2"/>
  <c r="Y360" i="2"/>
  <c r="AB361" i="2"/>
  <c r="Z363" i="2"/>
  <c r="AC364" i="2"/>
  <c r="AA366" i="2"/>
  <c r="Y368" i="2"/>
  <c r="AB369" i="2"/>
  <c r="Z371" i="2"/>
  <c r="Z360" i="2"/>
  <c r="AA363" i="2"/>
  <c r="Y365" i="2"/>
  <c r="AB366" i="2"/>
  <c r="Z368" i="2"/>
  <c r="AC369" i="2"/>
  <c r="AA360" i="2"/>
  <c r="Y362" i="2"/>
  <c r="AB363" i="2"/>
  <c r="Z365" i="2"/>
  <c r="AC366" i="2"/>
  <c r="AA368" i="2"/>
  <c r="AB360" i="2"/>
  <c r="Z362" i="2"/>
  <c r="AC363" i="2"/>
  <c r="AA365" i="2"/>
  <c r="Y367" i="2"/>
  <c r="AB368" i="2"/>
  <c r="Z370" i="2"/>
  <c r="AC371" i="2"/>
  <c r="AA373" i="2"/>
  <c r="Y375" i="2"/>
  <c r="X364" i="2"/>
  <c r="AA362" i="2"/>
  <c r="Y364" i="2"/>
  <c r="AB365" i="2"/>
  <c r="Z367" i="2"/>
  <c r="AC368" i="2"/>
  <c r="AA370" i="2"/>
  <c r="Y361" i="2"/>
  <c r="AB362" i="2"/>
  <c r="Z364" i="2"/>
  <c r="AC365" i="2"/>
  <c r="AA367" i="2"/>
  <c r="Y369" i="2"/>
  <c r="AB370" i="2"/>
  <c r="Z372" i="2"/>
  <c r="AC373" i="2"/>
  <c r="AA375" i="2"/>
  <c r="X366" i="2"/>
  <c r="X374" i="2"/>
  <c r="Z361" i="2"/>
  <c r="AC362" i="2"/>
  <c r="AA364" i="2"/>
  <c r="Y366" i="2"/>
  <c r="AB367" i="2"/>
  <c r="Z369" i="2"/>
  <c r="AA361" i="2"/>
  <c r="Y363" i="2"/>
  <c r="AB364" i="2"/>
  <c r="Z366" i="2"/>
  <c r="AC367" i="2"/>
  <c r="AA369" i="2"/>
  <c r="Y371" i="2"/>
  <c r="AB372" i="2"/>
  <c r="X375" i="2"/>
  <c r="X373" i="2"/>
  <c r="X363" i="2"/>
  <c r="AA374" i="2"/>
  <c r="Y372" i="2"/>
  <c r="X372" i="2"/>
  <c r="X362" i="2"/>
  <c r="Z374" i="2"/>
  <c r="AB371" i="2"/>
  <c r="Y374" i="2"/>
  <c r="AA371" i="2"/>
  <c r="AC375" i="2"/>
  <c r="AB373" i="2"/>
  <c r="AC370" i="2"/>
  <c r="X369" i="2"/>
  <c r="AB375" i="2"/>
  <c r="Z373" i="2"/>
  <c r="Y370" i="2"/>
  <c r="Z376" i="2" l="1"/>
  <c r="Y376" i="2"/>
  <c r="X376" i="2"/>
  <c r="Z349" i="2"/>
  <c r="AC360" i="2"/>
  <c r="AC361" i="2"/>
  <c r="Q118" i="1" l="1"/>
  <c r="S118" i="1"/>
  <c r="K118" i="1"/>
  <c r="M118" i="1"/>
  <c r="O118" i="1"/>
  <c r="G118" i="1"/>
  <c r="I118" i="1"/>
  <c r="E118" i="1"/>
  <c r="R114" i="1" l="1"/>
  <c r="R116" i="1"/>
  <c r="P114" i="1"/>
  <c r="P116" i="1"/>
  <c r="N114" i="1"/>
  <c r="N116" i="1"/>
  <c r="L114" i="1"/>
  <c r="L116" i="1"/>
  <c r="J114" i="1"/>
  <c r="J116" i="1"/>
  <c r="H114" i="1"/>
  <c r="H116" i="1" l="1"/>
  <c r="F114" i="1"/>
  <c r="F116" i="1"/>
  <c r="D114" i="1"/>
  <c r="D116" i="1"/>
  <c r="R107" i="1" l="1"/>
  <c r="S107" i="1" s="1"/>
  <c r="R106" i="1"/>
  <c r="S106" i="1" s="1"/>
  <c r="R105" i="1"/>
  <c r="S105" i="1" s="1"/>
  <c r="R103" i="1"/>
  <c r="S103" i="1" s="1"/>
  <c r="R102" i="1"/>
  <c r="S102" i="1" s="1"/>
  <c r="R101" i="1"/>
  <c r="S101" i="1" s="1"/>
  <c r="R100" i="1"/>
  <c r="S100" i="1" s="1"/>
  <c r="R99" i="1"/>
  <c r="S99" i="1" s="1"/>
  <c r="R98" i="1"/>
  <c r="S98" i="1" s="1"/>
  <c r="R96" i="1"/>
  <c r="S96" i="1" s="1"/>
  <c r="R95" i="1"/>
  <c r="S95" i="1" s="1"/>
  <c r="R93" i="1"/>
  <c r="S93" i="1" s="1"/>
  <c r="R92" i="1"/>
  <c r="S92" i="1" s="1"/>
  <c r="R90" i="1"/>
  <c r="S90" i="1" s="1"/>
  <c r="R88" i="1"/>
  <c r="S88" i="1" s="1"/>
  <c r="R87" i="1"/>
  <c r="S87" i="1" s="1"/>
  <c r="R85" i="1"/>
  <c r="S85" i="1" s="1"/>
  <c r="R86" i="1"/>
  <c r="S86" i="1" s="1"/>
  <c r="R83" i="1"/>
  <c r="S83" i="1" s="1"/>
  <c r="R84" i="1"/>
  <c r="S84" i="1" s="1"/>
  <c r="R82" i="1"/>
  <c r="S82" i="1" s="1"/>
  <c r="R81" i="1"/>
  <c r="S81" i="1" s="1"/>
  <c r="R79" i="1"/>
  <c r="S79" i="1" s="1"/>
  <c r="R77" i="1"/>
  <c r="S77" i="1" s="1"/>
  <c r="R76" i="1"/>
  <c r="S76" i="1" s="1"/>
  <c r="R75" i="1"/>
  <c r="S75" i="1" s="1"/>
  <c r="R74" i="1"/>
  <c r="S74" i="1" s="1"/>
  <c r="R73" i="1"/>
  <c r="S73" i="1" s="1"/>
  <c r="R72" i="1"/>
  <c r="S72" i="1" s="1"/>
  <c r="R71" i="1"/>
  <c r="S71" i="1" s="1"/>
  <c r="R70" i="1"/>
  <c r="S70" i="1" s="1"/>
  <c r="R68" i="1"/>
  <c r="S68" i="1" s="1"/>
  <c r="R67" i="1"/>
  <c r="S67" i="1" s="1"/>
  <c r="R66" i="1"/>
  <c r="S66" i="1" s="1"/>
  <c r="S65" i="1"/>
  <c r="R64" i="1"/>
  <c r="S64" i="1" s="1"/>
  <c r="S51" i="1"/>
  <c r="S52" i="1"/>
  <c r="S20" i="1"/>
  <c r="R55" i="1"/>
  <c r="S55" i="1" s="1"/>
  <c r="R54" i="1"/>
  <c r="S54" i="1" s="1"/>
  <c r="R53" i="1"/>
  <c r="S53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6" i="1"/>
  <c r="S36" i="1" s="1"/>
  <c r="R35" i="1"/>
  <c r="S35" i="1" s="1"/>
  <c r="R33" i="1"/>
  <c r="S33" i="1" s="1"/>
  <c r="R34" i="1"/>
  <c r="S34" i="1" s="1"/>
  <c r="R32" i="1"/>
  <c r="S32" i="1" s="1"/>
  <c r="R31" i="1"/>
  <c r="S31" i="1" s="1"/>
  <c r="R30" i="1"/>
  <c r="S30" i="1" s="1"/>
  <c r="R29" i="1"/>
  <c r="S29" i="1" s="1"/>
  <c r="R27" i="1"/>
  <c r="S27" i="1" s="1"/>
  <c r="R25" i="1"/>
  <c r="S25" i="1" s="1"/>
  <c r="R24" i="1"/>
  <c r="S24" i="1" s="1"/>
  <c r="R23" i="1"/>
  <c r="S23" i="1" s="1"/>
  <c r="R22" i="1"/>
  <c r="S22" i="1" s="1"/>
  <c r="R21" i="1"/>
  <c r="S21" i="1" s="1"/>
  <c r="R19" i="1"/>
  <c r="S19" i="1" s="1"/>
  <c r="R18" i="1"/>
  <c r="S18" i="1" s="1"/>
  <c r="R17" i="1"/>
  <c r="S17" i="1" s="1"/>
  <c r="R16" i="1"/>
  <c r="S16" i="1" s="1"/>
  <c r="R14" i="1"/>
  <c r="S14" i="1" s="1"/>
  <c r="R15" i="1"/>
  <c r="S15" i="1" s="1"/>
  <c r="R13" i="1"/>
  <c r="S13" i="1" s="1"/>
  <c r="R12" i="1"/>
  <c r="S12" i="1" s="1"/>
  <c r="S80" i="1"/>
  <c r="S89" i="1"/>
  <c r="S91" i="1"/>
  <c r="S94" i="1"/>
  <c r="S97" i="1"/>
  <c r="S104" i="1"/>
  <c r="S69" i="1"/>
  <c r="Q97" i="1"/>
  <c r="Q65" i="1"/>
  <c r="Q69" i="1"/>
  <c r="Q70" i="1"/>
  <c r="P80" i="1"/>
  <c r="Q80" i="1" s="1"/>
  <c r="P84" i="1"/>
  <c r="Q84" i="1" s="1"/>
  <c r="P82" i="1"/>
  <c r="Q82" i="1" s="1"/>
  <c r="P107" i="1"/>
  <c r="Q107" i="1" s="1"/>
  <c r="P106" i="1"/>
  <c r="Q106" i="1" s="1"/>
  <c r="P105" i="1"/>
  <c r="Q105" i="1" s="1"/>
  <c r="P104" i="1"/>
  <c r="U104" i="1" s="1"/>
  <c r="W104" i="1" s="1"/>
  <c r="P103" i="1"/>
  <c r="Q103" i="1" s="1"/>
  <c r="P102" i="1"/>
  <c r="Q102" i="1" s="1"/>
  <c r="P101" i="1"/>
  <c r="Q101" i="1" s="1"/>
  <c r="P100" i="1"/>
  <c r="Q100" i="1" s="1"/>
  <c r="P99" i="1"/>
  <c r="Q99" i="1" s="1"/>
  <c r="P98" i="1"/>
  <c r="Q98" i="1" s="1"/>
  <c r="P96" i="1"/>
  <c r="Q96" i="1" s="1"/>
  <c r="P95" i="1"/>
  <c r="Q95" i="1" s="1"/>
  <c r="P94" i="1"/>
  <c r="U94" i="1" s="1"/>
  <c r="W94" i="1" s="1"/>
  <c r="P93" i="1"/>
  <c r="Q93" i="1" s="1"/>
  <c r="P92" i="1"/>
  <c r="Q92" i="1" s="1"/>
  <c r="P91" i="1"/>
  <c r="U91" i="1" s="1"/>
  <c r="W91" i="1" s="1"/>
  <c r="P90" i="1"/>
  <c r="Q90" i="1" s="1"/>
  <c r="P89" i="1"/>
  <c r="Q89" i="1" s="1"/>
  <c r="P88" i="1"/>
  <c r="Q88" i="1" s="1"/>
  <c r="P87" i="1"/>
  <c r="Q87" i="1" s="1"/>
  <c r="P85" i="1"/>
  <c r="Q85" i="1" s="1"/>
  <c r="P83" i="1"/>
  <c r="Q83" i="1" s="1"/>
  <c r="P86" i="1"/>
  <c r="Q86" i="1" s="1"/>
  <c r="P81" i="1"/>
  <c r="Q81" i="1" s="1"/>
  <c r="P79" i="1"/>
  <c r="Q79" i="1" s="1"/>
  <c r="P72" i="1"/>
  <c r="Q72" i="1" s="1"/>
  <c r="P71" i="1"/>
  <c r="Q71" i="1" s="1"/>
  <c r="P77" i="1"/>
  <c r="Q77" i="1" s="1"/>
  <c r="P76" i="1"/>
  <c r="Q76" i="1" s="1"/>
  <c r="P75" i="1"/>
  <c r="Q75" i="1" s="1"/>
  <c r="P74" i="1"/>
  <c r="Q74" i="1" s="1"/>
  <c r="P73" i="1"/>
  <c r="Q73" i="1" s="1"/>
  <c r="P68" i="1"/>
  <c r="Q68" i="1" s="1"/>
  <c r="P67" i="1"/>
  <c r="Q67" i="1" s="1"/>
  <c r="P66" i="1"/>
  <c r="Q66" i="1" s="1"/>
  <c r="P64" i="1"/>
  <c r="Q64" i="1" s="1"/>
  <c r="P55" i="1"/>
  <c r="Q55" i="1" s="1"/>
  <c r="P53" i="1"/>
  <c r="Q53" i="1" s="1"/>
  <c r="P52" i="1"/>
  <c r="Q52" i="1" s="1"/>
  <c r="P49" i="1"/>
  <c r="Q49" i="1" s="1"/>
  <c r="P50" i="1"/>
  <c r="Q50" i="1" s="1"/>
  <c r="P48" i="1"/>
  <c r="Q48" i="1" s="1"/>
  <c r="P47" i="1"/>
  <c r="Q47" i="1" s="1"/>
  <c r="P46" i="1"/>
  <c r="Q46" i="1" s="1"/>
  <c r="P44" i="1"/>
  <c r="Q44" i="1" s="1"/>
  <c r="P43" i="1"/>
  <c r="Q43" i="1" s="1"/>
  <c r="P41" i="1"/>
  <c r="Q41" i="1" s="1"/>
  <c r="P42" i="1"/>
  <c r="Q42" i="1" s="1"/>
  <c r="P40" i="1"/>
  <c r="Q40" i="1" s="1"/>
  <c r="P39" i="1"/>
  <c r="Q39" i="1" s="1"/>
  <c r="P38" i="1"/>
  <c r="Q38" i="1" s="1"/>
  <c r="P36" i="1"/>
  <c r="Q36" i="1" s="1"/>
  <c r="P35" i="1"/>
  <c r="Q35" i="1" s="1"/>
  <c r="P33" i="1"/>
  <c r="Q33" i="1" s="1"/>
  <c r="P34" i="1"/>
  <c r="Q34" i="1" s="1"/>
  <c r="P31" i="1"/>
  <c r="Q31" i="1" s="1"/>
  <c r="P32" i="1"/>
  <c r="Q32" i="1" s="1"/>
  <c r="P30" i="1"/>
  <c r="Q30" i="1" s="1"/>
  <c r="P29" i="1"/>
  <c r="Q29" i="1" s="1"/>
  <c r="P27" i="1"/>
  <c r="Q27" i="1" s="1"/>
  <c r="P25" i="1"/>
  <c r="Q25" i="1" s="1"/>
  <c r="P24" i="1"/>
  <c r="Q24" i="1" s="1"/>
  <c r="P23" i="1"/>
  <c r="Q23" i="1" s="1"/>
  <c r="P22" i="1"/>
  <c r="Q22" i="1" s="1"/>
  <c r="P21" i="1"/>
  <c r="Q21" i="1" s="1"/>
  <c r="P19" i="1"/>
  <c r="Q19" i="1" s="1"/>
  <c r="P18" i="1"/>
  <c r="Q18" i="1" s="1"/>
  <c r="P16" i="1"/>
  <c r="Q16" i="1" s="1"/>
  <c r="P17" i="1"/>
  <c r="Q17" i="1" s="1"/>
  <c r="P15" i="1"/>
  <c r="Q15" i="1" s="1"/>
  <c r="P14" i="1"/>
  <c r="Q14" i="1" s="1"/>
  <c r="P13" i="1"/>
  <c r="Q13" i="1" s="1"/>
  <c r="P12" i="1"/>
  <c r="Q12" i="1" s="1"/>
  <c r="Q45" i="1"/>
  <c r="Q51" i="1"/>
  <c r="Q54" i="1"/>
  <c r="Q20" i="1"/>
  <c r="N107" i="1"/>
  <c r="O107" i="1" s="1"/>
  <c r="N103" i="1"/>
  <c r="O103" i="1" s="1"/>
  <c r="N102" i="1"/>
  <c r="O102" i="1" s="1"/>
  <c r="N101" i="1"/>
  <c r="O101" i="1" s="1"/>
  <c r="N100" i="1"/>
  <c r="O100" i="1" s="1"/>
  <c r="N99" i="1"/>
  <c r="O99" i="1" s="1"/>
  <c r="N96" i="1"/>
  <c r="O96" i="1" s="1"/>
  <c r="N95" i="1"/>
  <c r="O95" i="1" s="1"/>
  <c r="N93" i="1"/>
  <c r="O93" i="1" s="1"/>
  <c r="N92" i="1"/>
  <c r="O92" i="1" s="1"/>
  <c r="N90" i="1"/>
  <c r="O90" i="1" s="1"/>
  <c r="N89" i="1"/>
  <c r="O89" i="1" s="1"/>
  <c r="N88" i="1"/>
  <c r="O88" i="1" s="1"/>
  <c r="N87" i="1"/>
  <c r="O87" i="1" s="1"/>
  <c r="N85" i="1"/>
  <c r="O85" i="1" s="1"/>
  <c r="N86" i="1"/>
  <c r="O86" i="1" s="1"/>
  <c r="N83" i="1"/>
  <c r="O83" i="1" s="1"/>
  <c r="N84" i="1"/>
  <c r="O84" i="1" s="1"/>
  <c r="N82" i="1"/>
  <c r="O82" i="1" s="1"/>
  <c r="N81" i="1"/>
  <c r="O81" i="1" s="1"/>
  <c r="N79" i="1"/>
  <c r="O79" i="1" s="1"/>
  <c r="N80" i="1"/>
  <c r="O80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8" i="1"/>
  <c r="O68" i="1" s="1"/>
  <c r="N67" i="1"/>
  <c r="O67" i="1" s="1"/>
  <c r="N66" i="1"/>
  <c r="O66" i="1" s="1"/>
  <c r="N64" i="1"/>
  <c r="O64" i="1" s="1"/>
  <c r="O65" i="1"/>
  <c r="N24" i="1"/>
  <c r="O24" i="1" s="1"/>
  <c r="N23" i="1"/>
  <c r="O23" i="1" s="1"/>
  <c r="N22" i="1"/>
  <c r="O22" i="1" s="1"/>
  <c r="N21" i="1"/>
  <c r="O21" i="1" s="1"/>
  <c r="N19" i="1"/>
  <c r="O19" i="1" s="1"/>
  <c r="N52" i="1"/>
  <c r="O52" i="1" s="1"/>
  <c r="N51" i="1"/>
  <c r="O51" i="1" s="1"/>
  <c r="N50" i="1"/>
  <c r="O50" i="1" s="1"/>
  <c r="N49" i="1"/>
  <c r="O49" i="1" s="1"/>
  <c r="N41" i="1"/>
  <c r="O41" i="1" s="1"/>
  <c r="N36" i="1"/>
  <c r="O36" i="1" s="1"/>
  <c r="N35" i="1"/>
  <c r="O35" i="1" s="1"/>
  <c r="N34" i="1"/>
  <c r="O34" i="1" s="1"/>
  <c r="N33" i="1"/>
  <c r="O33" i="1" s="1"/>
  <c r="N31" i="1"/>
  <c r="O31" i="1" s="1"/>
  <c r="N32" i="1"/>
  <c r="O32" i="1" s="1"/>
  <c r="N55" i="1"/>
  <c r="O55" i="1" s="1"/>
  <c r="N54" i="1"/>
  <c r="U54" i="1" s="1"/>
  <c r="W54" i="1" s="1"/>
  <c r="N53" i="1"/>
  <c r="O53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0" i="1"/>
  <c r="O40" i="1" s="1"/>
  <c r="N39" i="1"/>
  <c r="O39" i="1" s="1"/>
  <c r="N38" i="1"/>
  <c r="O38" i="1" s="1"/>
  <c r="N30" i="1"/>
  <c r="O30" i="1" s="1"/>
  <c r="N29" i="1"/>
  <c r="O29" i="1" s="1"/>
  <c r="N27" i="1"/>
  <c r="O27" i="1" s="1"/>
  <c r="O20" i="1"/>
  <c r="N25" i="1"/>
  <c r="O25" i="1" s="1"/>
  <c r="N16" i="1"/>
  <c r="O16" i="1" s="1"/>
  <c r="N18" i="1"/>
  <c r="O18" i="1" s="1"/>
  <c r="N17" i="1"/>
  <c r="O17" i="1" s="1"/>
  <c r="N15" i="1"/>
  <c r="O15" i="1" s="1"/>
  <c r="N14" i="1"/>
  <c r="O14" i="1" s="1"/>
  <c r="N13" i="1"/>
  <c r="O13" i="1" s="1"/>
  <c r="N12" i="1"/>
  <c r="O12" i="1" s="1"/>
  <c r="O91" i="1"/>
  <c r="O94" i="1"/>
  <c r="O97" i="1"/>
  <c r="O98" i="1"/>
  <c r="O104" i="1"/>
  <c r="O105" i="1"/>
  <c r="O69" i="1"/>
  <c r="J63" i="1"/>
  <c r="L85" i="1"/>
  <c r="L107" i="1"/>
  <c r="L106" i="1"/>
  <c r="U106" i="1" s="1"/>
  <c r="W106" i="1" s="1"/>
  <c r="L105" i="1"/>
  <c r="L103" i="1"/>
  <c r="L102" i="1"/>
  <c r="L101" i="1"/>
  <c r="L100" i="1"/>
  <c r="L99" i="1"/>
  <c r="L98" i="1"/>
  <c r="U98" i="1" s="1"/>
  <c r="W98" i="1" s="1"/>
  <c r="L96" i="1"/>
  <c r="L95" i="1"/>
  <c r="L93" i="1"/>
  <c r="L92" i="1"/>
  <c r="L90" i="1"/>
  <c r="L87" i="1"/>
  <c r="L86" i="1"/>
  <c r="L83" i="1"/>
  <c r="L84" i="1"/>
  <c r="L82" i="1"/>
  <c r="L81" i="1"/>
  <c r="L79" i="1"/>
  <c r="L77" i="1"/>
  <c r="L76" i="1"/>
  <c r="L75" i="1"/>
  <c r="L74" i="1"/>
  <c r="L73" i="1"/>
  <c r="L72" i="1"/>
  <c r="L71" i="1"/>
  <c r="L68" i="1"/>
  <c r="L67" i="1"/>
  <c r="L66" i="1"/>
  <c r="L64" i="1"/>
  <c r="L53" i="1"/>
  <c r="L52" i="1"/>
  <c r="L49" i="1"/>
  <c r="L50" i="1"/>
  <c r="L48" i="1"/>
  <c r="L47" i="1"/>
  <c r="L46" i="1"/>
  <c r="L45" i="1"/>
  <c r="L44" i="1"/>
  <c r="L43" i="1"/>
  <c r="L42" i="1"/>
  <c r="L41" i="1"/>
  <c r="Q91" i="1" l="1"/>
  <c r="Q94" i="1"/>
  <c r="O54" i="1"/>
  <c r="Q104" i="1"/>
  <c r="P63" i="1"/>
  <c r="Q63" i="1" s="1"/>
  <c r="R63" i="1"/>
  <c r="R26" i="1"/>
  <c r="R11" i="1"/>
  <c r="R78" i="1"/>
  <c r="S78" i="1" s="1"/>
  <c r="P78" i="1"/>
  <c r="Q78" i="1" s="1"/>
  <c r="P11" i="1"/>
  <c r="P26" i="1"/>
  <c r="N26" i="1"/>
  <c r="N11" i="1"/>
  <c r="N78" i="1"/>
  <c r="O78" i="1" s="1"/>
  <c r="N63" i="1"/>
  <c r="O63" i="1" s="1"/>
  <c r="L39" i="1"/>
  <c r="M39" i="1" s="1"/>
  <c r="L38" i="1"/>
  <c r="M38" i="1" s="1"/>
  <c r="L36" i="1"/>
  <c r="M36" i="1" s="1"/>
  <c r="L35" i="1"/>
  <c r="M35" i="1" s="1"/>
  <c r="L33" i="1"/>
  <c r="M33" i="1" s="1"/>
  <c r="L34" i="1"/>
  <c r="M34" i="1" s="1"/>
  <c r="L32" i="1"/>
  <c r="M32" i="1" s="1"/>
  <c r="L31" i="1"/>
  <c r="M31" i="1" s="1"/>
  <c r="L30" i="1"/>
  <c r="M30" i="1" s="1"/>
  <c r="L29" i="1"/>
  <c r="L27" i="1"/>
  <c r="M27" i="1" s="1"/>
  <c r="L25" i="1"/>
  <c r="M25" i="1" s="1"/>
  <c r="L24" i="1"/>
  <c r="M24" i="1" s="1"/>
  <c r="L23" i="1"/>
  <c r="M23" i="1" s="1"/>
  <c r="L22" i="1"/>
  <c r="M22" i="1" s="1"/>
  <c r="L21" i="1"/>
  <c r="M21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79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64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20" i="1"/>
  <c r="I27" i="1"/>
  <c r="L63" i="1"/>
  <c r="M63" i="1" s="1"/>
  <c r="J87" i="1"/>
  <c r="J85" i="1"/>
  <c r="J86" i="1"/>
  <c r="J83" i="1"/>
  <c r="J8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64" i="1"/>
  <c r="K29" i="1"/>
  <c r="K30" i="1"/>
  <c r="K32" i="1"/>
  <c r="K34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27" i="1"/>
  <c r="I29" i="1"/>
  <c r="I30" i="1"/>
  <c r="I36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J39" i="1"/>
  <c r="K39" i="1" s="1"/>
  <c r="J38" i="1"/>
  <c r="K38" i="1" s="1"/>
  <c r="J36" i="1"/>
  <c r="K36" i="1" s="1"/>
  <c r="J35" i="1"/>
  <c r="K35" i="1" s="1"/>
  <c r="J33" i="1"/>
  <c r="K33" i="1" s="1"/>
  <c r="J31" i="1"/>
  <c r="K31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12" i="1"/>
  <c r="O11" i="1" l="1"/>
  <c r="O114" i="1"/>
  <c r="Q26" i="1"/>
  <c r="Q116" i="1"/>
  <c r="Q11" i="1"/>
  <c r="Q114" i="1"/>
  <c r="S11" i="1"/>
  <c r="S114" i="1"/>
  <c r="S26" i="1"/>
  <c r="S116" i="1"/>
  <c r="O26" i="1"/>
  <c r="O116" i="1"/>
  <c r="S63" i="1"/>
  <c r="R108" i="1"/>
  <c r="S108" i="1" s="1"/>
  <c r="R56" i="1"/>
  <c r="S56" i="1" s="1"/>
  <c r="P108" i="1"/>
  <c r="Q108" i="1" s="1"/>
  <c r="P56" i="1"/>
  <c r="N56" i="1"/>
  <c r="O56" i="1" s="1"/>
  <c r="J26" i="1"/>
  <c r="N108" i="1"/>
  <c r="O108" i="1" s="1"/>
  <c r="J78" i="1"/>
  <c r="L26" i="1"/>
  <c r="M29" i="1"/>
  <c r="L11" i="1"/>
  <c r="M12" i="1"/>
  <c r="L78" i="1"/>
  <c r="M78" i="1" s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79" i="1"/>
  <c r="I80" i="1"/>
  <c r="I81" i="1"/>
  <c r="I82" i="1"/>
  <c r="I84" i="1"/>
  <c r="I86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79" i="1"/>
  <c r="I65" i="1"/>
  <c r="I67" i="1"/>
  <c r="I68" i="1"/>
  <c r="I69" i="1"/>
  <c r="I70" i="1"/>
  <c r="I71" i="1"/>
  <c r="I72" i="1"/>
  <c r="I73" i="1"/>
  <c r="I74" i="1"/>
  <c r="I75" i="1"/>
  <c r="I76" i="1"/>
  <c r="I77" i="1"/>
  <c r="I64" i="1"/>
  <c r="I15" i="1"/>
  <c r="I17" i="1"/>
  <c r="I18" i="1"/>
  <c r="I19" i="1"/>
  <c r="I20" i="1"/>
  <c r="I21" i="1"/>
  <c r="I22" i="1"/>
  <c r="I23" i="1"/>
  <c r="I24" i="1"/>
  <c r="I25" i="1"/>
  <c r="J11" i="1"/>
  <c r="K26" i="1" l="1"/>
  <c r="K116" i="1"/>
  <c r="M11" i="1"/>
  <c r="M114" i="1"/>
  <c r="K11" i="1"/>
  <c r="K114" i="1"/>
  <c r="M26" i="1"/>
  <c r="M116" i="1"/>
  <c r="R110" i="1"/>
  <c r="S110" i="1" s="1"/>
  <c r="P110" i="1"/>
  <c r="Q110" i="1" s="1"/>
  <c r="Q56" i="1"/>
  <c r="N110" i="1"/>
  <c r="O110" i="1" s="1"/>
  <c r="J108" i="1"/>
  <c r="K78" i="1"/>
  <c r="L56" i="1"/>
  <c r="M56" i="1" s="1"/>
  <c r="L108" i="1"/>
  <c r="M108" i="1" s="1"/>
  <c r="J56" i="1"/>
  <c r="K56" i="1" s="1"/>
  <c r="K63" i="1"/>
  <c r="G97" i="1"/>
  <c r="G98" i="1"/>
  <c r="E98" i="1"/>
  <c r="H87" i="1"/>
  <c r="I87" i="1" s="1"/>
  <c r="H85" i="1"/>
  <c r="I85" i="1" s="1"/>
  <c r="H83" i="1"/>
  <c r="H66" i="1"/>
  <c r="H48" i="1"/>
  <c r="I48" i="1" s="1"/>
  <c r="H35" i="1"/>
  <c r="I35" i="1" s="1"/>
  <c r="H33" i="1"/>
  <c r="I33" i="1" s="1"/>
  <c r="H34" i="1"/>
  <c r="I34" i="1" s="1"/>
  <c r="H32" i="1"/>
  <c r="I32" i="1" s="1"/>
  <c r="H31" i="1"/>
  <c r="I31" i="1" s="1"/>
  <c r="H14" i="1"/>
  <c r="I14" i="1" s="1"/>
  <c r="H16" i="1"/>
  <c r="I16" i="1" s="1"/>
  <c r="H13" i="1"/>
  <c r="I13" i="1" s="1"/>
  <c r="H12" i="1"/>
  <c r="I12" i="1" s="1"/>
  <c r="H63" i="1" l="1"/>
  <c r="I63" i="1" s="1"/>
  <c r="I66" i="1"/>
  <c r="H78" i="1"/>
  <c r="I83" i="1"/>
  <c r="L110" i="1"/>
  <c r="M110" i="1" s="1"/>
  <c r="K108" i="1"/>
  <c r="J110" i="1"/>
  <c r="K110" i="1" s="1"/>
  <c r="I78" i="1" l="1"/>
  <c r="H108" i="1"/>
  <c r="H26" i="1"/>
  <c r="H11" i="1"/>
  <c r="G81" i="1"/>
  <c r="G89" i="1"/>
  <c r="G90" i="1"/>
  <c r="G91" i="1"/>
  <c r="G92" i="1"/>
  <c r="G94" i="1"/>
  <c r="G95" i="1"/>
  <c r="G96" i="1"/>
  <c r="G99" i="1"/>
  <c r="G100" i="1"/>
  <c r="G101" i="1"/>
  <c r="G102" i="1"/>
  <c r="G103" i="1"/>
  <c r="G104" i="1"/>
  <c r="G105" i="1"/>
  <c r="G106" i="1"/>
  <c r="G107" i="1"/>
  <c r="F93" i="1"/>
  <c r="G93" i="1" s="1"/>
  <c r="F88" i="1"/>
  <c r="G88" i="1" s="1"/>
  <c r="F87" i="1"/>
  <c r="G87" i="1" s="1"/>
  <c r="F85" i="1"/>
  <c r="G85" i="1" s="1"/>
  <c r="F86" i="1"/>
  <c r="G86" i="1" s="1"/>
  <c r="F83" i="1"/>
  <c r="G83" i="1" s="1"/>
  <c r="F84" i="1"/>
  <c r="G84" i="1" s="1"/>
  <c r="F82" i="1"/>
  <c r="G82" i="1" s="1"/>
  <c r="F79" i="1"/>
  <c r="G79" i="1" s="1"/>
  <c r="F80" i="1"/>
  <c r="G80" i="1" s="1"/>
  <c r="F77" i="1"/>
  <c r="F75" i="1"/>
  <c r="F74" i="1"/>
  <c r="F73" i="1"/>
  <c r="F71" i="1"/>
  <c r="F70" i="1"/>
  <c r="U70" i="1" s="1"/>
  <c r="W70" i="1" s="1"/>
  <c r="F68" i="1"/>
  <c r="F67" i="1"/>
  <c r="U67" i="1" s="1"/>
  <c r="W67" i="1" s="1"/>
  <c r="F66" i="1"/>
  <c r="F64" i="1"/>
  <c r="G39" i="1"/>
  <c r="G40" i="1"/>
  <c r="G48" i="1"/>
  <c r="G49" i="1"/>
  <c r="G51" i="1"/>
  <c r="G52" i="1"/>
  <c r="G53" i="1"/>
  <c r="G54" i="1"/>
  <c r="F55" i="1"/>
  <c r="G55" i="1" s="1"/>
  <c r="F50" i="1"/>
  <c r="G50" i="1" s="1"/>
  <c r="F47" i="1"/>
  <c r="G47" i="1" s="1"/>
  <c r="F46" i="1"/>
  <c r="G46" i="1" s="1"/>
  <c r="F45" i="1"/>
  <c r="U45" i="1" s="1"/>
  <c r="W45" i="1" s="1"/>
  <c r="E45" i="1"/>
  <c r="F44" i="1"/>
  <c r="G44" i="1" s="1"/>
  <c r="F43" i="1"/>
  <c r="G43" i="1" s="1"/>
  <c r="F42" i="1"/>
  <c r="G42" i="1" s="1"/>
  <c r="F41" i="1"/>
  <c r="G41" i="1" s="1"/>
  <c r="F38" i="1"/>
  <c r="G38" i="1" s="1"/>
  <c r="F36" i="1"/>
  <c r="G36" i="1" s="1"/>
  <c r="F35" i="1"/>
  <c r="G35" i="1" s="1"/>
  <c r="F33" i="1"/>
  <c r="G33" i="1" s="1"/>
  <c r="F34" i="1"/>
  <c r="G34" i="1" s="1"/>
  <c r="F31" i="1"/>
  <c r="G31" i="1" s="1"/>
  <c r="F32" i="1"/>
  <c r="G32" i="1" s="1"/>
  <c r="D33" i="1"/>
  <c r="D34" i="1"/>
  <c r="D36" i="1"/>
  <c r="U36" i="1" s="1"/>
  <c r="W36" i="1" s="1"/>
  <c r="D35" i="1"/>
  <c r="U35" i="1" s="1"/>
  <c r="W35" i="1" s="1"/>
  <c r="D31" i="1"/>
  <c r="U31" i="1" s="1"/>
  <c r="W31" i="1" s="1"/>
  <c r="D32" i="1"/>
  <c r="U32" i="1" s="1"/>
  <c r="W32" i="1" s="1"/>
  <c r="U33" i="1" l="1"/>
  <c r="W33" i="1" s="1"/>
  <c r="U34" i="1"/>
  <c r="W34" i="1" s="1"/>
  <c r="G45" i="1"/>
  <c r="E35" i="1"/>
  <c r="I11" i="1"/>
  <c r="I114" i="1"/>
  <c r="I26" i="1"/>
  <c r="I116" i="1"/>
  <c r="H56" i="1"/>
  <c r="I56" i="1" s="1"/>
  <c r="I108" i="1"/>
  <c r="F30" i="1"/>
  <c r="G30" i="1" s="1"/>
  <c r="F29" i="1"/>
  <c r="G29" i="1" s="1"/>
  <c r="F27" i="1"/>
  <c r="G27" i="1" s="1"/>
  <c r="F25" i="1"/>
  <c r="F24" i="1"/>
  <c r="F23" i="1"/>
  <c r="F22" i="1"/>
  <c r="F21" i="1"/>
  <c r="F19" i="1"/>
  <c r="F18" i="1"/>
  <c r="G18" i="1" s="1"/>
  <c r="F16" i="1"/>
  <c r="F17" i="1"/>
  <c r="F15" i="1"/>
  <c r="F14" i="1"/>
  <c r="F13" i="1"/>
  <c r="U13" i="1" s="1"/>
  <c r="W13" i="1" s="1"/>
  <c r="F12" i="1"/>
  <c r="G12" i="1" s="1"/>
  <c r="H110" i="1" l="1"/>
  <c r="I110" i="1" s="1"/>
  <c r="F11" i="1"/>
  <c r="G11" i="1" l="1"/>
  <c r="E91" i="1"/>
  <c r="E94" i="1"/>
  <c r="E97" i="1"/>
  <c r="E104" i="1"/>
  <c r="E106" i="1"/>
  <c r="D107" i="1"/>
  <c r="U107" i="1" s="1"/>
  <c r="W107" i="1" s="1"/>
  <c r="D105" i="1"/>
  <c r="U105" i="1" s="1"/>
  <c r="W105" i="1" s="1"/>
  <c r="D103" i="1"/>
  <c r="U103" i="1" s="1"/>
  <c r="W103" i="1" s="1"/>
  <c r="D102" i="1"/>
  <c r="U102" i="1" s="1"/>
  <c r="W102" i="1" s="1"/>
  <c r="D101" i="1"/>
  <c r="U101" i="1" s="1"/>
  <c r="W101" i="1" s="1"/>
  <c r="D100" i="1"/>
  <c r="U100" i="1" s="1"/>
  <c r="W100" i="1" s="1"/>
  <c r="D99" i="1"/>
  <c r="U99" i="1" s="1"/>
  <c r="W99" i="1" s="1"/>
  <c r="D96" i="1"/>
  <c r="U96" i="1" s="1"/>
  <c r="W96" i="1" s="1"/>
  <c r="D95" i="1"/>
  <c r="U95" i="1" s="1"/>
  <c r="W95" i="1" s="1"/>
  <c r="D93" i="1"/>
  <c r="U93" i="1" s="1"/>
  <c r="W93" i="1" s="1"/>
  <c r="D92" i="1"/>
  <c r="U92" i="1" s="1"/>
  <c r="W92" i="1" s="1"/>
  <c r="D90" i="1"/>
  <c r="U90" i="1" s="1"/>
  <c r="W90" i="1" s="1"/>
  <c r="D89" i="1"/>
  <c r="U89" i="1" s="1"/>
  <c r="W89" i="1" s="1"/>
  <c r="D88" i="1"/>
  <c r="U88" i="1" s="1"/>
  <c r="W88" i="1" s="1"/>
  <c r="D87" i="1"/>
  <c r="U87" i="1" s="1"/>
  <c r="W87" i="1" s="1"/>
  <c r="D85" i="1"/>
  <c r="U85" i="1" s="1"/>
  <c r="W85" i="1" s="1"/>
  <c r="D86" i="1"/>
  <c r="U86" i="1" s="1"/>
  <c r="W86" i="1" s="1"/>
  <c r="D83" i="1"/>
  <c r="U83" i="1" s="1"/>
  <c r="W83" i="1" s="1"/>
  <c r="D84" i="1"/>
  <c r="U84" i="1" s="1"/>
  <c r="W84" i="1" s="1"/>
  <c r="D82" i="1"/>
  <c r="U82" i="1" s="1"/>
  <c r="W82" i="1" s="1"/>
  <c r="D81" i="1"/>
  <c r="U81" i="1" s="1"/>
  <c r="W81" i="1" s="1"/>
  <c r="D79" i="1"/>
  <c r="U79" i="1" s="1"/>
  <c r="W79" i="1" s="1"/>
  <c r="D80" i="1"/>
  <c r="U80" i="1" s="1"/>
  <c r="W80" i="1" s="1"/>
  <c r="E65" i="1"/>
  <c r="E67" i="1"/>
  <c r="E69" i="1"/>
  <c r="E70" i="1"/>
  <c r="D76" i="1"/>
  <c r="U76" i="1" s="1"/>
  <c r="W76" i="1" s="1"/>
  <c r="E82" i="1" l="1"/>
  <c r="E99" i="1"/>
  <c r="E103" i="1"/>
  <c r="E95" i="1"/>
  <c r="E81" i="1"/>
  <c r="E84" i="1"/>
  <c r="E107" i="1"/>
  <c r="E101" i="1"/>
  <c r="E83" i="1"/>
  <c r="E87" i="1"/>
  <c r="E90" i="1"/>
  <c r="E80" i="1"/>
  <c r="E79" i="1"/>
  <c r="E105" i="1"/>
  <c r="E85" i="1"/>
  <c r="E88" i="1"/>
  <c r="E89" i="1"/>
  <c r="E96" i="1"/>
  <c r="E100" i="1"/>
  <c r="E102" i="1"/>
  <c r="E86" i="1"/>
  <c r="E76" i="1"/>
  <c r="E92" i="1"/>
  <c r="E93" i="1"/>
  <c r="D77" i="1"/>
  <c r="U77" i="1" s="1"/>
  <c r="W77" i="1" s="1"/>
  <c r="D75" i="1"/>
  <c r="U75" i="1" s="1"/>
  <c r="W75" i="1" s="1"/>
  <c r="D74" i="1"/>
  <c r="U74" i="1" s="1"/>
  <c r="W74" i="1" s="1"/>
  <c r="D73" i="1"/>
  <c r="U73" i="1" s="1"/>
  <c r="W73" i="1" s="1"/>
  <c r="D72" i="1"/>
  <c r="U72" i="1" s="1"/>
  <c r="W72" i="1" s="1"/>
  <c r="D71" i="1"/>
  <c r="U71" i="1" s="1"/>
  <c r="W71" i="1" s="1"/>
  <c r="D68" i="1"/>
  <c r="U68" i="1" s="1"/>
  <c r="W68" i="1" s="1"/>
  <c r="D66" i="1"/>
  <c r="U66" i="1" s="1"/>
  <c r="W66" i="1" s="1"/>
  <c r="D64" i="1"/>
  <c r="U64" i="1" s="1"/>
  <c r="W64" i="1" s="1"/>
  <c r="G69" i="1"/>
  <c r="G68" i="1"/>
  <c r="G71" i="1"/>
  <c r="G70" i="1"/>
  <c r="G73" i="1"/>
  <c r="G72" i="1"/>
  <c r="G75" i="1"/>
  <c r="G74" i="1"/>
  <c r="G77" i="1"/>
  <c r="G76" i="1"/>
  <c r="G67" i="1"/>
  <c r="G65" i="1"/>
  <c r="D29" i="1"/>
  <c r="U29" i="1" s="1"/>
  <c r="W29" i="1" s="1"/>
  <c r="D55" i="1"/>
  <c r="U55" i="1" s="1"/>
  <c r="W55" i="1" s="1"/>
  <c r="D53" i="1"/>
  <c r="U53" i="1" s="1"/>
  <c r="W53" i="1" s="1"/>
  <c r="D52" i="1"/>
  <c r="U52" i="1" s="1"/>
  <c r="W52" i="1" s="1"/>
  <c r="D51" i="1"/>
  <c r="U51" i="1" s="1"/>
  <c r="W51" i="1" s="1"/>
  <c r="D50" i="1"/>
  <c r="U50" i="1" s="1"/>
  <c r="W50" i="1" s="1"/>
  <c r="D49" i="1"/>
  <c r="U49" i="1" s="1"/>
  <c r="W49" i="1" s="1"/>
  <c r="D48" i="1"/>
  <c r="U48" i="1" s="1"/>
  <c r="W48" i="1" s="1"/>
  <c r="D47" i="1"/>
  <c r="U47" i="1" s="1"/>
  <c r="W47" i="1" s="1"/>
  <c r="D46" i="1"/>
  <c r="U46" i="1" s="1"/>
  <c r="W46" i="1" s="1"/>
  <c r="D44" i="1"/>
  <c r="U44" i="1" s="1"/>
  <c r="W44" i="1" s="1"/>
  <c r="D43" i="1"/>
  <c r="U43" i="1" s="1"/>
  <c r="W43" i="1" s="1"/>
  <c r="D42" i="1"/>
  <c r="U42" i="1" s="1"/>
  <c r="W42" i="1" s="1"/>
  <c r="D41" i="1"/>
  <c r="U41" i="1" s="1"/>
  <c r="W41" i="1" s="1"/>
  <c r="D40" i="1"/>
  <c r="U40" i="1" s="1"/>
  <c r="W40" i="1" s="1"/>
  <c r="D39" i="1"/>
  <c r="U39" i="1" s="1"/>
  <c r="W39" i="1" s="1"/>
  <c r="E36" i="1"/>
  <c r="E31" i="1"/>
  <c r="E33" i="1"/>
  <c r="E34" i="1"/>
  <c r="E32" i="1"/>
  <c r="D30" i="1"/>
  <c r="U30" i="1" s="1"/>
  <c r="W30" i="1" s="1"/>
  <c r="D27" i="1"/>
  <c r="U27" i="1" s="1"/>
  <c r="W27" i="1" s="1"/>
  <c r="E13" i="1"/>
  <c r="E20" i="1"/>
  <c r="D25" i="1"/>
  <c r="U25" i="1" s="1"/>
  <c r="W25" i="1" s="1"/>
  <c r="D24" i="1"/>
  <c r="U24" i="1" s="1"/>
  <c r="W24" i="1" s="1"/>
  <c r="D23" i="1"/>
  <c r="U23" i="1" s="1"/>
  <c r="W23" i="1" s="1"/>
  <c r="D22" i="1"/>
  <c r="U22" i="1" s="1"/>
  <c r="W22" i="1" s="1"/>
  <c r="D21" i="1"/>
  <c r="U21" i="1" s="1"/>
  <c r="W21" i="1" s="1"/>
  <c r="G23" i="1"/>
  <c r="G24" i="1"/>
  <c r="G25" i="1"/>
  <c r="D19" i="1"/>
  <c r="U19" i="1" s="1"/>
  <c r="W19" i="1" s="1"/>
  <c r="G20" i="1"/>
  <c r="G21" i="1"/>
  <c r="D18" i="1"/>
  <c r="U18" i="1" s="1"/>
  <c r="W18" i="1" s="1"/>
  <c r="D17" i="1"/>
  <c r="U17" i="1" s="1"/>
  <c r="W17" i="1" s="1"/>
  <c r="D16" i="1"/>
  <c r="U16" i="1" s="1"/>
  <c r="W16" i="1" s="1"/>
  <c r="D15" i="1"/>
  <c r="U15" i="1" s="1"/>
  <c r="W15" i="1" s="1"/>
  <c r="D14" i="1"/>
  <c r="U14" i="1" s="1"/>
  <c r="W14" i="1" s="1"/>
  <c r="D12" i="1"/>
  <c r="U12" i="1" s="1"/>
  <c r="W12" i="1" s="1"/>
  <c r="G16" i="1"/>
  <c r="G22" i="1"/>
  <c r="G13" i="1"/>
  <c r="G14" i="1"/>
  <c r="F78" i="1"/>
  <c r="F63" i="1"/>
  <c r="G64" i="1"/>
  <c r="F26" i="1"/>
  <c r="G17" i="1"/>
  <c r="G19" i="1"/>
  <c r="G15" i="1"/>
  <c r="E12" i="1" l="1"/>
  <c r="G26" i="1"/>
  <c r="G116" i="1"/>
  <c r="E51" i="1"/>
  <c r="E44" i="1"/>
  <c r="E46" i="1"/>
  <c r="E16" i="1"/>
  <c r="E18" i="1"/>
  <c r="E52" i="1"/>
  <c r="E64" i="1"/>
  <c r="E25" i="1"/>
  <c r="E14" i="1"/>
  <c r="E55" i="1"/>
  <c r="E68" i="1"/>
  <c r="E47" i="1"/>
  <c r="E24" i="1"/>
  <c r="E39" i="1"/>
  <c r="E72" i="1"/>
  <c r="E30" i="1"/>
  <c r="E53" i="1"/>
  <c r="E19" i="1"/>
  <c r="E73" i="1"/>
  <c r="E15" i="1"/>
  <c r="E49" i="1"/>
  <c r="E17" i="1"/>
  <c r="E21" i="1"/>
  <c r="E41" i="1"/>
  <c r="E74" i="1"/>
  <c r="E66" i="1"/>
  <c r="E29" i="1"/>
  <c r="E22" i="1"/>
  <c r="E42" i="1"/>
  <c r="E75" i="1"/>
  <c r="E48" i="1"/>
  <c r="E50" i="1"/>
  <c r="G63" i="1"/>
  <c r="G114" i="1"/>
  <c r="E71" i="1"/>
  <c r="E40" i="1"/>
  <c r="E23" i="1"/>
  <c r="E43" i="1"/>
  <c r="E77" i="1"/>
  <c r="D63" i="1"/>
  <c r="D11" i="1"/>
  <c r="D38" i="1"/>
  <c r="U38" i="1" s="1"/>
  <c r="W38" i="1" s="1"/>
  <c r="F108" i="1"/>
  <c r="G108" i="1" s="1"/>
  <c r="G78" i="1"/>
  <c r="E27" i="1"/>
  <c r="D78" i="1"/>
  <c r="G66" i="1"/>
  <c r="E78" i="1" l="1"/>
  <c r="U78" i="1"/>
  <c r="W78" i="1" s="1"/>
  <c r="E114" i="1"/>
  <c r="U11" i="1"/>
  <c r="W11" i="1" s="1"/>
  <c r="E63" i="1"/>
  <c r="U63" i="1"/>
  <c r="W63" i="1" s="1"/>
  <c r="E38" i="1"/>
  <c r="E11" i="1"/>
  <c r="D26" i="1"/>
  <c r="U26" i="1" s="1"/>
  <c r="W26" i="1" s="1"/>
  <c r="D108" i="1"/>
  <c r="F56" i="1"/>
  <c r="G56" i="1" s="1"/>
  <c r="E108" i="1" l="1"/>
  <c r="U108" i="1"/>
  <c r="W108" i="1" s="1"/>
  <c r="E26" i="1"/>
  <c r="E116" i="1"/>
  <c r="D56" i="1"/>
  <c r="F110" i="1"/>
  <c r="G110" i="1" s="1"/>
  <c r="E56" i="1" l="1"/>
  <c r="U56" i="1"/>
  <c r="W56" i="1" s="1"/>
  <c r="D110" i="1"/>
  <c r="E110" i="1" l="1"/>
  <c r="U110" i="1"/>
  <c r="W1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Eastwood</author>
  </authors>
  <commentList>
    <comment ref="D54" authorId="0" shapeId="0" xr:uid="{7E397B32-5E87-4D67-91A9-38344574D2F1}">
      <text>
        <r>
          <rPr>
            <b/>
            <sz val="9"/>
            <color indexed="81"/>
            <rFont val="Tahoma"/>
            <family val="2"/>
          </rPr>
          <t>Matthew Eastwood:</t>
        </r>
        <r>
          <rPr>
            <sz val="9"/>
            <color indexed="81"/>
            <rFont val="Tahoma"/>
            <family val="2"/>
          </rPr>
          <t xml:space="preserve">
Included</t>
        </r>
      </text>
    </comment>
    <comment ref="N106" authorId="0" shapeId="0" xr:uid="{CD47AC1D-0E07-4CB5-A16E-735A01F61061}">
      <text>
        <r>
          <rPr>
            <b/>
            <sz val="9"/>
            <color indexed="81"/>
            <rFont val="Tahoma"/>
            <family val="2"/>
          </rPr>
          <t>Matthew Eastwood:</t>
        </r>
        <r>
          <rPr>
            <sz val="9"/>
            <color indexed="81"/>
            <rFont val="Tahoma"/>
            <family val="2"/>
          </rPr>
          <t xml:space="preserve">
Included</t>
        </r>
      </text>
    </comment>
  </commentList>
</comments>
</file>

<file path=xl/sharedStrings.xml><?xml version="1.0" encoding="utf-8"?>
<sst xmlns="http://schemas.openxmlformats.org/spreadsheetml/2006/main" count="5808" uniqueCount="158">
  <si>
    <t>50% SCHEMATIC DESIGN COST PLAN</t>
  </si>
  <si>
    <t>REF</t>
  </si>
  <si>
    <t>ELEMENTAL BREAKDOWN</t>
  </si>
  <si>
    <t>MECHANICAL SERVICES</t>
  </si>
  <si>
    <t>ELECTRICAL SERVICES</t>
  </si>
  <si>
    <t>Earthing &amp; Lightning Protection</t>
  </si>
  <si>
    <t>SUB-TOTAL BELOW GROUND</t>
  </si>
  <si>
    <t>SUB-TOTAL ABOVE GROUND</t>
  </si>
  <si>
    <t>ABOVE &amp; BELOW MEP SUB-TOTAL</t>
  </si>
  <si>
    <t>AED / m2 (GIA)</t>
  </si>
  <si>
    <r>
      <rPr>
        <b/>
        <sz val="6.5"/>
        <color rgb="FFB02319"/>
        <rFont val="Arial"/>
        <family val="2"/>
      </rPr>
      <t>MEP COST BENCHMARK</t>
    </r>
    <r>
      <rPr>
        <sz val="6.5"/>
        <color rgb="FFB02319"/>
        <rFont val="Arial"/>
        <family val="2"/>
      </rPr>
      <t xml:space="preserve">: </t>
    </r>
    <r>
      <rPr>
        <sz val="6.5"/>
        <rFont val="Arial"/>
        <family val="2"/>
      </rPr>
      <t>CITY WALK PLOT COMPARISON</t>
    </r>
  </si>
  <si>
    <t>AED</t>
  </si>
  <si>
    <t>Plot 5.5 - B+GF+POD</t>
  </si>
  <si>
    <t>CRC - Awarded</t>
  </si>
  <si>
    <t>Drainage - Distribution</t>
  </si>
  <si>
    <t>Drainage - Equipment</t>
  </si>
  <si>
    <t>Water Supply - Distribution</t>
  </si>
  <si>
    <t>Water Supply - Equipment</t>
  </si>
  <si>
    <t>Fire Protection - Distribution</t>
  </si>
  <si>
    <t>Fire Protection - Equipment</t>
  </si>
  <si>
    <t>Fire Protection - Suppression Systems</t>
  </si>
  <si>
    <t>Chilled Water - Distribution</t>
  </si>
  <si>
    <t>Chilled Water - Equipment</t>
  </si>
  <si>
    <t>Air Conditioning - Distribution</t>
  </si>
  <si>
    <t>Air Conditioning - Equipment</t>
  </si>
  <si>
    <t>Ventilation - Distribution</t>
  </si>
  <si>
    <t>Ventilation - Equipment</t>
  </si>
  <si>
    <t>Sundries &amp; BWIC</t>
  </si>
  <si>
    <t>5.11.1</t>
  </si>
  <si>
    <t>Sub-Main Cable + Containment</t>
  </si>
  <si>
    <t>LV Switchgear</t>
  </si>
  <si>
    <t>Small Power</t>
  </si>
  <si>
    <t>Lighting - Cable + Install</t>
  </si>
  <si>
    <t>Lighting - Supply</t>
  </si>
  <si>
    <t>Façade - Cable + Install</t>
  </si>
  <si>
    <t>Façade - Supply</t>
  </si>
  <si>
    <t>Lighting - Control Equipment</t>
  </si>
  <si>
    <t>Central Battery - Distribution</t>
  </si>
  <si>
    <t>Central Battery - Equipment</t>
  </si>
  <si>
    <t>Fire Alarm - Distribution</t>
  </si>
  <si>
    <t>Fire Alarm - Equipment</t>
  </si>
  <si>
    <t>ICT - Distribution</t>
  </si>
  <si>
    <t>ICT - Equipment</t>
  </si>
  <si>
    <t>Intercom - Distribution</t>
  </si>
  <si>
    <t>CCTV - Distribution</t>
  </si>
  <si>
    <t>CCTV - Equipment</t>
  </si>
  <si>
    <t>Access Control - Distribution</t>
  </si>
  <si>
    <t>Access Control - Equipment</t>
  </si>
  <si>
    <t>Duress/Panic Alarm</t>
  </si>
  <si>
    <t>Disabled Alarm System</t>
  </si>
  <si>
    <t>Gate Barrier System</t>
  </si>
  <si>
    <t>BMS</t>
  </si>
  <si>
    <t>5.12.1.7</t>
  </si>
  <si>
    <t>5.14.1</t>
  </si>
  <si>
    <t>Plot 5.5 - Tower</t>
  </si>
  <si>
    <t>Busbar</t>
  </si>
  <si>
    <t>Lighting - Switching &amp; Control</t>
  </si>
  <si>
    <t>Air Craft Warning System</t>
  </si>
  <si>
    <t>AV - Equipment</t>
  </si>
  <si>
    <t>PIC - Awarded</t>
  </si>
  <si>
    <t>BGM/PA - Distribution</t>
  </si>
  <si>
    <t>Plot 5.6 - B+GF+POD</t>
  </si>
  <si>
    <t>Plot 5.6 - Tower</t>
  </si>
  <si>
    <t>Plot 5.8 - B+GF</t>
  </si>
  <si>
    <t>Plot 5.8 - Tower</t>
  </si>
  <si>
    <t>EIC - Awarded</t>
  </si>
  <si>
    <t>BGM/PA</t>
  </si>
  <si>
    <t>GCC - Awarded</t>
  </si>
  <si>
    <t>Plot 5.2 - B+GF+POD</t>
  </si>
  <si>
    <t>Plot 5.2 - Tower</t>
  </si>
  <si>
    <t>Plot 5.3 - B+GF</t>
  </si>
  <si>
    <t>Plot 5.3 - Tower</t>
  </si>
  <si>
    <t>Plot 5.4 - Tower</t>
  </si>
  <si>
    <t>Plot 5.4 - B+GF+POD</t>
  </si>
  <si>
    <t>Plot 5.7 - B+GF+POD</t>
  </si>
  <si>
    <t>Plot 5.7 - Tower</t>
  </si>
  <si>
    <t>Plot 5.10 - B+GF</t>
  </si>
  <si>
    <t>Plot 5.10 - Tower</t>
  </si>
  <si>
    <t>CITY WALK AWARDED TRACKER</t>
  </si>
  <si>
    <t>Refrigerant Tonnage (TR)</t>
  </si>
  <si>
    <t>Electrical Load (TCL - kW)</t>
  </si>
  <si>
    <t>COOLING &amp; ELECTRICAL LOAD</t>
  </si>
  <si>
    <t>BUILDINGS</t>
  </si>
  <si>
    <t>UAE</t>
  </si>
  <si>
    <t>Dubai</t>
  </si>
  <si>
    <t>DHRE</t>
  </si>
  <si>
    <t>Award</t>
  </si>
  <si>
    <t>Ginco</t>
  </si>
  <si>
    <t>Eastern International</t>
  </si>
  <si>
    <t>ECRC</t>
  </si>
  <si>
    <t>Parkway International</t>
  </si>
  <si>
    <t>Asset</t>
  </si>
  <si>
    <t>City</t>
  </si>
  <si>
    <t>Project</t>
  </si>
  <si>
    <t>Status</t>
  </si>
  <si>
    <t>Contractor</t>
  </si>
  <si>
    <t>Country</t>
  </si>
  <si>
    <t>Developer</t>
  </si>
  <si>
    <t>Alias</t>
  </si>
  <si>
    <t>Base Date</t>
  </si>
  <si>
    <t>Procurement</t>
  </si>
  <si>
    <t>Contract Type</t>
  </si>
  <si>
    <t>Currency</t>
  </si>
  <si>
    <t>Chart</t>
  </si>
  <si>
    <t>Competitive - Traditional</t>
  </si>
  <si>
    <t>Fixed Price Lump Sum</t>
  </si>
  <si>
    <t>A23.7</t>
  </si>
  <si>
    <t>A23.6</t>
  </si>
  <si>
    <t>A24.1</t>
  </si>
  <si>
    <t>A23.8</t>
  </si>
  <si>
    <t>A23.5</t>
  </si>
  <si>
    <t>A23.4</t>
  </si>
  <si>
    <t>A24.4</t>
  </si>
  <si>
    <t>A24.5</t>
  </si>
  <si>
    <t>Citywalk Phase 5.10</t>
  </si>
  <si>
    <t>Citywalk Phase 5.08</t>
  </si>
  <si>
    <t>Citywalk Phase 5.03</t>
  </si>
  <si>
    <t>Citywalk Phase 5.02</t>
  </si>
  <si>
    <t>Citywalk Phase 5.07</t>
  </si>
  <si>
    <t>Citywalk Phase 5.06</t>
  </si>
  <si>
    <t>Citywalk Phase 5.04</t>
  </si>
  <si>
    <t>Citywalk Phase 5.05</t>
  </si>
  <si>
    <t>Basement + Ground Floor</t>
  </si>
  <si>
    <t>Basement + Ground Floor + Podium</t>
  </si>
  <si>
    <t>Tower</t>
  </si>
  <si>
    <t>NRM Lvl</t>
  </si>
  <si>
    <t>Services</t>
  </si>
  <si>
    <t>Mechanical</t>
  </si>
  <si>
    <t>Areas (Below Ground)</t>
  </si>
  <si>
    <t>Areas (Above Ground)</t>
  </si>
  <si>
    <t>Element</t>
  </si>
  <si>
    <t>GIA(m2) - Below Ground</t>
  </si>
  <si>
    <t>GIA(m2) - Above Ground</t>
  </si>
  <si>
    <t>GIA(m2) -  Above &amp; Below Ground</t>
  </si>
  <si>
    <t>Costs - Below Ground</t>
  </si>
  <si>
    <t>Costs - Above Ground</t>
  </si>
  <si>
    <t>Costs - Above &amp; Below Ground</t>
  </si>
  <si>
    <t>Cost/GIA (AED/m2) - Below Ground</t>
  </si>
  <si>
    <t>Cost/GIA (AED/m2) - Above Ground</t>
  </si>
  <si>
    <t>Cost/GIA (AED/m2) - Above &amp; Below Ground</t>
  </si>
  <si>
    <t>Citywalk Phase 5.10 - Mechanical</t>
  </si>
  <si>
    <t>Citywalk Phase 5.08 - Mechanical</t>
  </si>
  <si>
    <t>Citywalk Phase 5.03 - Mechanical</t>
  </si>
  <si>
    <t>Citywalk Phase 5.02 - Mechanical</t>
  </si>
  <si>
    <t>Citywalk Phase 5.07 - Mechanical</t>
  </si>
  <si>
    <t>Citywalk Phase 5.06 - Mechanical</t>
  </si>
  <si>
    <t>Citywalk Phase 5.04 - Mechanical</t>
  </si>
  <si>
    <t>Citywalk Phase 5.05 - Mechanical</t>
  </si>
  <si>
    <t>Electrical</t>
  </si>
  <si>
    <t>Citywalk Phase 5.10 - Electrical</t>
  </si>
  <si>
    <t>Citywalk Phase 5.08 - Electrical</t>
  </si>
  <si>
    <t>Citywalk Phase 5.03 - Electrical</t>
  </si>
  <si>
    <t>Citywalk Phase 5.02 - Electrical</t>
  </si>
  <si>
    <t>Citywalk Phase 5.07 - Electrical</t>
  </si>
  <si>
    <t>Citywalk Phase 5.06 - Electrical</t>
  </si>
  <si>
    <t>Citywalk Phase 5.04 - Electrical</t>
  </si>
  <si>
    <t>Citywalk Phase 5.05 - Electrical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</si>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</sst>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_ ;[Red]\-#,##0\ "/>
    <numFmt numFmtId="167" formatCode="#,##0&quot; m2&quot;"/>
    <numFmt numFmtId="174" formatCode="yyyy"/>
    <numFmt numFmtId="175" formatCode="_(* #,##0_);_(* \(#,##0\);_(* &quot;-&quot;??_);_(@_)"/>
  </numFmts>
  <fonts count="2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6.5"/>
      <name val="Arial"/>
      <family val="2"/>
    </font>
    <font>
      <b/>
      <sz val="10"/>
      <color rgb="FFC51F30"/>
      <name val="Arial"/>
      <family val="2"/>
    </font>
    <font>
      <sz val="6.5"/>
      <name val="Arial"/>
      <family val="2"/>
    </font>
    <font>
      <b/>
      <sz val="6.5"/>
      <color rgb="FFB02319"/>
      <name val="Arial"/>
      <family val="2"/>
    </font>
    <font>
      <sz val="6.5"/>
      <color rgb="FFB02319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sz val="9"/>
      <color rgb="FF18404B"/>
      <name val="Arial"/>
      <family val="2"/>
    </font>
    <font>
      <b/>
      <sz val="10"/>
      <color rgb="FF18404B"/>
      <name val="Arial"/>
      <family val="2"/>
    </font>
    <font>
      <sz val="10"/>
      <color rgb="FF18404B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E4D"/>
        <bgColor indexed="64"/>
      </patternFill>
    </fill>
    <fill>
      <patternFill patternType="solid">
        <fgColor rgb="FF184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ABC7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0" fontId="3" fillId="0" borderId="0"/>
  </cellStyleXfs>
  <cellXfs count="177">
    <xf numFmtId="0" fontId="0" fillId="0" borderId="0" xfId="0"/>
    <xf numFmtId="0" fontId="3" fillId="2" borderId="0" xfId="2" applyFill="1" applyAlignment="1">
      <alignment vertical="center"/>
    </xf>
    <xf numFmtId="0" fontId="5" fillId="2" borderId="0" xfId="2" applyFont="1" applyFill="1" applyAlignment="1">
      <alignment vertical="center"/>
    </xf>
    <xf numFmtId="165" fontId="3" fillId="0" borderId="0" xfId="4" applyNumberFormat="1" applyFont="1" applyAlignment="1">
      <alignment horizontal="left" vertical="center"/>
    </xf>
    <xf numFmtId="0" fontId="3" fillId="0" borderId="0" xfId="5" applyAlignment="1">
      <alignment vertical="center"/>
    </xf>
    <xf numFmtId="166" fontId="3" fillId="0" borderId="0" xfId="5" applyNumberFormat="1" applyAlignment="1">
      <alignment vertical="center"/>
    </xf>
    <xf numFmtId="0" fontId="3" fillId="0" borderId="0" xfId="2" applyAlignment="1">
      <alignment vertical="center"/>
    </xf>
    <xf numFmtId="0" fontId="6" fillId="0" borderId="1" xfId="3" applyFont="1" applyBorder="1" applyAlignment="1">
      <alignment vertical="center"/>
    </xf>
    <xf numFmtId="0" fontId="9" fillId="2" borderId="1" xfId="2" applyFont="1" applyFill="1" applyBorder="1" applyAlignment="1">
      <alignment horizontal="left" vertical="center" indent="1"/>
    </xf>
    <xf numFmtId="0" fontId="9" fillId="2" borderId="0" xfId="2" applyFont="1" applyFill="1" applyAlignment="1">
      <alignment vertical="center"/>
    </xf>
    <xf numFmtId="165" fontId="9" fillId="0" borderId="0" xfId="4" applyNumberFormat="1" applyFont="1" applyAlignment="1">
      <alignment horizontal="left" vertical="center"/>
    </xf>
    <xf numFmtId="0" fontId="9" fillId="0" borderId="0" xfId="2" applyFont="1" applyAlignment="1">
      <alignment vertical="center"/>
    </xf>
    <xf numFmtId="0" fontId="10" fillId="2" borderId="0" xfId="2" applyFont="1" applyFill="1" applyAlignment="1">
      <alignment horizontal="center" vertical="center"/>
    </xf>
    <xf numFmtId="0" fontId="3" fillId="2" borderId="0" xfId="2" applyFill="1" applyAlignment="1">
      <alignment horizontal="left" vertical="center" indent="1"/>
    </xf>
    <xf numFmtId="0" fontId="3" fillId="2" borderId="2" xfId="2" applyFill="1" applyBorder="1" applyAlignment="1">
      <alignment vertical="center"/>
    </xf>
    <xf numFmtId="165" fontId="3" fillId="0" borderId="2" xfId="4" applyNumberFormat="1" applyFont="1" applyBorder="1" applyAlignment="1">
      <alignment horizontal="left" vertical="center"/>
    </xf>
    <xf numFmtId="0" fontId="3" fillId="0" borderId="2" xfId="5" applyBorder="1" applyAlignment="1">
      <alignment vertical="center"/>
    </xf>
    <xf numFmtId="166" fontId="3" fillId="0" borderId="2" xfId="5" applyNumberFormat="1" applyBorder="1" applyAlignment="1">
      <alignment vertical="center"/>
    </xf>
    <xf numFmtId="0" fontId="3" fillId="0" borderId="2" xfId="2" applyBorder="1" applyAlignment="1">
      <alignment vertical="center"/>
    </xf>
    <xf numFmtId="0" fontId="12" fillId="2" borderId="0" xfId="2" applyFont="1" applyFill="1" applyAlignment="1">
      <alignment horizontal="left" vertical="center" indent="1"/>
    </xf>
    <xf numFmtId="0" fontId="14" fillId="2" borderId="0" xfId="2" applyFont="1" applyFill="1" applyAlignment="1">
      <alignment vertical="center" wrapText="1"/>
    </xf>
    <xf numFmtId="165" fontId="3" fillId="0" borderId="0" xfId="4" applyNumberFormat="1" applyFont="1" applyBorder="1" applyAlignment="1">
      <alignment horizontal="left" vertical="center"/>
    </xf>
    <xf numFmtId="3" fontId="11" fillId="0" borderId="0" xfId="2" applyNumberFormat="1" applyFont="1" applyAlignment="1">
      <alignment vertical="center"/>
    </xf>
    <xf numFmtId="43" fontId="3" fillId="0" borderId="0" xfId="4" applyFont="1" applyAlignment="1">
      <alignment vertical="center"/>
    </xf>
    <xf numFmtId="0" fontId="15" fillId="2" borderId="0" xfId="2" applyFont="1" applyFill="1" applyAlignment="1">
      <alignment vertical="center"/>
    </xf>
    <xf numFmtId="0" fontId="15" fillId="2" borderId="7" xfId="2" applyFont="1" applyFill="1" applyBorder="1" applyAlignment="1">
      <alignment horizontal="left" vertical="center"/>
    </xf>
    <xf numFmtId="0" fontId="15" fillId="2" borderId="0" xfId="2" applyFont="1" applyFill="1" applyAlignment="1">
      <alignment horizontal="left" vertical="center"/>
    </xf>
    <xf numFmtId="165" fontId="15" fillId="0" borderId="0" xfId="4" applyNumberFormat="1" applyFont="1" applyBorder="1" applyAlignment="1">
      <alignment horizontal="left" vertical="center"/>
    </xf>
    <xf numFmtId="0" fontId="15" fillId="0" borderId="0" xfId="2" applyFont="1" applyAlignment="1">
      <alignment vertical="center"/>
    </xf>
    <xf numFmtId="0" fontId="15" fillId="5" borderId="11" xfId="2" applyFont="1" applyFill="1" applyBorder="1" applyAlignment="1">
      <alignment horizontal="center" vertical="center"/>
    </xf>
    <xf numFmtId="167" fontId="3" fillId="5" borderId="13" xfId="5" applyNumberFormat="1" applyFill="1" applyBorder="1" applyAlignment="1">
      <alignment horizontal="center" vertical="center"/>
    </xf>
    <xf numFmtId="167" fontId="3" fillId="5" borderId="14" xfId="5" applyNumberFormat="1" applyFill="1" applyBorder="1" applyAlignment="1">
      <alignment horizontal="center" vertical="center"/>
    </xf>
    <xf numFmtId="0" fontId="15" fillId="2" borderId="15" xfId="2" applyFont="1" applyFill="1" applyBorder="1" applyAlignment="1">
      <alignment vertical="center"/>
    </xf>
    <xf numFmtId="0" fontId="15" fillId="2" borderId="16" xfId="2" applyFont="1" applyFill="1" applyBorder="1" applyAlignment="1">
      <alignment vertical="center"/>
    </xf>
    <xf numFmtId="0" fontId="15" fillId="2" borderId="17" xfId="2" applyFont="1" applyFill="1" applyBorder="1" applyAlignment="1">
      <alignment vertical="center"/>
    </xf>
    <xf numFmtId="0" fontId="15" fillId="6" borderId="3" xfId="2" applyFont="1" applyFill="1" applyBorder="1" applyAlignment="1">
      <alignment horizontal="center" vertical="center"/>
    </xf>
    <xf numFmtId="0" fontId="15" fillId="6" borderId="4" xfId="2" applyFont="1" applyFill="1" applyBorder="1" applyAlignment="1">
      <alignment horizontal="left" vertical="center"/>
    </xf>
    <xf numFmtId="38" fontId="15" fillId="6" borderId="18" xfId="2" applyNumberFormat="1" applyFont="1" applyFill="1" applyBorder="1" applyAlignment="1">
      <alignment horizontal="center" vertical="center"/>
    </xf>
    <xf numFmtId="3" fontId="15" fillId="6" borderId="19" xfId="2" applyNumberFormat="1" applyFont="1" applyFill="1" applyBorder="1" applyAlignment="1">
      <alignment horizontal="center" vertical="center"/>
    </xf>
    <xf numFmtId="3" fontId="15" fillId="6" borderId="20" xfId="2" applyNumberFormat="1" applyFont="1" applyFill="1" applyBorder="1" applyAlignment="1">
      <alignment horizontal="center" vertical="center"/>
    </xf>
    <xf numFmtId="0" fontId="3" fillId="0" borderId="0" xfId="5" applyAlignment="1">
      <alignment horizontal="left" vertical="center"/>
    </xf>
    <xf numFmtId="0" fontId="3" fillId="2" borderId="7" xfId="2" applyFill="1" applyBorder="1" applyAlignment="1">
      <alignment horizontal="center" vertical="center"/>
    </xf>
    <xf numFmtId="0" fontId="3" fillId="2" borderId="21" xfId="2" applyFill="1" applyBorder="1" applyAlignment="1">
      <alignment horizontal="left" vertical="center"/>
    </xf>
    <xf numFmtId="165" fontId="3" fillId="2" borderId="15" xfId="1" applyNumberFormat="1" applyFont="1" applyFill="1" applyBorder="1" applyAlignment="1">
      <alignment horizontal="center" vertical="center"/>
    </xf>
    <xf numFmtId="3" fontId="3" fillId="2" borderId="22" xfId="2" applyNumberFormat="1" applyFill="1" applyBorder="1" applyAlignment="1">
      <alignment vertical="center"/>
    </xf>
    <xf numFmtId="0" fontId="15" fillId="6" borderId="23" xfId="2" applyFont="1" applyFill="1" applyBorder="1" applyAlignment="1">
      <alignment horizontal="left" vertical="center"/>
    </xf>
    <xf numFmtId="2" fontId="3" fillId="2" borderId="7" xfId="2" applyNumberFormat="1" applyFill="1" applyBorder="1" applyAlignment="1">
      <alignment horizontal="center" vertical="center"/>
    </xf>
    <xf numFmtId="38" fontId="11" fillId="3" borderId="24" xfId="4" applyNumberFormat="1" applyFont="1" applyFill="1" applyBorder="1" applyAlignment="1">
      <alignment horizontal="center" vertical="center"/>
    </xf>
    <xf numFmtId="3" fontId="11" fillId="3" borderId="19" xfId="4" applyNumberFormat="1" applyFont="1" applyFill="1" applyBorder="1" applyAlignment="1">
      <alignment horizontal="center" vertical="center"/>
    </xf>
    <xf numFmtId="38" fontId="11" fillId="3" borderId="18" xfId="4" applyNumberFormat="1" applyFont="1" applyFill="1" applyBorder="1" applyAlignment="1">
      <alignment horizontal="center" vertical="center"/>
    </xf>
    <xf numFmtId="3" fontId="11" fillId="3" borderId="20" xfId="4" applyNumberFormat="1" applyFont="1" applyFill="1" applyBorder="1" applyAlignment="1">
      <alignment horizontal="center" vertical="center"/>
    </xf>
    <xf numFmtId="167" fontId="3" fillId="5" borderId="25" xfId="5" applyNumberFormat="1" applyFill="1" applyBorder="1" applyAlignment="1">
      <alignment horizontal="center" vertical="center"/>
    </xf>
    <xf numFmtId="0" fontId="15" fillId="2" borderId="7" xfId="2" applyFont="1" applyFill="1" applyBorder="1" applyAlignment="1">
      <alignment horizontal="center" vertical="center"/>
    </xf>
    <xf numFmtId="38" fontId="3" fillId="2" borderId="15" xfId="2" applyNumberFormat="1" applyFill="1" applyBorder="1" applyAlignment="1">
      <alignment horizontal="center" vertical="center"/>
    </xf>
    <xf numFmtId="3" fontId="3" fillId="2" borderId="16" xfId="2" applyNumberFormat="1" applyFill="1" applyBorder="1" applyAlignment="1">
      <alignment vertical="center"/>
    </xf>
    <xf numFmtId="3" fontId="3" fillId="2" borderId="17" xfId="2" applyNumberFormat="1" applyFill="1" applyBorder="1" applyAlignment="1">
      <alignment vertical="center"/>
    </xf>
    <xf numFmtId="3" fontId="15" fillId="6" borderId="26" xfId="2" applyNumberFormat="1" applyFont="1" applyFill="1" applyBorder="1" applyAlignment="1">
      <alignment horizontal="center" vertical="center"/>
    </xf>
    <xf numFmtId="0" fontId="3" fillId="2" borderId="0" xfId="2" applyFill="1" applyAlignment="1">
      <alignment horizontal="left" vertical="center"/>
    </xf>
    <xf numFmtId="0" fontId="0" fillId="0" borderId="6" xfId="0" applyBorder="1"/>
    <xf numFmtId="164" fontId="3" fillId="2" borderId="15" xfId="1" applyFont="1" applyFill="1" applyBorder="1" applyAlignment="1">
      <alignment horizontal="right" vertical="center"/>
    </xf>
    <xf numFmtId="165" fontId="3" fillId="2" borderId="15" xfId="1" applyNumberFormat="1" applyFont="1" applyFill="1" applyBorder="1" applyAlignment="1">
      <alignment horizontal="right" vertical="center"/>
    </xf>
    <xf numFmtId="0" fontId="4" fillId="0" borderId="0" xfId="3" applyFont="1" applyAlignment="1">
      <alignment vertical="center"/>
    </xf>
    <xf numFmtId="0" fontId="0" fillId="0" borderId="21" xfId="0" applyBorder="1"/>
    <xf numFmtId="0" fontId="0" fillId="0" borderId="3" xfId="0" applyBorder="1"/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9" fillId="0" borderId="0" xfId="0" applyFont="1"/>
    <xf numFmtId="0" fontId="9" fillId="0" borderId="21" xfId="0" applyFont="1" applyBorder="1"/>
    <xf numFmtId="0" fontId="9" fillId="0" borderId="15" xfId="0" applyFont="1" applyBorder="1"/>
    <xf numFmtId="0" fontId="9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0" fillId="5" borderId="0" xfId="0" applyFill="1"/>
    <xf numFmtId="0" fontId="0" fillId="5" borderId="21" xfId="0" applyFill="1" applyBorder="1"/>
    <xf numFmtId="0" fontId="0" fillId="5" borderId="15" xfId="0" applyFill="1" applyBorder="1"/>
    <xf numFmtId="0" fontId="0" fillId="0" borderId="4" xfId="0" applyBorder="1"/>
    <xf numFmtId="0" fontId="0" fillId="0" borderId="23" xfId="0" applyBorder="1"/>
    <xf numFmtId="0" fontId="0" fillId="5" borderId="10" xfId="0" applyFill="1" applyBorder="1"/>
    <xf numFmtId="0" fontId="0" fillId="5" borderId="11" xfId="0" applyFill="1" applyBorder="1"/>
    <xf numFmtId="0" fontId="0" fillId="0" borderId="19" xfId="0" applyBorder="1"/>
    <xf numFmtId="0" fontId="0" fillId="0" borderId="18" xfId="0" applyBorder="1"/>
    <xf numFmtId="0" fontId="0" fillId="5" borderId="19" xfId="0" applyFill="1" applyBorder="1"/>
    <xf numFmtId="0" fontId="0" fillId="5" borderId="18" xfId="0" applyFill="1" applyBorder="1"/>
    <xf numFmtId="0" fontId="16" fillId="5" borderId="0" xfId="0" applyFont="1" applyFill="1" applyAlignment="1">
      <alignment horizontal="center" vertical="center"/>
    </xf>
    <xf numFmtId="0" fontId="0" fillId="5" borderId="24" xfId="0" applyFill="1" applyBorder="1"/>
    <xf numFmtId="0" fontId="0" fillId="0" borderId="2" xfId="0" applyBorder="1"/>
    <xf numFmtId="0" fontId="0" fillId="0" borderId="27" xfId="0" applyBorder="1"/>
    <xf numFmtId="0" fontId="9" fillId="0" borderId="16" xfId="0" applyFont="1" applyBorder="1"/>
    <xf numFmtId="165" fontId="9" fillId="6" borderId="21" xfId="0" applyNumberFormat="1" applyFont="1" applyFill="1" applyBorder="1" applyAlignment="1">
      <alignment vertical="center"/>
    </xf>
    <xf numFmtId="165" fontId="9" fillId="6" borderId="21" xfId="1" applyNumberFormat="1" applyFont="1" applyFill="1" applyBorder="1" applyAlignment="1">
      <alignment vertical="center"/>
    </xf>
    <xf numFmtId="165" fontId="9" fillId="6" borderId="16" xfId="1" applyNumberFormat="1" applyFont="1" applyFill="1" applyBorder="1" applyAlignment="1">
      <alignment vertical="center"/>
    </xf>
    <xf numFmtId="165" fontId="9" fillId="6" borderId="15" xfId="1" applyNumberFormat="1" applyFont="1" applyFill="1" applyBorder="1" applyAlignment="1">
      <alignment vertical="center"/>
    </xf>
    <xf numFmtId="167" fontId="0" fillId="0" borderId="0" xfId="0" applyNumberFormat="1"/>
    <xf numFmtId="3" fontId="11" fillId="3" borderId="7" xfId="2" applyNumberFormat="1" applyFont="1" applyFill="1" applyBorder="1" applyAlignment="1">
      <alignment horizontal="center" vertical="center"/>
    </xf>
    <xf numFmtId="3" fontId="11" fillId="3" borderId="0" xfId="2" applyNumberFormat="1" applyFont="1" applyFill="1" applyAlignment="1">
      <alignment horizontal="center" vertical="center"/>
    </xf>
    <xf numFmtId="0" fontId="15" fillId="2" borderId="8" xfId="2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/>
    </xf>
    <xf numFmtId="0" fontId="15" fillId="5" borderId="10" xfId="2" applyFont="1" applyFill="1" applyBorder="1" applyAlignment="1">
      <alignment horizontal="center" vertical="center"/>
    </xf>
    <xf numFmtId="0" fontId="15" fillId="5" borderId="12" xfId="2" applyFont="1" applyFill="1" applyBorder="1" applyAlignment="1">
      <alignment horizontal="center" vertical="center"/>
    </xf>
    <xf numFmtId="14" fontId="13" fillId="2" borderId="1" xfId="2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 wrapText="1"/>
    </xf>
    <xf numFmtId="3" fontId="11" fillId="4" borderId="2" xfId="2" applyNumberFormat="1" applyFont="1" applyFill="1" applyBorder="1" applyAlignment="1">
      <alignment horizontal="center" vertical="center"/>
    </xf>
    <xf numFmtId="0" fontId="15" fillId="2" borderId="9" xfId="2" applyFont="1" applyFill="1" applyBorder="1" applyAlignment="1">
      <alignment horizontal="center" vertical="center"/>
    </xf>
    <xf numFmtId="0" fontId="15" fillId="5" borderId="5" xfId="2" applyFont="1" applyFill="1" applyBorder="1" applyAlignment="1">
      <alignment horizontal="center" vertical="center"/>
    </xf>
    <xf numFmtId="0" fontId="15" fillId="5" borderId="8" xfId="2" applyFont="1" applyFill="1" applyBorder="1" applyAlignment="1">
      <alignment horizontal="center" vertical="center"/>
    </xf>
    <xf numFmtId="0" fontId="15" fillId="5" borderId="6" xfId="2" applyFont="1" applyFill="1" applyBorder="1" applyAlignment="1">
      <alignment horizontal="center" vertical="center"/>
    </xf>
    <xf numFmtId="0" fontId="15" fillId="5" borderId="9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right" vertical="center" wrapText="1"/>
    </xf>
    <xf numFmtId="0" fontId="11" fillId="3" borderId="23" xfId="2" applyFont="1" applyFill="1" applyBorder="1" applyAlignment="1">
      <alignment horizontal="right" vertical="center" wrapText="1"/>
    </xf>
    <xf numFmtId="0" fontId="11" fillId="3" borderId="4" xfId="2" applyFont="1" applyFill="1" applyBorder="1" applyAlignment="1">
      <alignment horizontal="right" vertical="center" wrapText="1"/>
    </xf>
    <xf numFmtId="3" fontId="11" fillId="4" borderId="5" xfId="2" applyNumberFormat="1" applyFont="1" applyFill="1" applyBorder="1" applyAlignment="1">
      <alignment horizontal="center" vertical="center" wrapText="1"/>
    </xf>
    <xf numFmtId="3" fontId="11" fillId="4" borderId="6" xfId="2" applyNumberFormat="1" applyFont="1" applyFill="1" applyBorder="1" applyAlignment="1">
      <alignment horizontal="center" vertical="center" wrapText="1"/>
    </xf>
    <xf numFmtId="165" fontId="1" fillId="0" borderId="28" xfId="1" applyNumberFormat="1" applyFont="1" applyFill="1" applyBorder="1" applyAlignment="1">
      <alignment vertical="center"/>
    </xf>
    <xf numFmtId="0" fontId="0" fillId="0" borderId="0" xfId="0" applyAlignment="1">
      <alignment vertical="top"/>
    </xf>
    <xf numFmtId="0" fontId="20" fillId="9" borderId="29" xfId="0" applyFont="1" applyFill="1" applyBorder="1" applyAlignment="1">
      <alignment horizontal="left" vertical="top" wrapText="1"/>
    </xf>
    <xf numFmtId="0" fontId="20" fillId="9" borderId="30" xfId="0" applyFont="1" applyFill="1" applyBorder="1" applyAlignment="1">
      <alignment horizontal="left" vertical="top" wrapText="1"/>
    </xf>
    <xf numFmtId="49" fontId="20" fillId="9" borderId="30" xfId="0" applyNumberFormat="1" applyFont="1" applyFill="1" applyBorder="1" applyAlignment="1">
      <alignment horizontal="left" vertical="top" wrapText="1"/>
    </xf>
    <xf numFmtId="174" fontId="20" fillId="9" borderId="30" xfId="0" applyNumberFormat="1" applyFont="1" applyFill="1" applyBorder="1" applyAlignment="1">
      <alignment horizontal="center" vertical="top" wrapText="1"/>
    </xf>
    <xf numFmtId="43" fontId="20" fillId="9" borderId="30" xfId="4" applyFont="1" applyFill="1" applyBorder="1" applyAlignment="1">
      <alignment horizontal="center" vertical="top" wrapText="1"/>
    </xf>
    <xf numFmtId="175" fontId="20" fillId="9" borderId="31" xfId="4" applyNumberFormat="1" applyFont="1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1" fillId="0" borderId="28" xfId="0" applyFont="1" applyFill="1" applyBorder="1" applyAlignment="1">
      <alignment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175" fontId="20" fillId="9" borderId="30" xfId="4" applyNumberFormat="1" applyFont="1" applyFill="1" applyBorder="1" applyAlignment="1">
      <alignment horizontal="left" vertical="top" wrapText="1"/>
    </xf>
    <xf numFmtId="43" fontId="20" fillId="9" borderId="30" xfId="4" applyFont="1" applyFill="1" applyBorder="1" applyAlignment="1">
      <alignment horizontal="left" vertical="top" wrapText="1"/>
    </xf>
    <xf numFmtId="175" fontId="20" fillId="9" borderId="30" xfId="4" applyNumberFormat="1" applyFont="1" applyFill="1" applyBorder="1" applyAlignment="1">
      <alignment horizontal="center" vertical="top" wrapText="1"/>
    </xf>
    <xf numFmtId="165" fontId="1" fillId="0" borderId="28" xfId="1" applyNumberFormat="1" applyFont="1" applyFill="1" applyBorder="1" applyAlignment="1">
      <alignment horizontal="center" vertical="center"/>
    </xf>
    <xf numFmtId="164" fontId="0" fillId="0" borderId="0" xfId="1" applyFont="1"/>
    <xf numFmtId="164" fontId="20" fillId="9" borderId="30" xfId="1" applyFont="1" applyFill="1" applyBorder="1" applyAlignment="1">
      <alignment horizontal="center" vertical="top" wrapText="1"/>
    </xf>
    <xf numFmtId="164" fontId="1" fillId="0" borderId="0" xfId="1" applyFont="1" applyAlignment="1">
      <alignment vertical="center"/>
    </xf>
    <xf numFmtId="14" fontId="13" fillId="7" borderId="1" xfId="2" applyNumberFormat="1" applyFont="1" applyFill="1" applyBorder="1" applyAlignment="1">
      <alignment horizontal="center" vertical="center" wrapText="1"/>
    </xf>
    <xf numFmtId="0" fontId="13" fillId="7" borderId="1" xfId="2" applyFont="1" applyFill="1" applyBorder="1" applyAlignment="1">
      <alignment horizontal="center" vertical="center" wrapText="1"/>
    </xf>
    <xf numFmtId="0" fontId="15" fillId="7" borderId="8" xfId="2" applyFont="1" applyFill="1" applyBorder="1" applyAlignment="1">
      <alignment horizontal="center" vertical="center"/>
    </xf>
    <xf numFmtId="0" fontId="15" fillId="7" borderId="1" xfId="2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5" fontId="1" fillId="0" borderId="28" xfId="0" applyNumberFormat="1" applyFont="1" applyFill="1" applyBorder="1" applyAlignment="1">
      <alignment vertical="center"/>
    </xf>
    <xf numFmtId="164" fontId="1" fillId="0" borderId="28" xfId="1" applyFont="1" applyFill="1" applyBorder="1" applyAlignment="1">
      <alignment vertical="center"/>
    </xf>
    <xf numFmtId="0" fontId="3" fillId="2" borderId="28" xfId="2" applyFill="1" applyBorder="1" applyAlignment="1">
      <alignment horizontal="center" vertical="center"/>
    </xf>
    <xf numFmtId="2" fontId="3" fillId="2" borderId="28" xfId="2" applyNumberFormat="1" applyFill="1" applyBorder="1" applyAlignment="1">
      <alignment horizontal="center" vertical="center"/>
    </xf>
    <xf numFmtId="175" fontId="0" fillId="8" borderId="32" xfId="4" applyNumberFormat="1" applyFont="1" applyFill="1" applyBorder="1" applyAlignment="1">
      <alignment horizontal="center"/>
    </xf>
    <xf numFmtId="175" fontId="0" fillId="0" borderId="0" xfId="0" applyNumberFormat="1"/>
    <xf numFmtId="164" fontId="22" fillId="0" borderId="0" xfId="1" applyFont="1" applyAlignment="1">
      <alignment vertical="center"/>
    </xf>
    <xf numFmtId="0" fontId="1" fillId="10" borderId="0" xfId="0" applyFont="1" applyFill="1" applyAlignment="1">
      <alignment vertical="center"/>
    </xf>
    <xf numFmtId="0" fontId="0" fillId="10" borderId="0" xfId="0" applyFill="1" applyAlignment="1">
      <alignment vertical="top"/>
    </xf>
    <xf numFmtId="0" fontId="1" fillId="10" borderId="28" xfId="0" applyFont="1" applyFill="1" applyBorder="1" applyAlignment="1">
      <alignment vertical="center"/>
    </xf>
    <xf numFmtId="0" fontId="1" fillId="10" borderId="28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left" vertical="center"/>
    </xf>
    <xf numFmtId="165" fontId="1" fillId="10" borderId="28" xfId="1" applyNumberFormat="1" applyFont="1" applyFill="1" applyBorder="1" applyAlignment="1">
      <alignment vertical="center"/>
    </xf>
    <xf numFmtId="165" fontId="1" fillId="10" borderId="28" xfId="0" applyNumberFormat="1" applyFont="1" applyFill="1" applyBorder="1" applyAlignment="1">
      <alignment vertical="center"/>
    </xf>
    <xf numFmtId="164" fontId="1" fillId="10" borderId="28" xfId="1" applyFont="1" applyFill="1" applyBorder="1" applyAlignment="1">
      <alignment vertical="center"/>
    </xf>
    <xf numFmtId="0" fontId="3" fillId="10" borderId="28" xfId="2" applyFill="1" applyBorder="1" applyAlignment="1">
      <alignment horizontal="center" vertical="center"/>
    </xf>
    <xf numFmtId="2" fontId="3" fillId="10" borderId="28" xfId="2" applyNumberFormat="1" applyFill="1" applyBorder="1" applyAlignment="1">
      <alignment horizontal="center" vertical="center"/>
    </xf>
    <xf numFmtId="0" fontId="0" fillId="10" borderId="0" xfId="0" applyFill="1"/>
    <xf numFmtId="165" fontId="3" fillId="0" borderId="0" xfId="1" applyNumberFormat="1" applyFont="1" applyAlignment="1">
      <alignment horizontal="left" vertical="center"/>
    </xf>
    <xf numFmtId="43" fontId="0" fillId="0" borderId="0" xfId="0" applyNumberFormat="1"/>
    <xf numFmtId="165" fontId="3" fillId="8" borderId="0" xfId="1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0" fillId="0" borderId="0" xfId="0" applyFill="1" applyAlignment="1"/>
    <xf numFmtId="0" fontId="20" fillId="0" borderId="0" xfId="0" applyFont="1" applyFill="1" applyBorder="1" applyAlignment="1">
      <alignment horizontal="left" wrapText="1"/>
    </xf>
    <xf numFmtId="49" fontId="20" fillId="0" borderId="0" xfId="0" applyNumberFormat="1" applyFont="1" applyFill="1" applyBorder="1" applyAlignment="1">
      <alignment horizontal="left" wrapText="1"/>
    </xf>
    <xf numFmtId="174" fontId="20" fillId="0" borderId="0" xfId="0" applyNumberFormat="1" applyFont="1" applyFill="1" applyBorder="1" applyAlignment="1">
      <alignment horizontal="center" wrapText="1"/>
    </xf>
    <xf numFmtId="175" fontId="20" fillId="0" borderId="0" xfId="4" applyNumberFormat="1" applyFont="1" applyFill="1" applyBorder="1" applyAlignment="1">
      <alignment horizontal="left" wrapText="1"/>
    </xf>
    <xf numFmtId="43" fontId="20" fillId="0" borderId="0" xfId="4" applyFont="1" applyFill="1" applyBorder="1" applyAlignment="1">
      <alignment horizontal="center" wrapText="1"/>
    </xf>
    <xf numFmtId="43" fontId="20" fillId="0" borderId="0" xfId="4" applyFont="1" applyFill="1" applyBorder="1" applyAlignment="1">
      <alignment horizontal="left" wrapText="1"/>
    </xf>
    <xf numFmtId="175" fontId="20" fillId="0" borderId="0" xfId="4" applyNumberFormat="1" applyFont="1" applyFill="1" applyBorder="1" applyAlignment="1">
      <alignment horizontal="center" wrapText="1"/>
    </xf>
    <xf numFmtId="175" fontId="23" fillId="0" borderId="0" xfId="4" applyNumberFormat="1" applyFont="1" applyFill="1" applyBorder="1" applyAlignment="1">
      <alignment horizontal="center" wrapText="1"/>
    </xf>
    <xf numFmtId="164" fontId="20" fillId="0" borderId="30" xfId="1" applyFont="1" applyFill="1" applyBorder="1" applyAlignment="1">
      <alignment horizontal="center" wrapText="1"/>
    </xf>
    <xf numFmtId="175" fontId="20" fillId="0" borderId="30" xfId="4" applyNumberFormat="1" applyFont="1" applyFill="1" applyBorder="1" applyAlignment="1">
      <alignment horizontal="center" wrapText="1"/>
    </xf>
    <xf numFmtId="175" fontId="20" fillId="0" borderId="31" xfId="4" applyNumberFormat="1" applyFont="1" applyFill="1" applyBorder="1" applyAlignment="1">
      <alignment horizontal="center" wrapText="1"/>
    </xf>
    <xf numFmtId="0" fontId="0" fillId="0" borderId="0" xfId="0" applyAlignment="1"/>
    <xf numFmtId="165" fontId="22" fillId="0" borderId="0" xfId="1" applyNumberFormat="1" applyFont="1" applyAlignment="1">
      <alignment vertical="center"/>
    </xf>
    <xf numFmtId="0" fontId="0" fillId="10" borderId="28" xfId="0" applyFill="1" applyBorder="1" applyAlignment="1">
      <alignment horizontal="center"/>
    </xf>
    <xf numFmtId="0" fontId="0" fillId="0" borderId="28" xfId="0" applyFill="1" applyBorder="1" applyAlignment="1">
      <alignment horizontal="center"/>
    </xf>
  </cellXfs>
  <cellStyles count="6">
    <cellStyle name="Comma" xfId="1" builtinId="3"/>
    <cellStyle name="Comma 2 2" xfId="4" xr:uid="{1D628899-BC27-4365-84FD-E04DA74C904C}"/>
    <cellStyle name="Normal" xfId="0" builtinId="0"/>
    <cellStyle name="Normal 10" xfId="3" xr:uid="{7E9CF4B6-07E8-4DF2-ABC6-D723E4E33E6E}"/>
    <cellStyle name="Normal 2 2 2 2 2" xfId="2" xr:uid="{FF3C08DA-1F60-458A-8FE2-15B495FC36C1}"/>
    <cellStyle name="Normal_INT-CERT 2_1 2" xfId="5" xr:uid="{976F29E2-487C-44D0-B072-45A1401ED1D9}"/>
  </cellStyles>
  <dxfs count="0"/>
  <tableStyles count="0" defaultTableStyle="TableStyleMedium2" defaultPivotStyle="PivotStyleLight16"/>
  <colors>
    <mruColors>
      <color rgb="FFCABC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14</xdr:col>
      <xdr:colOff>664176</xdr:colOff>
      <xdr:row>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5C911-E413-DF11-63A7-B2C5748B3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952500"/>
          <a:ext cx="11395676" cy="635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674158</xdr:colOff>
      <xdr:row>4</xdr:row>
      <xdr:rowOff>114300</xdr:rowOff>
    </xdr:from>
    <xdr:to>
      <xdr:col>2</xdr:col>
      <xdr:colOff>1866900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2081D-D98E-42A5-96CA-A4CB5168ED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183" y="857250"/>
          <a:ext cx="1192742" cy="219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parry/Documents/OMNI%20V1.2%202024.12/06.5_MEP/TEMP.xlsx" TargetMode="External"/><Relationship Id="rId1" Type="http://schemas.openxmlformats.org/officeDocument/2006/relationships/externalLinkPath" Target="/Users/davidparry/Documents/OMNI%20V1.2%202024.12/06.5_MEP/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abw_zeit" refersTo="#REF!"/>
      <definedName name="Address" refersTo="#REF!"/>
      <definedName name="ARCH_OLD_PROD" refersTo="#REF!"/>
      <definedName name="AREA_1st_Floor___FOH___Guestrooms" refersTo="#REF!"/>
      <definedName name="BearbFeld_OK_Klick" refersTo="#REF!"/>
      <definedName name="CABLE_PRICING" refersTo="#REF!"/>
      <definedName name="CapitalEmployed"/>
      <definedName name="Catalysts" refersTo="#REF!"/>
      <definedName name="ChGrInd" refersTo="#REF!"/>
      <definedName name="Choices_Wrapper" refersTo="#REF!"/>
      <definedName name="City" refersTo="#REF!"/>
      <definedName name="Coeffu" refersTo="#REF!"/>
      <definedName name="COND_PRICING" refersTo="#REF!"/>
      <definedName name="COUNT_FS05_1B1" refersTo="#REF!"/>
      <definedName name="COUNT_IA_01F_AC_U00___garbage_rm." refersTo="#REF!"/>
      <definedName name="COUNT_IA_02F_AA_U02___living_dining" refersTo="#REF!"/>
      <definedName name="COUNT_IA_32F_AA_U05___BR2_t_b" refersTo="#REF!"/>
      <definedName name="COUNT_L1_Slab_240" refersTo="#REF!"/>
      <definedName name="COUNT_Stairs__Skirting" refersTo="#REF!"/>
      <definedName name="COUNT_TH2_V2__units_1___Type_D_04__900_x_2200mm_high" refersTo="#REF!"/>
      <definedName name="CurrentLiab"/>
      <definedName name="CurrentPortion" refersTo="#REF!"/>
      <definedName name="CUSTOM1_2_bed_fridge_freezer" refersTo="#REF!"/>
      <definedName name="CUSTOM1_DP3_3500x1900x350" refersTo="#REF!"/>
      <definedName name="CUSTOM1_IA_00B1iF_BD_B_U00___water_tank_2_double_volume" refersTo="#REF!"/>
      <definedName name="CUSTOM1_IA_08F_AA_U03___BR1_dresser" refersTo="#REF!"/>
      <definedName name="CUSTOM1_L20__HEM_180" refersTo="#REF!"/>
      <definedName name="CUSTOM1_Shops__GF_" refersTo="#REF!"/>
      <definedName name="CUSTOM2_3.1.1___BW3__200mm_thk" refersTo="#REF!"/>
      <definedName name="CUSTOM3_B1__Column_C1" refersTo="#REF!"/>
      <definedName name="Data.Top.Left"/>
      <definedName name="DlgBearbAnzeigen" refersTo="#REF!"/>
      <definedName name="DlgSchaltfAnzeigen" refersTo="#REF!"/>
      <definedName name="Drehfeld_Klick" refersTo="#REF!"/>
      <definedName name="E2D" refersTo="#REF!"/>
      <definedName name="End_Bal" refersTo="#REF!"/>
      <definedName name="fdsfsdfsdf"/>
      <definedName name="Full_Print" refersTo="#REF!"/>
      <definedName name="Header_Row" refersTo="#REF!"/>
      <definedName name="HEIGHT_5.2.2___FF01__Porcelian_Tiles_Skirting" refersTo="#REF!"/>
      <definedName name="HEIGHT_5.2.3___FF03__Ceramic_Tiles" refersTo="#REF!"/>
      <definedName name="HEIGHT_5.2.3___FF03__Ceramic_Tiles____Balconies" refersTo="#REF!"/>
      <definedName name="HEIGHT_5.2.3___FF03__Ceramic_Tiles____Waterproofing_to_wet_areas" refersTo="#REF!"/>
      <definedName name="HEIGHT_5.2.3___FF03__Ceramic_Tiles_Skirting" refersTo="#REF!"/>
      <definedName name="Ing_Cost" refersTo="#REF!"/>
      <definedName name="Interest_Rate" refersTo="#REF!"/>
      <definedName name="Kurs_Faktor" refersTo="#REF!"/>
      <definedName name="Last_Row" refersTo="#REF!"/>
      <definedName name="Liste1" refersTo="#REF!"/>
      <definedName name="Loan_Start" refersTo="#REF!"/>
      <definedName name="Loan_Years" refersTo="#REF!"/>
      <definedName name="LongTermDebt" refersTo="#REF!"/>
      <definedName name="Number_of_Payments" refersTo="#REF!"/>
      <definedName name="OTHER_PRICING" refersTo="#REF!"/>
      <definedName name="page" refersTo="#REF!"/>
      <definedName name="preisst" refersTo="#REF!"/>
      <definedName name="_xlnm.Print_Area" refersTo="#REF!"/>
      <definedName name="PrintKeyStatistics" refersTo="#REF!"/>
      <definedName name="range" refersTo="#REF!"/>
      <definedName name="ShortTermDebt" refersTo="#REF!"/>
      <definedName name="Spare_Parts" refersTo="#REF!"/>
      <definedName name="ssss" refersTo="#REF!"/>
      <definedName name="Stand_sch" refersTo="#REF!"/>
      <definedName name="STATE" refersTo="#REF!"/>
      <definedName name="Textfeld_BeiÄnderung" refersTo="#REF!"/>
      <definedName name="TRAY_PRICING" refersTo="#REF!"/>
      <definedName name="Values_Entered" refersTo="#REF!"/>
      <definedName name="Waehrung" refersTo="#REF!"/>
      <definedName name="Zölle" refersTo="#REF!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B6D-D53F-3C4E-955F-23AFE2FAC2AB}">
  <sheetPr published="0"/>
  <dimension ref="A1"/>
  <sheetViews>
    <sheetView workbookViewId="0">
      <selection activeCell="B6" sqref="B6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9F8B-0552-4F06-820D-017D21427C16}">
  <sheetPr published="0">
    <pageSetUpPr fitToPage="1"/>
  </sheetPr>
  <dimension ref="A1:AD118"/>
  <sheetViews>
    <sheetView showZeros="0" topLeftCell="F1" zoomScale="130" zoomScaleNormal="130" zoomScaleSheetLayoutView="130" workbookViewId="0">
      <pane ySplit="9" topLeftCell="A83" activePane="bottomLeft" state="frozen"/>
      <selection pane="bottomLeft" activeCell="Y59" sqref="Y59"/>
    </sheetView>
  </sheetViews>
  <sheetFormatPr baseColWidth="10" defaultColWidth="9.1640625" defaultRowHeight="15" customHeight="1" x14ac:dyDescent="0.2"/>
  <cols>
    <col min="1" max="1" width="2.1640625" customWidth="1"/>
    <col min="2" max="2" width="10.33203125" customWidth="1"/>
    <col min="3" max="3" width="53" bestFit="1" customWidth="1"/>
    <col min="4" max="19" width="16" customWidth="1"/>
    <col min="20" max="20" width="10.5" bestFit="1" customWidth="1"/>
    <col min="21" max="24" width="12.1640625" customWidth="1"/>
    <col min="25" max="25" width="9.6640625" bestFit="1" customWidth="1"/>
  </cols>
  <sheetData>
    <row r="1" spans="1:30" s="6" customFormat="1" ht="12" customHeight="1" x14ac:dyDescent="0.2">
      <c r="A1" s="1"/>
      <c r="B1" s="6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4"/>
      <c r="V1" s="4"/>
      <c r="W1" s="5"/>
      <c r="X1" s="5"/>
      <c r="Y1" s="4"/>
      <c r="Z1" s="4"/>
      <c r="AA1" s="4"/>
      <c r="AB1" s="4"/>
      <c r="AC1" s="4"/>
      <c r="AD1" s="4"/>
    </row>
    <row r="2" spans="1:30" s="11" customFormat="1" ht="12" customHeight="1" x14ac:dyDescent="0.2">
      <c r="A2" s="1"/>
      <c r="B2" s="7" t="s">
        <v>10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4"/>
      <c r="V2" s="4"/>
      <c r="W2" s="5"/>
      <c r="X2" s="5"/>
      <c r="Y2" s="4"/>
      <c r="Z2" s="4"/>
      <c r="AA2" s="4"/>
      <c r="AB2" s="4"/>
      <c r="AC2" s="4"/>
      <c r="AD2" s="4"/>
    </row>
    <row r="3" spans="1:30" s="18" customFormat="1" ht="15" customHeight="1" x14ac:dyDescent="0.2">
      <c r="A3" s="1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/>
      <c r="U3" s="16"/>
      <c r="V3" s="16"/>
      <c r="W3" s="17"/>
      <c r="X3" s="17"/>
      <c r="Y3" s="16"/>
      <c r="Z3" s="16"/>
      <c r="AA3" s="16"/>
      <c r="AB3" s="16"/>
      <c r="AC3" s="16"/>
      <c r="AD3" s="16"/>
    </row>
    <row r="4" spans="1:30" s="6" customFormat="1" ht="19.5" customHeight="1" x14ac:dyDescent="0.2">
      <c r="A4" s="1"/>
      <c r="B4" s="93" t="s">
        <v>78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3"/>
      <c r="U4" s="4"/>
      <c r="V4" s="4"/>
      <c r="W4" s="5"/>
      <c r="X4" s="5"/>
      <c r="Y4" s="4"/>
      <c r="Z4" s="4"/>
      <c r="AA4" s="4"/>
      <c r="AB4" s="4"/>
      <c r="AC4" s="4"/>
      <c r="AD4" s="4"/>
    </row>
    <row r="5" spans="1:30" s="6" customFormat="1" ht="11.25" customHeight="1" x14ac:dyDescent="0.2">
      <c r="A5" s="1"/>
      <c r="B5" s="12"/>
      <c r="C5" s="19"/>
      <c r="D5" s="99"/>
      <c r="E5" s="100"/>
      <c r="F5" s="99"/>
      <c r="G5" s="100"/>
      <c r="H5" s="134"/>
      <c r="I5" s="135"/>
      <c r="J5" s="134"/>
      <c r="K5" s="135"/>
      <c r="L5" s="134"/>
      <c r="M5" s="135"/>
      <c r="N5" s="99"/>
      <c r="O5" s="100"/>
      <c r="P5" s="99"/>
      <c r="Q5" s="100"/>
      <c r="R5" s="134"/>
      <c r="S5" s="135"/>
      <c r="T5" s="21"/>
      <c r="U5" s="4"/>
      <c r="V5" s="4"/>
      <c r="W5" s="5"/>
      <c r="X5" s="5"/>
      <c r="Y5" s="4"/>
      <c r="Z5" s="4"/>
      <c r="AA5" s="4"/>
      <c r="AB5" s="4"/>
      <c r="AC5" s="4"/>
      <c r="AD5" s="4"/>
    </row>
    <row r="6" spans="1:30" s="6" customFormat="1" ht="13" x14ac:dyDescent="0.2">
      <c r="A6" s="1"/>
      <c r="B6" s="22" t="s">
        <v>0</v>
      </c>
      <c r="C6" s="22"/>
      <c r="D6" s="110" t="s">
        <v>12</v>
      </c>
      <c r="E6" s="111"/>
      <c r="F6" s="101" t="s">
        <v>61</v>
      </c>
      <c r="G6" s="101"/>
      <c r="H6" s="101" t="s">
        <v>63</v>
      </c>
      <c r="I6" s="101"/>
      <c r="J6" s="101" t="s">
        <v>68</v>
      </c>
      <c r="K6" s="101"/>
      <c r="L6" s="101" t="s">
        <v>70</v>
      </c>
      <c r="M6" s="101"/>
      <c r="N6" s="101" t="s">
        <v>73</v>
      </c>
      <c r="O6" s="101"/>
      <c r="P6" s="101" t="s">
        <v>74</v>
      </c>
      <c r="Q6" s="101"/>
      <c r="R6" s="101" t="s">
        <v>76</v>
      </c>
      <c r="S6" s="101"/>
      <c r="T6" s="21"/>
      <c r="U6" s="4"/>
      <c r="V6" s="4"/>
      <c r="W6" s="5"/>
      <c r="X6" s="5"/>
      <c r="Y6" s="23"/>
      <c r="Z6" s="4"/>
      <c r="AA6" s="4"/>
      <c r="AB6" s="4"/>
      <c r="AC6" s="4"/>
      <c r="AD6" s="4"/>
    </row>
    <row r="7" spans="1:30" s="28" customFormat="1" ht="13" x14ac:dyDescent="0.2">
      <c r="A7" s="24"/>
      <c r="B7" s="25"/>
      <c r="C7" s="26"/>
      <c r="D7" s="95" t="s">
        <v>13</v>
      </c>
      <c r="E7" s="102"/>
      <c r="F7" s="136" t="s">
        <v>59</v>
      </c>
      <c r="G7" s="137"/>
      <c r="H7" s="95" t="s">
        <v>65</v>
      </c>
      <c r="I7" s="96"/>
      <c r="J7" s="95" t="s">
        <v>67</v>
      </c>
      <c r="K7" s="96"/>
      <c r="L7" s="95" t="s">
        <v>65</v>
      </c>
      <c r="M7" s="96"/>
      <c r="N7" s="95" t="s">
        <v>13</v>
      </c>
      <c r="O7" s="96"/>
      <c r="P7" s="136" t="s">
        <v>67</v>
      </c>
      <c r="Q7" s="137"/>
      <c r="R7" s="95" t="s">
        <v>65</v>
      </c>
      <c r="S7" s="96"/>
      <c r="T7" s="27"/>
      <c r="U7" s="4"/>
      <c r="V7" s="4"/>
      <c r="W7" s="5"/>
      <c r="X7" s="5"/>
      <c r="Y7" s="23"/>
      <c r="Z7" s="4"/>
      <c r="AA7" s="4"/>
      <c r="AB7" s="4"/>
      <c r="AC7" s="4"/>
      <c r="AD7" s="4"/>
    </row>
    <row r="8" spans="1:30" s="28" customFormat="1" ht="13" x14ac:dyDescent="0.2">
      <c r="A8" s="24"/>
      <c r="B8" s="103" t="s">
        <v>1</v>
      </c>
      <c r="C8" s="105" t="s">
        <v>2</v>
      </c>
      <c r="D8" s="97" t="s">
        <v>11</v>
      </c>
      <c r="E8" s="29" t="s">
        <v>9</v>
      </c>
      <c r="F8" s="97" t="s">
        <v>11</v>
      </c>
      <c r="G8" s="29" t="s">
        <v>9</v>
      </c>
      <c r="H8" s="97" t="s">
        <v>11</v>
      </c>
      <c r="I8" s="29" t="s">
        <v>9</v>
      </c>
      <c r="J8" s="97" t="s">
        <v>11</v>
      </c>
      <c r="K8" s="29" t="s">
        <v>9</v>
      </c>
      <c r="L8" s="97" t="s">
        <v>11</v>
      </c>
      <c r="M8" s="29" t="s">
        <v>9</v>
      </c>
      <c r="N8" s="97" t="s">
        <v>11</v>
      </c>
      <c r="O8" s="29" t="s">
        <v>9</v>
      </c>
      <c r="P8" s="97" t="s">
        <v>11</v>
      </c>
      <c r="Q8" s="29" t="s">
        <v>9</v>
      </c>
      <c r="R8" s="97" t="s">
        <v>11</v>
      </c>
      <c r="S8" s="29" t="s">
        <v>9</v>
      </c>
      <c r="T8" s="27"/>
      <c r="U8" s="27"/>
      <c r="V8" s="27"/>
      <c r="W8" s="27"/>
      <c r="X8" s="27"/>
      <c r="Y8" s="23"/>
      <c r="Z8" s="4"/>
      <c r="AA8" s="4"/>
      <c r="AB8" s="4"/>
      <c r="AC8" s="4"/>
      <c r="AD8" s="4"/>
    </row>
    <row r="9" spans="1:30" s="28" customFormat="1" ht="13" x14ac:dyDescent="0.2">
      <c r="A9" s="24"/>
      <c r="B9" s="104"/>
      <c r="C9" s="106"/>
      <c r="D9" s="98"/>
      <c r="E9" s="30">
        <v>8917</v>
      </c>
      <c r="F9" s="98"/>
      <c r="G9" s="30">
        <v>12032</v>
      </c>
      <c r="H9" s="98"/>
      <c r="I9" s="31">
        <v>6339</v>
      </c>
      <c r="J9" s="98"/>
      <c r="K9" s="31">
        <v>11393</v>
      </c>
      <c r="L9" s="98"/>
      <c r="M9" s="31">
        <v>10390</v>
      </c>
      <c r="N9" s="98"/>
      <c r="O9" s="31">
        <v>11407</v>
      </c>
      <c r="P9" s="98"/>
      <c r="Q9" s="31">
        <v>11393</v>
      </c>
      <c r="R9" s="98"/>
      <c r="S9" s="31">
        <v>6454</v>
      </c>
      <c r="T9" s="27"/>
      <c r="U9" s="157">
        <f t="shared" ref="U8:U10" si="0">D9+F9+H9+J9+L9+N9+P9+R9</f>
        <v>0</v>
      </c>
      <c r="V9" s="157">
        <f t="shared" ref="V8:V10" si="1">E9+G9+I9+K9+M9+O9+Q9+S9</f>
        <v>78325</v>
      </c>
      <c r="W9" s="157">
        <f t="shared" ref="W8:W10" si="2">U9/8</f>
        <v>0</v>
      </c>
      <c r="X9" s="157">
        <f t="shared" ref="X8:X10" si="3">V9/8</f>
        <v>9790.625</v>
      </c>
      <c r="Y9" s="23"/>
      <c r="Z9" s="4"/>
      <c r="AA9" s="4"/>
      <c r="AB9" s="4"/>
      <c r="AC9" s="4"/>
      <c r="AD9" s="4"/>
    </row>
    <row r="10" spans="1:30" s="28" customFormat="1" ht="9" customHeight="1" x14ac:dyDescent="0.2">
      <c r="A10" s="24"/>
      <c r="B10" s="25"/>
      <c r="C10" s="26"/>
      <c r="D10" s="32"/>
      <c r="E10" s="33"/>
      <c r="F10" s="32"/>
      <c r="G10" s="34"/>
      <c r="H10" s="32"/>
      <c r="I10" s="34"/>
      <c r="J10" s="32"/>
      <c r="K10" s="34"/>
      <c r="L10" s="32"/>
      <c r="M10" s="34"/>
      <c r="N10" s="32"/>
      <c r="O10" s="34"/>
      <c r="P10" s="32"/>
      <c r="Q10" s="34"/>
      <c r="R10" s="32"/>
      <c r="S10" s="34"/>
      <c r="T10" s="27"/>
      <c r="U10" s="157">
        <f t="shared" si="0"/>
        <v>0</v>
      </c>
      <c r="V10" s="157">
        <f t="shared" si="1"/>
        <v>0</v>
      </c>
      <c r="W10" s="157">
        <f t="shared" si="2"/>
        <v>0</v>
      </c>
      <c r="X10" s="157">
        <f t="shared" si="3"/>
        <v>0</v>
      </c>
      <c r="Y10" s="23"/>
      <c r="Z10" s="4"/>
      <c r="AA10" s="4"/>
      <c r="AB10" s="4"/>
      <c r="AC10" s="4"/>
      <c r="AD10" s="4"/>
    </row>
    <row r="11" spans="1:30" s="6" customFormat="1" ht="13" x14ac:dyDescent="0.2">
      <c r="A11" s="1"/>
      <c r="B11" s="35"/>
      <c r="C11" s="36" t="s">
        <v>3</v>
      </c>
      <c r="D11" s="37">
        <f>SUM(D12:D25)</f>
        <v>4296560</v>
      </c>
      <c r="E11" s="38">
        <f>D11/$E$9</f>
        <v>481.83918358192216</v>
      </c>
      <c r="F11" s="37">
        <f>SUM(F12:F25)</f>
        <v>9021833</v>
      </c>
      <c r="G11" s="39">
        <f>F11/$G$9</f>
        <v>749.81989694148933</v>
      </c>
      <c r="H11" s="37">
        <f>SUM(H12:H25)</f>
        <v>4116458</v>
      </c>
      <c r="I11" s="39">
        <f>H11/$I$9</f>
        <v>649.38602303202401</v>
      </c>
      <c r="J11" s="37">
        <f>SUM(J12:J25)</f>
        <v>7124943</v>
      </c>
      <c r="K11" s="39">
        <f>J11/$K$9</f>
        <v>625.37900465197924</v>
      </c>
      <c r="L11" s="37">
        <f>SUM(L12:L25)</f>
        <v>6212006</v>
      </c>
      <c r="M11" s="39">
        <f>L11/$M$9</f>
        <v>597.88315688161697</v>
      </c>
      <c r="N11" s="37">
        <f>SUM(N12:N25)</f>
        <v>6203913</v>
      </c>
      <c r="O11" s="39">
        <f t="shared" ref="O11:O25" si="4">N11/$O$9</f>
        <v>543.86894012448499</v>
      </c>
      <c r="P11" s="37">
        <f>SUM(P12:P25)</f>
        <v>7044457</v>
      </c>
      <c r="Q11" s="39">
        <f>P11/$Q$9</f>
        <v>618.31449135434036</v>
      </c>
      <c r="R11" s="37">
        <f>SUM(R12:R25)</f>
        <v>4211630</v>
      </c>
      <c r="S11" s="39">
        <f>R11/$S$9</f>
        <v>652.56120235512856</v>
      </c>
      <c r="T11" s="21"/>
      <c r="U11" s="157">
        <f>D11+F11+H11+J11+L11+N11+P11+R11</f>
        <v>48231800</v>
      </c>
      <c r="V11" s="157">
        <f>E11+G11+I11+K11+M11+O11+Q11+S11</f>
        <v>4919.0518989229859</v>
      </c>
      <c r="W11" s="157">
        <f>U11/8</f>
        <v>6028975</v>
      </c>
      <c r="X11" s="157">
        <f>V11/8</f>
        <v>614.88148736537323</v>
      </c>
      <c r="Y11" s="40"/>
      <c r="Z11" s="40"/>
      <c r="AA11" s="40"/>
      <c r="AB11" s="40"/>
      <c r="AC11" s="40"/>
      <c r="AD11" s="40"/>
    </row>
    <row r="12" spans="1:30" s="6" customFormat="1" ht="13" x14ac:dyDescent="0.2">
      <c r="A12" s="1"/>
      <c r="B12" s="41">
        <v>5.3</v>
      </c>
      <c r="C12" s="42" t="s">
        <v>14</v>
      </c>
      <c r="D12" s="43">
        <f>SUM(14667+250618+56359+67366+44295+82121+24044)</f>
        <v>539470</v>
      </c>
      <c r="E12" s="44">
        <f>D12/$E$9</f>
        <v>60.499046764606931</v>
      </c>
      <c r="F12" s="43">
        <f>1535857</f>
        <v>1535857</v>
      </c>
      <c r="G12" s="44">
        <f>F12/$G$9</f>
        <v>127.64768949468085</v>
      </c>
      <c r="H12" s="43">
        <f>469190</f>
        <v>469190</v>
      </c>
      <c r="I12" s="44">
        <f>H12/$I$9</f>
        <v>74.01640637324499</v>
      </c>
      <c r="J12" s="43">
        <v>842782</v>
      </c>
      <c r="K12" s="44">
        <f>J12/$K$9</f>
        <v>73.973668041780044</v>
      </c>
      <c r="L12" s="43">
        <f>SUM(28923+100550+162147+37370+91306+8474+8364+10415)</f>
        <v>447549</v>
      </c>
      <c r="M12" s="44">
        <f>L12/$M$9</f>
        <v>43.074975938402311</v>
      </c>
      <c r="N12" s="43">
        <f>SUM(36625+505475+149446+144590+39519+2364+3546+1182)</f>
        <v>882747</v>
      </c>
      <c r="O12" s="44">
        <f t="shared" si="4"/>
        <v>77.386429385465064</v>
      </c>
      <c r="P12" s="43">
        <f>SUM(119043+266786+224427+155668+104996)</f>
        <v>870920</v>
      </c>
      <c r="Q12" s="44">
        <f>P12/$Q$9</f>
        <v>76.443430176424116</v>
      </c>
      <c r="R12" s="43">
        <f>SUM(27213+125735+142956+46911+58140+68235)</f>
        <v>469190</v>
      </c>
      <c r="S12" s="44">
        <f>R12/$S$9</f>
        <v>72.697551905794853</v>
      </c>
      <c r="T12" s="21"/>
      <c r="U12" s="157">
        <f t="shared" ref="U12:V75" si="5">D12+F12+H12+J12+L12+N12+P12+R12</f>
        <v>6057705</v>
      </c>
      <c r="V12" s="157">
        <f t="shared" si="5"/>
        <v>605.73919808039921</v>
      </c>
      <c r="W12" s="157">
        <f t="shared" ref="W12:X75" si="6">U12/8</f>
        <v>757213.125</v>
      </c>
      <c r="X12" s="157">
        <f t="shared" si="6"/>
        <v>75.717399760049901</v>
      </c>
      <c r="Y12" s="4"/>
      <c r="Z12" s="4"/>
      <c r="AA12" s="4"/>
      <c r="AB12" s="4"/>
      <c r="AC12" s="4"/>
      <c r="AD12" s="4"/>
    </row>
    <row r="13" spans="1:30" s="6" customFormat="1" ht="13" x14ac:dyDescent="0.2">
      <c r="A13" s="1"/>
      <c r="B13" s="41">
        <v>5.3</v>
      </c>
      <c r="C13" s="42" t="s">
        <v>15</v>
      </c>
      <c r="D13" s="43">
        <v>55000</v>
      </c>
      <c r="E13" s="44">
        <f t="shared" ref="E13:E25" si="7">D13/$E$9</f>
        <v>6.1679937198609398</v>
      </c>
      <c r="F13" s="43">
        <f>62555</f>
        <v>62555</v>
      </c>
      <c r="G13" s="44">
        <f t="shared" ref="G13:G21" si="8">F13/$G$9</f>
        <v>5.1990525265957448</v>
      </c>
      <c r="H13" s="43">
        <f>89580</f>
        <v>89580</v>
      </c>
      <c r="I13" s="44">
        <f t="shared" ref="I13:I25" si="9">H13/$I$9</f>
        <v>14.131566493137719</v>
      </c>
      <c r="J13" s="43">
        <v>52324</v>
      </c>
      <c r="K13" s="44">
        <f t="shared" ref="K13:K25" si="10">J13/$K$9</f>
        <v>4.5926446063372248</v>
      </c>
      <c r="L13" s="43">
        <f>SUM(32216*3)</f>
        <v>96648</v>
      </c>
      <c r="M13" s="44">
        <f t="shared" ref="M13:M24" si="11">L13/$M$9</f>
        <v>9.3020211742059669</v>
      </c>
      <c r="N13" s="43">
        <f>SUM(35454)</f>
        <v>35454</v>
      </c>
      <c r="O13" s="44">
        <f t="shared" si="4"/>
        <v>3.1080915227491892</v>
      </c>
      <c r="P13" s="43">
        <f>SUM(52558)</f>
        <v>52558</v>
      </c>
      <c r="Q13" s="44">
        <f t="shared" ref="Q13:Q25" si="12">P13/$Q$9</f>
        <v>4.613183533748793</v>
      </c>
      <c r="R13" s="43">
        <f>SUM(89580)</f>
        <v>89580</v>
      </c>
      <c r="S13" s="44">
        <f t="shared" ref="S13:S25" si="13">R13/$S$9</f>
        <v>13.879764487139758</v>
      </c>
      <c r="T13" s="21"/>
      <c r="U13" s="157">
        <f t="shared" si="5"/>
        <v>533699</v>
      </c>
      <c r="V13" s="157">
        <f t="shared" si="5"/>
        <v>60.994318063775339</v>
      </c>
      <c r="W13" s="157">
        <f t="shared" si="6"/>
        <v>66712.375</v>
      </c>
      <c r="X13" s="157">
        <f t="shared" si="6"/>
        <v>7.6242897579719173</v>
      </c>
      <c r="Y13" s="4"/>
      <c r="Z13" s="4"/>
      <c r="AA13" s="4"/>
      <c r="AB13" s="4"/>
      <c r="AC13" s="4"/>
      <c r="AD13" s="4"/>
    </row>
    <row r="14" spans="1:30" s="6" customFormat="1" ht="13" x14ac:dyDescent="0.2">
      <c r="A14" s="1"/>
      <c r="B14" s="41">
        <v>5.4</v>
      </c>
      <c r="C14" s="42" t="s">
        <v>16</v>
      </c>
      <c r="D14" s="43">
        <f>SUM(77695+27448+2775)</f>
        <v>107918</v>
      </c>
      <c r="E14" s="44">
        <f t="shared" si="7"/>
        <v>12.102500841090052</v>
      </c>
      <c r="F14" s="43">
        <f>182376</f>
        <v>182376</v>
      </c>
      <c r="G14" s="44">
        <f t="shared" ref="G14" si="14">F14/$G$9</f>
        <v>15.157579787234043</v>
      </c>
      <c r="H14" s="43">
        <f>150038</f>
        <v>150038</v>
      </c>
      <c r="I14" s="44">
        <f t="shared" si="9"/>
        <v>23.66903297050008</v>
      </c>
      <c r="J14" s="43">
        <v>154514</v>
      </c>
      <c r="K14" s="44">
        <f t="shared" si="10"/>
        <v>13.562187307996139</v>
      </c>
      <c r="L14" s="43">
        <f>SUM(74349+31529+41533+181+4945+69649+39+50+50)</f>
        <v>222325</v>
      </c>
      <c r="M14" s="44">
        <f t="shared" si="11"/>
        <v>21.397978825794034</v>
      </c>
      <c r="N14" s="43">
        <f>SUM(139791+11883+27018-591+5000)</f>
        <v>183101</v>
      </c>
      <c r="O14" s="44">
        <f t="shared" si="4"/>
        <v>16.051634960988867</v>
      </c>
      <c r="P14" s="43">
        <f>SUM(130199+16541+2817+5063)</f>
        <v>154620</v>
      </c>
      <c r="Q14" s="44">
        <f t="shared" si="12"/>
        <v>13.57149126656719</v>
      </c>
      <c r="R14" s="43">
        <f>SUM(60924+28353+50178+42+54+54+10433)</f>
        <v>150038</v>
      </c>
      <c r="S14" s="44">
        <f t="shared" si="13"/>
        <v>23.247288503253795</v>
      </c>
      <c r="T14" s="21"/>
      <c r="U14" s="157">
        <f t="shared" si="5"/>
        <v>1304930</v>
      </c>
      <c r="V14" s="157">
        <f t="shared" si="5"/>
        <v>138.75969446342418</v>
      </c>
      <c r="W14" s="157">
        <f t="shared" si="6"/>
        <v>163116.25</v>
      </c>
      <c r="X14" s="157">
        <f t="shared" si="6"/>
        <v>17.344961807928023</v>
      </c>
      <c r="Y14" s="4"/>
      <c r="Z14" s="4"/>
      <c r="AA14" s="4"/>
      <c r="AB14" s="4"/>
      <c r="AC14" s="4"/>
      <c r="AD14" s="4"/>
    </row>
    <row r="15" spans="1:30" s="6" customFormat="1" ht="13" x14ac:dyDescent="0.2">
      <c r="A15" s="1"/>
      <c r="B15" s="41">
        <v>5.4</v>
      </c>
      <c r="C15" s="42" t="s">
        <v>17</v>
      </c>
      <c r="D15" s="43">
        <f>SUM(72150)</f>
        <v>72150</v>
      </c>
      <c r="E15" s="44">
        <f t="shared" si="7"/>
        <v>8.0912863070539416</v>
      </c>
      <c r="F15" s="43">
        <f>44208</f>
        <v>44208</v>
      </c>
      <c r="G15" s="44">
        <f t="shared" si="8"/>
        <v>3.6742021276595747</v>
      </c>
      <c r="H15" s="43">
        <v>36488</v>
      </c>
      <c r="I15" s="44">
        <f t="shared" si="9"/>
        <v>5.7561129515696479</v>
      </c>
      <c r="J15" s="43">
        <v>171225</v>
      </c>
      <c r="K15" s="44">
        <f t="shared" si="10"/>
        <v>15.028965154041956</v>
      </c>
      <c r="L15" s="43">
        <f>SUM(71714+1488)</f>
        <v>73202</v>
      </c>
      <c r="M15" s="44">
        <f t="shared" si="11"/>
        <v>7.0454282964388835</v>
      </c>
      <c r="N15" s="43">
        <f>SUM(591+67434)</f>
        <v>68025</v>
      </c>
      <c r="O15" s="44">
        <f t="shared" si="4"/>
        <v>5.9634434996055052</v>
      </c>
      <c r="P15" s="43">
        <f>SUM(113172+27339+31479+142+282)</f>
        <v>172414</v>
      </c>
      <c r="Q15" s="44">
        <f t="shared" si="12"/>
        <v>15.133327481787063</v>
      </c>
      <c r="R15" s="43">
        <f>SUM(35687+801)</f>
        <v>36488</v>
      </c>
      <c r="S15" s="44">
        <f t="shared" si="13"/>
        <v>5.6535481871707471</v>
      </c>
      <c r="T15" s="21"/>
      <c r="U15" s="157">
        <f t="shared" si="5"/>
        <v>674200</v>
      </c>
      <c r="V15" s="157">
        <f t="shared" si="5"/>
        <v>66.346314005327315</v>
      </c>
      <c r="W15" s="157">
        <f t="shared" si="6"/>
        <v>84275</v>
      </c>
      <c r="X15" s="157">
        <f t="shared" si="6"/>
        <v>8.2932892506659144</v>
      </c>
      <c r="Y15" s="4"/>
      <c r="Z15" s="4"/>
      <c r="AA15" s="4"/>
      <c r="AB15" s="4"/>
      <c r="AC15" s="4"/>
      <c r="AD15" s="4"/>
    </row>
    <row r="16" spans="1:30" s="6" customFormat="1" ht="13" x14ac:dyDescent="0.2">
      <c r="A16" s="1"/>
      <c r="B16" s="41" t="s">
        <v>28</v>
      </c>
      <c r="C16" s="42" t="s">
        <v>18</v>
      </c>
      <c r="D16" s="43">
        <f>SUM(485595+114475+127651+5500)</f>
        <v>733221</v>
      </c>
      <c r="E16" s="44">
        <f t="shared" si="7"/>
        <v>82.227318604911972</v>
      </c>
      <c r="F16" s="43">
        <f>1859132+5650</f>
        <v>1864782</v>
      </c>
      <c r="G16" s="44">
        <f>F16/$G$9</f>
        <v>154.98520611702128</v>
      </c>
      <c r="H16" s="43">
        <f>669821</f>
        <v>669821</v>
      </c>
      <c r="I16" s="44">
        <f t="shared" si="9"/>
        <v>105.66666666666667</v>
      </c>
      <c r="J16" s="43">
        <v>1535311</v>
      </c>
      <c r="K16" s="44">
        <f t="shared" si="10"/>
        <v>134.75915035548144</v>
      </c>
      <c r="L16" s="43">
        <f>SUM(348311+197303+104655+96631+112609+34785)</f>
        <v>894294</v>
      </c>
      <c r="M16" s="44">
        <f t="shared" si="11"/>
        <v>86.072569778633294</v>
      </c>
      <c r="N16" s="43">
        <f>SUM(378032+192212+151686+5000)</f>
        <v>726930</v>
      </c>
      <c r="O16" s="44">
        <f t="shared" si="4"/>
        <v>63.726659068992724</v>
      </c>
      <c r="P16" s="43">
        <f>SUM(1276830+109600+142019+7040)</f>
        <v>1535489</v>
      </c>
      <c r="Q16" s="44">
        <f t="shared" si="12"/>
        <v>134.77477398402527</v>
      </c>
      <c r="R16" s="43">
        <f>SUM(381292+77615+68679+55755+62866+23614)</f>
        <v>669821</v>
      </c>
      <c r="S16" s="44">
        <f t="shared" si="13"/>
        <v>103.78385497365974</v>
      </c>
      <c r="T16" s="21"/>
      <c r="U16" s="157">
        <f t="shared" si="5"/>
        <v>8629669</v>
      </c>
      <c r="V16" s="157">
        <f t="shared" si="5"/>
        <v>865.99619954939249</v>
      </c>
      <c r="W16" s="157">
        <f t="shared" si="6"/>
        <v>1078708.625</v>
      </c>
      <c r="X16" s="157">
        <f t="shared" si="6"/>
        <v>108.24952494367406</v>
      </c>
      <c r="Y16" s="4"/>
      <c r="Z16" s="4"/>
      <c r="AA16" s="4"/>
      <c r="AB16" s="4"/>
      <c r="AC16" s="4"/>
      <c r="AD16" s="4"/>
    </row>
    <row r="17" spans="1:30" s="6" customFormat="1" ht="13" x14ac:dyDescent="0.2">
      <c r="A17" s="1"/>
      <c r="B17" s="41" t="s">
        <v>28</v>
      </c>
      <c r="C17" s="42" t="s">
        <v>19</v>
      </c>
      <c r="D17" s="43">
        <f>SUM(137042+137042+54896)</f>
        <v>328980</v>
      </c>
      <c r="E17" s="44">
        <f t="shared" si="7"/>
        <v>36.893574071997307</v>
      </c>
      <c r="F17" s="43">
        <f>202270</f>
        <v>202270</v>
      </c>
      <c r="G17" s="44">
        <f>F17/$G$9</f>
        <v>16.811003989361701</v>
      </c>
      <c r="H17" s="43">
        <v>513705</v>
      </c>
      <c r="I17" s="44">
        <f t="shared" si="9"/>
        <v>81.038807382867958</v>
      </c>
      <c r="J17" s="43">
        <v>727757</v>
      </c>
      <c r="K17" s="44">
        <f t="shared" si="10"/>
        <v>63.877556394277185</v>
      </c>
      <c r="L17" s="43">
        <f>SUM(38578+160423+182394+95986)</f>
        <v>477381</v>
      </c>
      <c r="M17" s="44">
        <f t="shared" si="11"/>
        <v>45.946198267564966</v>
      </c>
      <c r="N17" s="43">
        <f>SUM(118180+118180+10240)</f>
        <v>246600</v>
      </c>
      <c r="O17" s="44">
        <f t="shared" si="4"/>
        <v>21.61830454983782</v>
      </c>
      <c r="P17" s="43">
        <f>SUM(289401+361748+72349)</f>
        <v>723498</v>
      </c>
      <c r="Q17" s="44">
        <f t="shared" si="12"/>
        <v>63.503730360747831</v>
      </c>
      <c r="R17" s="43">
        <f>SUM(41513+172630+196272+103290)</f>
        <v>513705</v>
      </c>
      <c r="S17" s="44">
        <f t="shared" si="13"/>
        <v>79.594824914781526</v>
      </c>
      <c r="T17" s="21"/>
      <c r="U17" s="157">
        <f t="shared" si="5"/>
        <v>3733896</v>
      </c>
      <c r="V17" s="157">
        <f t="shared" si="5"/>
        <v>409.28399993143626</v>
      </c>
      <c r="W17" s="157">
        <f t="shared" si="6"/>
        <v>466737</v>
      </c>
      <c r="X17" s="157">
        <f t="shared" si="6"/>
        <v>51.160499991429532</v>
      </c>
      <c r="Y17" s="4"/>
      <c r="Z17" s="4"/>
      <c r="AA17" s="4"/>
      <c r="AB17" s="4"/>
      <c r="AC17" s="4"/>
      <c r="AD17" s="4"/>
    </row>
    <row r="18" spans="1:30" s="6" customFormat="1" ht="13" x14ac:dyDescent="0.2">
      <c r="A18" s="1"/>
      <c r="B18" s="41" t="s">
        <v>28</v>
      </c>
      <c r="C18" s="42" t="s">
        <v>20</v>
      </c>
      <c r="D18" s="43">
        <f>SUM(22200+55500+27750+38850+55500)</f>
        <v>199800</v>
      </c>
      <c r="E18" s="44">
        <f t="shared" si="7"/>
        <v>22.406639004149376</v>
      </c>
      <c r="F18" s="43">
        <f>263891</f>
        <v>263891</v>
      </c>
      <c r="G18" s="44">
        <f>F18/$G$9</f>
        <v>21.932430186170212</v>
      </c>
      <c r="H18" s="43">
        <v>665288</v>
      </c>
      <c r="I18" s="44">
        <f t="shared" si="9"/>
        <v>104.9515696482095</v>
      </c>
      <c r="J18" s="43">
        <v>946121</v>
      </c>
      <c r="K18" s="44">
        <f t="shared" si="10"/>
        <v>83.044062143421399</v>
      </c>
      <c r="L18" s="43">
        <f>SUM(1081431)</f>
        <v>1081431</v>
      </c>
      <c r="M18" s="44">
        <f t="shared" si="11"/>
        <v>104.08383060635227</v>
      </c>
      <c r="N18" s="43">
        <f>SUM(47272+59090+59090+118180+70908+82726+88635+112271)</f>
        <v>638172</v>
      </c>
      <c r="O18" s="44">
        <f t="shared" si="4"/>
        <v>55.945647409485403</v>
      </c>
      <c r="P18" s="43">
        <f>SUM(67016+84423+33750+33750+72927+76215+303411+33750+77751+89073+78278)</f>
        <v>950344</v>
      </c>
      <c r="Q18" s="44">
        <f t="shared" si="12"/>
        <v>83.414728341964363</v>
      </c>
      <c r="R18" s="43">
        <f>SUM(665288)</f>
        <v>665288</v>
      </c>
      <c r="S18" s="44">
        <f t="shared" si="13"/>
        <v>103.08149984505732</v>
      </c>
      <c r="T18" s="21"/>
      <c r="U18" s="157">
        <f t="shared" si="5"/>
        <v>5410335</v>
      </c>
      <c r="V18" s="157">
        <f t="shared" si="5"/>
        <v>578.86040718480979</v>
      </c>
      <c r="W18" s="157">
        <f t="shared" si="6"/>
        <v>676291.875</v>
      </c>
      <c r="X18" s="157">
        <f t="shared" si="6"/>
        <v>72.357550898101223</v>
      </c>
      <c r="Y18" s="4"/>
      <c r="Z18" s="4"/>
      <c r="AA18" s="4"/>
      <c r="AB18" s="4"/>
      <c r="AC18" s="4"/>
      <c r="AD18" s="4"/>
    </row>
    <row r="19" spans="1:30" s="6" customFormat="1" ht="13" x14ac:dyDescent="0.2">
      <c r="A19" s="1"/>
      <c r="B19" s="41">
        <v>5.6</v>
      </c>
      <c r="C19" s="42" t="s">
        <v>21</v>
      </c>
      <c r="D19" s="43">
        <f>SUM(78548+66148)</f>
        <v>144696</v>
      </c>
      <c r="E19" s="44">
        <f t="shared" si="7"/>
        <v>16.226982168890881</v>
      </c>
      <c r="F19" s="43">
        <f>334968</f>
        <v>334968</v>
      </c>
      <c r="G19" s="44">
        <f t="shared" si="8"/>
        <v>27.839760638297872</v>
      </c>
      <c r="H19" s="43">
        <v>72879</v>
      </c>
      <c r="I19" s="44">
        <f t="shared" si="9"/>
        <v>11.496923805016564</v>
      </c>
      <c r="J19" s="43">
        <v>146293</v>
      </c>
      <c r="K19" s="44">
        <f t="shared" si="10"/>
        <v>12.840603879575177</v>
      </c>
      <c r="L19" s="43">
        <f>SUM(166977+66173+11302)</f>
        <v>244452</v>
      </c>
      <c r="M19" s="44">
        <f t="shared" si="11"/>
        <v>23.527622714148219</v>
      </c>
      <c r="N19" s="43">
        <f>SUM(84852+111057+199+428+1896+501+825+3336+5360)</f>
        <v>208454</v>
      </c>
      <c r="O19" s="44">
        <f t="shared" si="4"/>
        <v>18.274217585692995</v>
      </c>
      <c r="P19" s="43">
        <f>SUM(101951+43096+1997+554)</f>
        <v>147598</v>
      </c>
      <c r="Q19" s="44">
        <f t="shared" si="12"/>
        <v>12.955147897832003</v>
      </c>
      <c r="R19" s="43">
        <f>SUM(43672+17762+11445)</f>
        <v>72879</v>
      </c>
      <c r="S19" s="44">
        <f t="shared" si="13"/>
        <v>11.292066935233963</v>
      </c>
      <c r="T19" s="21"/>
      <c r="U19" s="157">
        <f t="shared" si="5"/>
        <v>1372219</v>
      </c>
      <c r="V19" s="157">
        <f t="shared" si="5"/>
        <v>134.45332562468769</v>
      </c>
      <c r="W19" s="157">
        <f t="shared" si="6"/>
        <v>171527.375</v>
      </c>
      <c r="X19" s="157">
        <f t="shared" si="6"/>
        <v>16.806665703085962</v>
      </c>
      <c r="Y19" s="4"/>
      <c r="Z19" s="4"/>
      <c r="AA19" s="4"/>
      <c r="AB19" s="4"/>
      <c r="AC19" s="4"/>
      <c r="AD19" s="4"/>
    </row>
    <row r="20" spans="1:30" s="6" customFormat="1" ht="13" x14ac:dyDescent="0.2">
      <c r="A20" s="1"/>
      <c r="B20" s="41">
        <v>5.6</v>
      </c>
      <c r="C20" s="42" t="s">
        <v>22</v>
      </c>
      <c r="D20" s="43"/>
      <c r="E20" s="44">
        <f t="shared" si="7"/>
        <v>0</v>
      </c>
      <c r="F20" s="43"/>
      <c r="G20" s="44">
        <f t="shared" ref="G20" si="15">F20/$G$9</f>
        <v>0</v>
      </c>
      <c r="H20" s="43"/>
      <c r="I20" s="44">
        <f t="shared" si="9"/>
        <v>0</v>
      </c>
      <c r="J20" s="43"/>
      <c r="K20" s="44">
        <f t="shared" si="10"/>
        <v>0</v>
      </c>
      <c r="L20" s="43"/>
      <c r="M20" s="44">
        <f t="shared" si="11"/>
        <v>0</v>
      </c>
      <c r="N20" s="43"/>
      <c r="O20" s="44">
        <f t="shared" si="4"/>
        <v>0</v>
      </c>
      <c r="P20" s="43"/>
      <c r="Q20" s="44">
        <f t="shared" si="12"/>
        <v>0</v>
      </c>
      <c r="R20" s="43"/>
      <c r="S20" s="44">
        <f t="shared" si="13"/>
        <v>0</v>
      </c>
      <c r="T20" s="21"/>
      <c r="U20" s="157">
        <f t="shared" si="5"/>
        <v>0</v>
      </c>
      <c r="V20" s="157">
        <f t="shared" si="5"/>
        <v>0</v>
      </c>
      <c r="W20" s="157">
        <f t="shared" si="6"/>
        <v>0</v>
      </c>
      <c r="X20" s="157">
        <f t="shared" si="6"/>
        <v>0</v>
      </c>
      <c r="Y20" s="4"/>
      <c r="Z20" s="4"/>
      <c r="AA20" s="4"/>
      <c r="AB20" s="4"/>
      <c r="AC20" s="4"/>
      <c r="AD20" s="4"/>
    </row>
    <row r="21" spans="1:30" s="6" customFormat="1" ht="13" x14ac:dyDescent="0.2">
      <c r="A21" s="1"/>
      <c r="B21" s="41">
        <v>5.6</v>
      </c>
      <c r="C21" s="42" t="s">
        <v>23</v>
      </c>
      <c r="D21" s="43">
        <f>SUM(85918+14332+4046+6168)</f>
        <v>110464</v>
      </c>
      <c r="E21" s="44">
        <f t="shared" si="7"/>
        <v>12.388022877649433</v>
      </c>
      <c r="F21" s="43">
        <f>174552</f>
        <v>174552</v>
      </c>
      <c r="G21" s="44">
        <f t="shared" si="8"/>
        <v>14.507313829787234</v>
      </c>
      <c r="H21" s="43">
        <v>50138</v>
      </c>
      <c r="I21" s="44">
        <f t="shared" si="9"/>
        <v>7.9094494399747592</v>
      </c>
      <c r="J21" s="43">
        <v>120442</v>
      </c>
      <c r="K21" s="44">
        <f t="shared" si="10"/>
        <v>10.571579039761257</v>
      </c>
      <c r="L21" s="43">
        <f>SUM(46144+20817+18949)</f>
        <v>85910</v>
      </c>
      <c r="M21" s="44">
        <f t="shared" si="11"/>
        <v>8.2685274302213667</v>
      </c>
      <c r="N21" s="43">
        <f>SUM(84150+29304+95073+38570+20107+21078)</f>
        <v>288282</v>
      </c>
      <c r="O21" s="44">
        <f t="shared" si="4"/>
        <v>25.272376610852984</v>
      </c>
      <c r="P21" s="43">
        <f>SUM(56950-1997-554+38079+18446+6632+3209)</f>
        <v>120765</v>
      </c>
      <c r="Q21" s="44">
        <f t="shared" si="12"/>
        <v>10.599929781444747</v>
      </c>
      <c r="R21" s="43">
        <f>SUM(28671+14268+7199)</f>
        <v>50138</v>
      </c>
      <c r="S21" s="44">
        <f t="shared" si="13"/>
        <v>7.7685156492097924</v>
      </c>
      <c r="T21" s="21"/>
      <c r="U21" s="157">
        <f t="shared" si="5"/>
        <v>1000691</v>
      </c>
      <c r="V21" s="157">
        <f t="shared" si="5"/>
        <v>97.285714658901568</v>
      </c>
      <c r="W21" s="157">
        <f t="shared" si="6"/>
        <v>125086.375</v>
      </c>
      <c r="X21" s="157">
        <f t="shared" si="6"/>
        <v>12.160714332362696</v>
      </c>
      <c r="Y21" s="4"/>
      <c r="Z21" s="4"/>
      <c r="AA21" s="4"/>
      <c r="AB21" s="4"/>
      <c r="AC21" s="4"/>
      <c r="AD21" s="4"/>
    </row>
    <row r="22" spans="1:30" s="6" customFormat="1" ht="13" x14ac:dyDescent="0.2">
      <c r="A22" s="1"/>
      <c r="B22" s="41">
        <v>5.6</v>
      </c>
      <c r="C22" s="42" t="s">
        <v>24</v>
      </c>
      <c r="D22" s="43">
        <f>SUM(58235+213543+12843+4329+4618+3175+36076)</f>
        <v>332819</v>
      </c>
      <c r="E22" s="44">
        <f t="shared" si="7"/>
        <v>37.324100033643603</v>
      </c>
      <c r="F22" s="43">
        <f>323602</f>
        <v>323602</v>
      </c>
      <c r="G22" s="44">
        <f t="shared" ref="G22" si="16">F22/$G$9</f>
        <v>26.895113031914892</v>
      </c>
      <c r="H22" s="43">
        <v>361183</v>
      </c>
      <c r="I22" s="44">
        <f t="shared" si="9"/>
        <v>56.977914497554821</v>
      </c>
      <c r="J22" s="43">
        <v>209749</v>
      </c>
      <c r="K22" s="44">
        <f t="shared" si="10"/>
        <v>18.410339682261039</v>
      </c>
      <c r="L22" s="43">
        <f>SUM(25347+68221+792913)</f>
        <v>886481</v>
      </c>
      <c r="M22" s="44">
        <f t="shared" si="11"/>
        <v>85.320596727622714</v>
      </c>
      <c r="N22" s="43">
        <f>SUM(43618+80582+203000-8775-14625)</f>
        <v>303800</v>
      </c>
      <c r="O22" s="44">
        <f t="shared" si="4"/>
        <v>26.632769352152188</v>
      </c>
      <c r="P22" s="43">
        <f>SUM(59572+151120)</f>
        <v>210692</v>
      </c>
      <c r="Q22" s="44">
        <f t="shared" si="12"/>
        <v>18.493109804265778</v>
      </c>
      <c r="R22" s="43">
        <f>SUM(274698+86485)</f>
        <v>361183</v>
      </c>
      <c r="S22" s="44">
        <f t="shared" si="13"/>
        <v>55.96265881623799</v>
      </c>
      <c r="T22" s="21"/>
      <c r="U22" s="157">
        <f t="shared" si="5"/>
        <v>2989509</v>
      </c>
      <c r="V22" s="157">
        <f t="shared" si="5"/>
        <v>326.01660194565301</v>
      </c>
      <c r="W22" s="157">
        <f t="shared" si="6"/>
        <v>373688.625</v>
      </c>
      <c r="X22" s="157">
        <f t="shared" si="6"/>
        <v>40.752075243206626</v>
      </c>
      <c r="Y22" s="4"/>
      <c r="Z22" s="4"/>
      <c r="AA22" s="4"/>
      <c r="AB22" s="4"/>
      <c r="AC22" s="4"/>
      <c r="AD22" s="4"/>
    </row>
    <row r="23" spans="1:30" s="6" customFormat="1" ht="13" x14ac:dyDescent="0.2">
      <c r="A23" s="1"/>
      <c r="B23" s="41">
        <v>5.6</v>
      </c>
      <c r="C23" s="42" t="s">
        <v>25</v>
      </c>
      <c r="D23" s="43">
        <f>SUM(5162+14062+21004+19440+18360+324648+528120+20280+29403+32038+874+8541+222+2498+20481+112+56+332+166+83)</f>
        <v>1045882</v>
      </c>
      <c r="E23" s="44">
        <f t="shared" si="7"/>
        <v>117.29079286755635</v>
      </c>
      <c r="F23" s="43">
        <f>3639083</f>
        <v>3639083</v>
      </c>
      <c r="G23" s="44">
        <f t="shared" ref="G23:G25" si="17">F23/$G$9</f>
        <v>302.45038231382978</v>
      </c>
      <c r="H23" s="43">
        <v>769180</v>
      </c>
      <c r="I23" s="44">
        <f t="shared" si="9"/>
        <v>121.34090550560025</v>
      </c>
      <c r="J23" s="43">
        <v>1382338</v>
      </c>
      <c r="K23" s="44">
        <f t="shared" si="10"/>
        <v>121.33222153954182</v>
      </c>
      <c r="L23" s="43">
        <f>SUM(991366+4420+24400+33258+5861+78213+23882+127131)</f>
        <v>1288531</v>
      </c>
      <c r="M23" s="44">
        <f t="shared" si="11"/>
        <v>124.01645813282002</v>
      </c>
      <c r="N23" s="43">
        <f>SUM(8775+14625+1647596+50575+70724+349648-303558)</f>
        <v>1838385</v>
      </c>
      <c r="O23" s="44">
        <f t="shared" si="4"/>
        <v>161.16288244060664</v>
      </c>
      <c r="P23" s="43">
        <f>SUM(1276133+41513+10217+30296+29504)</f>
        <v>1387663</v>
      </c>
      <c r="Q23" s="44">
        <f t="shared" si="12"/>
        <v>121.79961379794611</v>
      </c>
      <c r="R23" s="43">
        <f>SUM(552092+20553+34814+71810+18208+71703)</f>
        <v>769180</v>
      </c>
      <c r="S23" s="44">
        <f t="shared" si="13"/>
        <v>119.17880384257825</v>
      </c>
      <c r="T23" s="21"/>
      <c r="U23" s="157">
        <f t="shared" si="5"/>
        <v>12120242</v>
      </c>
      <c r="V23" s="157">
        <f t="shared" si="5"/>
        <v>1188.5720604404792</v>
      </c>
      <c r="W23" s="157">
        <f t="shared" si="6"/>
        <v>1515030.25</v>
      </c>
      <c r="X23" s="157">
        <f t="shared" si="6"/>
        <v>148.5715075550599</v>
      </c>
      <c r="Y23" s="4"/>
      <c r="Z23" s="4"/>
      <c r="AA23" s="4"/>
      <c r="AB23" s="4"/>
      <c r="AC23" s="4"/>
      <c r="AD23" s="4"/>
    </row>
    <row r="24" spans="1:30" s="6" customFormat="1" ht="13" x14ac:dyDescent="0.2">
      <c r="A24" s="1"/>
      <c r="B24" s="41">
        <v>5.6</v>
      </c>
      <c r="C24" s="42" t="s">
        <v>26</v>
      </c>
      <c r="D24" s="43">
        <f>SUM(155400+133200+18315+18315+18315+77785)</f>
        <v>421330</v>
      </c>
      <c r="E24" s="44">
        <f t="shared" si="7"/>
        <v>47.250196254345632</v>
      </c>
      <c r="F24" s="43">
        <f>162604</f>
        <v>162604</v>
      </c>
      <c r="G24" s="44">
        <f t="shared" si="17"/>
        <v>13.514295212765957</v>
      </c>
      <c r="H24" s="43">
        <v>228968</v>
      </c>
      <c r="I24" s="44">
        <f t="shared" si="9"/>
        <v>36.120523741915129</v>
      </c>
      <c r="J24" s="43">
        <v>533523</v>
      </c>
      <c r="K24" s="44">
        <f t="shared" si="10"/>
        <v>46.829017817958395</v>
      </c>
      <c r="L24" s="43">
        <f>SUM(324059)</f>
        <v>324059</v>
      </c>
      <c r="M24" s="44">
        <f t="shared" si="11"/>
        <v>31.189509143407122</v>
      </c>
      <c r="N24" s="43">
        <f>SUM(303558+389301+43104)</f>
        <v>735963</v>
      </c>
      <c r="O24" s="44">
        <f t="shared" si="4"/>
        <v>64.518541246602965</v>
      </c>
      <c r="P24" s="43">
        <f>SUM(468114-29504+52029)</f>
        <v>490639</v>
      </c>
      <c r="Q24" s="44">
        <f t="shared" si="12"/>
        <v>43.064952163609235</v>
      </c>
      <c r="R24" s="43">
        <f>SUM(228968)</f>
        <v>228968</v>
      </c>
      <c r="S24" s="44">
        <f t="shared" si="13"/>
        <v>35.476913541989461</v>
      </c>
      <c r="T24" s="21"/>
      <c r="U24" s="157">
        <f t="shared" si="5"/>
        <v>3126054</v>
      </c>
      <c r="V24" s="157">
        <f t="shared" si="5"/>
        <v>317.96394912259387</v>
      </c>
      <c r="W24" s="157">
        <f t="shared" si="6"/>
        <v>390756.75</v>
      </c>
      <c r="X24" s="157">
        <f t="shared" si="6"/>
        <v>39.745493640324234</v>
      </c>
      <c r="Y24" s="4"/>
      <c r="Z24" s="4"/>
      <c r="AA24" s="4"/>
      <c r="AB24" s="4"/>
      <c r="AC24" s="4"/>
      <c r="AD24" s="4"/>
    </row>
    <row r="25" spans="1:30" s="6" customFormat="1" ht="13" x14ac:dyDescent="0.2">
      <c r="A25" s="1"/>
      <c r="B25" s="41">
        <v>5.14</v>
      </c>
      <c r="C25" s="42" t="s">
        <v>27</v>
      </c>
      <c r="D25" s="43">
        <f>SUM(83250+68180+48400+5000)</f>
        <v>204830</v>
      </c>
      <c r="E25" s="44">
        <f t="shared" si="7"/>
        <v>22.97073006616575</v>
      </c>
      <c r="F25" s="43">
        <f>231085</f>
        <v>231085</v>
      </c>
      <c r="G25" s="44">
        <f t="shared" si="17"/>
        <v>19.205867686170212</v>
      </c>
      <c r="H25" s="43">
        <v>40000</v>
      </c>
      <c r="I25" s="44">
        <f t="shared" si="9"/>
        <v>6.3101435557658938</v>
      </c>
      <c r="J25" s="43">
        <v>302564</v>
      </c>
      <c r="K25" s="44">
        <f t="shared" si="10"/>
        <v>26.557008689546212</v>
      </c>
      <c r="L25" s="43">
        <f>89743</f>
        <v>89743</v>
      </c>
      <c r="M25" s="44">
        <f>L25/$M$9</f>
        <v>8.6374398460057744</v>
      </c>
      <c r="N25" s="43">
        <f>SUM(5000+30000+8000+5000)</f>
        <v>48000</v>
      </c>
      <c r="O25" s="44">
        <f t="shared" si="4"/>
        <v>4.2079424914526165</v>
      </c>
      <c r="P25" s="43">
        <f>SUM(8438+12826+205993)</f>
        <v>227257</v>
      </c>
      <c r="Q25" s="44">
        <f t="shared" si="12"/>
        <v>19.947072763977882</v>
      </c>
      <c r="R25" s="43">
        <f>SUM(135172)</f>
        <v>135172</v>
      </c>
      <c r="S25" s="44">
        <f t="shared" si="13"/>
        <v>20.943910753021381</v>
      </c>
      <c r="T25" s="21"/>
      <c r="U25" s="157">
        <f t="shared" si="5"/>
        <v>1278651</v>
      </c>
      <c r="V25" s="157">
        <f t="shared" si="5"/>
        <v>128.78011585210572</v>
      </c>
      <c r="W25" s="157">
        <f t="shared" si="6"/>
        <v>159831.375</v>
      </c>
      <c r="X25" s="157">
        <f t="shared" si="6"/>
        <v>16.097514481513215</v>
      </c>
      <c r="Y25" s="4"/>
      <c r="Z25" s="4"/>
      <c r="AA25" s="4"/>
      <c r="AB25" s="4"/>
      <c r="AC25" s="4"/>
      <c r="AD25" s="4"/>
    </row>
    <row r="26" spans="1:30" s="6" customFormat="1" ht="13" x14ac:dyDescent="0.2">
      <c r="A26" s="1"/>
      <c r="B26" s="35"/>
      <c r="C26" s="45" t="s">
        <v>4</v>
      </c>
      <c r="D26" s="37">
        <f>SUM(D27:D55)</f>
        <v>5010465</v>
      </c>
      <c r="E26" s="38">
        <f>D26/$E$9</f>
        <v>561.90030279241898</v>
      </c>
      <c r="F26" s="37">
        <f>SUM(F27:F55)</f>
        <v>8134467</v>
      </c>
      <c r="G26" s="39">
        <f>F26/$G$9</f>
        <v>676.06939827127655</v>
      </c>
      <c r="H26" s="37">
        <f>SUM(H27:H55)</f>
        <v>6180381</v>
      </c>
      <c r="I26" s="39">
        <f>H26/$I$9</f>
        <v>974.97728348319924</v>
      </c>
      <c r="J26" s="37">
        <f>SUM(J27:J55)</f>
        <v>7422629</v>
      </c>
      <c r="K26" s="39">
        <f>J26/$K$9</f>
        <v>651.50785570086896</v>
      </c>
      <c r="L26" s="37">
        <f>SUM(L27:L55)</f>
        <v>9543634.6799999997</v>
      </c>
      <c r="M26" s="39">
        <f>L26/$M$9</f>
        <v>918.54039268527424</v>
      </c>
      <c r="N26" s="37">
        <f>SUM(N27:N55)</f>
        <v>7981619</v>
      </c>
      <c r="O26" s="39">
        <f>N26/$O$9</f>
        <v>699.71236959761552</v>
      </c>
      <c r="P26" s="37">
        <f>SUM(P27:P55)</f>
        <v>7405926</v>
      </c>
      <c r="Q26" s="39">
        <f>P26/$Q$9</f>
        <v>650.04178004037567</v>
      </c>
      <c r="R26" s="37">
        <f>SUM(R27:R55)</f>
        <v>6144363</v>
      </c>
      <c r="S26" s="39">
        <f>R26/$S$9</f>
        <v>952.02401611403775</v>
      </c>
      <c r="T26" s="21"/>
      <c r="U26" s="157">
        <f t="shared" si="5"/>
        <v>57823484.68</v>
      </c>
      <c r="V26" s="157">
        <f t="shared" si="5"/>
        <v>6084.7733986850671</v>
      </c>
      <c r="W26" s="157">
        <f t="shared" si="6"/>
        <v>7227935.585</v>
      </c>
      <c r="X26" s="157">
        <f t="shared" si="6"/>
        <v>760.59667483563339</v>
      </c>
      <c r="Y26" s="40"/>
      <c r="Z26" s="40"/>
      <c r="AA26" s="40"/>
      <c r="AB26" s="40"/>
      <c r="AC26" s="40"/>
      <c r="AD26" s="40"/>
    </row>
    <row r="27" spans="1:30" s="6" customFormat="1" ht="13" x14ac:dyDescent="0.2">
      <c r="A27" s="1"/>
      <c r="B27" s="41">
        <v>5.8</v>
      </c>
      <c r="C27" s="42" t="s">
        <v>29</v>
      </c>
      <c r="D27" s="43">
        <f>SUM(450690+85078+37434+157425+51487+10000)</f>
        <v>792114</v>
      </c>
      <c r="E27" s="44">
        <f t="shared" ref="E27:E55" si="18">D27/$E$9</f>
        <v>88.831894134798702</v>
      </c>
      <c r="F27" s="43">
        <f>547334+1388085</f>
        <v>1935419</v>
      </c>
      <c r="G27" s="44">
        <f>F27/$G$9</f>
        <v>160.85596742021278</v>
      </c>
      <c r="H27" s="43">
        <v>783540</v>
      </c>
      <c r="I27" s="44">
        <f>H27/$I$9</f>
        <v>123.6062470421202</v>
      </c>
      <c r="J27" s="43">
        <v>1170012</v>
      </c>
      <c r="K27" s="44">
        <f>J27/$K$9</f>
        <v>102.69569033617134</v>
      </c>
      <c r="L27" s="43">
        <f>SUM(269414+132583+50483+803774+49102+138539+429+456+1936+1212+2827+52114)</f>
        <v>1502869</v>
      </c>
      <c r="M27" s="44">
        <f>L27/$M$9</f>
        <v>144.64571703561117</v>
      </c>
      <c r="N27" s="43">
        <f>SUM(619719+147726+812546+65112+69852+75060+14400+19050+10860+5962+22336+21471+17797)</f>
        <v>1901891</v>
      </c>
      <c r="O27" s="44">
        <f>N27/$O$9</f>
        <v>166.73016568773559</v>
      </c>
      <c r="P27" s="43">
        <f>SUM(309872+162518+518084+40279+38778+100734+2289+3375)</f>
        <v>1175929</v>
      </c>
      <c r="Q27" s="44">
        <f>P27/$Q$9</f>
        <v>103.215044325463</v>
      </c>
      <c r="R27" s="43">
        <f>SUM(159487+43574+338117+81047+161315)</f>
        <v>783540</v>
      </c>
      <c r="S27" s="44">
        <f>R27/$S$9</f>
        <v>121.40378060117756</v>
      </c>
      <c r="T27" s="21"/>
      <c r="U27" s="157">
        <f t="shared" si="5"/>
        <v>10045314</v>
      </c>
      <c r="V27" s="157">
        <f t="shared" si="5"/>
        <v>1011.9845065832902</v>
      </c>
      <c r="W27" s="157">
        <f t="shared" si="6"/>
        <v>1255664.25</v>
      </c>
      <c r="X27" s="157">
        <f t="shared" si="6"/>
        <v>126.49806332291128</v>
      </c>
      <c r="Y27" s="4"/>
      <c r="Z27" s="4"/>
      <c r="AA27" s="4"/>
      <c r="AB27" s="4"/>
      <c r="AC27" s="4"/>
      <c r="AD27" s="4"/>
    </row>
    <row r="28" spans="1:30" s="6" customFormat="1" ht="13" x14ac:dyDescent="0.2">
      <c r="A28" s="1"/>
      <c r="B28" s="41"/>
      <c r="C28" s="42"/>
      <c r="D28" s="43"/>
      <c r="E28" s="44"/>
      <c r="F28" s="43"/>
      <c r="G28" s="44"/>
      <c r="H28" s="43"/>
      <c r="I28" s="44"/>
      <c r="J28" s="43"/>
      <c r="K28" s="44"/>
      <c r="L28" s="43"/>
      <c r="M28" s="44"/>
      <c r="N28" s="43"/>
      <c r="O28" s="44"/>
      <c r="P28" s="43"/>
      <c r="Q28" s="44"/>
      <c r="R28" s="43"/>
      <c r="S28" s="44"/>
      <c r="T28" s="21"/>
      <c r="U28" s="157">
        <f t="shared" si="5"/>
        <v>0</v>
      </c>
      <c r="V28" s="157">
        <f t="shared" si="5"/>
        <v>0</v>
      </c>
      <c r="W28" s="157">
        <f t="shared" si="6"/>
        <v>0</v>
      </c>
      <c r="X28" s="157">
        <f t="shared" si="6"/>
        <v>0</v>
      </c>
      <c r="Y28" s="4"/>
      <c r="Z28" s="4"/>
      <c r="AA28" s="4"/>
      <c r="AB28" s="4"/>
      <c r="AC28" s="4"/>
      <c r="AD28" s="4"/>
    </row>
    <row r="29" spans="1:30" s="6" customFormat="1" ht="13" x14ac:dyDescent="0.2">
      <c r="A29" s="1"/>
      <c r="B29" s="41">
        <v>5.8</v>
      </c>
      <c r="C29" s="42" t="s">
        <v>30</v>
      </c>
      <c r="D29" s="43">
        <f>SUM(833787-10000+739908+212401)</f>
        <v>1776096</v>
      </c>
      <c r="E29" s="44">
        <f t="shared" si="18"/>
        <v>199.18089043400246</v>
      </c>
      <c r="F29" s="43">
        <f>2855697</f>
        <v>2855697</v>
      </c>
      <c r="G29" s="44">
        <f t="shared" ref="G29:G55" si="19">F29/$G$9</f>
        <v>237.34183843085106</v>
      </c>
      <c r="H29" s="43">
        <v>1992836</v>
      </c>
      <c r="I29" s="44">
        <f t="shared" ref="I29:I55" si="20">H29/$I$9</f>
        <v>314.37703107745699</v>
      </c>
      <c r="J29" s="43">
        <v>2876139</v>
      </c>
      <c r="K29" s="44">
        <f t="shared" ref="K29:K55" si="21">J29/$K$9</f>
        <v>252.44790660932151</v>
      </c>
      <c r="L29" s="43">
        <f>SUM(321415+321415+280857+280857+185879+263981+44637+1323505+165244)</f>
        <v>3187790</v>
      </c>
      <c r="M29" s="44">
        <f t="shared" ref="M29:M55" si="22">L29/$M$9</f>
        <v>306.8132820019249</v>
      </c>
      <c r="N29" s="43">
        <f>SUM(228703*5)+209155+153356+1120015+241+2695+6253+1444+2167+5417+421+5418</f>
        <v>2650097</v>
      </c>
      <c r="O29" s="44">
        <f t="shared" ref="O29:O55" si="23">N29/$O$9</f>
        <v>232.3219952660647</v>
      </c>
      <c r="P29" s="43">
        <f>SUM(1145724-2289-3375+74515+1546520+531+1062+1593+1274+2748+1851+4367+1402+11816)</f>
        <v>2787739</v>
      </c>
      <c r="Q29" s="44">
        <f t="shared" ref="Q29:Q55" si="24">P29/$Q$9</f>
        <v>244.68875625384007</v>
      </c>
      <c r="R29" s="43">
        <f>SUM(1084547+213998+549424+144867)</f>
        <v>1992836</v>
      </c>
      <c r="S29" s="44">
        <f t="shared" ref="S29:S55" si="25">R29/$S$9</f>
        <v>308.77533312674308</v>
      </c>
      <c r="T29" s="21"/>
      <c r="U29" s="157">
        <f t="shared" si="5"/>
        <v>20119230</v>
      </c>
      <c r="V29" s="157">
        <f t="shared" si="5"/>
        <v>2095.9470332002047</v>
      </c>
      <c r="W29" s="157">
        <f t="shared" si="6"/>
        <v>2514903.75</v>
      </c>
      <c r="X29" s="157">
        <f t="shared" si="6"/>
        <v>261.99337915002559</v>
      </c>
      <c r="Y29" s="4"/>
      <c r="Z29" s="4"/>
      <c r="AA29" s="4"/>
      <c r="AB29" s="4"/>
      <c r="AC29" s="4"/>
      <c r="AD29" s="4"/>
    </row>
    <row r="30" spans="1:30" s="6" customFormat="1" ht="13" x14ac:dyDescent="0.2">
      <c r="A30" s="1"/>
      <c r="B30" s="41">
        <v>5.8</v>
      </c>
      <c r="C30" s="42" t="s">
        <v>31</v>
      </c>
      <c r="D30" s="43">
        <f>SUM(118154+17783)</f>
        <v>135937</v>
      </c>
      <c r="E30" s="44">
        <f t="shared" ref="E30" si="26">D30/$E$9</f>
        <v>15.244701132667938</v>
      </c>
      <c r="F30" s="43">
        <f>104004</f>
        <v>104004</v>
      </c>
      <c r="G30" s="44">
        <f t="shared" si="19"/>
        <v>8.6439494680851059</v>
      </c>
      <c r="H30" s="43">
        <v>36001</v>
      </c>
      <c r="I30" s="44">
        <f t="shared" si="20"/>
        <v>5.679286953778198</v>
      </c>
      <c r="J30" s="43">
        <v>128667</v>
      </c>
      <c r="K30" s="44">
        <f t="shared" si="21"/>
        <v>11.293513560958484</v>
      </c>
      <c r="L30" s="43">
        <f>SUM(57260)</f>
        <v>57260</v>
      </c>
      <c r="M30" s="44">
        <f t="shared" si="22"/>
        <v>5.5110683349374394</v>
      </c>
      <c r="N30" s="43">
        <f>SUM(56635+2892+7953+1205+241+41940)</f>
        <v>110866</v>
      </c>
      <c r="O30" s="44">
        <f t="shared" si="23"/>
        <v>9.7191198386955371</v>
      </c>
      <c r="P30" s="43">
        <f>SUM(28396+353+51083+3036+6956+6328+5340+27897)</f>
        <v>129389</v>
      </c>
      <c r="Q30" s="44">
        <f t="shared" si="24"/>
        <v>11.356885807074519</v>
      </c>
      <c r="R30" s="43">
        <f>SUM(36001)</f>
        <v>36001</v>
      </c>
      <c r="S30" s="44">
        <f t="shared" si="25"/>
        <v>5.5780911062906728</v>
      </c>
      <c r="T30" s="21"/>
      <c r="U30" s="157">
        <f t="shared" si="5"/>
        <v>738125</v>
      </c>
      <c r="V30" s="157">
        <f t="shared" si="5"/>
        <v>73.026616202487901</v>
      </c>
      <c r="W30" s="157">
        <f t="shared" si="6"/>
        <v>92265.625</v>
      </c>
      <c r="X30" s="157">
        <f t="shared" si="6"/>
        <v>9.1283270253109876</v>
      </c>
      <c r="Y30" s="4"/>
      <c r="Z30" s="4"/>
      <c r="AA30" s="4"/>
      <c r="AB30" s="4"/>
      <c r="AC30" s="4"/>
      <c r="AD30" s="4"/>
    </row>
    <row r="31" spans="1:30" s="6" customFormat="1" ht="13" x14ac:dyDescent="0.2">
      <c r="A31" s="1"/>
      <c r="B31" s="41">
        <v>5.8</v>
      </c>
      <c r="C31" s="42" t="s">
        <v>32</v>
      </c>
      <c r="D31" s="43">
        <f>SUM(130104+26052+1946+38948)</f>
        <v>197050</v>
      </c>
      <c r="E31" s="44">
        <f t="shared" si="18"/>
        <v>22.098239318156331</v>
      </c>
      <c r="F31" s="43">
        <f>SUM(199332+38720+2352+12406)</f>
        <v>252810</v>
      </c>
      <c r="G31" s="44">
        <f t="shared" si="19"/>
        <v>21.011469414893618</v>
      </c>
      <c r="H31" s="43">
        <f>54864+9423</f>
        <v>64287</v>
      </c>
      <c r="I31" s="44">
        <f t="shared" si="20"/>
        <v>10.141504969238051</v>
      </c>
      <c r="J31" s="43">
        <f>86984+30728</f>
        <v>117712</v>
      </c>
      <c r="K31" s="44">
        <f t="shared" si="21"/>
        <v>10.331958219959624</v>
      </c>
      <c r="L31" s="43">
        <f>SUM(98936+11696+2235+1107+6993+3726+459+1782+135+189+2619+540+1935+972+189+378)</f>
        <v>133891</v>
      </c>
      <c r="M31" s="44">
        <f t="shared" si="22"/>
        <v>12.886525505293552</v>
      </c>
      <c r="N31" s="43">
        <f>SUM(127605+5112+720+252+70+252+14+3822+2828+350+140+280+112+126+1400+136+128+872+224)</f>
        <v>144443</v>
      </c>
      <c r="O31" s="44">
        <f t="shared" si="23"/>
        <v>12.662663276935215</v>
      </c>
      <c r="P31" s="43">
        <f>SUM(84624+2200+852+1161+215+301+473+43+430+14276+10320+301+1806+258+1232)</f>
        <v>118492</v>
      </c>
      <c r="Q31" s="44">
        <f t="shared" si="24"/>
        <v>10.400421311331518</v>
      </c>
      <c r="R31" s="43">
        <f>SUM(51360+3024+480+189+4023+2133+675+594+648+243+243+513+162)</f>
        <v>64287</v>
      </c>
      <c r="S31" s="44">
        <f t="shared" si="25"/>
        <v>9.9607995041834521</v>
      </c>
      <c r="T31" s="21"/>
      <c r="U31" s="157">
        <f t="shared" si="5"/>
        <v>1092972</v>
      </c>
      <c r="V31" s="157">
        <f t="shared" si="5"/>
        <v>109.49358151999137</v>
      </c>
      <c r="W31" s="157">
        <f t="shared" si="6"/>
        <v>136621.5</v>
      </c>
      <c r="X31" s="157">
        <f t="shared" si="6"/>
        <v>13.686697689998921</v>
      </c>
      <c r="Y31" s="4"/>
      <c r="Z31" s="4"/>
      <c r="AA31" s="4"/>
      <c r="AB31" s="4"/>
      <c r="AC31" s="4"/>
      <c r="AD31" s="4"/>
    </row>
    <row r="32" spans="1:30" s="6" customFormat="1" ht="13" x14ac:dyDescent="0.2">
      <c r="A32" s="1"/>
      <c r="B32" s="41">
        <v>5.8</v>
      </c>
      <c r="C32" s="42" t="s">
        <v>33</v>
      </c>
      <c r="D32" s="43">
        <f>SUM(120445)</f>
        <v>120445</v>
      </c>
      <c r="E32" s="44">
        <f t="shared" si="18"/>
        <v>13.507345519793652</v>
      </c>
      <c r="F32" s="43">
        <f>253359</f>
        <v>253359</v>
      </c>
      <c r="G32" s="44">
        <f t="shared" si="19"/>
        <v>21.057097739361701</v>
      </c>
      <c r="H32" s="43">
        <f>146592+5660</f>
        <v>152252</v>
      </c>
      <c r="I32" s="44">
        <f t="shared" si="20"/>
        <v>24.01829941631172</v>
      </c>
      <c r="J32" s="43">
        <v>275986</v>
      </c>
      <c r="K32" s="44">
        <f t="shared" si="21"/>
        <v>24.224172737645922</v>
      </c>
      <c r="L32" s="43">
        <f>SUM(24354+67858+32292+3978+40656+325+5306+115818+24640+54395+33156+6447+10528+42726+9177+18354)</f>
        <v>490010</v>
      </c>
      <c r="M32" s="44">
        <f t="shared" si="22"/>
        <v>47.161693936477384</v>
      </c>
      <c r="N32" s="43">
        <f>SUM(2034+565+2034+113+34944+25856+3200+2110+5540+4576+5148+5000+1020+1440+13407+32816)</f>
        <v>139803</v>
      </c>
      <c r="O32" s="44">
        <f>N32/$O$9</f>
        <v>12.255895502761462</v>
      </c>
      <c r="P32" s="43">
        <f>SUM(7965+1475+2065+3245+336+3530+129480+106560+1652+9912+1416+9416)</f>
        <v>277052</v>
      </c>
      <c r="Q32" s="44">
        <f t="shared" si="24"/>
        <v>24.317738962520846</v>
      </c>
      <c r="R32" s="43">
        <f>SUM(4158+39038+18486+5850+13552+28656+11088+6831+14421+4512+2934+2726)</f>
        <v>152252</v>
      </c>
      <c r="S32" s="44">
        <f t="shared" si="25"/>
        <v>23.590331577316395</v>
      </c>
      <c r="T32" s="21"/>
      <c r="U32" s="157">
        <f t="shared" si="5"/>
        <v>1861159</v>
      </c>
      <c r="V32" s="157">
        <f t="shared" si="5"/>
        <v>190.13257539218907</v>
      </c>
      <c r="W32" s="157">
        <f t="shared" si="6"/>
        <v>232644.875</v>
      </c>
      <c r="X32" s="157">
        <f t="shared" si="6"/>
        <v>23.766571924023633</v>
      </c>
      <c r="Y32" s="4"/>
      <c r="Z32" s="4"/>
      <c r="AA32" s="4"/>
      <c r="AB32" s="4"/>
      <c r="AC32" s="4"/>
      <c r="AD32" s="4"/>
    </row>
    <row r="33" spans="1:30" s="6" customFormat="1" ht="13" x14ac:dyDescent="0.2">
      <c r="A33" s="1"/>
      <c r="B33" s="41">
        <v>5.8</v>
      </c>
      <c r="C33" s="42" t="s">
        <v>34</v>
      </c>
      <c r="D33" s="43">
        <f>SUM(11281+2900)</f>
        <v>14181</v>
      </c>
      <c r="E33" s="44">
        <f t="shared" si="18"/>
        <v>1.5903330716608726</v>
      </c>
      <c r="F33" s="43">
        <f>SUM(75648+4531)</f>
        <v>80179</v>
      </c>
      <c r="G33" s="44">
        <f t="shared" si="19"/>
        <v>6.6638131648936172</v>
      </c>
      <c r="H33" s="43">
        <f>6880+10764+2187</f>
        <v>19831</v>
      </c>
      <c r="I33" s="44">
        <f t="shared" si="20"/>
        <v>3.1284114213598357</v>
      </c>
      <c r="J33" s="43">
        <f>55876+10980</f>
        <v>66856</v>
      </c>
      <c r="K33" s="44">
        <f t="shared" si="21"/>
        <v>5.8681646625120685</v>
      </c>
      <c r="L33" s="43">
        <f>SUM(5811+270+783)</f>
        <v>6864</v>
      </c>
      <c r="M33" s="44">
        <f t="shared" si="22"/>
        <v>0.66063522617901826</v>
      </c>
      <c r="N33" s="43">
        <f>SUM(45125+2583+42)</f>
        <v>47750</v>
      </c>
      <c r="O33" s="44">
        <f t="shared" si="23"/>
        <v>4.1860261243096346</v>
      </c>
      <c r="P33" s="43">
        <f>SUM(56120+10980)</f>
        <v>67100</v>
      </c>
      <c r="Q33" s="44">
        <f t="shared" si="24"/>
        <v>5.8895813218643029</v>
      </c>
      <c r="R33" s="43">
        <f>SUM(6880+10764+1026+81+1080)</f>
        <v>19831</v>
      </c>
      <c r="S33" s="44">
        <f t="shared" si="25"/>
        <v>3.0726681127982647</v>
      </c>
      <c r="T33" s="21"/>
      <c r="U33" s="157">
        <f t="shared" si="5"/>
        <v>322592</v>
      </c>
      <c r="V33" s="157">
        <f t="shared" si="5"/>
        <v>31.059633105577614</v>
      </c>
      <c r="W33" s="157">
        <f t="shared" si="6"/>
        <v>40324</v>
      </c>
      <c r="X33" s="157">
        <f t="shared" si="6"/>
        <v>3.8824541381972018</v>
      </c>
      <c r="Y33" s="4"/>
      <c r="Z33" s="4"/>
      <c r="AA33" s="4"/>
      <c r="AB33" s="4"/>
      <c r="AC33" s="4"/>
      <c r="AD33" s="4"/>
    </row>
    <row r="34" spans="1:30" s="6" customFormat="1" ht="13" x14ac:dyDescent="0.2">
      <c r="A34" s="1"/>
      <c r="B34" s="41">
        <v>5.8</v>
      </c>
      <c r="C34" s="42" t="s">
        <v>35</v>
      </c>
      <c r="D34" s="43">
        <f>SUM(42601)</f>
        <v>42601</v>
      </c>
      <c r="E34" s="44">
        <f t="shared" si="18"/>
        <v>4.7775036447235619</v>
      </c>
      <c r="F34" s="43">
        <f>563814</f>
        <v>563814</v>
      </c>
      <c r="G34" s="44">
        <f t="shared" si="19"/>
        <v>46.859541223404257</v>
      </c>
      <c r="H34" s="43">
        <f>249604</f>
        <v>249604</v>
      </c>
      <c r="I34" s="44">
        <f t="shared" si="20"/>
        <v>39.375926802334753</v>
      </c>
      <c r="J34" s="43">
        <v>389424</v>
      </c>
      <c r="K34" s="44">
        <f t="shared" si="21"/>
        <v>34.180988326165192</v>
      </c>
      <c r="L34" s="43">
        <f>SUM(17820+59682)</f>
        <v>77502</v>
      </c>
      <c r="M34" s="44">
        <f t="shared" si="22"/>
        <v>7.4592877767083738</v>
      </c>
      <c r="N34" s="43">
        <f>SUM(211437+1836)</f>
        <v>213273</v>
      </c>
      <c r="O34" s="44">
        <f t="shared" si="23"/>
        <v>18.696677478741123</v>
      </c>
      <c r="P34" s="43">
        <f>SUM(391132)</f>
        <v>391132</v>
      </c>
      <c r="Q34" s="44">
        <f t="shared" si="24"/>
        <v>34.330904941630827</v>
      </c>
      <c r="R34" s="43">
        <f>SUM(226138+5346+18120)</f>
        <v>249604</v>
      </c>
      <c r="S34" s="44">
        <f t="shared" si="25"/>
        <v>38.674310505113105</v>
      </c>
      <c r="T34" s="21"/>
      <c r="U34" s="157">
        <f t="shared" si="5"/>
        <v>2176954</v>
      </c>
      <c r="V34" s="157">
        <f t="shared" si="5"/>
        <v>224.3551406988212</v>
      </c>
      <c r="W34" s="157">
        <f t="shared" si="6"/>
        <v>272119.25</v>
      </c>
      <c r="X34" s="157">
        <f t="shared" si="6"/>
        <v>28.04439258735265</v>
      </c>
      <c r="Y34" s="4"/>
      <c r="Z34" s="4"/>
      <c r="AA34" s="4"/>
      <c r="AB34" s="4"/>
      <c r="AC34" s="4"/>
      <c r="AD34" s="4"/>
    </row>
    <row r="35" spans="1:30" s="6" customFormat="1" ht="13" x14ac:dyDescent="0.2">
      <c r="A35" s="1"/>
      <c r="B35" s="41">
        <v>5.8</v>
      </c>
      <c r="C35" s="42" t="s">
        <v>56</v>
      </c>
      <c r="D35" s="43">
        <f>SUM(5985+31898+37676)</f>
        <v>75559</v>
      </c>
      <c r="E35" s="44">
        <f t="shared" si="18"/>
        <v>8.4735897723449582</v>
      </c>
      <c r="F35" s="43">
        <f>SUM(4800+34986+59126)</f>
        <v>98912</v>
      </c>
      <c r="G35" s="44">
        <f t="shared" si="19"/>
        <v>8.2207446808510642</v>
      </c>
      <c r="H35" s="43">
        <f>13440+42601</f>
        <v>56041</v>
      </c>
      <c r="I35" s="44">
        <f t="shared" si="20"/>
        <v>8.8406688752169114</v>
      </c>
      <c r="J35" s="43">
        <f>4899+24960+98179</f>
        <v>128038</v>
      </c>
      <c r="K35" s="44">
        <f t="shared" si="21"/>
        <v>11.238304221890635</v>
      </c>
      <c r="L35" s="43">
        <f>SUM(11473+12516+1428+31+336+1560+805+71652)</f>
        <v>99801</v>
      </c>
      <c r="M35" s="44">
        <f t="shared" si="22"/>
        <v>9.6054860442733396</v>
      </c>
      <c r="N35" s="43">
        <f>SUM(6000+12840+1152+1320+540+132+1008+240+240+1200+77254)</f>
        <v>101926</v>
      </c>
      <c r="O35" s="44">
        <f t="shared" si="23"/>
        <v>8.9353905496624879</v>
      </c>
      <c r="P35" s="43">
        <f>SUM(4899+25064+4200+864+1738+312+2496+89024)</f>
        <v>128597</v>
      </c>
      <c r="Q35" s="44">
        <f t="shared" si="24"/>
        <v>11.287369437373826</v>
      </c>
      <c r="R35" s="43">
        <f>SUM(6560+6880+434+34+45+1120+124+248+438+684+39474)</f>
        <v>56041</v>
      </c>
      <c r="S35" s="44">
        <f t="shared" si="25"/>
        <v>8.6831422373721718</v>
      </c>
      <c r="T35" s="21"/>
      <c r="U35" s="157">
        <f t="shared" si="5"/>
        <v>744915</v>
      </c>
      <c r="V35" s="157">
        <f t="shared" si="5"/>
        <v>75.284695818985384</v>
      </c>
      <c r="W35" s="157">
        <f t="shared" si="6"/>
        <v>93114.375</v>
      </c>
      <c r="X35" s="157">
        <f t="shared" si="6"/>
        <v>9.410586977373173</v>
      </c>
      <c r="Y35" s="4"/>
      <c r="Z35" s="4"/>
      <c r="AA35" s="4"/>
      <c r="AB35" s="4"/>
      <c r="AC35" s="4"/>
      <c r="AD35" s="4"/>
    </row>
    <row r="36" spans="1:30" s="6" customFormat="1" ht="13" x14ac:dyDescent="0.2">
      <c r="A36" s="1"/>
      <c r="B36" s="41">
        <v>5.8</v>
      </c>
      <c r="C36" s="42" t="s">
        <v>36</v>
      </c>
      <c r="D36" s="43">
        <f>16650+27750</f>
        <v>44400</v>
      </c>
      <c r="E36" s="44">
        <f t="shared" si="18"/>
        <v>4.9792531120331951</v>
      </c>
      <c r="F36" s="43">
        <f>20227</f>
        <v>20227</v>
      </c>
      <c r="G36" s="44">
        <f t="shared" si="19"/>
        <v>1.6811003989361701</v>
      </c>
      <c r="H36" s="43">
        <v>142676</v>
      </c>
      <c r="I36" s="44">
        <f t="shared" si="20"/>
        <v>22.507651049061366</v>
      </c>
      <c r="J36" s="43">
        <f>14228+28392</f>
        <v>42620</v>
      </c>
      <c r="K36" s="44">
        <f t="shared" si="21"/>
        <v>3.7408935311155971</v>
      </c>
      <c r="L36" s="43">
        <f>SUM(14145+140508+36480)</f>
        <v>191133</v>
      </c>
      <c r="M36" s="44">
        <f t="shared" si="22"/>
        <v>18.395861405197305</v>
      </c>
      <c r="N36" s="43">
        <f>SUM(45632+19256)</f>
        <v>64888</v>
      </c>
      <c r="O36" s="44">
        <f t="shared" si="23"/>
        <v>5.6884369246953623</v>
      </c>
      <c r="P36" s="43">
        <f>SUM(14292+28519)</f>
        <v>42811</v>
      </c>
      <c r="Q36" s="44">
        <f t="shared" si="24"/>
        <v>3.7576582111823051</v>
      </c>
      <c r="R36" s="43">
        <f>SUM(15221+75600+12600+39255)</f>
        <v>142676</v>
      </c>
      <c r="S36" s="44">
        <f t="shared" si="25"/>
        <v>22.106600557793616</v>
      </c>
      <c r="T36" s="21"/>
      <c r="U36" s="157">
        <f t="shared" si="5"/>
        <v>691431</v>
      </c>
      <c r="V36" s="157">
        <f t="shared" si="5"/>
        <v>82.857455190014917</v>
      </c>
      <c r="W36" s="157">
        <f t="shared" si="6"/>
        <v>86428.875</v>
      </c>
      <c r="X36" s="157">
        <f t="shared" si="6"/>
        <v>10.357181898751865</v>
      </c>
      <c r="Y36" s="4"/>
      <c r="Z36" s="4"/>
      <c r="AA36" s="4"/>
      <c r="AB36" s="4"/>
      <c r="AC36" s="4"/>
      <c r="AD36" s="4"/>
    </row>
    <row r="37" spans="1:30" s="6" customFormat="1" ht="13" x14ac:dyDescent="0.2">
      <c r="A37" s="1"/>
      <c r="B37" s="41"/>
      <c r="C37" s="42"/>
      <c r="D37" s="43"/>
      <c r="E37" s="44"/>
      <c r="F37" s="43"/>
      <c r="G37" s="44"/>
      <c r="H37" s="43"/>
      <c r="I37" s="44"/>
      <c r="J37" s="43"/>
      <c r="K37" s="44"/>
      <c r="L37" s="43"/>
      <c r="M37" s="44"/>
      <c r="N37" s="43"/>
      <c r="O37" s="44"/>
      <c r="P37" s="43"/>
      <c r="Q37" s="44"/>
      <c r="R37" s="43"/>
      <c r="S37" s="44"/>
      <c r="T37" s="21"/>
      <c r="U37" s="157">
        <f t="shared" si="5"/>
        <v>0</v>
      </c>
      <c r="V37" s="157">
        <f t="shared" si="5"/>
        <v>0</v>
      </c>
      <c r="W37" s="157">
        <f t="shared" si="6"/>
        <v>0</v>
      </c>
      <c r="X37" s="157">
        <f t="shared" si="6"/>
        <v>0</v>
      </c>
      <c r="Y37" s="4"/>
      <c r="Z37" s="4"/>
      <c r="AA37" s="4"/>
      <c r="AB37" s="4"/>
      <c r="AC37" s="4"/>
      <c r="AD37" s="4"/>
    </row>
    <row r="38" spans="1:30" s="6" customFormat="1" ht="13" x14ac:dyDescent="0.2">
      <c r="A38" s="1"/>
      <c r="B38" s="41">
        <v>5.8</v>
      </c>
      <c r="C38" s="42" t="s">
        <v>37</v>
      </c>
      <c r="D38" s="43">
        <f>SUM(129426+55500)-D39</f>
        <v>157176</v>
      </c>
      <c r="E38" s="44">
        <f t="shared" ref="E38:E40" si="27">D38/$E$9</f>
        <v>17.626556016597512</v>
      </c>
      <c r="F38" s="43">
        <f>248332</f>
        <v>248332</v>
      </c>
      <c r="G38" s="44">
        <f t="shared" si="19"/>
        <v>20.639295212765958</v>
      </c>
      <c r="H38" s="43">
        <v>207656</v>
      </c>
      <c r="I38" s="44">
        <f t="shared" si="20"/>
        <v>32.75847925540306</v>
      </c>
      <c r="J38" s="43">
        <f>239568</f>
        <v>239568</v>
      </c>
      <c r="K38" s="44">
        <f t="shared" si="21"/>
        <v>21.027648556130959</v>
      </c>
      <c r="L38" s="43">
        <f>SUM(146680+21195+116466+94990+8260)</f>
        <v>387591</v>
      </c>
      <c r="M38" s="44">
        <f t="shared" si="22"/>
        <v>37.304234841193455</v>
      </c>
      <c r="N38" s="43">
        <f>SUM(287720+66155-18056)</f>
        <v>335819</v>
      </c>
      <c r="O38" s="44">
        <f t="shared" si="23"/>
        <v>29.439729990356799</v>
      </c>
      <c r="P38" s="43">
        <f>SUM(232384+8484)</f>
        <v>240868</v>
      </c>
      <c r="Q38" s="44">
        <f t="shared" si="24"/>
        <v>21.14175370841745</v>
      </c>
      <c r="R38" s="43">
        <f>SUM(88345+13520+56007+42672+7112)</f>
        <v>207656</v>
      </c>
      <c r="S38" s="44">
        <f t="shared" si="25"/>
        <v>32.174775333126746</v>
      </c>
      <c r="T38" s="21"/>
      <c r="U38" s="157">
        <f t="shared" si="5"/>
        <v>2024666</v>
      </c>
      <c r="V38" s="157">
        <f t="shared" si="5"/>
        <v>212.11247291399192</v>
      </c>
      <c r="W38" s="157">
        <f t="shared" si="6"/>
        <v>253083.25</v>
      </c>
      <c r="X38" s="157">
        <f t="shared" si="6"/>
        <v>26.51405911424899</v>
      </c>
      <c r="Y38" s="4"/>
      <c r="Z38" s="4"/>
      <c r="AA38" s="4"/>
      <c r="AB38" s="4"/>
      <c r="AC38" s="4"/>
      <c r="AD38" s="4"/>
    </row>
    <row r="39" spans="1:30" s="6" customFormat="1" ht="13" x14ac:dyDescent="0.2">
      <c r="A39" s="1"/>
      <c r="B39" s="41">
        <v>5.8</v>
      </c>
      <c r="C39" s="42" t="s">
        <v>38</v>
      </c>
      <c r="D39" s="43">
        <f>27750</f>
        <v>27750</v>
      </c>
      <c r="E39" s="44">
        <f t="shared" si="27"/>
        <v>3.1120331950207469</v>
      </c>
      <c r="F39" s="43">
        <v>39550</v>
      </c>
      <c r="G39" s="44">
        <f t="shared" si="19"/>
        <v>3.2870678191489362</v>
      </c>
      <c r="H39" s="43">
        <v>77637</v>
      </c>
      <c r="I39" s="44">
        <f t="shared" si="20"/>
        <v>12.247515380974917</v>
      </c>
      <c r="J39" s="43">
        <f>44800</f>
        <v>44800</v>
      </c>
      <c r="K39" s="44">
        <f t="shared" si="21"/>
        <v>3.9322390941806371</v>
      </c>
      <c r="L39" s="43">
        <f>SUM(72147*3)</f>
        <v>216441</v>
      </c>
      <c r="M39" s="44">
        <f t="shared" si="22"/>
        <v>20.831665062560155</v>
      </c>
      <c r="N39" s="43">
        <f>SUM(18056)</f>
        <v>18056</v>
      </c>
      <c r="O39" s="44">
        <f t="shared" si="23"/>
        <v>1.5828877005347595</v>
      </c>
      <c r="P39" s="43">
        <f>SUM(45000)</f>
        <v>45000</v>
      </c>
      <c r="Q39" s="44">
        <f t="shared" si="24"/>
        <v>3.9497937329939434</v>
      </c>
      <c r="R39" s="43">
        <f>SUM(77637)</f>
        <v>77637</v>
      </c>
      <c r="S39" s="44">
        <f t="shared" si="25"/>
        <v>12.029284164859002</v>
      </c>
      <c r="T39" s="21"/>
      <c r="U39" s="157">
        <f t="shared" si="5"/>
        <v>546871</v>
      </c>
      <c r="V39" s="157">
        <f t="shared" si="5"/>
        <v>60.972486150273106</v>
      </c>
      <c r="W39" s="157">
        <f t="shared" si="6"/>
        <v>68358.875</v>
      </c>
      <c r="X39" s="157">
        <f t="shared" si="6"/>
        <v>7.6215607687841382</v>
      </c>
      <c r="Y39" s="4"/>
      <c r="Z39" s="4"/>
      <c r="AA39" s="4"/>
      <c r="AB39" s="4"/>
      <c r="AC39" s="4"/>
      <c r="AD39" s="4"/>
    </row>
    <row r="40" spans="1:30" s="6" customFormat="1" ht="13" x14ac:dyDescent="0.2">
      <c r="A40" s="1"/>
      <c r="B40" s="41">
        <v>5.8</v>
      </c>
      <c r="C40" s="42" t="s">
        <v>5</v>
      </c>
      <c r="D40" s="43">
        <f>SUM(321012)</f>
        <v>321012</v>
      </c>
      <c r="E40" s="44">
        <f t="shared" si="27"/>
        <v>36</v>
      </c>
      <c r="F40" s="43">
        <v>114403</v>
      </c>
      <c r="G40" s="44">
        <f t="shared" si="19"/>
        <v>9.5082280585106389</v>
      </c>
      <c r="H40" s="43">
        <v>74481</v>
      </c>
      <c r="I40" s="44">
        <f t="shared" si="20"/>
        <v>11.749645054424988</v>
      </c>
      <c r="J40" s="43">
        <v>189228</v>
      </c>
      <c r="K40" s="44">
        <f t="shared" si="21"/>
        <v>16.609145966821732</v>
      </c>
      <c r="L40" s="43">
        <v>85682</v>
      </c>
      <c r="M40" s="44">
        <f t="shared" si="22"/>
        <v>8.2465832531280086</v>
      </c>
      <c r="N40" s="43">
        <f>SUM(120238)</f>
        <v>120238</v>
      </c>
      <c r="O40" s="44">
        <f t="shared" si="23"/>
        <v>10.540720610151661</v>
      </c>
      <c r="P40" s="43">
        <f>SUM(189977)</f>
        <v>189977</v>
      </c>
      <c r="Q40" s="44">
        <f t="shared" si="24"/>
        <v>16.674888089177564</v>
      </c>
      <c r="R40" s="43">
        <f>SUM(74481)</f>
        <v>74481</v>
      </c>
      <c r="S40" s="44">
        <f t="shared" si="25"/>
        <v>11.540285094515029</v>
      </c>
      <c r="T40" s="21"/>
      <c r="U40" s="157">
        <f t="shared" si="5"/>
        <v>1169502</v>
      </c>
      <c r="V40" s="157">
        <f t="shared" si="5"/>
        <v>120.86949612672963</v>
      </c>
      <c r="W40" s="157">
        <f t="shared" si="6"/>
        <v>146187.75</v>
      </c>
      <c r="X40" s="157">
        <f t="shared" si="6"/>
        <v>15.108687015841204</v>
      </c>
      <c r="Y40" s="4"/>
      <c r="Z40" s="4"/>
      <c r="AA40" s="4"/>
      <c r="AB40" s="4"/>
      <c r="AC40" s="4"/>
      <c r="AD40" s="4"/>
    </row>
    <row r="41" spans="1:30" s="6" customFormat="1" ht="13" x14ac:dyDescent="0.2">
      <c r="A41" s="1"/>
      <c r="B41" s="41" t="s">
        <v>52</v>
      </c>
      <c r="C41" s="42" t="s">
        <v>39</v>
      </c>
      <c r="D41" s="43">
        <f>SUM(81030+3336+3336+3892+2780+11398+2224+2224+278+278)</f>
        <v>110776</v>
      </c>
      <c r="E41" s="44">
        <f t="shared" si="18"/>
        <v>12.423012223842099</v>
      </c>
      <c r="F41" s="43">
        <f>110413</f>
        <v>110413</v>
      </c>
      <c r="G41" s="44">
        <f t="shared" si="19"/>
        <v>9.176612367021276</v>
      </c>
      <c r="H41" s="43">
        <v>50882</v>
      </c>
      <c r="I41" s="44">
        <f t="shared" si="20"/>
        <v>8.0268181101120053</v>
      </c>
      <c r="J41" s="43">
        <v>96940</v>
      </c>
      <c r="K41" s="44">
        <f t="shared" si="21"/>
        <v>8.5087334328096205</v>
      </c>
      <c r="L41" s="43">
        <f>SUM(40197+22770+2842+4560+5670+10650+447)</f>
        <v>87136</v>
      </c>
      <c r="M41" s="44">
        <f t="shared" si="22"/>
        <v>8.3865255052935517</v>
      </c>
      <c r="N41" s="43">
        <f>SUM(67721+4338+4097+5719+6622+12642+2172+2172+724+110)</f>
        <v>106317</v>
      </c>
      <c r="O41" s="44">
        <f t="shared" si="23"/>
        <v>9.3203296221618306</v>
      </c>
      <c r="P41" s="43">
        <f>SUM(55347+492+2796+582+2916+3890+286+5436+23355+1164+1164)</f>
        <v>97428</v>
      </c>
      <c r="Q41" s="44">
        <f t="shared" si="24"/>
        <v>8.5515667515140876</v>
      </c>
      <c r="R41" s="43">
        <f>SUM(50882)</f>
        <v>50882</v>
      </c>
      <c r="S41" s="44">
        <f t="shared" si="25"/>
        <v>7.8837929965912616</v>
      </c>
      <c r="T41" s="21"/>
      <c r="U41" s="157">
        <f t="shared" si="5"/>
        <v>710774</v>
      </c>
      <c r="V41" s="157">
        <f t="shared" si="5"/>
        <v>72.277391009345735</v>
      </c>
      <c r="W41" s="157">
        <f t="shared" si="6"/>
        <v>88846.75</v>
      </c>
      <c r="X41" s="157">
        <f t="shared" si="6"/>
        <v>9.0346738761682168</v>
      </c>
      <c r="Y41" s="4"/>
      <c r="Z41" s="4"/>
      <c r="AA41" s="4"/>
      <c r="AB41" s="4"/>
      <c r="AC41" s="4"/>
      <c r="AD41" s="4"/>
    </row>
    <row r="42" spans="1:30" s="6" customFormat="1" ht="13" x14ac:dyDescent="0.2">
      <c r="A42" s="1"/>
      <c r="B42" s="41" t="s">
        <v>52</v>
      </c>
      <c r="C42" s="42" t="s">
        <v>40</v>
      </c>
      <c r="D42" s="43">
        <f>SUM(6105+3330+5550+31080+21090+5550)</f>
        <v>72705</v>
      </c>
      <c r="E42" s="44">
        <f t="shared" ref="E42:E46" si="28">D42/$E$9</f>
        <v>8.1535269709543563</v>
      </c>
      <c r="F42" s="43">
        <f>64975</f>
        <v>64975</v>
      </c>
      <c r="G42" s="44">
        <f t="shared" si="19"/>
        <v>5.4001828457446805</v>
      </c>
      <c r="H42" s="43">
        <v>118358</v>
      </c>
      <c r="I42" s="44">
        <f t="shared" si="20"/>
        <v>18.671399274333492</v>
      </c>
      <c r="J42" s="43">
        <v>61639</v>
      </c>
      <c r="K42" s="44">
        <f t="shared" si="21"/>
        <v>5.4102519090669707</v>
      </c>
      <c r="L42" s="43">
        <f>SUM(6565+8122+38712+82638+33502+42442)</f>
        <v>211981</v>
      </c>
      <c r="M42" s="44">
        <f t="shared" si="22"/>
        <v>20.402406159769008</v>
      </c>
      <c r="N42" s="43">
        <f>SUM(6019+6019+1204+29069+6019+2407+6019)</f>
        <v>56756</v>
      </c>
      <c r="O42" s="44">
        <f t="shared" si="23"/>
        <v>4.9755413342684314</v>
      </c>
      <c r="P42" s="43">
        <f>SUM(3375+6818+18408+3375+20451+2673+6818)</f>
        <v>61918</v>
      </c>
      <c r="Q42" s="44">
        <f t="shared" si="24"/>
        <v>5.4347406302115333</v>
      </c>
      <c r="R42" s="43">
        <f>SUM(118358)</f>
        <v>118358</v>
      </c>
      <c r="S42" s="44">
        <f t="shared" si="25"/>
        <v>18.33870467926867</v>
      </c>
      <c r="T42" s="21"/>
      <c r="U42" s="157">
        <f t="shared" si="5"/>
        <v>766690</v>
      </c>
      <c r="V42" s="157">
        <f t="shared" si="5"/>
        <v>86.786753803617145</v>
      </c>
      <c r="W42" s="157">
        <f t="shared" si="6"/>
        <v>95836.25</v>
      </c>
      <c r="X42" s="157">
        <f t="shared" si="6"/>
        <v>10.848344225452143</v>
      </c>
      <c r="Y42" s="4"/>
      <c r="Z42" s="4"/>
      <c r="AA42" s="4"/>
      <c r="AB42" s="4"/>
      <c r="AC42" s="4"/>
      <c r="AD42" s="4"/>
    </row>
    <row r="43" spans="1:30" s="6" customFormat="1" ht="13" x14ac:dyDescent="0.2">
      <c r="A43" s="1"/>
      <c r="B43" s="41">
        <v>5.12</v>
      </c>
      <c r="C43" s="42" t="s">
        <v>41</v>
      </c>
      <c r="D43" s="43">
        <f>SUM(42976+2499)</f>
        <v>45475</v>
      </c>
      <c r="E43" s="44">
        <f t="shared" si="28"/>
        <v>5.0998093529213859</v>
      </c>
      <c r="F43" s="43">
        <f>127584</f>
        <v>127584</v>
      </c>
      <c r="G43" s="44">
        <f t="shared" si="19"/>
        <v>10.603723404255319</v>
      </c>
      <c r="H43" s="43">
        <v>75213</v>
      </c>
      <c r="I43" s="44">
        <f t="shared" si="20"/>
        <v>11.865120681495505</v>
      </c>
      <c r="J43" s="43">
        <v>166635</v>
      </c>
      <c r="K43" s="44">
        <f t="shared" si="21"/>
        <v>14.626086193276574</v>
      </c>
      <c r="L43" s="43">
        <f>SUM(98821+1760+6336+1760+18036)</f>
        <v>126713</v>
      </c>
      <c r="M43" s="44">
        <f t="shared" si="22"/>
        <v>12.195668912415785</v>
      </c>
      <c r="N43" s="43">
        <f>SUM(117911+2408)</f>
        <v>120319</v>
      </c>
      <c r="O43" s="44">
        <f t="shared" si="23"/>
        <v>10.547821513105987</v>
      </c>
      <c r="P43" s="43">
        <f>SUM(158108+1400+1400+676+214+3180)</f>
        <v>164978</v>
      </c>
      <c r="Q43" s="44">
        <f t="shared" si="24"/>
        <v>14.48064601070833</v>
      </c>
      <c r="R43" s="43">
        <f>SUM(75213)</f>
        <v>75213</v>
      </c>
      <c r="S43" s="44">
        <f t="shared" si="25"/>
        <v>11.653703129841958</v>
      </c>
      <c r="T43" s="21"/>
      <c r="U43" s="157">
        <f t="shared" si="5"/>
        <v>902130</v>
      </c>
      <c r="V43" s="157">
        <f t="shared" si="5"/>
        <v>91.072579198020833</v>
      </c>
      <c r="W43" s="157">
        <f t="shared" si="6"/>
        <v>112766.25</v>
      </c>
      <c r="X43" s="157">
        <f t="shared" si="6"/>
        <v>11.384072399752604</v>
      </c>
      <c r="Y43" s="4"/>
      <c r="Z43" s="4"/>
      <c r="AA43" s="4"/>
      <c r="AB43" s="4"/>
      <c r="AC43" s="4"/>
      <c r="AD43" s="4"/>
    </row>
    <row r="44" spans="1:30" s="6" customFormat="1" ht="13" x14ac:dyDescent="0.2">
      <c r="A44" s="1"/>
      <c r="B44" s="41">
        <v>5.12</v>
      </c>
      <c r="C44" s="42" t="s">
        <v>42</v>
      </c>
      <c r="D44" s="43">
        <f>SUM(94629+27750+15000)-2499</f>
        <v>134880</v>
      </c>
      <c r="E44" s="44">
        <f t="shared" si="28"/>
        <v>15.126163507906247</v>
      </c>
      <c r="F44" s="43">
        <f>23505</f>
        <v>23505</v>
      </c>
      <c r="G44" s="44">
        <f t="shared" si="19"/>
        <v>1.9535405585106382</v>
      </c>
      <c r="H44" s="43">
        <v>303514</v>
      </c>
      <c r="I44" s="44">
        <f t="shared" si="20"/>
        <v>47.880422779618236</v>
      </c>
      <c r="J44" s="43">
        <v>172362</v>
      </c>
      <c r="K44" s="44">
        <f t="shared" si="21"/>
        <v>15.128763275695603</v>
      </c>
      <c r="L44" s="43">
        <f>SUM(1854+119712+192211+24040+36060)</f>
        <v>373877</v>
      </c>
      <c r="M44" s="44">
        <f t="shared" si="22"/>
        <v>35.984311838306063</v>
      </c>
      <c r="N44" s="43">
        <f>SUM(21102-2408+15000)</f>
        <v>33694</v>
      </c>
      <c r="O44" s="44">
        <f t="shared" si="23"/>
        <v>2.953800298062593</v>
      </c>
      <c r="P44" s="43">
        <f>SUM(63986-1400-1400-676-214-3180+16875+16875+82266)</f>
        <v>173132</v>
      </c>
      <c r="Q44" s="44">
        <f t="shared" si="24"/>
        <v>15.196348635126832</v>
      </c>
      <c r="R44" s="43">
        <f>SUM(303514)</f>
        <v>303514</v>
      </c>
      <c r="S44" s="44">
        <f t="shared" si="25"/>
        <v>47.027269910133249</v>
      </c>
      <c r="T44" s="21"/>
      <c r="U44" s="157">
        <f t="shared" si="5"/>
        <v>1518478</v>
      </c>
      <c r="V44" s="157">
        <f t="shared" si="5"/>
        <v>181.25062080335945</v>
      </c>
      <c r="W44" s="157">
        <f t="shared" si="6"/>
        <v>189809.75</v>
      </c>
      <c r="X44" s="157">
        <f t="shared" si="6"/>
        <v>22.656327600419932</v>
      </c>
      <c r="Y44" s="4"/>
      <c r="Z44" s="4"/>
      <c r="AA44" s="4"/>
      <c r="AB44" s="4"/>
      <c r="AC44" s="4"/>
      <c r="AD44" s="4"/>
    </row>
    <row r="45" spans="1:30" s="6" customFormat="1" ht="13" x14ac:dyDescent="0.2">
      <c r="A45" s="1"/>
      <c r="B45" s="41">
        <v>5.12</v>
      </c>
      <c r="C45" s="42" t="s">
        <v>60</v>
      </c>
      <c r="D45" s="43"/>
      <c r="E45" s="44">
        <f t="shared" ref="E45" si="29">D45/$E$9</f>
        <v>0</v>
      </c>
      <c r="F45" s="43">
        <f>22774</f>
        <v>22774</v>
      </c>
      <c r="G45" s="44">
        <f t="shared" si="19"/>
        <v>1.8927859042553192</v>
      </c>
      <c r="H45" s="43">
        <v>82848</v>
      </c>
      <c r="I45" s="44">
        <f t="shared" si="20"/>
        <v>13.069569332702319</v>
      </c>
      <c r="J45" s="43"/>
      <c r="K45" s="44">
        <f t="shared" si="21"/>
        <v>0</v>
      </c>
      <c r="L45" s="43">
        <f>SUM(172653)</f>
        <v>172653</v>
      </c>
      <c r="M45" s="44">
        <f t="shared" si="22"/>
        <v>16.617228103946101</v>
      </c>
      <c r="N45" s="43">
        <f>SUM(264824)</f>
        <v>264824</v>
      </c>
      <c r="O45" s="44">
        <f t="shared" si="23"/>
        <v>23.215920049092663</v>
      </c>
      <c r="P45" s="43"/>
      <c r="Q45" s="44">
        <f t="shared" si="24"/>
        <v>0</v>
      </c>
      <c r="R45" s="43">
        <f>SUM(82848)</f>
        <v>82848</v>
      </c>
      <c r="S45" s="44">
        <f t="shared" si="25"/>
        <v>12.836690424542919</v>
      </c>
      <c r="T45" s="21"/>
      <c r="U45" s="157">
        <f t="shared" si="5"/>
        <v>625947</v>
      </c>
      <c r="V45" s="157">
        <f t="shared" si="5"/>
        <v>67.63219381453932</v>
      </c>
      <c r="W45" s="157">
        <f t="shared" si="6"/>
        <v>78243.375</v>
      </c>
      <c r="X45" s="157">
        <f t="shared" si="6"/>
        <v>8.4540242268174151</v>
      </c>
      <c r="Y45" s="4"/>
      <c r="Z45" s="4"/>
      <c r="AA45" s="4"/>
      <c r="AB45" s="4"/>
      <c r="AC45" s="4"/>
      <c r="AD45" s="4"/>
    </row>
    <row r="46" spans="1:30" s="6" customFormat="1" ht="13" x14ac:dyDescent="0.2">
      <c r="A46" s="1"/>
      <c r="B46" s="41">
        <v>5.12</v>
      </c>
      <c r="C46" s="42" t="s">
        <v>43</v>
      </c>
      <c r="D46" s="43">
        <f>SUM(126210)</f>
        <v>126210</v>
      </c>
      <c r="E46" s="44">
        <f t="shared" si="28"/>
        <v>14.153863406975439</v>
      </c>
      <c r="F46" s="43">
        <f>10680</f>
        <v>10680</v>
      </c>
      <c r="G46" s="44">
        <f t="shared" si="19"/>
        <v>0.8876329787234043</v>
      </c>
      <c r="H46" s="43">
        <v>65951</v>
      </c>
      <c r="I46" s="44">
        <f t="shared" si="20"/>
        <v>10.404006941157911</v>
      </c>
      <c r="J46" s="43">
        <v>29886</v>
      </c>
      <c r="K46" s="44">
        <f t="shared" si="21"/>
        <v>2.6231896778723778</v>
      </c>
      <c r="L46" s="43">
        <f>SUM(101417)</f>
        <v>101417</v>
      </c>
      <c r="M46" s="44">
        <f t="shared" si="22"/>
        <v>9.7610202117420588</v>
      </c>
      <c r="N46" s="43">
        <f>SUM(10599)</f>
        <v>10599</v>
      </c>
      <c r="O46" s="44">
        <f t="shared" si="23"/>
        <v>0.9291663013938809</v>
      </c>
      <c r="P46" s="43">
        <f>SUM(33867)</f>
        <v>33867</v>
      </c>
      <c r="Q46" s="44">
        <f t="shared" si="24"/>
        <v>2.9726147634512419</v>
      </c>
      <c r="R46" s="43">
        <f>SUM(65951)</f>
        <v>65951</v>
      </c>
      <c r="S46" s="44">
        <f t="shared" si="25"/>
        <v>10.21862410907964</v>
      </c>
      <c r="T46" s="21"/>
      <c r="U46" s="157">
        <f t="shared" si="5"/>
        <v>444561</v>
      </c>
      <c r="V46" s="157">
        <f t="shared" si="5"/>
        <v>51.95011839039595</v>
      </c>
      <c r="W46" s="157">
        <f t="shared" si="6"/>
        <v>55570.125</v>
      </c>
      <c r="X46" s="157">
        <f t="shared" si="6"/>
        <v>6.4937647987994938</v>
      </c>
      <c r="Y46" s="4"/>
      <c r="Z46" s="4"/>
      <c r="AA46" s="4"/>
      <c r="AB46" s="4"/>
      <c r="AC46" s="4"/>
      <c r="AD46" s="4"/>
    </row>
    <row r="47" spans="1:30" s="6" customFormat="1" ht="13" x14ac:dyDescent="0.2">
      <c r="A47" s="1"/>
      <c r="B47" s="41">
        <v>5.12</v>
      </c>
      <c r="C47" s="42" t="s">
        <v>44</v>
      </c>
      <c r="D47" s="43">
        <f>SUM(277744+24975+5550+2775+5550+2775+36630)</f>
        <v>355999</v>
      </c>
      <c r="E47" s="44">
        <f t="shared" ref="E47:E52" si="30">D47/$E$9</f>
        <v>39.923629023214083</v>
      </c>
      <c r="F47" s="43">
        <f>496452</f>
        <v>496452</v>
      </c>
      <c r="G47" s="44">
        <f t="shared" si="19"/>
        <v>41.260970744680854</v>
      </c>
      <c r="H47" s="43">
        <v>323118</v>
      </c>
      <c r="I47" s="44">
        <f t="shared" si="20"/>
        <v>50.973024136299102</v>
      </c>
      <c r="J47" s="43">
        <v>553702</v>
      </c>
      <c r="K47" s="44">
        <f t="shared" si="21"/>
        <v>48.600193101026946</v>
      </c>
      <c r="L47" s="43">
        <f>SUM(542457)</f>
        <v>542457</v>
      </c>
      <c r="M47" s="44">
        <f t="shared" si="22"/>
        <v>52.209528392685272</v>
      </c>
      <c r="N47" s="43">
        <f>SUM(325952+36638+15702+2737+2737+11252)</f>
        <v>395018</v>
      </c>
      <c r="O47" s="44">
        <f t="shared" si="23"/>
        <v>34.629438064346452</v>
      </c>
      <c r="P47" s="43">
        <f>SUM(436868+9000+9000+2250+6750+4050+12824+41512)</f>
        <v>522254</v>
      </c>
      <c r="Q47" s="44">
        <f t="shared" si="24"/>
        <v>45.839901694022643</v>
      </c>
      <c r="R47" s="43">
        <f>SUM(323118)</f>
        <v>323118</v>
      </c>
      <c r="S47" s="44">
        <f t="shared" si="25"/>
        <v>50.064766036566468</v>
      </c>
      <c r="T47" s="21"/>
      <c r="U47" s="157">
        <f t="shared" si="5"/>
        <v>3512118</v>
      </c>
      <c r="V47" s="157">
        <f t="shared" si="5"/>
        <v>363.5014511928419</v>
      </c>
      <c r="W47" s="157">
        <f t="shared" si="6"/>
        <v>439014.75</v>
      </c>
      <c r="X47" s="157">
        <f t="shared" si="6"/>
        <v>45.437681399105237</v>
      </c>
      <c r="Y47" s="4"/>
      <c r="Z47" s="4"/>
      <c r="AA47" s="4"/>
      <c r="AB47" s="4"/>
      <c r="AC47" s="4"/>
      <c r="AD47" s="4"/>
    </row>
    <row r="48" spans="1:30" s="6" customFormat="1" ht="13" x14ac:dyDescent="0.2">
      <c r="A48" s="1"/>
      <c r="B48" s="41">
        <v>5.12</v>
      </c>
      <c r="C48" s="42" t="s">
        <v>45</v>
      </c>
      <c r="D48" s="43">
        <f>SUM(111000+44400+55500+27750+3885)</f>
        <v>242535</v>
      </c>
      <c r="E48" s="44">
        <f t="shared" si="30"/>
        <v>27.199170124481327</v>
      </c>
      <c r="F48" s="43">
        <v>75710</v>
      </c>
      <c r="G48" s="44">
        <f t="shared" si="19"/>
        <v>6.2923869680851068</v>
      </c>
      <c r="H48" s="43">
        <f>89799+231454</f>
        <v>321253</v>
      </c>
      <c r="I48" s="44">
        <f t="shared" si="20"/>
        <v>50.678813693011513</v>
      </c>
      <c r="J48" s="43">
        <v>58642</v>
      </c>
      <c r="K48" s="44">
        <f t="shared" si="21"/>
        <v>5.1471956464495747</v>
      </c>
      <c r="L48" s="43">
        <f>SUM(336504)</f>
        <v>336504</v>
      </c>
      <c r="M48" s="44">
        <f t="shared" si="22"/>
        <v>32.387295476419631</v>
      </c>
      <c r="N48" s="43">
        <f>SUM(12038+6019+12038+6019+1204)</f>
        <v>37318</v>
      </c>
      <c r="O48" s="44">
        <f t="shared" si="23"/>
        <v>3.2714999561672657</v>
      </c>
      <c r="P48" s="43">
        <f>SUM(32496+15066+5715+4500)</f>
        <v>57777</v>
      </c>
      <c r="Q48" s="44">
        <f t="shared" si="24"/>
        <v>5.0712718335820242</v>
      </c>
      <c r="R48" s="43">
        <f>SUM(89799+231454)</f>
        <v>321253</v>
      </c>
      <c r="S48" s="44">
        <f t="shared" si="25"/>
        <v>49.77579795475674</v>
      </c>
      <c r="T48" s="21"/>
      <c r="U48" s="157">
        <f t="shared" si="5"/>
        <v>1450992</v>
      </c>
      <c r="V48" s="157">
        <f t="shared" si="5"/>
        <v>179.82343165295319</v>
      </c>
      <c r="W48" s="157">
        <f t="shared" si="6"/>
        <v>181374</v>
      </c>
      <c r="X48" s="157">
        <f t="shared" si="6"/>
        <v>22.477928956619149</v>
      </c>
      <c r="Y48" s="4"/>
      <c r="Z48" s="4"/>
      <c r="AA48" s="4"/>
      <c r="AB48" s="4"/>
      <c r="AC48" s="4"/>
      <c r="AD48" s="4"/>
    </row>
    <row r="49" spans="1:30" s="6" customFormat="1" ht="13" x14ac:dyDescent="0.2">
      <c r="A49" s="1"/>
      <c r="B49" s="41">
        <v>5.12</v>
      </c>
      <c r="C49" s="42" t="s">
        <v>46</v>
      </c>
      <c r="D49" s="43">
        <f>SUM(127107-27750-3885)</f>
        <v>95472</v>
      </c>
      <c r="E49" s="44">
        <f t="shared" si="30"/>
        <v>10.706739934955703</v>
      </c>
      <c r="F49" s="43">
        <v>138566</v>
      </c>
      <c r="G49" s="44">
        <f t="shared" si="19"/>
        <v>11.516456117021276</v>
      </c>
      <c r="H49" s="43">
        <v>287009</v>
      </c>
      <c r="I49" s="44">
        <f t="shared" si="20"/>
        <v>45.276699794920333</v>
      </c>
      <c r="J49" s="43">
        <v>73635</v>
      </c>
      <c r="K49" s="44">
        <f t="shared" si="21"/>
        <v>6.4631791450890894</v>
      </c>
      <c r="L49" s="43">
        <f>477575-47346</f>
        <v>430229</v>
      </c>
      <c r="M49" s="44">
        <f t="shared" si="22"/>
        <v>41.407988450433109</v>
      </c>
      <c r="N49" s="43">
        <f>SUM(4200+2640+2640+8040+2640+21070+13244+52954+40334+52954)</f>
        <v>200716</v>
      </c>
      <c r="O49" s="44">
        <f t="shared" si="23"/>
        <v>17.595862189883405</v>
      </c>
      <c r="P49" s="43">
        <f>SUM(297683-19019-118125-83140)</f>
        <v>77399</v>
      </c>
      <c r="Q49" s="44">
        <f t="shared" si="24"/>
        <v>6.7935574475555169</v>
      </c>
      <c r="R49" s="43">
        <f>SUM(1120+5600+3840+4160+8640+320+1428+132545+4896+93730+30294+436)</f>
        <v>287009</v>
      </c>
      <c r="S49" s="44">
        <f t="shared" si="25"/>
        <v>44.469941121784942</v>
      </c>
      <c r="T49" s="21"/>
      <c r="U49" s="157">
        <f t="shared" si="5"/>
        <v>1590035</v>
      </c>
      <c r="V49" s="157">
        <f t="shared" si="5"/>
        <v>184.23042420164336</v>
      </c>
      <c r="W49" s="157">
        <f t="shared" si="6"/>
        <v>198754.375</v>
      </c>
      <c r="X49" s="157">
        <f t="shared" si="6"/>
        <v>23.02880302520542</v>
      </c>
      <c r="Y49" s="4"/>
      <c r="Z49" s="4"/>
      <c r="AA49" s="4"/>
      <c r="AB49" s="4"/>
      <c r="AC49" s="4"/>
      <c r="AD49" s="4"/>
    </row>
    <row r="50" spans="1:30" s="6" customFormat="1" ht="13" x14ac:dyDescent="0.2">
      <c r="A50" s="1"/>
      <c r="B50" s="41">
        <v>5.12</v>
      </c>
      <c r="C50" s="42" t="s">
        <v>47</v>
      </c>
      <c r="D50" s="43">
        <f>SUM(31635+16650+2338+5550)</f>
        <v>56173</v>
      </c>
      <c r="E50" s="44">
        <f t="shared" si="30"/>
        <v>6.2995402041045194</v>
      </c>
      <c r="F50" s="43">
        <f>77698</f>
        <v>77698</v>
      </c>
      <c r="G50" s="44">
        <f t="shared" si="19"/>
        <v>6.4576130319148932</v>
      </c>
      <c r="H50" s="43">
        <v>127380</v>
      </c>
      <c r="I50" s="44">
        <f t="shared" si="20"/>
        <v>20.09465215333649</v>
      </c>
      <c r="J50" s="43">
        <v>183792</v>
      </c>
      <c r="K50" s="44">
        <f t="shared" si="21"/>
        <v>16.132010883876063</v>
      </c>
      <c r="L50" s="43">
        <f>47346</f>
        <v>47346</v>
      </c>
      <c r="M50" s="44">
        <f t="shared" si="22"/>
        <v>4.5568816169393651</v>
      </c>
      <c r="N50" s="43">
        <f>SUM(15050+52954+25157)</f>
        <v>93161</v>
      </c>
      <c r="O50" s="44">
        <f t="shared" si="23"/>
        <v>8.1670027176295257</v>
      </c>
      <c r="P50" s="43">
        <f>SUM(19019+118125+83140)</f>
        <v>220284</v>
      </c>
      <c r="Q50" s="44">
        <f t="shared" si="24"/>
        <v>19.335030281751951</v>
      </c>
      <c r="R50" s="43">
        <f>SUM(42460)</f>
        <v>42460</v>
      </c>
      <c r="S50" s="44">
        <f t="shared" si="25"/>
        <v>6.5788658196467305</v>
      </c>
      <c r="T50" s="21"/>
      <c r="U50" s="157">
        <f t="shared" si="5"/>
        <v>848294</v>
      </c>
      <c r="V50" s="157">
        <f t="shared" si="5"/>
        <v>87.621596709199551</v>
      </c>
      <c r="W50" s="157">
        <f t="shared" si="6"/>
        <v>106036.75</v>
      </c>
      <c r="X50" s="157">
        <f t="shared" si="6"/>
        <v>10.952699588649944</v>
      </c>
      <c r="Y50" s="4"/>
      <c r="Z50" s="4"/>
      <c r="AA50" s="4"/>
      <c r="AB50" s="4"/>
      <c r="AC50" s="4"/>
      <c r="AD50" s="4"/>
    </row>
    <row r="51" spans="1:30" s="6" customFormat="1" ht="13" x14ac:dyDescent="0.2">
      <c r="A51" s="1"/>
      <c r="B51" s="41">
        <v>5.12</v>
      </c>
      <c r="C51" s="42" t="s">
        <v>48</v>
      </c>
      <c r="D51" s="43">
        <f>SUM(389+1665)</f>
        <v>2054</v>
      </c>
      <c r="E51" s="44">
        <f t="shared" si="30"/>
        <v>0.23034652910171582</v>
      </c>
      <c r="F51" s="43">
        <v>1922</v>
      </c>
      <c r="G51" s="44">
        <f t="shared" si="19"/>
        <v>0.15974069148936171</v>
      </c>
      <c r="H51" s="43"/>
      <c r="I51" s="44">
        <f t="shared" si="20"/>
        <v>0</v>
      </c>
      <c r="J51" s="43"/>
      <c r="K51" s="44">
        <f t="shared" si="21"/>
        <v>0</v>
      </c>
      <c r="L51" s="43"/>
      <c r="M51" s="44">
        <f t="shared" si="22"/>
        <v>0</v>
      </c>
      <c r="N51" s="43">
        <f>SUM(240+2408)</f>
        <v>2648</v>
      </c>
      <c r="O51" s="44">
        <f t="shared" si="23"/>
        <v>0.23213816077846935</v>
      </c>
      <c r="P51" s="43"/>
      <c r="Q51" s="44">
        <f t="shared" si="24"/>
        <v>0</v>
      </c>
      <c r="R51" s="43"/>
      <c r="S51" s="44">
        <f t="shared" si="25"/>
        <v>0</v>
      </c>
      <c r="T51" s="21"/>
      <c r="U51" s="157">
        <f t="shared" si="5"/>
        <v>6624</v>
      </c>
      <c r="V51" s="157">
        <f t="shared" si="5"/>
        <v>0.62222538136954686</v>
      </c>
      <c r="W51" s="157">
        <f t="shared" si="6"/>
        <v>828</v>
      </c>
      <c r="X51" s="157">
        <f t="shared" si="6"/>
        <v>7.7778172671193357E-2</v>
      </c>
      <c r="Y51" s="4"/>
      <c r="Z51" s="4"/>
      <c r="AA51" s="4"/>
      <c r="AB51" s="4"/>
      <c r="AC51" s="4"/>
      <c r="AD51" s="4"/>
    </row>
    <row r="52" spans="1:30" s="6" customFormat="1" ht="13" x14ac:dyDescent="0.2">
      <c r="A52" s="1"/>
      <c r="B52" s="41">
        <v>5.12</v>
      </c>
      <c r="C52" s="42" t="s">
        <v>49</v>
      </c>
      <c r="D52" s="43">
        <f>SUM(389+389+389+611+611+611+1665)</f>
        <v>4665</v>
      </c>
      <c r="E52" s="44">
        <f t="shared" si="30"/>
        <v>0.52315801278456875</v>
      </c>
      <c r="F52" s="43">
        <v>5032</v>
      </c>
      <c r="G52" s="44">
        <f t="shared" si="19"/>
        <v>0.41821808510638298</v>
      </c>
      <c r="H52" s="43"/>
      <c r="I52" s="44">
        <f t="shared" si="20"/>
        <v>0</v>
      </c>
      <c r="J52" s="43"/>
      <c r="K52" s="44">
        <f t="shared" si="21"/>
        <v>0</v>
      </c>
      <c r="L52" s="43">
        <f>SUM(298*3)+(472+420+962+10038)</f>
        <v>12786</v>
      </c>
      <c r="M52" s="44">
        <f t="shared" si="22"/>
        <v>1.2306063522617903</v>
      </c>
      <c r="N52" s="43">
        <f>SUM(240+240+240+1204+1204+1806+6019)</f>
        <v>10953</v>
      </c>
      <c r="O52" s="44">
        <f t="shared" si="23"/>
        <v>0.96019987726834399</v>
      </c>
      <c r="P52" s="43">
        <f>SUM(609+609+609+854+2687+1494+4500)</f>
        <v>11362</v>
      </c>
      <c r="Q52" s="44">
        <f t="shared" si="24"/>
        <v>0.99727903098393755</v>
      </c>
      <c r="R52" s="43"/>
      <c r="S52" s="44">
        <f t="shared" si="25"/>
        <v>0</v>
      </c>
      <c r="T52" s="21"/>
      <c r="U52" s="157">
        <f t="shared" si="5"/>
        <v>44798</v>
      </c>
      <c r="V52" s="157">
        <f t="shared" si="5"/>
        <v>4.1294613584050239</v>
      </c>
      <c r="W52" s="157">
        <f t="shared" si="6"/>
        <v>5599.75</v>
      </c>
      <c r="X52" s="157">
        <f t="shared" si="6"/>
        <v>0.51618266980062799</v>
      </c>
      <c r="Y52" s="4"/>
      <c r="Z52" s="4"/>
      <c r="AA52" s="4"/>
      <c r="AB52" s="4"/>
      <c r="AC52" s="4"/>
      <c r="AD52" s="4"/>
    </row>
    <row r="53" spans="1:30" s="6" customFormat="1" ht="13" x14ac:dyDescent="0.2">
      <c r="A53" s="1"/>
      <c r="B53" s="41">
        <v>5.12</v>
      </c>
      <c r="C53" s="42" t="s">
        <v>50</v>
      </c>
      <c r="D53" s="43">
        <f>SUM(9435+9435+1665+1665)</f>
        <v>22200</v>
      </c>
      <c r="E53" s="44">
        <f t="shared" si="18"/>
        <v>2.4896265560165975</v>
      </c>
      <c r="F53" s="43">
        <v>23730</v>
      </c>
      <c r="G53" s="44">
        <f t="shared" si="19"/>
        <v>1.9722406914893618</v>
      </c>
      <c r="H53" s="43">
        <v>58656</v>
      </c>
      <c r="I53" s="44">
        <f t="shared" si="20"/>
        <v>9.2531945101751063</v>
      </c>
      <c r="J53" s="43">
        <v>39133</v>
      </c>
      <c r="K53" s="44">
        <f t="shared" si="21"/>
        <v>3.4348284034056</v>
      </c>
      <c r="L53" s="43">
        <f>SUM(24500+24500+2755+2755)</f>
        <v>54510</v>
      </c>
      <c r="M53" s="44">
        <f t="shared" si="22"/>
        <v>5.246390760346487</v>
      </c>
      <c r="N53" s="43">
        <f>SUM(18056+18056+2407+2407)</f>
        <v>40926</v>
      </c>
      <c r="O53" s="44">
        <f t="shared" si="23"/>
        <v>3.5877969667747873</v>
      </c>
      <c r="P53" s="43">
        <f>SUM(16875+16875+4433+1125)</f>
        <v>39308</v>
      </c>
      <c r="Q53" s="44">
        <f t="shared" si="24"/>
        <v>3.4501887123672432</v>
      </c>
      <c r="R53" s="43">
        <f>SUM(26364+26364+2964+2964)</f>
        <v>58656</v>
      </c>
      <c r="S53" s="44">
        <f t="shared" si="25"/>
        <v>9.0883173225906422</v>
      </c>
      <c r="T53" s="21"/>
      <c r="U53" s="157">
        <f t="shared" si="5"/>
        <v>337119</v>
      </c>
      <c r="V53" s="157">
        <f t="shared" si="5"/>
        <v>38.522583923165826</v>
      </c>
      <c r="W53" s="157">
        <f t="shared" si="6"/>
        <v>42139.875</v>
      </c>
      <c r="X53" s="157">
        <f t="shared" si="6"/>
        <v>4.8153229903957282</v>
      </c>
      <c r="Y53" s="4"/>
      <c r="Z53" s="4"/>
      <c r="AA53" s="4"/>
      <c r="AB53" s="4"/>
      <c r="AC53" s="4"/>
      <c r="AD53" s="4"/>
    </row>
    <row r="54" spans="1:30" s="6" customFormat="1" ht="13" x14ac:dyDescent="0.2">
      <c r="A54" s="1"/>
      <c r="B54" s="41">
        <v>5.12</v>
      </c>
      <c r="C54" s="42" t="s">
        <v>51</v>
      </c>
      <c r="D54" s="59">
        <v>0</v>
      </c>
      <c r="E54" s="44"/>
      <c r="F54" s="43">
        <v>169500</v>
      </c>
      <c r="G54" s="44">
        <f t="shared" si="19"/>
        <v>14.087433510638299</v>
      </c>
      <c r="H54" s="43">
        <v>433339</v>
      </c>
      <c r="I54" s="44">
        <f t="shared" si="20"/>
        <v>68.360782457800909</v>
      </c>
      <c r="J54" s="43">
        <v>140000</v>
      </c>
      <c r="K54" s="44">
        <f t="shared" si="21"/>
        <v>12.288247169314491</v>
      </c>
      <c r="L54" s="43">
        <v>522940</v>
      </c>
      <c r="M54" s="44">
        <f t="shared" si="22"/>
        <v>50.331087584215595</v>
      </c>
      <c r="N54" s="43">
        <f>SUM(722220)</f>
        <v>722220</v>
      </c>
      <c r="O54" s="44">
        <f t="shared" si="23"/>
        <v>63.313754712018934</v>
      </c>
      <c r="P54" s="43">
        <v>140625</v>
      </c>
      <c r="Q54" s="44">
        <f t="shared" si="24"/>
        <v>12.343105415606074</v>
      </c>
      <c r="R54" s="43">
        <f>SUM(433339)</f>
        <v>433339</v>
      </c>
      <c r="S54" s="44">
        <f t="shared" si="25"/>
        <v>67.142702200185937</v>
      </c>
      <c r="T54" s="21"/>
      <c r="U54" s="157">
        <f t="shared" si="5"/>
        <v>2561963</v>
      </c>
      <c r="V54" s="157">
        <f t="shared" si="5"/>
        <v>287.86711304978019</v>
      </c>
      <c r="W54" s="157">
        <f t="shared" si="6"/>
        <v>320245.375</v>
      </c>
      <c r="X54" s="157">
        <f t="shared" si="6"/>
        <v>35.983389131222523</v>
      </c>
      <c r="Y54" s="4"/>
      <c r="Z54" s="4"/>
      <c r="AA54" s="4"/>
      <c r="AB54" s="4"/>
      <c r="AC54" s="4"/>
      <c r="AD54" s="4"/>
    </row>
    <row r="55" spans="1:30" s="6" customFormat="1" ht="13" x14ac:dyDescent="0.2">
      <c r="A55" s="1"/>
      <c r="B55" s="46" t="s">
        <v>53</v>
      </c>
      <c r="C55" s="42" t="s">
        <v>27</v>
      </c>
      <c r="D55" s="43">
        <f>SUM(6000+31000)</f>
        <v>37000</v>
      </c>
      <c r="E55" s="44">
        <f t="shared" si="18"/>
        <v>4.1493775933609962</v>
      </c>
      <c r="F55" s="43">
        <f>219220</f>
        <v>219220</v>
      </c>
      <c r="G55" s="44">
        <f t="shared" si="19"/>
        <v>18.219747340425531</v>
      </c>
      <c r="H55" s="43">
        <v>76018</v>
      </c>
      <c r="I55" s="44">
        <f t="shared" si="20"/>
        <v>11.992112320555293</v>
      </c>
      <c r="J55" s="43">
        <v>177213</v>
      </c>
      <c r="K55" s="44">
        <f t="shared" si="21"/>
        <v>15.554551040112349</v>
      </c>
      <c r="L55" s="43">
        <v>86251.68</v>
      </c>
      <c r="M55" s="44">
        <f t="shared" si="22"/>
        <v>8.3014128970163608</v>
      </c>
      <c r="N55" s="43">
        <f>SUM(6100+31000)</f>
        <v>37100</v>
      </c>
      <c r="O55" s="44">
        <f t="shared" si="23"/>
        <v>3.2523888840185853</v>
      </c>
      <c r="P55" s="43">
        <f>SUM(4504+207004)</f>
        <v>211508</v>
      </c>
      <c r="Q55" s="44">
        <f t="shared" si="24"/>
        <v>18.564732730624069</v>
      </c>
      <c r="R55" s="43">
        <f>SUM(124920)</f>
        <v>124920</v>
      </c>
      <c r="S55" s="44">
        <f t="shared" si="25"/>
        <v>19.355438487759528</v>
      </c>
      <c r="T55" s="21"/>
      <c r="U55" s="157">
        <f t="shared" si="5"/>
        <v>969230.67999999993</v>
      </c>
      <c r="V55" s="157">
        <f t="shared" si="5"/>
        <v>99.389761293872709</v>
      </c>
      <c r="W55" s="157">
        <f t="shared" si="6"/>
        <v>121153.83499999999</v>
      </c>
      <c r="X55" s="157">
        <f t="shared" si="6"/>
        <v>12.423720161734089</v>
      </c>
      <c r="Y55" s="4"/>
      <c r="Z55" s="4"/>
      <c r="AA55" s="4"/>
      <c r="AB55" s="4"/>
      <c r="AC55" s="4"/>
      <c r="AD55" s="4"/>
    </row>
    <row r="56" spans="1:30" s="6" customFormat="1" ht="13" collapsed="1" x14ac:dyDescent="0.2">
      <c r="A56" s="1"/>
      <c r="B56" s="107" t="s">
        <v>6</v>
      </c>
      <c r="C56" s="108"/>
      <c r="D56" s="47">
        <f>D11+D26</f>
        <v>9307025</v>
      </c>
      <c r="E56" s="48">
        <f>D56/$E$9</f>
        <v>1043.7394863743411</v>
      </c>
      <c r="F56" s="49">
        <f>F26+F11</f>
        <v>17156300</v>
      </c>
      <c r="G56" s="48">
        <f>F56/$G$9</f>
        <v>1425.889295212766</v>
      </c>
      <c r="H56" s="49">
        <f>H26+H11</f>
        <v>10296839</v>
      </c>
      <c r="I56" s="50">
        <f>H56/$I$9</f>
        <v>1624.3633065152233</v>
      </c>
      <c r="J56" s="49">
        <f>J26+J11</f>
        <v>14547572</v>
      </c>
      <c r="K56" s="50">
        <f>J56/$K$9</f>
        <v>1276.8868603528483</v>
      </c>
      <c r="L56" s="49">
        <f>L26+L11</f>
        <v>15755640.68</v>
      </c>
      <c r="M56" s="50">
        <f>L56/$M$9</f>
        <v>1516.4235495668913</v>
      </c>
      <c r="N56" s="49">
        <f>N26+N11</f>
        <v>14185532</v>
      </c>
      <c r="O56" s="50">
        <f>N56/$O$9</f>
        <v>1243.5813097221005</v>
      </c>
      <c r="P56" s="49">
        <f>P26+P11</f>
        <v>14450383</v>
      </c>
      <c r="Q56" s="50">
        <f>P56/$Q$9</f>
        <v>1268.356271394716</v>
      </c>
      <c r="R56" s="49">
        <f>R26+R11</f>
        <v>10355993</v>
      </c>
      <c r="S56" s="50">
        <f>R56/$S$9</f>
        <v>1604.5852184691664</v>
      </c>
      <c r="T56" s="21"/>
      <c r="U56" s="157">
        <f t="shared" si="5"/>
        <v>106055284.68000001</v>
      </c>
      <c r="V56" s="157">
        <f t="shared" si="5"/>
        <v>11003.825297608055</v>
      </c>
      <c r="W56" s="157">
        <f t="shared" si="6"/>
        <v>13256910.585000001</v>
      </c>
      <c r="X56" s="157">
        <f t="shared" si="6"/>
        <v>1375.4781622010069</v>
      </c>
      <c r="Y56" s="40"/>
      <c r="Z56" s="40"/>
      <c r="AA56" s="40"/>
      <c r="AB56" s="40"/>
      <c r="AC56" s="40"/>
      <c r="AD56" s="40"/>
    </row>
    <row r="57" spans="1:30" s="6" customFormat="1" ht="8.25" customHeight="1" x14ac:dyDescent="0.2">
      <c r="A57" s="1"/>
      <c r="B57" s="12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1"/>
      <c r="U57" s="21"/>
      <c r="V57" s="21"/>
      <c r="W57" s="21"/>
      <c r="X57" s="21"/>
      <c r="Y57" s="4"/>
      <c r="Z57" s="4"/>
      <c r="AA57" s="4"/>
      <c r="AB57" s="4"/>
      <c r="AC57" s="4"/>
      <c r="AD57" s="4"/>
    </row>
    <row r="58" spans="1:30" s="6" customFormat="1" ht="12.75" customHeight="1" x14ac:dyDescent="0.2">
      <c r="A58" s="1"/>
      <c r="B58" s="22" t="s">
        <v>0</v>
      </c>
      <c r="C58" s="22"/>
      <c r="D58" s="110" t="s">
        <v>54</v>
      </c>
      <c r="E58" s="111"/>
      <c r="F58" s="101" t="s">
        <v>62</v>
      </c>
      <c r="G58" s="101"/>
      <c r="H58" s="101" t="s">
        <v>64</v>
      </c>
      <c r="I58" s="101"/>
      <c r="J58" s="101" t="s">
        <v>69</v>
      </c>
      <c r="K58" s="101"/>
      <c r="L58" s="101" t="s">
        <v>71</v>
      </c>
      <c r="M58" s="101"/>
      <c r="N58" s="101" t="s">
        <v>72</v>
      </c>
      <c r="O58" s="101"/>
      <c r="P58" s="101" t="s">
        <v>75</v>
      </c>
      <c r="Q58" s="101"/>
      <c r="R58" s="101" t="s">
        <v>77</v>
      </c>
      <c r="S58" s="101"/>
      <c r="T58" s="21"/>
      <c r="U58" s="21"/>
      <c r="V58" s="21"/>
      <c r="W58" s="21"/>
      <c r="X58" s="21"/>
      <c r="Y58" s="23"/>
      <c r="Z58" s="4"/>
      <c r="AA58" s="4"/>
      <c r="AB58" s="4"/>
      <c r="AC58" s="4"/>
      <c r="AD58" s="4"/>
    </row>
    <row r="59" spans="1:30" ht="15" customHeight="1" x14ac:dyDescent="0.2">
      <c r="B59" s="25"/>
      <c r="C59" s="26"/>
      <c r="D59" s="95" t="s">
        <v>13</v>
      </c>
      <c r="E59" s="102"/>
      <c r="F59" s="95" t="s">
        <v>59</v>
      </c>
      <c r="G59" s="96"/>
      <c r="H59" s="95" t="s">
        <v>65</v>
      </c>
      <c r="I59" s="96"/>
      <c r="J59" s="95" t="s">
        <v>67</v>
      </c>
      <c r="K59" s="96"/>
      <c r="L59" s="95" t="s">
        <v>65</v>
      </c>
      <c r="M59" s="96"/>
      <c r="N59" s="95" t="s">
        <v>13</v>
      </c>
      <c r="O59" s="96"/>
      <c r="P59" s="95" t="s">
        <v>67</v>
      </c>
      <c r="Q59" s="96"/>
      <c r="R59" s="95" t="s">
        <v>65</v>
      </c>
      <c r="S59" s="96"/>
    </row>
    <row r="60" spans="1:30" x14ac:dyDescent="0.2">
      <c r="B60" s="103" t="s">
        <v>1</v>
      </c>
      <c r="C60" s="105" t="s">
        <v>2</v>
      </c>
      <c r="D60" s="97" t="s">
        <v>11</v>
      </c>
      <c r="E60" s="29" t="s">
        <v>9</v>
      </c>
      <c r="F60" s="97" t="s">
        <v>11</v>
      </c>
      <c r="G60" s="29" t="s">
        <v>9</v>
      </c>
      <c r="H60" s="97" t="s">
        <v>11</v>
      </c>
      <c r="I60" s="29" t="s">
        <v>9</v>
      </c>
      <c r="J60" s="97" t="s">
        <v>11</v>
      </c>
      <c r="K60" s="29" t="s">
        <v>9</v>
      </c>
      <c r="L60" s="97" t="s">
        <v>11</v>
      </c>
      <c r="M60" s="29" t="s">
        <v>9</v>
      </c>
      <c r="N60" s="97" t="s">
        <v>11</v>
      </c>
      <c r="O60" s="29" t="s">
        <v>9</v>
      </c>
      <c r="P60" s="97" t="s">
        <v>11</v>
      </c>
      <c r="Q60" s="29" t="s">
        <v>9</v>
      </c>
      <c r="R60" s="97" t="s">
        <v>11</v>
      </c>
      <c r="S60" s="29" t="s">
        <v>9</v>
      </c>
    </row>
    <row r="61" spans="1:30" ht="15" customHeight="1" x14ac:dyDescent="0.2">
      <c r="B61" s="104"/>
      <c r="C61" s="106"/>
      <c r="D61" s="98"/>
      <c r="E61" s="51">
        <v>17188</v>
      </c>
      <c r="F61" s="98"/>
      <c r="G61" s="31">
        <v>28341</v>
      </c>
      <c r="H61" s="98"/>
      <c r="I61" s="31">
        <v>11767</v>
      </c>
      <c r="J61" s="98"/>
      <c r="K61" s="31">
        <v>28819</v>
      </c>
      <c r="L61" s="98"/>
      <c r="M61" s="31">
        <v>17125</v>
      </c>
      <c r="N61" s="98"/>
      <c r="O61" s="31">
        <v>24915</v>
      </c>
      <c r="P61" s="98"/>
      <c r="Q61" s="31">
        <v>28819</v>
      </c>
      <c r="R61" s="98"/>
      <c r="S61" s="31">
        <v>12201</v>
      </c>
      <c r="U61" s="157">
        <f t="shared" si="5"/>
        <v>0</v>
      </c>
      <c r="V61" s="157">
        <f t="shared" si="5"/>
        <v>169175</v>
      </c>
      <c r="W61" s="157">
        <f t="shared" si="6"/>
        <v>0</v>
      </c>
      <c r="X61" s="157">
        <f t="shared" si="6"/>
        <v>21146.875</v>
      </c>
    </row>
    <row r="62" spans="1:30" ht="5.25" customHeight="1" x14ac:dyDescent="0.2">
      <c r="B62" s="52"/>
      <c r="C62" s="26"/>
      <c r="D62" s="53"/>
      <c r="E62" s="54"/>
      <c r="F62" s="53"/>
      <c r="G62" s="55"/>
      <c r="H62" s="53"/>
      <c r="I62" s="55"/>
      <c r="J62" s="53"/>
      <c r="K62" s="55"/>
      <c r="L62" s="53"/>
      <c r="M62" s="55"/>
      <c r="N62" s="53"/>
      <c r="O62" s="55"/>
      <c r="P62" s="53"/>
      <c r="Q62" s="55"/>
      <c r="R62" s="53"/>
      <c r="S62" s="55"/>
      <c r="U62" s="157">
        <f t="shared" si="5"/>
        <v>0</v>
      </c>
      <c r="V62" s="157">
        <f t="shared" si="5"/>
        <v>0</v>
      </c>
      <c r="W62" s="157">
        <f t="shared" si="6"/>
        <v>0</v>
      </c>
      <c r="X62" s="157">
        <f t="shared" si="6"/>
        <v>0</v>
      </c>
    </row>
    <row r="63" spans="1:30" ht="15" customHeight="1" x14ac:dyDescent="0.2">
      <c r="B63" s="35"/>
      <c r="C63" s="36" t="s">
        <v>3</v>
      </c>
      <c r="D63" s="37">
        <f>SUM(D64:D77)</f>
        <v>17421157</v>
      </c>
      <c r="E63" s="56">
        <f>D63/$E$61</f>
        <v>1013.5651035606237</v>
      </c>
      <c r="F63" s="37">
        <f>SUM(F64:F77)</f>
        <v>27723550</v>
      </c>
      <c r="G63" s="39">
        <f>F63/$G$61</f>
        <v>978.21354221798811</v>
      </c>
      <c r="H63" s="37">
        <f>SUM(H64:H77)</f>
        <v>11202724.4</v>
      </c>
      <c r="I63" s="39">
        <f>H63/$I$61</f>
        <v>952.0459250446163</v>
      </c>
      <c r="J63" s="37">
        <f>SUM(J64:J77)</f>
        <v>23774729</v>
      </c>
      <c r="K63" s="39">
        <f>J63/$K$61</f>
        <v>824.96717443353339</v>
      </c>
      <c r="L63" s="37">
        <f>SUM(L64:L77)</f>
        <v>14535483</v>
      </c>
      <c r="M63" s="39">
        <f>L63/$M$61</f>
        <v>848.78732846715332</v>
      </c>
      <c r="N63" s="37">
        <f>SUM(N64:N77)</f>
        <v>29903431</v>
      </c>
      <c r="O63" s="39">
        <f>N63/$O$61</f>
        <v>1200.2179811358619</v>
      </c>
      <c r="P63" s="37">
        <f>SUM(P64:P77)</f>
        <v>23525763</v>
      </c>
      <c r="Q63" s="39">
        <f>P63/$Q$61</f>
        <v>816.32822096533539</v>
      </c>
      <c r="R63" s="37">
        <f>SUM(R64:R77)</f>
        <v>11189001</v>
      </c>
      <c r="S63" s="39">
        <f>R63/$S$61</f>
        <v>917.05606097860834</v>
      </c>
      <c r="U63" s="157">
        <f t="shared" si="5"/>
        <v>159275838.40000001</v>
      </c>
      <c r="V63" s="157">
        <f t="shared" si="5"/>
        <v>7551.1813368037201</v>
      </c>
      <c r="W63" s="157">
        <f t="shared" si="6"/>
        <v>19909479.800000001</v>
      </c>
      <c r="X63" s="157">
        <f t="shared" si="6"/>
        <v>943.89766710046501</v>
      </c>
    </row>
    <row r="64" spans="1:30" x14ac:dyDescent="0.2">
      <c r="B64" s="41">
        <v>5.3</v>
      </c>
      <c r="C64" s="42" t="s">
        <v>14</v>
      </c>
      <c r="D64" s="43">
        <f>SUM(31224+153000+493819+388755+139512)</f>
        <v>1206310</v>
      </c>
      <c r="E64" s="44">
        <f>D64/$E$61</f>
        <v>70.18326739585757</v>
      </c>
      <c r="F64" s="43">
        <f>3015462</f>
        <v>3015462</v>
      </c>
      <c r="G64" s="44">
        <f>F64/$G$61</f>
        <v>106.39928019477082</v>
      </c>
      <c r="H64" s="43">
        <v>567069</v>
      </c>
      <c r="I64" s="44">
        <f>H64/$I$61</f>
        <v>48.191467663805561</v>
      </c>
      <c r="J64" s="43">
        <v>2791282</v>
      </c>
      <c r="K64" s="44">
        <f>J64/$K$61</f>
        <v>96.85561608660953</v>
      </c>
      <c r="L64" s="43">
        <f>SUM(63718+397079+340600)</f>
        <v>801397</v>
      </c>
      <c r="M64" s="44">
        <f>L64/$M$61</f>
        <v>46.796905109489053</v>
      </c>
      <c r="N64" s="43">
        <f>SUM(119760+1253940+1353067+153362+7272)</f>
        <v>2887401</v>
      </c>
      <c r="O64" s="44">
        <f>N64/$O$61</f>
        <v>115.89006622516557</v>
      </c>
      <c r="P64" s="43">
        <f>SUM(44874+1755125+644861+314594+3276)</f>
        <v>2762730</v>
      </c>
      <c r="Q64" s="44">
        <f>P64/$Q$61</f>
        <v>95.864880807800404</v>
      </c>
      <c r="R64" s="43">
        <f>SUM(50725+296667+219677)</f>
        <v>567069</v>
      </c>
      <c r="S64" s="44">
        <f>R64/$S$61</f>
        <v>46.477255962626018</v>
      </c>
      <c r="U64" s="157">
        <f t="shared" si="5"/>
        <v>14598720</v>
      </c>
      <c r="V64" s="157">
        <f t="shared" si="5"/>
        <v>626.65873944612451</v>
      </c>
      <c r="W64" s="157">
        <f t="shared" si="6"/>
        <v>1824840</v>
      </c>
      <c r="X64" s="157">
        <f t="shared" si="6"/>
        <v>78.332342430765564</v>
      </c>
    </row>
    <row r="65" spans="2:24" x14ac:dyDescent="0.2">
      <c r="B65" s="41">
        <v>5.3</v>
      </c>
      <c r="C65" s="42" t="s">
        <v>15</v>
      </c>
      <c r="D65" s="43"/>
      <c r="E65" s="44">
        <f t="shared" ref="E65:E77" si="31">D65/$E$61</f>
        <v>0</v>
      </c>
      <c r="F65" s="43"/>
      <c r="G65" s="44">
        <f t="shared" ref="G65" si="32">F65/$G$61</f>
        <v>0</v>
      </c>
      <c r="H65" s="43"/>
      <c r="I65" s="44">
        <f>H65/$I$61</f>
        <v>0</v>
      </c>
      <c r="J65" s="43"/>
      <c r="K65" s="44">
        <f>J65/$K$61</f>
        <v>0</v>
      </c>
      <c r="L65" s="43"/>
      <c r="M65" s="44">
        <f>L65/$M$61</f>
        <v>0</v>
      </c>
      <c r="N65" s="43"/>
      <c r="O65" s="44">
        <f>N65/$O$61</f>
        <v>0</v>
      </c>
      <c r="P65" s="43"/>
      <c r="Q65" s="44">
        <f>P65/$Q$61</f>
        <v>0</v>
      </c>
      <c r="R65" s="43"/>
      <c r="S65" s="44">
        <f>R65/$S$61</f>
        <v>0</v>
      </c>
      <c r="U65" s="157">
        <f t="shared" si="5"/>
        <v>0</v>
      </c>
      <c r="V65" s="157">
        <f t="shared" si="5"/>
        <v>0</v>
      </c>
      <c r="W65" s="157">
        <f t="shared" si="6"/>
        <v>0</v>
      </c>
      <c r="X65" s="157">
        <f t="shared" si="6"/>
        <v>0</v>
      </c>
    </row>
    <row r="66" spans="2:24" ht="15" customHeight="1" x14ac:dyDescent="0.2">
      <c r="B66" s="41">
        <v>5.4</v>
      </c>
      <c r="C66" s="42" t="s">
        <v>16</v>
      </c>
      <c r="D66" s="43">
        <f>SUM(777440+442492+280493+150486)</f>
        <v>1650911</v>
      </c>
      <c r="E66" s="44">
        <f t="shared" si="31"/>
        <v>96.050209448452406</v>
      </c>
      <c r="F66" s="43">
        <f>3280664</f>
        <v>3280664</v>
      </c>
      <c r="G66" s="44">
        <f>F66/$G$61</f>
        <v>115.75681874316362</v>
      </c>
      <c r="H66" s="43">
        <f>1190163+19166</f>
        <v>1209329</v>
      </c>
      <c r="I66" s="44">
        <f>H66/$I$61</f>
        <v>102.77292427976545</v>
      </c>
      <c r="J66" s="43">
        <v>2534257</v>
      </c>
      <c r="K66" s="44">
        <f>J66/$K$61</f>
        <v>87.937020715500196</v>
      </c>
      <c r="L66" s="43">
        <f>SUM(79766+408461+383141+167251+414350+53433)</f>
        <v>1506402</v>
      </c>
      <c r="M66" s="44">
        <f>L66/$M$61</f>
        <v>87.965080291970807</v>
      </c>
      <c r="N66" s="43">
        <f>SUM(60937+3125661+155260+443025+121000)</f>
        <v>3905883</v>
      </c>
      <c r="O66" s="44">
        <f>N66/$O$61</f>
        <v>156.76833232992175</v>
      </c>
      <c r="P66" s="43">
        <f>SUM(1545638+307725+491080+225112+292)</f>
        <v>2569847</v>
      </c>
      <c r="Q66" s="44">
        <f>P66/$Q$61</f>
        <v>89.171969880981294</v>
      </c>
      <c r="R66" s="43">
        <f>SUM(28152+411552+299899+144397+304687+20642)</f>
        <v>1209329</v>
      </c>
      <c r="S66" s="44">
        <f>R66/$S$61</f>
        <v>99.117203507909181</v>
      </c>
      <c r="U66" s="157">
        <f t="shared" si="5"/>
        <v>17866622</v>
      </c>
      <c r="V66" s="157">
        <f t="shared" si="5"/>
        <v>835.53955919766463</v>
      </c>
      <c r="W66" s="157">
        <f t="shared" si="6"/>
        <v>2233327.75</v>
      </c>
      <c r="X66" s="157">
        <f t="shared" si="6"/>
        <v>104.44244489970808</v>
      </c>
    </row>
    <row r="67" spans="2:24" ht="15" customHeight="1" x14ac:dyDescent="0.2">
      <c r="B67" s="41">
        <v>5.4</v>
      </c>
      <c r="C67" s="42" t="s">
        <v>17</v>
      </c>
      <c r="D67" s="43">
        <v>500115</v>
      </c>
      <c r="E67" s="44">
        <f t="shared" si="31"/>
        <v>29.096753548987667</v>
      </c>
      <c r="F67" s="43">
        <f>469861</f>
        <v>469861</v>
      </c>
      <c r="G67" s="44">
        <f t="shared" ref="G67:G75" si="33">F67/$G$61</f>
        <v>16.578843371793514</v>
      </c>
      <c r="H67" s="43">
        <v>398992</v>
      </c>
      <c r="I67" s="44">
        <f>H67/$I$61</f>
        <v>33.907707996940594</v>
      </c>
      <c r="J67" s="43">
        <v>813861</v>
      </c>
      <c r="K67" s="44">
        <f>J67/$K$61</f>
        <v>28.240431659668968</v>
      </c>
      <c r="L67" s="43">
        <f>SUM(584641-53433)</f>
        <v>531208</v>
      </c>
      <c r="M67" s="44">
        <f>L67/$M$61</f>
        <v>31.019445255474452</v>
      </c>
      <c r="N67" s="43">
        <f>SUM(595+247752+10716+74406+178572)</f>
        <v>512041</v>
      </c>
      <c r="O67" s="44">
        <f>N67/$O$61</f>
        <v>20.551515151515151</v>
      </c>
      <c r="P67" s="43">
        <f>SUM(817911-292)</f>
        <v>817619</v>
      </c>
      <c r="Q67" s="44">
        <f>P67/$Q$61</f>
        <v>28.37083174294736</v>
      </c>
      <c r="R67" s="43">
        <f>SUM(419634-20642)</f>
        <v>398992</v>
      </c>
      <c r="S67" s="44">
        <f>R67/$S$61</f>
        <v>32.701581837554301</v>
      </c>
      <c r="U67" s="157">
        <f t="shared" si="5"/>
        <v>4442689</v>
      </c>
      <c r="V67" s="157">
        <f t="shared" si="5"/>
        <v>220.46711056488201</v>
      </c>
      <c r="W67" s="157">
        <f t="shared" si="6"/>
        <v>555336.125</v>
      </c>
      <c r="X67" s="157">
        <f t="shared" si="6"/>
        <v>27.558388820610251</v>
      </c>
    </row>
    <row r="68" spans="2:24" ht="15" customHeight="1" x14ac:dyDescent="0.2">
      <c r="B68" s="41" t="s">
        <v>28</v>
      </c>
      <c r="C68" s="42" t="s">
        <v>18</v>
      </c>
      <c r="D68" s="43">
        <f>SUM(874688+429755)</f>
        <v>1304443</v>
      </c>
      <c r="E68" s="44">
        <f t="shared" si="31"/>
        <v>75.892657668140558</v>
      </c>
      <c r="F68" s="43">
        <f>3673522</f>
        <v>3673522</v>
      </c>
      <c r="G68" s="44">
        <f t="shared" ref="G68:G69" si="34">F68/$G$61</f>
        <v>129.61864436681839</v>
      </c>
      <c r="H68" s="43">
        <v>900100</v>
      </c>
      <c r="I68" s="44">
        <f>H68/$I$61</f>
        <v>76.493583751168515</v>
      </c>
      <c r="J68" s="43">
        <v>2719380</v>
      </c>
      <c r="K68" s="44">
        <f>J68/$K$61</f>
        <v>94.360664839168606</v>
      </c>
      <c r="L68" s="43">
        <f>SUM(381305+258111+648559)</f>
        <v>1287975</v>
      </c>
      <c r="M68" s="44">
        <f>L68/$M$61</f>
        <v>75.210218978102191</v>
      </c>
      <c r="N68" s="43">
        <f>SUM(1054341+303065+214272)</f>
        <v>1571678</v>
      </c>
      <c r="O68" s="44">
        <f>N68/$O$61</f>
        <v>63.081597431266303</v>
      </c>
      <c r="P68" s="43">
        <f>SUM(1920398+508107+277938)</f>
        <v>2706443</v>
      </c>
      <c r="Q68" s="44">
        <f>P68/$Q$61</f>
        <v>93.911759603039656</v>
      </c>
      <c r="R68" s="43">
        <f>SUM(275778+180659+487291-43628)</f>
        <v>900100</v>
      </c>
      <c r="S68" s="44">
        <f>R68/$S$61</f>
        <v>73.772641586755185</v>
      </c>
      <c r="U68" s="157">
        <f t="shared" si="5"/>
        <v>15063641</v>
      </c>
      <c r="V68" s="157">
        <f t="shared" si="5"/>
        <v>682.34176822445932</v>
      </c>
      <c r="W68" s="157">
        <f t="shared" si="6"/>
        <v>1882955.125</v>
      </c>
      <c r="X68" s="157">
        <f t="shared" si="6"/>
        <v>85.292721028057414</v>
      </c>
    </row>
    <row r="69" spans="2:24" ht="15" customHeight="1" x14ac:dyDescent="0.2">
      <c r="B69" s="41" t="s">
        <v>28</v>
      </c>
      <c r="C69" s="42" t="s">
        <v>19</v>
      </c>
      <c r="D69" s="43"/>
      <c r="E69" s="44">
        <f t="shared" si="31"/>
        <v>0</v>
      </c>
      <c r="F69" s="43"/>
      <c r="G69" s="44">
        <f t="shared" si="34"/>
        <v>0</v>
      </c>
      <c r="H69" s="43"/>
      <c r="I69" s="44">
        <f>H69/$I$61</f>
        <v>0</v>
      </c>
      <c r="J69" s="43"/>
      <c r="K69" s="44">
        <f>J69/$K$61</f>
        <v>0</v>
      </c>
      <c r="L69" s="43"/>
      <c r="M69" s="44">
        <f>L69/$M$61</f>
        <v>0</v>
      </c>
      <c r="N69" s="43"/>
      <c r="O69" s="44">
        <f>N69/$O$61</f>
        <v>0</v>
      </c>
      <c r="P69" s="43"/>
      <c r="Q69" s="44">
        <f>P69/$Q$61</f>
        <v>0</v>
      </c>
      <c r="R69" s="43"/>
      <c r="S69" s="44">
        <f>R69/$S$61</f>
        <v>0</v>
      </c>
      <c r="U69" s="157">
        <f t="shared" si="5"/>
        <v>0</v>
      </c>
      <c r="V69" s="157">
        <f t="shared" si="5"/>
        <v>0</v>
      </c>
      <c r="W69" s="157">
        <f t="shared" si="6"/>
        <v>0</v>
      </c>
      <c r="X69" s="157">
        <f t="shared" si="6"/>
        <v>0</v>
      </c>
    </row>
    <row r="70" spans="2:24" ht="15" customHeight="1" x14ac:dyDescent="0.2">
      <c r="B70" s="41" t="s">
        <v>28</v>
      </c>
      <c r="C70" s="42" t="s">
        <v>20</v>
      </c>
      <c r="D70" s="43"/>
      <c r="E70" s="44">
        <f t="shared" si="31"/>
        <v>0</v>
      </c>
      <c r="F70" s="43">
        <f>27302</f>
        <v>27302</v>
      </c>
      <c r="G70" s="44">
        <f t="shared" si="33"/>
        <v>0.96333933171024311</v>
      </c>
      <c r="H70" s="43">
        <v>43628</v>
      </c>
      <c r="I70" s="44">
        <f>H70/$I$61</f>
        <v>3.7076570068836578</v>
      </c>
      <c r="J70" s="43"/>
      <c r="K70" s="44">
        <f>J70/$K$61</f>
        <v>0</v>
      </c>
      <c r="L70" s="43"/>
      <c r="M70" s="44">
        <f>L70/$M$61</f>
        <v>0</v>
      </c>
      <c r="N70" s="43">
        <f>SUM(38500)</f>
        <v>38500</v>
      </c>
      <c r="O70" s="44">
        <f>N70/$O$61</f>
        <v>1.5452538631346577</v>
      </c>
      <c r="P70" s="43"/>
      <c r="Q70" s="44">
        <f>P70/$Q$61</f>
        <v>0</v>
      </c>
      <c r="R70" s="43">
        <f>SUM(43628)</f>
        <v>43628</v>
      </c>
      <c r="S70" s="44">
        <f>R70/$S$61</f>
        <v>3.5757724776657649</v>
      </c>
      <c r="U70" s="157">
        <f t="shared" si="5"/>
        <v>153058</v>
      </c>
      <c r="V70" s="157">
        <f t="shared" si="5"/>
        <v>9.7920226793943232</v>
      </c>
      <c r="W70" s="157">
        <f t="shared" si="6"/>
        <v>19132.25</v>
      </c>
      <c r="X70" s="157">
        <f t="shared" si="6"/>
        <v>1.2240028349242904</v>
      </c>
    </row>
    <row r="71" spans="2:24" ht="15" customHeight="1" x14ac:dyDescent="0.2">
      <c r="B71" s="41">
        <v>5.6</v>
      </c>
      <c r="C71" s="42" t="s">
        <v>21</v>
      </c>
      <c r="D71" s="43">
        <f>SUM(870362+751789+440919+11298+17535+188)</f>
        <v>2092091</v>
      </c>
      <c r="E71" s="44">
        <f t="shared" si="31"/>
        <v>121.71811729113335</v>
      </c>
      <c r="F71" s="43">
        <f>4181441</f>
        <v>4181441</v>
      </c>
      <c r="G71" s="44">
        <f t="shared" si="33"/>
        <v>147.54034790586076</v>
      </c>
      <c r="H71" s="43">
        <v>946424</v>
      </c>
      <c r="I71" s="44">
        <f>H71/$I$61</f>
        <v>80.430356080564295</v>
      </c>
      <c r="J71" s="43">
        <v>2068144</v>
      </c>
      <c r="K71" s="44">
        <f>J71/$K$61</f>
        <v>71.763211770012845</v>
      </c>
      <c r="L71" s="43">
        <f>SUM(425734+147983+652523)</f>
        <v>1226240</v>
      </c>
      <c r="M71" s="44">
        <f>L71/$M$61</f>
        <v>71.605255474452548</v>
      </c>
      <c r="N71" s="43">
        <f>SUM(1168968+904892+953982+979730+22865+13032)</f>
        <v>4043469</v>
      </c>
      <c r="O71" s="44">
        <f>N71/$O$61</f>
        <v>162.29054786273329</v>
      </c>
      <c r="P71" s="43">
        <f>SUM(1058395+406734+557604+740+8280+412+5712+17498+5074+15526+999+3290+5285)</f>
        <v>2085549</v>
      </c>
      <c r="Q71" s="44">
        <f>P71/$Q$61</f>
        <v>72.367153613935244</v>
      </c>
      <c r="R71" s="43">
        <f>SUM(333840+92347+520237)</f>
        <v>946424</v>
      </c>
      <c r="S71" s="44">
        <f>R71/$S$61</f>
        <v>77.569379559052535</v>
      </c>
      <c r="U71" s="157">
        <f t="shared" si="5"/>
        <v>17589782</v>
      </c>
      <c r="V71" s="157">
        <f t="shared" si="5"/>
        <v>805.28436955774487</v>
      </c>
      <c r="W71" s="157">
        <f t="shared" si="6"/>
        <v>2198722.75</v>
      </c>
      <c r="X71" s="157">
        <f t="shared" si="6"/>
        <v>100.66054619471811</v>
      </c>
    </row>
    <row r="72" spans="2:24" ht="15" customHeight="1" x14ac:dyDescent="0.2">
      <c r="B72" s="41">
        <v>5.6</v>
      </c>
      <c r="C72" s="42" t="s">
        <v>22</v>
      </c>
      <c r="D72" s="43">
        <f>SUM(2517480+420516+16650+11100+49950)</f>
        <v>3015696</v>
      </c>
      <c r="E72" s="44">
        <f t="shared" si="31"/>
        <v>175.45357225971608</v>
      </c>
      <c r="F72" s="43">
        <v>1437247</v>
      </c>
      <c r="G72" s="44">
        <f t="shared" ref="G72:G73" si="35">F72/$G$61</f>
        <v>50.712642461451608</v>
      </c>
      <c r="H72" s="43">
        <v>2570474</v>
      </c>
      <c r="I72" s="44">
        <f>H72/$I$61</f>
        <v>218.44769269992352</v>
      </c>
      <c r="J72" s="43">
        <v>3201656</v>
      </c>
      <c r="K72" s="44">
        <f>J72/$K$61</f>
        <v>111.09531906034213</v>
      </c>
      <c r="L72" s="43">
        <f>SUM(3456001)</f>
        <v>3456001</v>
      </c>
      <c r="M72" s="44">
        <f>L72/$M$61</f>
        <v>201.81027737226276</v>
      </c>
      <c r="N72" s="43">
        <f>SUM(2937510+404764+54027+18009+48024)</f>
        <v>3462334</v>
      </c>
      <c r="O72" s="44">
        <f>N72/$O$61</f>
        <v>138.96584386915512</v>
      </c>
      <c r="P72" s="43">
        <f>SUM(2864049+302964+16875+8438+23625)</f>
        <v>3215951</v>
      </c>
      <c r="Q72" s="44">
        <f>P72/$Q$61</f>
        <v>111.59134598702245</v>
      </c>
      <c r="R72" s="43">
        <f>SUM(2570474)</f>
        <v>2570474</v>
      </c>
      <c r="S72" s="44">
        <f>R72/$S$61</f>
        <v>210.67732153102205</v>
      </c>
      <c r="U72" s="157">
        <f t="shared" si="5"/>
        <v>22929833</v>
      </c>
      <c r="V72" s="157">
        <f t="shared" si="5"/>
        <v>1218.7540152408958</v>
      </c>
      <c r="W72" s="157">
        <f t="shared" si="6"/>
        <v>2866229.125</v>
      </c>
      <c r="X72" s="157">
        <f t="shared" si="6"/>
        <v>152.34425190511197</v>
      </c>
    </row>
    <row r="73" spans="2:24" ht="15" customHeight="1" x14ac:dyDescent="0.2">
      <c r="B73" s="41">
        <v>5.6</v>
      </c>
      <c r="C73" s="42" t="s">
        <v>23</v>
      </c>
      <c r="D73" s="43">
        <f>SUM(830370+332496+8742+105823+45481+88569+116849+112078-12920-7859)</f>
        <v>1619629</v>
      </c>
      <c r="E73" s="44">
        <f t="shared" si="31"/>
        <v>94.23021875727251</v>
      </c>
      <c r="F73" s="43">
        <f>3168255</f>
        <v>3168255</v>
      </c>
      <c r="G73" s="44">
        <f t="shared" si="35"/>
        <v>111.79051550756854</v>
      </c>
      <c r="H73" s="43">
        <v>846889</v>
      </c>
      <c r="I73" s="44">
        <f>H73/$I$61</f>
        <v>71.971530551542443</v>
      </c>
      <c r="J73" s="43">
        <v>2201447</v>
      </c>
      <c r="K73" s="44">
        <f>J73/$K$61</f>
        <v>76.388736597383669</v>
      </c>
      <c r="L73" s="43">
        <f>SUM(495480+174266+152705+203114)</f>
        <v>1025565</v>
      </c>
      <c r="M73" s="44">
        <f>L73/$M$61</f>
        <v>59.887007299270074</v>
      </c>
      <c r="N73" s="43">
        <f>SUM(1880535+1222392+19126+62100+204366+156600+333999+335831+205888+326101-5091)</f>
        <v>4741847</v>
      </c>
      <c r="O73" s="44">
        <f>N73/$O$61</f>
        <v>190.32097130242826</v>
      </c>
      <c r="P73" s="43">
        <f>SUM(938128+324206+277457+48466+115995+211506+82123+208250+428)</f>
        <v>2206559</v>
      </c>
      <c r="Q73" s="44">
        <f>P73/$Q$61</f>
        <v>76.566119573892223</v>
      </c>
      <c r="R73" s="43">
        <f>SUM(389918+160092+110339+114313+72227)</f>
        <v>846889</v>
      </c>
      <c r="S73" s="44">
        <f>R73/$S$61</f>
        <v>69.411441685107775</v>
      </c>
      <c r="U73" s="157">
        <f t="shared" si="5"/>
        <v>16657080</v>
      </c>
      <c r="V73" s="157">
        <f t="shared" si="5"/>
        <v>750.56654127446552</v>
      </c>
      <c r="W73" s="157">
        <f t="shared" si="6"/>
        <v>2082135</v>
      </c>
      <c r="X73" s="157">
        <f t="shared" si="6"/>
        <v>93.82081765930819</v>
      </c>
    </row>
    <row r="74" spans="2:24" ht="15" customHeight="1" x14ac:dyDescent="0.2">
      <c r="B74" s="41">
        <v>5.6</v>
      </c>
      <c r="C74" s="42" t="s">
        <v>24</v>
      </c>
      <c r="D74" s="43">
        <f>SUM(12920+7859+151581+116284+126940+162371+84848+298366+318086+229102+483516+306495+139460+159975+95103+159307+131867+6127+7726+54878+7992+4129+30636)</f>
        <v>3095568</v>
      </c>
      <c r="E74" s="44">
        <f t="shared" si="31"/>
        <v>180.10053525715617</v>
      </c>
      <c r="F74" s="43">
        <f>3487781</f>
        <v>3487781</v>
      </c>
      <c r="G74" s="44">
        <f t="shared" si="33"/>
        <v>123.06485303976571</v>
      </c>
      <c r="H74" s="43">
        <v>778951</v>
      </c>
      <c r="I74" s="44">
        <f>H74/$I$61</f>
        <v>66.197926404351151</v>
      </c>
      <c r="J74" s="43">
        <v>2822657</v>
      </c>
      <c r="K74" s="44">
        <f>J74/$K$61</f>
        <v>97.944307574863799</v>
      </c>
      <c r="L74" s="43">
        <f>SUM(91200+167948+213198+191871+188328+154691)</f>
        <v>1007236</v>
      </c>
      <c r="M74" s="44">
        <f>L74/$M$61</f>
        <v>58.816700729927007</v>
      </c>
      <c r="N74" s="43">
        <f>SUM(5091+77175+86214+65313+72375+88365+80235+148302+172428+140427+222273+258642+218304+67817+81912+73928+67757+81912+73988+67697+79761+76199+65055+81852+96693+6162)</f>
        <v>2555877</v>
      </c>
      <c r="O74" s="44">
        <f>N74/$O$61</f>
        <v>102.58386514148104</v>
      </c>
      <c r="P74" s="43">
        <f>SUM(7426+7426+7426+5990+47941+481054+1116036+263698+248256+314654+60049+86785+120253+5120+16133+16661+16661+2584+5990+4791)</f>
        <v>2834934</v>
      </c>
      <c r="Q74" s="44">
        <f>P74/$Q$61</f>
        <v>98.370311252992821</v>
      </c>
      <c r="R74" s="43">
        <f>SUM(62703+70862+78251+71624+62194+72644+59135+71114+66017+62193+78762+23452)</f>
        <v>778951</v>
      </c>
      <c r="S74" s="44">
        <f>R74/$S$61</f>
        <v>63.84320957298582</v>
      </c>
      <c r="U74" s="157">
        <f t="shared" si="5"/>
        <v>17361955</v>
      </c>
      <c r="V74" s="157">
        <f t="shared" si="5"/>
        <v>790.92170897352355</v>
      </c>
      <c r="W74" s="157">
        <f t="shared" si="6"/>
        <v>2170244.375</v>
      </c>
      <c r="X74" s="157">
        <f t="shared" si="6"/>
        <v>98.865213621690444</v>
      </c>
    </row>
    <row r="75" spans="2:24" ht="15" customHeight="1" x14ac:dyDescent="0.2">
      <c r="B75" s="41">
        <v>5.6</v>
      </c>
      <c r="C75" s="42" t="s">
        <v>25</v>
      </c>
      <c r="D75" s="43">
        <f>SUM(7654+456036+380742+73872+426960+92176+80554+79415+51875+11655+12987+14985+56)</f>
        <v>1688967</v>
      </c>
      <c r="E75" s="44">
        <f t="shared" si="31"/>
        <v>98.26431231091459</v>
      </c>
      <c r="F75" s="43">
        <f>3574417</f>
        <v>3574417</v>
      </c>
      <c r="G75" s="44">
        <f t="shared" si="33"/>
        <v>126.12176705126848</v>
      </c>
      <c r="H75" s="43">
        <v>1008070</v>
      </c>
      <c r="I75" s="44">
        <f>H75/$I$61</f>
        <v>85.669244497323021</v>
      </c>
      <c r="J75" s="43">
        <v>2536981</v>
      </c>
      <c r="K75" s="44">
        <f>J75/$K$61</f>
        <v>88.031541691245366</v>
      </c>
      <c r="L75" s="43">
        <f>SUM(1071969+128800+103273+40839+78230+71706)</f>
        <v>1494817</v>
      </c>
      <c r="M75" s="44">
        <f>L75/$M$61</f>
        <v>87.288583941605836</v>
      </c>
      <c r="N75" s="43">
        <f>SUM(2287758-6162+1184688+302283+156448+230920+860925-502085-335120)</f>
        <v>4179655</v>
      </c>
      <c r="O75" s="44">
        <f>N75/$O$61</f>
        <v>167.75657234597631</v>
      </c>
      <c r="P75" s="43">
        <f>SUM(23392+579224+506192+127568+684067+125172+178704+30135+106588+133736+282+8514+10570+5496+6870+15442)</f>
        <v>2541952</v>
      </c>
      <c r="Q75" s="44">
        <f>P75/$Q$61</f>
        <v>88.204032062181199</v>
      </c>
      <c r="R75" s="43">
        <f>SUM(622352+160728+11747+98050+64077+51116)</f>
        <v>1008070</v>
      </c>
      <c r="S75" s="44">
        <f>R75/$S$61</f>
        <v>82.621916236374062</v>
      </c>
      <c r="U75" s="157">
        <f t="shared" si="5"/>
        <v>18032929</v>
      </c>
      <c r="V75" s="157">
        <f t="shared" si="5"/>
        <v>823.95797013688889</v>
      </c>
      <c r="W75" s="157">
        <f t="shared" si="6"/>
        <v>2254116.125</v>
      </c>
      <c r="X75" s="157">
        <f t="shared" si="6"/>
        <v>102.99474626711111</v>
      </c>
    </row>
    <row r="76" spans="2:24" ht="15" customHeight="1" x14ac:dyDescent="0.2">
      <c r="B76" s="41">
        <v>5.6</v>
      </c>
      <c r="C76" s="42" t="s">
        <v>26</v>
      </c>
      <c r="D76" s="43">
        <f>960947</f>
        <v>960947</v>
      </c>
      <c r="E76" s="44">
        <f t="shared" si="31"/>
        <v>55.908017221317195</v>
      </c>
      <c r="F76" s="43">
        <v>668453</v>
      </c>
      <c r="G76" s="44">
        <f t="shared" ref="G76:G77" si="36">F76/$G$61</f>
        <v>23.586076708655305</v>
      </c>
      <c r="H76" s="43">
        <v>829820</v>
      </c>
      <c r="I76" s="44">
        <f>H76/$I$61</f>
        <v>70.520948415059067</v>
      </c>
      <c r="J76" s="43">
        <v>1211470</v>
      </c>
      <c r="K76" s="44">
        <f>J76/$K$61</f>
        <v>42.037197682084738</v>
      </c>
      <c r="L76" s="43">
        <f>SUM(659236+143524)</f>
        <v>802760</v>
      </c>
      <c r="M76" s="44">
        <f>L76/$M$61</f>
        <v>46.876496350364967</v>
      </c>
      <c r="N76" s="43">
        <f>SUM(502085+335120+813900+195198)</f>
        <v>1846303</v>
      </c>
      <c r="O76" s="44">
        <f>N76/$O$61</f>
        <v>74.104073851093716</v>
      </c>
      <c r="P76" s="43">
        <f>SUM(196875+247500+489375+6940+7164+169419)</f>
        <v>1117273</v>
      </c>
      <c r="Q76" s="44">
        <f>P76/$Q$61</f>
        <v>38.768624865540097</v>
      </c>
      <c r="R76" s="43">
        <f>SUM(829820)</f>
        <v>829820</v>
      </c>
      <c r="S76" s="44">
        <f>R76/$S$61</f>
        <v>68.012457995246294</v>
      </c>
      <c r="U76" s="157">
        <f t="shared" ref="U76:V110" si="37">D76+F76+H76+J76+L76+N76+P76+R76</f>
        <v>8266846</v>
      </c>
      <c r="V76" s="157">
        <f t="shared" si="37"/>
        <v>419.81389308936144</v>
      </c>
      <c r="W76" s="157">
        <f t="shared" ref="W76:X110" si="38">U76/8</f>
        <v>1033355.75</v>
      </c>
      <c r="X76" s="157">
        <f t="shared" si="38"/>
        <v>52.47673663617018</v>
      </c>
    </row>
    <row r="77" spans="2:24" ht="15" customHeight="1" x14ac:dyDescent="0.2">
      <c r="B77" s="41">
        <v>5.14</v>
      </c>
      <c r="C77" s="42" t="s">
        <v>27</v>
      </c>
      <c r="D77" s="43">
        <f>SUM(108450+125630+52400)</f>
        <v>286480</v>
      </c>
      <c r="E77" s="44">
        <f t="shared" si="31"/>
        <v>16.667442401675586</v>
      </c>
      <c r="F77" s="43">
        <f>739145</f>
        <v>739145</v>
      </c>
      <c r="G77" s="44">
        <f t="shared" si="36"/>
        <v>26.080413535161075</v>
      </c>
      <c r="H77" s="43">
        <v>1102978.3999999999</v>
      </c>
      <c r="I77" s="44">
        <f>H77/$I$61</f>
        <v>93.734885697289016</v>
      </c>
      <c r="J77" s="43">
        <v>873594</v>
      </c>
      <c r="K77" s="44">
        <f>J77/$K$61</f>
        <v>30.313126756653595</v>
      </c>
      <c r="L77" s="43">
        <f>SUM(344578+1051304)</f>
        <v>1395882</v>
      </c>
      <c r="M77" s="44">
        <f>L77/$M$61</f>
        <v>81.511357664233572</v>
      </c>
      <c r="N77" s="43">
        <f>SUM(38443+104000+16000)</f>
        <v>158443</v>
      </c>
      <c r="O77" s="44">
        <f>N77/$O$61</f>
        <v>6.3593417619907688</v>
      </c>
      <c r="P77" s="43">
        <f>SUM(20475+20251+626180)</f>
        <v>666906</v>
      </c>
      <c r="Q77" s="44">
        <f>P77/$Q$61</f>
        <v>23.141191575002601</v>
      </c>
      <c r="R77" s="43">
        <f>SUM(213991+875264)</f>
        <v>1089255</v>
      </c>
      <c r="S77" s="44">
        <f>R77/$S$61</f>
        <v>89.275879026309312</v>
      </c>
      <c r="U77" s="157">
        <f t="shared" si="37"/>
        <v>6312683.4000000004</v>
      </c>
      <c r="V77" s="157">
        <f t="shared" si="37"/>
        <v>367.0836384183155</v>
      </c>
      <c r="W77" s="157">
        <f t="shared" si="38"/>
        <v>789085.42500000005</v>
      </c>
      <c r="X77" s="157">
        <f t="shared" si="38"/>
        <v>45.885454802289438</v>
      </c>
    </row>
    <row r="78" spans="2:24" ht="15" customHeight="1" x14ac:dyDescent="0.2">
      <c r="B78" s="35"/>
      <c r="C78" s="36" t="s">
        <v>4</v>
      </c>
      <c r="D78" s="37">
        <f>SUM(D79:D107)</f>
        <v>15280568</v>
      </c>
      <c r="E78" s="38">
        <f>D78/$E$61</f>
        <v>889.02536653479171</v>
      </c>
      <c r="F78" s="37">
        <f>SUM(F79:F107)</f>
        <v>24929844</v>
      </c>
      <c r="G78" s="39">
        <f>F78/$G$61</f>
        <v>879.63882714089129</v>
      </c>
      <c r="H78" s="37">
        <f>SUM(H79:H107)</f>
        <v>11822269</v>
      </c>
      <c r="I78" s="39">
        <f>H78/$I$61</f>
        <v>1004.6969490949265</v>
      </c>
      <c r="J78" s="37">
        <f>SUM(J79:J107)</f>
        <v>21498219</v>
      </c>
      <c r="K78" s="39">
        <f>J78/$K$61</f>
        <v>745.97380200562134</v>
      </c>
      <c r="L78" s="37">
        <f>SUM(L79:L107)</f>
        <v>16638773</v>
      </c>
      <c r="M78" s="39">
        <f>L78/$M$61</f>
        <v>971.60718248175181</v>
      </c>
      <c r="N78" s="37">
        <f>SUM(N79:N107)</f>
        <v>18647845</v>
      </c>
      <c r="O78" s="39">
        <f>N78/$O$61</f>
        <v>748.45855910094326</v>
      </c>
      <c r="P78" s="37">
        <f>SUM(P79:P107)</f>
        <v>21546957</v>
      </c>
      <c r="Q78" s="39">
        <f>P78/$Q$61</f>
        <v>747.66497796592523</v>
      </c>
      <c r="R78" s="37">
        <f>SUM(R79:R107)</f>
        <v>11822269</v>
      </c>
      <c r="S78" s="39">
        <f>R78/$S$61</f>
        <v>968.95901975247932</v>
      </c>
      <c r="U78" s="157">
        <f t="shared" si="37"/>
        <v>142186744</v>
      </c>
      <c r="V78" s="157">
        <f t="shared" si="37"/>
        <v>6956.0246840773316</v>
      </c>
      <c r="W78" s="157">
        <f t="shared" si="38"/>
        <v>17773343</v>
      </c>
      <c r="X78" s="157">
        <f t="shared" si="38"/>
        <v>869.50308550966645</v>
      </c>
    </row>
    <row r="79" spans="2:24" ht="15" customHeight="1" x14ac:dyDescent="0.2">
      <c r="B79" s="41">
        <v>5.8</v>
      </c>
      <c r="C79" s="42" t="s">
        <v>29</v>
      </c>
      <c r="D79" s="43">
        <f>SUM(1338989+80862)</f>
        <v>1419851</v>
      </c>
      <c r="E79" s="44">
        <f>D79/$E$61</f>
        <v>82.607109611356762</v>
      </c>
      <c r="F79" s="43">
        <f>2528490+491838</f>
        <v>3020328</v>
      </c>
      <c r="G79" s="44">
        <f>F79/$G$61</f>
        <v>106.57097491267069</v>
      </c>
      <c r="H79" s="43">
        <v>1399416</v>
      </c>
      <c r="I79" s="44">
        <f>H79/$I$61</f>
        <v>118.92716920200562</v>
      </c>
      <c r="J79" s="43">
        <v>1551010</v>
      </c>
      <c r="K79" s="44">
        <f>J79/$K$61</f>
        <v>53.819008293139944</v>
      </c>
      <c r="L79" s="43">
        <f>SUM(1120321+307140+38658+34498+45214+17531+46671+19270+46107+80184+56462+21848+152611)</f>
        <v>1986515</v>
      </c>
      <c r="M79" s="44">
        <f>L79/$M$61</f>
        <v>116.00087591240876</v>
      </c>
      <c r="N79" s="43">
        <f>SUM(449344+278698+176570+195398+115021+82650+79800+85310+77900+85785+77330+61941+194351+50629+63279+27132+77927+44571+147132+32700+4760+11067+15708)</f>
        <v>2435003</v>
      </c>
      <c r="O79" s="44">
        <f>N79/$O$61</f>
        <v>97.732410194661853</v>
      </c>
      <c r="P79" s="43">
        <f>SUM(77040+502622+28399+131274+45526+210463+61851+132090+50254+2992+3740+4420+5984+6664+38837+34444+22984+11264+60270+29808+3780+3124+2862+5589+3870+27948+10469+6192+34645)</f>
        <v>1559405</v>
      </c>
      <c r="Q79" s="44">
        <f>P79/$Q$61</f>
        <v>54.110309171033002</v>
      </c>
      <c r="R79" s="43">
        <f>SUM(658196+195036+101235+138669+34476+65288+206516)</f>
        <v>1399416</v>
      </c>
      <c r="S79" s="44">
        <f>R79/$S$61</f>
        <v>114.6968281288419</v>
      </c>
      <c r="U79" s="157">
        <f t="shared" si="37"/>
        <v>14770944</v>
      </c>
      <c r="V79" s="157">
        <f t="shared" si="37"/>
        <v>744.46468542611865</v>
      </c>
      <c r="W79" s="157">
        <f t="shared" si="38"/>
        <v>1846368</v>
      </c>
      <c r="X79" s="157">
        <f t="shared" si="38"/>
        <v>93.058085678264831</v>
      </c>
    </row>
    <row r="80" spans="2:24" ht="15" customHeight="1" x14ac:dyDescent="0.2">
      <c r="B80" s="41">
        <v>5.8</v>
      </c>
      <c r="C80" s="42" t="s">
        <v>55</v>
      </c>
      <c r="D80" s="43">
        <f>SUM(959396)</f>
        <v>959396</v>
      </c>
      <c r="E80" s="44">
        <f t="shared" ref="E80:E107" si="39">D80/$E$61</f>
        <v>55.81777984640447</v>
      </c>
      <c r="F80" s="43">
        <f>4188732</f>
        <v>4188732</v>
      </c>
      <c r="G80" s="44">
        <f t="shared" ref="G80:G107" si="40">F80/$G$61</f>
        <v>147.7976077061501</v>
      </c>
      <c r="H80" s="43"/>
      <c r="I80" s="44">
        <f>H80/$I$61</f>
        <v>0</v>
      </c>
      <c r="J80" s="43">
        <v>2105456</v>
      </c>
      <c r="K80" s="44">
        <f>J80/$K$61</f>
        <v>73.057913182275584</v>
      </c>
      <c r="L80" s="43"/>
      <c r="M80" s="44">
        <f>L80/$M$61</f>
        <v>0</v>
      </c>
      <c r="N80" s="43">
        <f>SUM(870793+1085664+551771+462426+470758+2381+17855+45708+13572)</f>
        <v>3520928</v>
      </c>
      <c r="O80" s="44">
        <f>N80/$O$61</f>
        <v>141.31759983945415</v>
      </c>
      <c r="P80" s="43">
        <f>SUM(364704+683820+395096+308464+305498+5288+17886+34310)</f>
        <v>2115066</v>
      </c>
      <c r="Q80" s="44">
        <f>P80/$Q$61</f>
        <v>73.391373746486693</v>
      </c>
      <c r="R80" s="43"/>
      <c r="S80" s="44">
        <f>R80/$S$61</f>
        <v>0</v>
      </c>
      <c r="U80" s="157">
        <f t="shared" si="37"/>
        <v>12889578</v>
      </c>
      <c r="V80" s="157">
        <f t="shared" si="37"/>
        <v>491.38227432077099</v>
      </c>
      <c r="W80" s="157">
        <f t="shared" si="38"/>
        <v>1611197.25</v>
      </c>
      <c r="X80" s="157">
        <f t="shared" si="38"/>
        <v>61.422784290096374</v>
      </c>
    </row>
    <row r="81" spans="2:24" ht="15" customHeight="1" x14ac:dyDescent="0.2">
      <c r="B81" s="41">
        <v>5.8</v>
      </c>
      <c r="C81" s="42" t="s">
        <v>30</v>
      </c>
      <c r="D81" s="43">
        <f>SUM(825357)</f>
        <v>825357</v>
      </c>
      <c r="E81" s="44">
        <f t="shared" si="39"/>
        <v>48.019373981847799</v>
      </c>
      <c r="F81" s="43">
        <v>1906316</v>
      </c>
      <c r="G81" s="44">
        <f t="shared" si="40"/>
        <v>67.263540453759575</v>
      </c>
      <c r="H81" s="43">
        <v>1240389</v>
      </c>
      <c r="I81" s="44">
        <f>H81/$I$61</f>
        <v>105.41250956063567</v>
      </c>
      <c r="J81" s="43">
        <v>1108468</v>
      </c>
      <c r="K81" s="44">
        <f>J81/$K$61</f>
        <v>38.463097262222838</v>
      </c>
      <c r="L81" s="43">
        <f>SUM(103104+101880+787627+69693+44675+73267+51823+57184+621006)</f>
        <v>1910259</v>
      </c>
      <c r="M81" s="44">
        <f>L81/$M$61</f>
        <v>111.54797080291971</v>
      </c>
      <c r="N81" s="43">
        <f>SUM(383895-11067-15708+246411+78562+135698+157124+78562+96417+124985+67788+1071+35712+2380)</f>
        <v>1381830</v>
      </c>
      <c r="O81" s="44">
        <f>N81/$O$61</f>
        <v>55.461770018061408</v>
      </c>
      <c r="P81" s="43">
        <f>SUM(51947+51947+51947+11472+246244+261681+140691+94370+156599+8918+2748+1260+26787+7010)</f>
        <v>1113621</v>
      </c>
      <c r="Q81" s="44">
        <f>P81/$Q$61</f>
        <v>38.64190291127381</v>
      </c>
      <c r="R81" s="43">
        <f>SUM(121892+402171+34960+36708+36708+36708+36708+36956+1777+1777+1777+357072+80197+27238+3612+6489+1617+3438+12584)</f>
        <v>1240389</v>
      </c>
      <c r="S81" s="44">
        <f>R81/$S$61</f>
        <v>101.66289648389477</v>
      </c>
      <c r="U81" s="157">
        <f t="shared" si="37"/>
        <v>10726629</v>
      </c>
      <c r="V81" s="157">
        <f t="shared" si="37"/>
        <v>566.47306147461563</v>
      </c>
      <c r="W81" s="157">
        <f t="shared" si="38"/>
        <v>1340828.625</v>
      </c>
      <c r="X81" s="157">
        <f t="shared" si="38"/>
        <v>70.809132684326954</v>
      </c>
    </row>
    <row r="82" spans="2:24" ht="15" customHeight="1" x14ac:dyDescent="0.2">
      <c r="B82" s="41">
        <v>5.8</v>
      </c>
      <c r="C82" s="42" t="s">
        <v>31</v>
      </c>
      <c r="D82" s="43">
        <f>SUM(2401698)</f>
        <v>2401698</v>
      </c>
      <c r="E82" s="44">
        <f t="shared" si="39"/>
        <v>139.73109145915754</v>
      </c>
      <c r="F82" s="43">
        <f>2741294</f>
        <v>2741294</v>
      </c>
      <c r="G82" s="44">
        <f t="shared" si="40"/>
        <v>96.725380191242365</v>
      </c>
      <c r="H82" s="43">
        <v>1059947</v>
      </c>
      <c r="I82" s="44">
        <f>H82/$I$61</f>
        <v>90.077929803688278</v>
      </c>
      <c r="J82" s="43">
        <v>2514641</v>
      </c>
      <c r="K82" s="44">
        <f>J82/$K$61</f>
        <v>87.25635865227801</v>
      </c>
      <c r="L82" s="43">
        <f>SUM(930588+286421)</f>
        <v>1217009</v>
      </c>
      <c r="M82" s="44">
        <f>L82/$M$61</f>
        <v>71.066218978102185</v>
      </c>
      <c r="N82" s="43">
        <f>SUM(1590859-1071-35712-2380+365343)</f>
        <v>1917039</v>
      </c>
      <c r="O82" s="44">
        <f>N82/$O$61</f>
        <v>76.943166767007824</v>
      </c>
      <c r="P82" s="43">
        <f>SUM(1766344-8918-2748-1260-26787-7010+585269+266696)</f>
        <v>2571586</v>
      </c>
      <c r="Q82" s="44">
        <f>P82/$Q$61</f>
        <v>89.232312016378089</v>
      </c>
      <c r="R82" s="43">
        <f>SUM(457600+47840+26880+20640+506987)</f>
        <v>1059947</v>
      </c>
      <c r="S82" s="44">
        <f>R82/$S$61</f>
        <v>86.873780837636261</v>
      </c>
      <c r="U82" s="157">
        <f t="shared" si="37"/>
        <v>15483161</v>
      </c>
      <c r="V82" s="157">
        <f t="shared" si="37"/>
        <v>737.90623870549041</v>
      </c>
      <c r="W82" s="157">
        <f t="shared" si="38"/>
        <v>1935395.125</v>
      </c>
      <c r="X82" s="157">
        <f t="shared" si="38"/>
        <v>92.238279838186301</v>
      </c>
    </row>
    <row r="83" spans="2:24" ht="15" customHeight="1" x14ac:dyDescent="0.2">
      <c r="B83" s="41">
        <v>5.8</v>
      </c>
      <c r="C83" s="42" t="s">
        <v>32</v>
      </c>
      <c r="D83" s="43">
        <f>SUM(2104215+520400)</f>
        <v>2624615</v>
      </c>
      <c r="E83" s="44">
        <f t="shared" si="39"/>
        <v>152.70043053292994</v>
      </c>
      <c r="F83" s="43">
        <f>SUM(1197168+2474560+329574+63798+125464)</f>
        <v>4190564</v>
      </c>
      <c r="G83" s="44">
        <f t="shared" si="40"/>
        <v>147.86224903849546</v>
      </c>
      <c r="H83" s="43">
        <f>506400+76644+104616</f>
        <v>687660</v>
      </c>
      <c r="I83" s="44">
        <f>H83/$I$61</f>
        <v>58.439704257669753</v>
      </c>
      <c r="J83" s="43">
        <f>821562+252735+335228</f>
        <v>1409525</v>
      </c>
      <c r="K83" s="44">
        <f>J83/$K$61</f>
        <v>48.909573545230579</v>
      </c>
      <c r="L83" s="43">
        <f>SUM(545042+16592+3591+2700+9666+13527+8397+10908+46089+513+13176+702+1269+1404+252+17280+17370)</f>
        <v>708478</v>
      </c>
      <c r="M83" s="44">
        <f>L83/$M$61</f>
        <v>41.370978102189781</v>
      </c>
      <c r="N83" s="43">
        <f>SUM(629364+379440+153224+35621+672+714+308+448+546+21658+14840+728+588+84+8638+53720+27008+3592)</f>
        <v>1331193</v>
      </c>
      <c r="O83" s="44">
        <f>N83/$O$61</f>
        <v>53.429379891631548</v>
      </c>
      <c r="P83" s="43">
        <f>SUM(556083+270000+225365+28542+3612+3311+3053+2021+4343+74992+48246+6880+4042+946+41409+1548+96082+49658+5222+238+490)</f>
        <v>1426083</v>
      </c>
      <c r="Q83" s="44">
        <f>P83/$Q$61</f>
        <v>49.484125056386411</v>
      </c>
      <c r="R83" s="43">
        <f>SUM(506400+76644+837+1836+5724+13932+13104+69183)</f>
        <v>687660</v>
      </c>
      <c r="S83" s="44">
        <f>R83/$S$61</f>
        <v>56.360954020162282</v>
      </c>
      <c r="U83" s="157">
        <f t="shared" si="37"/>
        <v>13065778</v>
      </c>
      <c r="V83" s="157">
        <f t="shared" si="37"/>
        <v>608.55739444469566</v>
      </c>
      <c r="W83" s="157">
        <f t="shared" si="38"/>
        <v>1633222.25</v>
      </c>
      <c r="X83" s="157">
        <f t="shared" si="38"/>
        <v>76.069674305586958</v>
      </c>
    </row>
    <row r="84" spans="2:24" ht="15" customHeight="1" x14ac:dyDescent="0.2">
      <c r="B84" s="41">
        <v>5.8</v>
      </c>
      <c r="C84" s="42" t="s">
        <v>33</v>
      </c>
      <c r="D84" s="43">
        <f>SUM(1248203)</f>
        <v>1248203</v>
      </c>
      <c r="E84" s="44">
        <f t="shared" si="39"/>
        <v>72.620607400511986</v>
      </c>
      <c r="F84" s="43">
        <f>2179989</f>
        <v>2179989</v>
      </c>
      <c r="G84" s="44">
        <f t="shared" si="40"/>
        <v>76.919974595109565</v>
      </c>
      <c r="H84" s="43">
        <v>2825552</v>
      </c>
      <c r="I84" s="44">
        <f>H84/$I$61</f>
        <v>240.12509560635675</v>
      </c>
      <c r="J84" s="43">
        <f>1851369</f>
        <v>1851369</v>
      </c>
      <c r="K84" s="44">
        <f>J84/$K$61</f>
        <v>64.241264443596236</v>
      </c>
      <c r="L84" s="43">
        <f>SUM(79002+23400+78044+32565+235738+589840+1293906+23408+149816+68354+10481+39104+27020+253440+910960)</f>
        <v>3815078</v>
      </c>
      <c r="M84" s="44">
        <f>L84/$M$61</f>
        <v>222.77827737226278</v>
      </c>
      <c r="N84" s="43">
        <f>SUM(1788951-672-714-308-448)</f>
        <v>1786809</v>
      </c>
      <c r="O84" s="44">
        <f>N84/$O$61</f>
        <v>71.716195063214926</v>
      </c>
      <c r="P84" s="43">
        <f>SUM(24780+22715+20945+18330+44844+294736+189618+37760+22184+5192+227268+56700+466684+379529+39911+12427+3955)</f>
        <v>1867578</v>
      </c>
      <c r="Q84" s="44">
        <f>P84/$Q$61</f>
        <v>64.803705888476358</v>
      </c>
      <c r="R84" s="43">
        <f>SUM(18414+15912+46216+11830+249382+179568+474656+398580+842138+31836+133545+8710+9096+60214+36316+281030+7805+20304)</f>
        <v>2825552</v>
      </c>
      <c r="S84" s="44">
        <f>R84/$S$61</f>
        <v>231.58364068518975</v>
      </c>
      <c r="U84" s="157">
        <f t="shared" si="37"/>
        <v>18400130</v>
      </c>
      <c r="V84" s="157">
        <f t="shared" si="37"/>
        <v>1044.7887610547184</v>
      </c>
      <c r="W84" s="157">
        <f t="shared" si="38"/>
        <v>2300016.25</v>
      </c>
      <c r="X84" s="157">
        <f t="shared" si="38"/>
        <v>130.5985951318398</v>
      </c>
    </row>
    <row r="85" spans="2:24" ht="15" customHeight="1" x14ac:dyDescent="0.2">
      <c r="B85" s="41">
        <v>5.8</v>
      </c>
      <c r="C85" s="42" t="s">
        <v>34</v>
      </c>
      <c r="D85" s="43">
        <f>SUM(204225+43587+93054)</f>
        <v>340866</v>
      </c>
      <c r="E85" s="44">
        <f t="shared" si="39"/>
        <v>19.831626716313707</v>
      </c>
      <c r="F85" s="43">
        <f>SUM(275328+93600+18766)</f>
        <v>387694</v>
      </c>
      <c r="G85" s="44">
        <f t="shared" si="40"/>
        <v>13.679616103877775</v>
      </c>
      <c r="H85" s="43">
        <f>6400+10764+3771</f>
        <v>20935</v>
      </c>
      <c r="I85" s="44">
        <f>H85/$I$61</f>
        <v>1.7791280700263448</v>
      </c>
      <c r="J85" s="43">
        <f>376532+78039</f>
        <v>454571</v>
      </c>
      <c r="K85" s="44">
        <f>J85/$K$61</f>
        <v>15.773309275130989</v>
      </c>
      <c r="L85" s="43">
        <f>SUM(27863+4148+1098+4023+1026)</f>
        <v>38158</v>
      </c>
      <c r="M85" s="44">
        <f>L85/$M$61</f>
        <v>2.2282043795620439</v>
      </c>
      <c r="N85" s="43">
        <f>SUM(270963+213843+168+14154+231+12579+861+525)</f>
        <v>513324</v>
      </c>
      <c r="O85" s="44">
        <f>N85/$O$61</f>
        <v>20.603010234798315</v>
      </c>
      <c r="P85" s="43">
        <f>SUM(364780+13338+2814+63000+3060+2070+4368+540+2520+180)</f>
        <v>456670</v>
      </c>
      <c r="Q85" s="44">
        <f>P85/$Q$61</f>
        <v>15.84614316943683</v>
      </c>
      <c r="R85" s="43">
        <f>SUM(6400+10764+2106+243+342+1080)</f>
        <v>20935</v>
      </c>
      <c r="S85" s="44">
        <f>R85/$S$61</f>
        <v>1.7158429636915007</v>
      </c>
      <c r="U85" s="157">
        <f t="shared" si="37"/>
        <v>2233153</v>
      </c>
      <c r="V85" s="157">
        <f t="shared" si="37"/>
        <v>91.456880912837505</v>
      </c>
      <c r="W85" s="157">
        <f t="shared" si="38"/>
        <v>279144.125</v>
      </c>
      <c r="X85" s="157">
        <f t="shared" si="38"/>
        <v>11.432110114104688</v>
      </c>
    </row>
    <row r="86" spans="2:24" ht="15" customHeight="1" x14ac:dyDescent="0.2">
      <c r="B86" s="41">
        <v>5.8</v>
      </c>
      <c r="C86" s="42" t="s">
        <v>35</v>
      </c>
      <c r="D86" s="43">
        <f>SUM(469126)</f>
        <v>469126</v>
      </c>
      <c r="E86" s="44">
        <f t="shared" si="39"/>
        <v>27.293809634628811</v>
      </c>
      <c r="F86" s="43">
        <f>1056598</f>
        <v>1056598</v>
      </c>
      <c r="G86" s="44">
        <f t="shared" si="40"/>
        <v>37.281606153629021</v>
      </c>
      <c r="H86" s="43">
        <v>947212</v>
      </c>
      <c r="I86" s="44">
        <f>H86/$I$61</f>
        <v>80.497323022010704</v>
      </c>
      <c r="J86" s="43">
        <f>1172128</f>
        <v>1172128</v>
      </c>
      <c r="K86" s="44">
        <f>J86/$K$61</f>
        <v>40.672056629307058</v>
      </c>
      <c r="L86" s="43">
        <f>SUM(393084+785230+119624)</f>
        <v>1297938</v>
      </c>
      <c r="M86" s="44">
        <f>L86/$M$61</f>
        <v>75.792000000000002</v>
      </c>
      <c r="N86" s="43">
        <f>SUM(6840+390920+10096+301896+56416+38075)</f>
        <v>804243</v>
      </c>
      <c r="O86" s="44">
        <f>N86/$O$61</f>
        <v>32.279470198675497</v>
      </c>
      <c r="P86" s="43">
        <f>SUM(402603+543200+24106+25369+119496+15528+32228+14626)</f>
        <v>1177156</v>
      </c>
      <c r="Q86" s="44">
        <f>P86/$Q$61</f>
        <v>40.846524862070162</v>
      </c>
      <c r="R86" s="43">
        <f>SUM(560664+142290+226138+18120)</f>
        <v>947212</v>
      </c>
      <c r="S86" s="44">
        <f>R86/$S$61</f>
        <v>77.633964429145152</v>
      </c>
      <c r="U86" s="157">
        <f t="shared" si="37"/>
        <v>7871613</v>
      </c>
      <c r="V86" s="157">
        <f t="shared" si="37"/>
        <v>412.29675492946637</v>
      </c>
      <c r="W86" s="157">
        <f t="shared" si="38"/>
        <v>983951.625</v>
      </c>
      <c r="X86" s="157">
        <f t="shared" si="38"/>
        <v>51.537094366183297</v>
      </c>
    </row>
    <row r="87" spans="2:24" ht="15" customHeight="1" x14ac:dyDescent="0.2">
      <c r="B87" s="41">
        <v>5.8</v>
      </c>
      <c r="C87" s="42" t="s">
        <v>56</v>
      </c>
      <c r="D87" s="43">
        <f>SUM(319972+52614+227968)</f>
        <v>600554</v>
      </c>
      <c r="E87" s="44">
        <f t="shared" si="39"/>
        <v>34.940307191063532</v>
      </c>
      <c r="F87" s="43">
        <f>SUM(307872+69972+11466+168013)</f>
        <v>557323</v>
      </c>
      <c r="G87" s="44">
        <f t="shared" si="40"/>
        <v>19.664902438163789</v>
      </c>
      <c r="H87" s="43">
        <f>215360+19360+160742</f>
        <v>395462</v>
      </c>
      <c r="I87" s="44">
        <f>H87/$I$61</f>
        <v>33.60771649528342</v>
      </c>
      <c r="J87" s="43">
        <f>320220+788077</f>
        <v>1108297</v>
      </c>
      <c r="K87" s="44">
        <f>J87/$K$61</f>
        <v>38.45716367674104</v>
      </c>
      <c r="L87" s="43">
        <f>SUM(312453+14602+268320-105381)</f>
        <v>489994</v>
      </c>
      <c r="M87" s="44">
        <f>L87/$M$61</f>
        <v>28.612788321167884</v>
      </c>
      <c r="N87" s="43">
        <f>SUM(304997+4165+2142+77235+4284+70192+25585+28355+655+48195+131+17017+2856+24990)</f>
        <v>610799</v>
      </c>
      <c r="O87" s="44">
        <f>N87/$O$61</f>
        <v>24.515312061007425</v>
      </c>
      <c r="P87" s="43">
        <f>SUM(75674+10604+234300+157200+3990+143148+48351+30294+720+89916+42840+7020+268784)</f>
        <v>1112841</v>
      </c>
      <c r="Q87" s="44">
        <f>P87/$Q$61</f>
        <v>38.614837433637533</v>
      </c>
      <c r="R87" s="43">
        <f>SUM(215360+19360+248942-75600-12600)</f>
        <v>395462</v>
      </c>
      <c r="S87" s="44">
        <f>R87/$S$61</f>
        <v>32.41226129005819</v>
      </c>
      <c r="U87" s="157">
        <f t="shared" si="37"/>
        <v>5270732</v>
      </c>
      <c r="V87" s="157">
        <f t="shared" si="37"/>
        <v>250.82528890712283</v>
      </c>
      <c r="W87" s="157">
        <f t="shared" si="38"/>
        <v>658841.5</v>
      </c>
      <c r="X87" s="157">
        <f t="shared" si="38"/>
        <v>31.353161113390353</v>
      </c>
    </row>
    <row r="88" spans="2:24" ht="15" customHeight="1" x14ac:dyDescent="0.2">
      <c r="B88" s="41">
        <v>5.8</v>
      </c>
      <c r="C88" s="42" t="s">
        <v>36</v>
      </c>
      <c r="D88" s="43">
        <f>SUM(16650)</f>
        <v>16650</v>
      </c>
      <c r="E88" s="44">
        <f t="shared" si="39"/>
        <v>0.9686990923900396</v>
      </c>
      <c r="F88" s="43">
        <f>35625</f>
        <v>35625</v>
      </c>
      <c r="G88" s="44">
        <f t="shared" si="40"/>
        <v>1.2570128082989309</v>
      </c>
      <c r="H88" s="43">
        <v>88200</v>
      </c>
      <c r="I88" s="44">
        <f>H88/$I$61</f>
        <v>7.4955383700178464</v>
      </c>
      <c r="J88" s="43">
        <v>204752</v>
      </c>
      <c r="K88" s="44">
        <f>J88/$K$61</f>
        <v>7.1047572781845307</v>
      </c>
      <c r="L88" s="43">
        <v>105381</v>
      </c>
      <c r="M88" s="44">
        <f>L88/$M$61</f>
        <v>6.1536350364963504</v>
      </c>
      <c r="N88" s="43">
        <f>SUM(89268-24990+19048)</f>
        <v>83326</v>
      </c>
      <c r="O88" s="44">
        <f>N88/$O$61</f>
        <v>3.34441099739113</v>
      </c>
      <c r="P88" s="43">
        <f>SUM(57168)+(13500*9)+(6750*4)</f>
        <v>205668</v>
      </c>
      <c r="Q88" s="44">
        <f>P88/$Q$61</f>
        <v>7.1365418647420107</v>
      </c>
      <c r="R88" s="43">
        <f>SUM(75600+12600)</f>
        <v>88200</v>
      </c>
      <c r="S88" s="44">
        <f>R88/$S$61</f>
        <v>7.2289156626506026</v>
      </c>
      <c r="U88" s="157">
        <f t="shared" si="37"/>
        <v>827802</v>
      </c>
      <c r="V88" s="157">
        <f t="shared" si="37"/>
        <v>40.689511110171438</v>
      </c>
      <c r="W88" s="157">
        <f t="shared" si="38"/>
        <v>103475.25</v>
      </c>
      <c r="X88" s="157">
        <f t="shared" si="38"/>
        <v>5.0861888887714297</v>
      </c>
    </row>
    <row r="89" spans="2:24" ht="15" customHeight="1" x14ac:dyDescent="0.2">
      <c r="B89" s="41">
        <v>5.8</v>
      </c>
      <c r="C89" s="42" t="s">
        <v>57</v>
      </c>
      <c r="D89" s="43">
        <f>SUM(47175)</f>
        <v>47175</v>
      </c>
      <c r="E89" s="44">
        <f t="shared" si="39"/>
        <v>2.7446474284384452</v>
      </c>
      <c r="F89" s="43">
        <v>8883</v>
      </c>
      <c r="G89" s="44">
        <f t="shared" si="40"/>
        <v>0.31343283582089554</v>
      </c>
      <c r="H89" s="43"/>
      <c r="I89" s="44">
        <f>H89/$I$61</f>
        <v>0</v>
      </c>
      <c r="J89" s="43">
        <v>124698</v>
      </c>
      <c r="K89" s="44">
        <f>J89/$K$61</f>
        <v>4.3269370901141606</v>
      </c>
      <c r="L89" s="43"/>
      <c r="M89" s="44">
        <f>L89/$M$61</f>
        <v>0</v>
      </c>
      <c r="N89" s="43">
        <f>SUM(1785+178560+2381+3571)</f>
        <v>186297</v>
      </c>
      <c r="O89" s="44">
        <f>N89/$O$61</f>
        <v>7.4773028296207107</v>
      </c>
      <c r="P89" s="43">
        <f>SUM(125253)</f>
        <v>125253</v>
      </c>
      <c r="Q89" s="44">
        <f>P89/$Q$61</f>
        <v>4.3461952184322845</v>
      </c>
      <c r="R89" s="43"/>
      <c r="S89" s="44">
        <f>R89/$S$61</f>
        <v>0</v>
      </c>
      <c r="U89" s="157">
        <f t="shared" si="37"/>
        <v>492306</v>
      </c>
      <c r="V89" s="157">
        <f t="shared" si="37"/>
        <v>19.208515402426496</v>
      </c>
      <c r="W89" s="157">
        <f t="shared" si="38"/>
        <v>61538.25</v>
      </c>
      <c r="X89" s="157">
        <f t="shared" si="38"/>
        <v>2.401064425303312</v>
      </c>
    </row>
    <row r="90" spans="2:24" ht="15" customHeight="1" x14ac:dyDescent="0.2">
      <c r="B90" s="41">
        <v>5.8</v>
      </c>
      <c r="C90" s="42" t="s">
        <v>37</v>
      </c>
      <c r="D90" s="43">
        <f>213786</f>
        <v>213786</v>
      </c>
      <c r="E90" s="44">
        <f t="shared" si="39"/>
        <v>12.438096346288107</v>
      </c>
      <c r="F90" s="43">
        <v>438413</v>
      </c>
      <c r="G90" s="44">
        <f t="shared" si="40"/>
        <v>15.46921421262482</v>
      </c>
      <c r="H90" s="43">
        <v>279946</v>
      </c>
      <c r="I90" s="44">
        <f>H90/$I$61</f>
        <v>23.790770799694059</v>
      </c>
      <c r="J90" s="43">
        <v>617590</v>
      </c>
      <c r="K90" s="44">
        <f>J90/$K$61</f>
        <v>21.429959401783545</v>
      </c>
      <c r="L90" s="43">
        <f>SUM(455627)</f>
        <v>455627</v>
      </c>
      <c r="M90" s="44">
        <f>L90/$M$61</f>
        <v>26.605956204379563</v>
      </c>
      <c r="N90" s="43">
        <f>SUM(438144)</f>
        <v>438144</v>
      </c>
      <c r="O90" s="44">
        <f>N90/$O$61</f>
        <v>17.585550872968092</v>
      </c>
      <c r="P90" s="43">
        <f>SUM(647858-27000)</f>
        <v>620858</v>
      </c>
      <c r="Q90" s="44">
        <f>P90/$Q$61</f>
        <v>21.543356813213506</v>
      </c>
      <c r="R90" s="43">
        <f>SUM(279946)</f>
        <v>279946</v>
      </c>
      <c r="S90" s="44">
        <f>R90/$S$61</f>
        <v>22.944512744856979</v>
      </c>
      <c r="U90" s="157">
        <f t="shared" si="37"/>
        <v>3344310</v>
      </c>
      <c r="V90" s="157">
        <f t="shared" si="37"/>
        <v>161.80741739580867</v>
      </c>
      <c r="W90" s="157">
        <f t="shared" si="38"/>
        <v>418038.75</v>
      </c>
      <c r="X90" s="157">
        <f t="shared" si="38"/>
        <v>20.225927174476084</v>
      </c>
    </row>
    <row r="91" spans="2:24" ht="15" customHeight="1" x14ac:dyDescent="0.2">
      <c r="B91" s="41">
        <v>5.8</v>
      </c>
      <c r="C91" s="42" t="s">
        <v>38</v>
      </c>
      <c r="D91" s="43"/>
      <c r="E91" s="44">
        <f t="shared" si="39"/>
        <v>0</v>
      </c>
      <c r="F91" s="43">
        <v>2260</v>
      </c>
      <c r="G91" s="44">
        <f t="shared" si="40"/>
        <v>7.9743128329981303E-2</v>
      </c>
      <c r="H91" s="43"/>
      <c r="I91" s="44">
        <f>H91/$I$61</f>
        <v>0</v>
      </c>
      <c r="J91" s="43">
        <v>26880</v>
      </c>
      <c r="K91" s="44">
        <f>J91/$K$61</f>
        <v>0.93271799854262816</v>
      </c>
      <c r="L91" s="43"/>
      <c r="M91" s="44">
        <f>L91/$M$61</f>
        <v>0</v>
      </c>
      <c r="N91" s="43"/>
      <c r="O91" s="44">
        <f>N91/$O$61</f>
        <v>0</v>
      </c>
      <c r="P91" s="43">
        <f>SUM(27000)</f>
        <v>27000</v>
      </c>
      <c r="Q91" s="44">
        <f>P91/$Q$61</f>
        <v>0.93688191817897915</v>
      </c>
      <c r="R91" s="43"/>
      <c r="S91" s="44">
        <f>R91/$S$61</f>
        <v>0</v>
      </c>
      <c r="U91" s="157">
        <f t="shared" si="37"/>
        <v>56140</v>
      </c>
      <c r="V91" s="157">
        <f t="shared" si="37"/>
        <v>1.9493430450515885</v>
      </c>
      <c r="W91" s="157">
        <f t="shared" si="38"/>
        <v>7017.5</v>
      </c>
      <c r="X91" s="157">
        <f t="shared" si="38"/>
        <v>0.24366788063144856</v>
      </c>
    </row>
    <row r="92" spans="2:24" ht="15" customHeight="1" x14ac:dyDescent="0.2">
      <c r="B92" s="41">
        <v>5.8</v>
      </c>
      <c r="C92" s="42" t="s">
        <v>5</v>
      </c>
      <c r="D92" s="43">
        <f>SUM(685852)</f>
        <v>685852</v>
      </c>
      <c r="E92" s="44">
        <f t="shared" si="39"/>
        <v>39.902955550383986</v>
      </c>
      <c r="F92" s="43">
        <v>149986</v>
      </c>
      <c r="G92" s="44">
        <f t="shared" si="40"/>
        <v>5.2921915246462721</v>
      </c>
      <c r="H92" s="43">
        <v>224071</v>
      </c>
      <c r="I92" s="44">
        <f>H92/$I$61</f>
        <v>19.042321747259283</v>
      </c>
      <c r="J92" s="43">
        <v>158825</v>
      </c>
      <c r="K92" s="44">
        <f>J92/$K$61</f>
        <v>5.5111211353620879</v>
      </c>
      <c r="L92" s="43">
        <f>SUM(378165)</f>
        <v>378165</v>
      </c>
      <c r="M92" s="44">
        <f>L92/$M$61</f>
        <v>22.082627737226279</v>
      </c>
      <c r="N92" s="43">
        <f>SUM(50298)</f>
        <v>50298</v>
      </c>
      <c r="O92" s="44">
        <f>N92/$O$61</f>
        <v>2.0187838651414811</v>
      </c>
      <c r="P92" s="43">
        <f>SUM(158902)</f>
        <v>158902</v>
      </c>
      <c r="Q92" s="44">
        <f>P92/$Q$61</f>
        <v>5.5137929837954127</v>
      </c>
      <c r="R92" s="43">
        <f>SUM(224071)</f>
        <v>224071</v>
      </c>
      <c r="S92" s="44">
        <f>R92/$S$61</f>
        <v>18.364970084419308</v>
      </c>
      <c r="U92" s="157">
        <f t="shared" si="37"/>
        <v>2030170</v>
      </c>
      <c r="V92" s="157">
        <f t="shared" si="37"/>
        <v>117.72876462823412</v>
      </c>
      <c r="W92" s="157">
        <f t="shared" si="38"/>
        <v>253771.25</v>
      </c>
      <c r="X92" s="157">
        <f t="shared" si="38"/>
        <v>14.716095578529265</v>
      </c>
    </row>
    <row r="93" spans="2:24" ht="15" customHeight="1" x14ac:dyDescent="0.2">
      <c r="B93" s="41" t="s">
        <v>52</v>
      </c>
      <c r="C93" s="42" t="s">
        <v>39</v>
      </c>
      <c r="D93" s="43">
        <f>846824</f>
        <v>846824</v>
      </c>
      <c r="E93" s="44">
        <f t="shared" si="39"/>
        <v>49.26832673958576</v>
      </c>
      <c r="F93" s="43">
        <f>1217767</f>
        <v>1217767</v>
      </c>
      <c r="G93" s="44">
        <f t="shared" si="40"/>
        <v>42.968385025228464</v>
      </c>
      <c r="H93" s="43">
        <v>257509</v>
      </c>
      <c r="I93" s="44">
        <f>H93/$I$61</f>
        <v>21.883997620464008</v>
      </c>
      <c r="J93" s="43">
        <v>1358808</v>
      </c>
      <c r="K93" s="44">
        <f>J93/$K$61</f>
        <v>47.149727610257123</v>
      </c>
      <c r="L93" s="43">
        <f>SUM(287081+501366)</f>
        <v>788447</v>
      </c>
      <c r="M93" s="44">
        <f>L93/$M$61</f>
        <v>46.040700729927011</v>
      </c>
      <c r="N93" s="43">
        <f>SUM(645694+221812)</f>
        <v>867506</v>
      </c>
      <c r="O93" s="44">
        <f>N93/$O$61</f>
        <v>34.818623319285571</v>
      </c>
      <c r="P93" s="43">
        <f>SUM(572923+828775-31500-5346)</f>
        <v>1364852</v>
      </c>
      <c r="Q93" s="44">
        <f>P93/$Q$61</f>
        <v>47.359450362608001</v>
      </c>
      <c r="R93" s="43">
        <f>SUM(90944+166565)</f>
        <v>257509</v>
      </c>
      <c r="S93" s="44">
        <f>R93/$S$61</f>
        <v>21.10556511761331</v>
      </c>
      <c r="U93" s="157">
        <f t="shared" si="37"/>
        <v>6959222</v>
      </c>
      <c r="V93" s="157">
        <f t="shared" si="37"/>
        <v>310.59477652496923</v>
      </c>
      <c r="W93" s="157">
        <f t="shared" si="38"/>
        <v>869902.75</v>
      </c>
      <c r="X93" s="157">
        <f t="shared" si="38"/>
        <v>38.824347065621154</v>
      </c>
    </row>
    <row r="94" spans="2:24" ht="15" customHeight="1" x14ac:dyDescent="0.2">
      <c r="B94" s="41" t="s">
        <v>52</v>
      </c>
      <c r="C94" s="42" t="s">
        <v>40</v>
      </c>
      <c r="D94" s="43"/>
      <c r="E94" s="44">
        <f t="shared" si="39"/>
        <v>0</v>
      </c>
      <c r="F94" s="43">
        <v>7910</v>
      </c>
      <c r="G94" s="44">
        <f t="shared" si="40"/>
        <v>0.27910094915493455</v>
      </c>
      <c r="H94" s="43"/>
      <c r="I94" s="44">
        <f>H94/$I$61</f>
        <v>0</v>
      </c>
      <c r="J94" s="43">
        <v>36682</v>
      </c>
      <c r="K94" s="44">
        <f>J94/$K$61</f>
        <v>1.2728408341719004</v>
      </c>
      <c r="L94" s="43"/>
      <c r="M94" s="44">
        <f>L94/$M$61</f>
        <v>0</v>
      </c>
      <c r="N94" s="43"/>
      <c r="O94" s="44">
        <f>N94/$O$61</f>
        <v>0</v>
      </c>
      <c r="P94" s="43">
        <f>SUM(31500+5346)</f>
        <v>36846</v>
      </c>
      <c r="Q94" s="44">
        <f>P94/$Q$61</f>
        <v>1.2785315243415802</v>
      </c>
      <c r="R94" s="43"/>
      <c r="S94" s="44">
        <f>R94/$S$61</f>
        <v>0</v>
      </c>
      <c r="U94" s="157">
        <f t="shared" si="37"/>
        <v>81438</v>
      </c>
      <c r="V94" s="157">
        <f t="shared" si="37"/>
        <v>2.8304733076684152</v>
      </c>
      <c r="W94" s="157">
        <f t="shared" si="38"/>
        <v>10179.75</v>
      </c>
      <c r="X94" s="157">
        <f t="shared" si="38"/>
        <v>0.3538091634585519</v>
      </c>
    </row>
    <row r="95" spans="2:24" ht="15" customHeight="1" x14ac:dyDescent="0.2">
      <c r="B95" s="41">
        <v>5.12</v>
      </c>
      <c r="C95" s="42" t="s">
        <v>41</v>
      </c>
      <c r="D95" s="43">
        <f>736084</f>
        <v>736084</v>
      </c>
      <c r="E95" s="44">
        <f t="shared" si="39"/>
        <v>42.825459622992788</v>
      </c>
      <c r="F95" s="43">
        <v>981145</v>
      </c>
      <c r="G95" s="44">
        <f t="shared" si="40"/>
        <v>34.619279489079425</v>
      </c>
      <c r="H95" s="43">
        <v>556986</v>
      </c>
      <c r="I95" s="44">
        <f>H95/$I$61</f>
        <v>47.334579756947399</v>
      </c>
      <c r="J95" s="43">
        <v>2106874</v>
      </c>
      <c r="K95" s="44">
        <f>J95/$K$61</f>
        <v>73.107116832645133</v>
      </c>
      <c r="L95" s="43">
        <f>SUM(258530+2112+281061)</f>
        <v>541703</v>
      </c>
      <c r="M95" s="44">
        <f>L95/$M$61</f>
        <v>31.632291970802921</v>
      </c>
      <c r="N95" s="43">
        <f>SUM(597157+1093270-110670-126140-12502)</f>
        <v>1441115</v>
      </c>
      <c r="O95" s="44">
        <f>N95/$O$61</f>
        <v>57.841260284968897</v>
      </c>
      <c r="P95" s="43">
        <f>SUM(1887512+1400+21000+1400+406+13182+43014+137816+338+5070+338+360)</f>
        <v>2111836</v>
      </c>
      <c r="Q95" s="44">
        <f>P95/$Q$61</f>
        <v>73.27929490960824</v>
      </c>
      <c r="R95" s="43">
        <f>SUM(337774+378+218834)</f>
        <v>556986</v>
      </c>
      <c r="S95" s="44">
        <f>R95/$S$61</f>
        <v>45.65084829112368</v>
      </c>
      <c r="U95" s="157">
        <f t="shared" si="37"/>
        <v>9032729</v>
      </c>
      <c r="V95" s="157">
        <f t="shared" si="37"/>
        <v>406.29013115816849</v>
      </c>
      <c r="W95" s="157">
        <f t="shared" si="38"/>
        <v>1129091.125</v>
      </c>
      <c r="X95" s="157">
        <f t="shared" si="38"/>
        <v>50.786266394771062</v>
      </c>
    </row>
    <row r="96" spans="2:24" ht="15" customHeight="1" x14ac:dyDescent="0.2">
      <c r="B96" s="41">
        <v>5.12</v>
      </c>
      <c r="C96" s="42" t="s">
        <v>42</v>
      </c>
      <c r="D96" s="43">
        <f>SUM(164245+18315)</f>
        <v>182560</v>
      </c>
      <c r="E96" s="44">
        <f t="shared" si="39"/>
        <v>10.621363742145682</v>
      </c>
      <c r="F96" s="43">
        <v>63909</v>
      </c>
      <c r="G96" s="44">
        <f t="shared" si="40"/>
        <v>2.2550015878056526</v>
      </c>
      <c r="H96" s="43">
        <v>360990</v>
      </c>
      <c r="I96" s="44">
        <f>H96/$I$61</f>
        <v>30.67816775728733</v>
      </c>
      <c r="J96" s="43">
        <v>623452</v>
      </c>
      <c r="K96" s="44">
        <f>J96/$K$61</f>
        <v>21.633366876019291</v>
      </c>
      <c r="L96" s="43">
        <f>SUM(296640+239424+49134)</f>
        <v>585198</v>
      </c>
      <c r="M96" s="44">
        <f>L96/$M$61</f>
        <v>34.172145985401457</v>
      </c>
      <c r="N96" s="43">
        <f>SUM(110670+126140+12502+7619)</f>
        <v>256931</v>
      </c>
      <c r="O96" s="44">
        <f>N96/$O$61</f>
        <v>10.312301826209112</v>
      </c>
      <c r="P96" s="43">
        <f>SUM(255936+314588+22442+7426+11250+14625)</f>
        <v>626267</v>
      </c>
      <c r="Q96" s="44">
        <f>P96/$Q$61</f>
        <v>21.731045490822027</v>
      </c>
      <c r="R96" s="43">
        <f>SUM(257484+85882+17624)</f>
        <v>360990</v>
      </c>
      <c r="S96" s="44">
        <f>R96/$S$61</f>
        <v>29.586919104991395</v>
      </c>
      <c r="U96" s="157">
        <f t="shared" si="37"/>
        <v>3060297</v>
      </c>
      <c r="V96" s="157">
        <f t="shared" si="37"/>
        <v>160.99031237068198</v>
      </c>
      <c r="W96" s="157">
        <f t="shared" si="38"/>
        <v>382537.125</v>
      </c>
      <c r="X96" s="157">
        <f t="shared" si="38"/>
        <v>20.123789046335247</v>
      </c>
    </row>
    <row r="97" spans="2:24" ht="15" customHeight="1" x14ac:dyDescent="0.2">
      <c r="B97" s="41">
        <v>5.12</v>
      </c>
      <c r="C97" s="57" t="s">
        <v>58</v>
      </c>
      <c r="D97" s="43">
        <v>3330</v>
      </c>
      <c r="E97" s="44">
        <f t="shared" si="39"/>
        <v>0.19373981847800792</v>
      </c>
      <c r="F97" s="43"/>
      <c r="G97" s="44">
        <f t="shared" si="40"/>
        <v>0</v>
      </c>
      <c r="H97" s="43"/>
      <c r="I97" s="44">
        <f>H97/$I$61</f>
        <v>0</v>
      </c>
      <c r="J97" s="43"/>
      <c r="K97" s="44">
        <f>J97/$K$61</f>
        <v>0</v>
      </c>
      <c r="L97" s="43"/>
      <c r="M97" s="44">
        <f>L97/$M$61</f>
        <v>0</v>
      </c>
      <c r="N97" s="43"/>
      <c r="O97" s="44">
        <f>N97/$O$61</f>
        <v>0</v>
      </c>
      <c r="P97" s="43"/>
      <c r="Q97" s="44">
        <f>P97/$Q$61</f>
        <v>0</v>
      </c>
      <c r="R97" s="43"/>
      <c r="S97" s="44">
        <f>R97/$S$61</f>
        <v>0</v>
      </c>
      <c r="U97" s="157">
        <f t="shared" si="37"/>
        <v>3330</v>
      </c>
      <c r="V97" s="157">
        <f t="shared" si="37"/>
        <v>0.19373981847800792</v>
      </c>
      <c r="W97" s="157">
        <f t="shared" si="38"/>
        <v>416.25</v>
      </c>
      <c r="X97" s="157">
        <f t="shared" si="38"/>
        <v>2.421747730975099E-2</v>
      </c>
    </row>
    <row r="98" spans="2:24" ht="15" customHeight="1" x14ac:dyDescent="0.2">
      <c r="B98" s="41">
        <v>5.12</v>
      </c>
      <c r="C98" s="57" t="s">
        <v>66</v>
      </c>
      <c r="D98" s="43">
        <v>3330</v>
      </c>
      <c r="E98" s="44">
        <f t="shared" si="39"/>
        <v>0.19373981847800792</v>
      </c>
      <c r="F98" s="43"/>
      <c r="G98" s="44">
        <f t="shared" si="40"/>
        <v>0</v>
      </c>
      <c r="H98" s="43">
        <v>142223</v>
      </c>
      <c r="I98" s="44">
        <f>H98/$I$61</f>
        <v>12.086598113367893</v>
      </c>
      <c r="J98" s="43">
        <v>86666</v>
      </c>
      <c r="K98" s="44">
        <f>J98/$K$61</f>
        <v>3.0072521600333113</v>
      </c>
      <c r="L98" s="43">
        <f>SUM(78097+32682)</f>
        <v>110779</v>
      </c>
      <c r="M98" s="44">
        <f>L98/$M$61</f>
        <v>6.4688467153284668</v>
      </c>
      <c r="N98" s="43"/>
      <c r="O98" s="44">
        <f>N98/$O$61</f>
        <v>0</v>
      </c>
      <c r="P98" s="43">
        <f>SUM(87050)</f>
        <v>87050</v>
      </c>
      <c r="Q98" s="44">
        <f>P98/$Q$61</f>
        <v>3.0205767028696346</v>
      </c>
      <c r="R98" s="43">
        <f>SUM(76791+65432)</f>
        <v>142223</v>
      </c>
      <c r="S98" s="44">
        <f>R98/$S$61</f>
        <v>11.656667486271617</v>
      </c>
      <c r="U98" s="157">
        <f t="shared" si="37"/>
        <v>572271</v>
      </c>
      <c r="V98" s="157">
        <f t="shared" si="37"/>
        <v>36.433680996348933</v>
      </c>
      <c r="W98" s="157">
        <f t="shared" si="38"/>
        <v>71533.875</v>
      </c>
      <c r="X98" s="157">
        <f t="shared" si="38"/>
        <v>4.5542101245436166</v>
      </c>
    </row>
    <row r="99" spans="2:24" ht="15" customHeight="1" x14ac:dyDescent="0.2">
      <c r="B99" s="41">
        <v>5.12</v>
      </c>
      <c r="C99" s="42" t="s">
        <v>43</v>
      </c>
      <c r="D99" s="43">
        <f>189939</f>
        <v>189939</v>
      </c>
      <c r="E99" s="44">
        <f t="shared" si="39"/>
        <v>11.050674889457762</v>
      </c>
      <c r="F99" s="43">
        <v>86949</v>
      </c>
      <c r="G99" s="44">
        <f t="shared" si="40"/>
        <v>3.0679580819307715</v>
      </c>
      <c r="H99" s="43">
        <v>278382</v>
      </c>
      <c r="I99" s="44">
        <f>H99/$I$61</f>
        <v>23.657856717940003</v>
      </c>
      <c r="J99" s="43">
        <v>825232</v>
      </c>
      <c r="K99" s="44">
        <f>J99/$K$61</f>
        <v>28.634997744543529</v>
      </c>
      <c r="L99" s="43">
        <f>SUM(320960)</f>
        <v>320960</v>
      </c>
      <c r="M99" s="44">
        <f>L99/$M$61</f>
        <v>18.742189781021899</v>
      </c>
      <c r="N99" s="43">
        <f>SUM(251340)</f>
        <v>251340</v>
      </c>
      <c r="O99" s="44">
        <f>N99/$O$61</f>
        <v>10.087898856110776</v>
      </c>
      <c r="P99" s="43">
        <f>SUM(828895)</f>
        <v>828895</v>
      </c>
      <c r="Q99" s="44">
        <f>P99/$Q$61</f>
        <v>28.762101391443146</v>
      </c>
      <c r="R99" s="43">
        <f>SUM(278382)</f>
        <v>278382</v>
      </c>
      <c r="S99" s="44">
        <f>R99/$S$61</f>
        <v>22.816326530612244</v>
      </c>
      <c r="U99" s="157">
        <f t="shared" si="37"/>
        <v>3060079</v>
      </c>
      <c r="V99" s="157">
        <f t="shared" si="37"/>
        <v>146.82000399306014</v>
      </c>
      <c r="W99" s="157">
        <f t="shared" si="38"/>
        <v>382509.875</v>
      </c>
      <c r="X99" s="157">
        <f t="shared" si="38"/>
        <v>18.352500499132518</v>
      </c>
    </row>
    <row r="100" spans="2:24" ht="15" customHeight="1" x14ac:dyDescent="0.2">
      <c r="B100" s="41">
        <v>5.12</v>
      </c>
      <c r="C100" s="42" t="s">
        <v>44</v>
      </c>
      <c r="D100" s="43">
        <f>391425</f>
        <v>391425</v>
      </c>
      <c r="E100" s="44">
        <f t="shared" si="39"/>
        <v>22.773155690016292</v>
      </c>
      <c r="F100" s="43">
        <v>707585</v>
      </c>
      <c r="G100" s="44">
        <f t="shared" si="40"/>
        <v>24.966832504145938</v>
      </c>
      <c r="H100" s="43">
        <v>240474</v>
      </c>
      <c r="I100" s="44">
        <f>H100/$I$61</f>
        <v>20.436304920540493</v>
      </c>
      <c r="J100" s="43">
        <v>606610</v>
      </c>
      <c r="K100" s="44">
        <f>J100/$K$61</f>
        <v>21.048960755057429</v>
      </c>
      <c r="L100" s="43">
        <f>SUM(465846)</f>
        <v>465846</v>
      </c>
      <c r="M100" s="44">
        <f>L100/$M$61</f>
        <v>27.202686131386862</v>
      </c>
      <c r="N100" s="43">
        <f>SUM(515004)</f>
        <v>515004</v>
      </c>
      <c r="O100" s="44">
        <f>N100/$O$61</f>
        <v>20.670439494280554</v>
      </c>
      <c r="P100" s="43">
        <f>SUM(652830)</f>
        <v>652830</v>
      </c>
      <c r="Q100" s="44">
        <f>P100/$Q$61</f>
        <v>22.652763801658629</v>
      </c>
      <c r="R100" s="43">
        <f>SUM(283298-42824)</f>
        <v>240474</v>
      </c>
      <c r="S100" s="44">
        <f>R100/$S$61</f>
        <v>19.709368084583232</v>
      </c>
      <c r="U100" s="157">
        <f t="shared" si="37"/>
        <v>3820248</v>
      </c>
      <c r="V100" s="157">
        <f t="shared" si="37"/>
        <v>179.46051138166945</v>
      </c>
      <c r="W100" s="157">
        <f t="shared" si="38"/>
        <v>477531</v>
      </c>
      <c r="X100" s="157">
        <f t="shared" si="38"/>
        <v>22.432563922708681</v>
      </c>
    </row>
    <row r="101" spans="2:24" ht="15" customHeight="1" x14ac:dyDescent="0.2">
      <c r="B101" s="41">
        <v>5.12</v>
      </c>
      <c r="C101" s="42" t="s">
        <v>45</v>
      </c>
      <c r="D101" s="43">
        <f>33300</f>
        <v>33300</v>
      </c>
      <c r="E101" s="44">
        <f t="shared" si="39"/>
        <v>1.9373981847800792</v>
      </c>
      <c r="F101" s="43">
        <v>18645</v>
      </c>
      <c r="G101" s="44">
        <f t="shared" si="40"/>
        <v>0.65788080872234567</v>
      </c>
      <c r="H101" s="43">
        <v>42824</v>
      </c>
      <c r="I101" s="44">
        <f>H101/$I$61</f>
        <v>3.639330330585536</v>
      </c>
      <c r="J101" s="43">
        <v>10000</v>
      </c>
      <c r="K101" s="44">
        <f>J101/$K$61</f>
        <v>0.34699330302925152</v>
      </c>
      <c r="L101" s="43">
        <f>SUM(119388)</f>
        <v>119388</v>
      </c>
      <c r="M101" s="44">
        <f>L101/$M$61</f>
        <v>6.9715620437956201</v>
      </c>
      <c r="N101" s="43">
        <f>SUM(25266)</f>
        <v>25266</v>
      </c>
      <c r="O101" s="44">
        <f>N101/$O$61</f>
        <v>1.0140878988561108</v>
      </c>
      <c r="P101" s="43">
        <f>SUM(10044)</f>
        <v>10044</v>
      </c>
      <c r="Q101" s="44">
        <f>P101/$Q$61</f>
        <v>0.34852007356258025</v>
      </c>
      <c r="R101" s="43">
        <f>SUM(42824)</f>
        <v>42824</v>
      </c>
      <c r="S101" s="44">
        <f>R101/$S$61</f>
        <v>3.5098762396524874</v>
      </c>
      <c r="U101" s="157">
        <f t="shared" si="37"/>
        <v>302291</v>
      </c>
      <c r="V101" s="157">
        <f t="shared" si="37"/>
        <v>18.42564888298401</v>
      </c>
      <c r="W101" s="157">
        <f t="shared" si="38"/>
        <v>37786.375</v>
      </c>
      <c r="X101" s="157">
        <f t="shared" si="38"/>
        <v>2.3032061103730013</v>
      </c>
    </row>
    <row r="102" spans="2:24" ht="15" customHeight="1" x14ac:dyDescent="0.2">
      <c r="B102" s="41">
        <v>5.12</v>
      </c>
      <c r="C102" s="42" t="s">
        <v>46</v>
      </c>
      <c r="D102" s="43">
        <f>73273</f>
        <v>73273</v>
      </c>
      <c r="E102" s="44">
        <f t="shared" si="39"/>
        <v>4.2630323481498724</v>
      </c>
      <c r="F102" s="43">
        <v>104456</v>
      </c>
      <c r="G102" s="44">
        <f t="shared" si="40"/>
        <v>3.6856850499276668</v>
      </c>
      <c r="H102" s="43">
        <v>78555</v>
      </c>
      <c r="I102" s="44">
        <f>H102/$I$61</f>
        <v>6.6758732047250788</v>
      </c>
      <c r="J102" s="43">
        <v>80159</v>
      </c>
      <c r="K102" s="44">
        <f>J102/$K$61</f>
        <v>2.7814636177521774</v>
      </c>
      <c r="L102" s="43">
        <f>SUM(280093-119388)</f>
        <v>160705</v>
      </c>
      <c r="M102" s="44">
        <f>L102/$M$61</f>
        <v>9.3842335766423357</v>
      </c>
      <c r="N102" s="43">
        <f>SUM(71682-25266)</f>
        <v>46416</v>
      </c>
      <c r="O102" s="44">
        <f>N102/$O$61</f>
        <v>1.8629741119807346</v>
      </c>
      <c r="P102" s="43">
        <f>SUM(89320-10044)</f>
        <v>79276</v>
      </c>
      <c r="Q102" s="44">
        <f>P102/$Q$61</f>
        <v>2.7508241090946943</v>
      </c>
      <c r="R102" s="43">
        <f>SUM(137999-59444)</f>
        <v>78555</v>
      </c>
      <c r="S102" s="44">
        <f>R102/$S$61</f>
        <v>6.4384066879763955</v>
      </c>
      <c r="U102" s="157">
        <f t="shared" si="37"/>
        <v>701395</v>
      </c>
      <c r="V102" s="157">
        <f t="shared" si="37"/>
        <v>37.842492706248954</v>
      </c>
      <c r="W102" s="157">
        <f t="shared" si="38"/>
        <v>87674.375</v>
      </c>
      <c r="X102" s="157">
        <f t="shared" si="38"/>
        <v>4.7303115882811193</v>
      </c>
    </row>
    <row r="103" spans="2:24" ht="15" customHeight="1" x14ac:dyDescent="0.2">
      <c r="B103" s="41">
        <v>5.12</v>
      </c>
      <c r="C103" s="42" t="s">
        <v>47</v>
      </c>
      <c r="D103" s="43">
        <f>54945</f>
        <v>54945</v>
      </c>
      <c r="E103" s="44">
        <f t="shared" si="39"/>
        <v>3.1967070048871307</v>
      </c>
      <c r="F103" s="43">
        <v>50573</v>
      </c>
      <c r="G103" s="44">
        <f t="shared" si="40"/>
        <v>1.784446561518648</v>
      </c>
      <c r="H103" s="43">
        <v>127380</v>
      </c>
      <c r="I103" s="44">
        <f>H103/$I$61</f>
        <v>10.825189088127814</v>
      </c>
      <c r="J103" s="43">
        <v>204736</v>
      </c>
      <c r="K103" s="44">
        <f>J103/$K$61</f>
        <v>7.104202088899684</v>
      </c>
      <c r="L103" s="43">
        <f>SUM(110474)</f>
        <v>110474</v>
      </c>
      <c r="M103" s="44">
        <f>L103/$M$61</f>
        <v>6.4510364963503646</v>
      </c>
      <c r="N103" s="43">
        <f>SUM(34510+9524)</f>
        <v>44034</v>
      </c>
      <c r="O103" s="44">
        <f>N103/$O$61</f>
        <v>1.7673690547862733</v>
      </c>
      <c r="P103" s="43">
        <f>SUM(74613+123750)</f>
        <v>198363</v>
      </c>
      <c r="Q103" s="44">
        <f>P103/$Q$61</f>
        <v>6.8830632568791419</v>
      </c>
      <c r="R103" s="43">
        <f>SUM(59444)</f>
        <v>59444</v>
      </c>
      <c r="S103" s="44">
        <f>R103/$S$61</f>
        <v>4.8720596672403902</v>
      </c>
      <c r="U103" s="157">
        <f t="shared" si="37"/>
        <v>849949</v>
      </c>
      <c r="V103" s="157">
        <f t="shared" si="37"/>
        <v>42.884073218689451</v>
      </c>
      <c r="W103" s="157">
        <f t="shared" si="38"/>
        <v>106243.625</v>
      </c>
      <c r="X103" s="157">
        <f t="shared" si="38"/>
        <v>5.3605091523361814</v>
      </c>
    </row>
    <row r="104" spans="2:24" ht="15" customHeight="1" x14ac:dyDescent="0.2">
      <c r="B104" s="41">
        <v>5.12</v>
      </c>
      <c r="C104" s="42" t="s">
        <v>48</v>
      </c>
      <c r="D104" s="43">
        <v>1222</v>
      </c>
      <c r="E104" s="44">
        <f t="shared" si="39"/>
        <v>7.1096113567605312E-2</v>
      </c>
      <c r="F104" s="43"/>
      <c r="G104" s="44">
        <f t="shared" si="40"/>
        <v>0</v>
      </c>
      <c r="H104" s="43"/>
      <c r="I104" s="44">
        <f>H104/$I$61</f>
        <v>0</v>
      </c>
      <c r="J104" s="43">
        <v>5648</v>
      </c>
      <c r="K104" s="44">
        <f>J104/$K$61</f>
        <v>0.19598181755092126</v>
      </c>
      <c r="L104" s="43"/>
      <c r="M104" s="44">
        <f>L104/$M$61</f>
        <v>0</v>
      </c>
      <c r="N104" s="43"/>
      <c r="O104" s="44">
        <f>N104/$O$61</f>
        <v>0</v>
      </c>
      <c r="P104" s="43">
        <f>SUM(1603+4070)</f>
        <v>5673</v>
      </c>
      <c r="Q104" s="44">
        <f>P104/$Q$61</f>
        <v>0.19684930080849439</v>
      </c>
      <c r="R104" s="43"/>
      <c r="S104" s="44">
        <f>R104/$S$61</f>
        <v>0</v>
      </c>
      <c r="U104" s="157">
        <f t="shared" si="37"/>
        <v>12543</v>
      </c>
      <c r="V104" s="157">
        <f t="shared" si="37"/>
        <v>0.46392723192702096</v>
      </c>
      <c r="W104" s="157">
        <f t="shared" si="38"/>
        <v>1567.875</v>
      </c>
      <c r="X104" s="157">
        <f t="shared" si="38"/>
        <v>5.7990903990877619E-2</v>
      </c>
    </row>
    <row r="105" spans="2:24" ht="15" customHeight="1" x14ac:dyDescent="0.2">
      <c r="B105" s="41">
        <v>5.12</v>
      </c>
      <c r="C105" s="42" t="s">
        <v>49</v>
      </c>
      <c r="D105" s="43">
        <f>2999</f>
        <v>2999</v>
      </c>
      <c r="E105" s="44">
        <f t="shared" si="39"/>
        <v>0.17448219688154526</v>
      </c>
      <c r="F105" s="43"/>
      <c r="G105" s="44">
        <f t="shared" si="40"/>
        <v>0</v>
      </c>
      <c r="H105" s="43">
        <v>5077</v>
      </c>
      <c r="I105" s="44">
        <f>H105/$I$61</f>
        <v>0.43146086513129939</v>
      </c>
      <c r="J105" s="43">
        <v>13660</v>
      </c>
      <c r="K105" s="44">
        <f>J105/$K$61</f>
        <v>0.47399285193795759</v>
      </c>
      <c r="L105" s="43">
        <f>SUM(149*3)+236+210+481</f>
        <v>1374</v>
      </c>
      <c r="M105" s="44">
        <f>L105/$M$61</f>
        <v>8.0233576642335769E-2</v>
      </c>
      <c r="N105" s="43"/>
      <c r="O105" s="44">
        <f>N105/$O$61</f>
        <v>0</v>
      </c>
      <c r="P105" s="43">
        <f>SUM(1218*3)+(1708+5374+2988)</f>
        <v>13724</v>
      </c>
      <c r="Q105" s="44">
        <f>P105/$Q$61</f>
        <v>0.47621360907734483</v>
      </c>
      <c r="R105" s="43">
        <f>SUM(5077)</f>
        <v>5077</v>
      </c>
      <c r="S105" s="44">
        <f>R105/$S$61</f>
        <v>0.41611343332513728</v>
      </c>
      <c r="U105" s="157">
        <f t="shared" si="37"/>
        <v>41911</v>
      </c>
      <c r="V105" s="157">
        <f t="shared" si="37"/>
        <v>2.0524965329956197</v>
      </c>
      <c r="W105" s="157">
        <f t="shared" si="38"/>
        <v>5238.875</v>
      </c>
      <c r="X105" s="157">
        <f t="shared" si="38"/>
        <v>0.25656206662445247</v>
      </c>
    </row>
    <row r="106" spans="2:24" ht="15" customHeight="1" x14ac:dyDescent="0.2">
      <c r="B106" s="41">
        <v>5.12</v>
      </c>
      <c r="C106" s="42" t="s">
        <v>51</v>
      </c>
      <c r="D106" s="43">
        <v>767208</v>
      </c>
      <c r="E106" s="44">
        <f t="shared" si="39"/>
        <v>44.636257854316966</v>
      </c>
      <c r="F106" s="43">
        <v>395500</v>
      </c>
      <c r="G106" s="44">
        <f t="shared" si="40"/>
        <v>13.955047457746728</v>
      </c>
      <c r="H106" s="43">
        <v>563079</v>
      </c>
      <c r="I106" s="44">
        <f>H106/$I$61</f>
        <v>47.852383785161891</v>
      </c>
      <c r="J106" s="43">
        <v>504000</v>
      </c>
      <c r="K106" s="44">
        <f>J106/$K$61</f>
        <v>17.488462472674279</v>
      </c>
      <c r="L106" s="43">
        <f>SUM(659207)</f>
        <v>659207</v>
      </c>
      <c r="M106" s="44">
        <f>L106/$M$61</f>
        <v>38.493839416058393</v>
      </c>
      <c r="N106" s="60"/>
      <c r="O106" s="44"/>
      <c r="P106" s="60">
        <f>SUM(506250)</f>
        <v>506250</v>
      </c>
      <c r="Q106" s="44">
        <f>P106/$Q$61</f>
        <v>17.566535965855859</v>
      </c>
      <c r="R106" s="60">
        <f>SUM(563079)</f>
        <v>563079</v>
      </c>
      <c r="S106" s="44">
        <f>R106/$S$61</f>
        <v>46.150233587410867</v>
      </c>
      <c r="U106" s="157">
        <f t="shared" si="37"/>
        <v>3958323</v>
      </c>
      <c r="V106" s="157">
        <f t="shared" si="37"/>
        <v>226.14276053922498</v>
      </c>
      <c r="W106" s="157">
        <f t="shared" si="38"/>
        <v>494790.375</v>
      </c>
      <c r="X106" s="157">
        <f t="shared" si="38"/>
        <v>28.267845067403123</v>
      </c>
    </row>
    <row r="107" spans="2:24" ht="15" customHeight="1" x14ac:dyDescent="0.2">
      <c r="B107" s="41" t="s">
        <v>53</v>
      </c>
      <c r="C107" s="42" t="s">
        <v>27</v>
      </c>
      <c r="D107" s="43">
        <f>141000</f>
        <v>141000</v>
      </c>
      <c r="E107" s="44">
        <f t="shared" si="39"/>
        <v>8.2033977193390744</v>
      </c>
      <c r="F107" s="43">
        <v>431400</v>
      </c>
      <c r="G107" s="44">
        <f t="shared" si="40"/>
        <v>15.221763522811475</v>
      </c>
      <c r="H107" s="43"/>
      <c r="I107" s="44">
        <f>H107/$I$61</f>
        <v>0</v>
      </c>
      <c r="J107" s="43">
        <v>627482</v>
      </c>
      <c r="K107" s="44">
        <f>J107/$K$61</f>
        <v>21.773205177140081</v>
      </c>
      <c r="L107" s="43">
        <f>372090</f>
        <v>372090</v>
      </c>
      <c r="M107" s="44">
        <f>L107/$M$61</f>
        <v>21.727883211678833</v>
      </c>
      <c r="N107" s="43">
        <f>SUM(43000+98000)</f>
        <v>141000</v>
      </c>
      <c r="O107" s="44">
        <f>N107/$O$61</f>
        <v>5.659241420830825</v>
      </c>
      <c r="P107" s="43">
        <f>SUM(20254+467110)</f>
        <v>487364</v>
      </c>
      <c r="Q107" s="44">
        <f>P107/$Q$61</f>
        <v>16.911204413754813</v>
      </c>
      <c r="R107" s="43">
        <f>SUM(67936)</f>
        <v>67936</v>
      </c>
      <c r="S107" s="44">
        <f>R107/$S$61</f>
        <v>5.5680681911318741</v>
      </c>
      <c r="U107" s="157">
        <f t="shared" si="37"/>
        <v>2268272</v>
      </c>
      <c r="V107" s="157">
        <f t="shared" si="37"/>
        <v>95.064763656686978</v>
      </c>
      <c r="W107" s="157">
        <f t="shared" si="38"/>
        <v>283534</v>
      </c>
      <c r="X107" s="157">
        <f t="shared" si="38"/>
        <v>11.883095457085872</v>
      </c>
    </row>
    <row r="108" spans="2:24" ht="15" customHeight="1" x14ac:dyDescent="0.2">
      <c r="B108" s="107" t="s">
        <v>7</v>
      </c>
      <c r="C108" s="109"/>
      <c r="D108" s="47">
        <f>D63+D78</f>
        <v>32701725</v>
      </c>
      <c r="E108" s="48">
        <f>D108/$E$61</f>
        <v>1902.5904700954154</v>
      </c>
      <c r="F108" s="49">
        <f>F78+F63</f>
        <v>52653394</v>
      </c>
      <c r="G108" s="48">
        <f>F108/$G$61</f>
        <v>1857.8523693588793</v>
      </c>
      <c r="H108" s="49">
        <f>H78+H63</f>
        <v>23024993.399999999</v>
      </c>
      <c r="I108" s="50">
        <f>H108/$I$61</f>
        <v>1956.7428741395427</v>
      </c>
      <c r="J108" s="49">
        <f>J78+J63</f>
        <v>45272948</v>
      </c>
      <c r="K108" s="50">
        <f>J108/$K$61</f>
        <v>1570.9409764391548</v>
      </c>
      <c r="L108" s="49">
        <f>L78+L63</f>
        <v>31174256</v>
      </c>
      <c r="M108" s="50">
        <f>L108/$M$61</f>
        <v>1820.394510948905</v>
      </c>
      <c r="N108" s="49">
        <f>N78+N63</f>
        <v>48551276</v>
      </c>
      <c r="O108" s="50">
        <f>N108/$O$61</f>
        <v>1948.6765402368051</v>
      </c>
      <c r="P108" s="49">
        <f>P78+P63</f>
        <v>45072720</v>
      </c>
      <c r="Q108" s="50">
        <f>P108/$Q$61</f>
        <v>1563.9931989312606</v>
      </c>
      <c r="R108" s="49">
        <f>R78+R63</f>
        <v>23011270</v>
      </c>
      <c r="S108" s="50">
        <f>R108/$S$61</f>
        <v>1886.0150807310877</v>
      </c>
      <c r="U108" s="157">
        <f t="shared" si="37"/>
        <v>301462582.39999998</v>
      </c>
      <c r="V108" s="157">
        <f t="shared" si="37"/>
        <v>14507.206020881051</v>
      </c>
      <c r="W108" s="157">
        <f t="shared" si="38"/>
        <v>37682822.799999997</v>
      </c>
      <c r="X108" s="157">
        <f t="shared" si="38"/>
        <v>1813.4007526101313</v>
      </c>
    </row>
    <row r="109" spans="2:24" ht="15" customHeight="1" x14ac:dyDescent="0.2">
      <c r="D109" s="63"/>
      <c r="E109" s="58"/>
      <c r="U109" s="159">
        <f>U56+U108-U110</f>
        <v>0</v>
      </c>
      <c r="V109" s="159"/>
      <c r="W109" s="159">
        <f t="shared" ref="V109:X109" si="41">W56+W108-W110</f>
        <v>0</v>
      </c>
      <c r="X109" s="159"/>
    </row>
    <row r="110" spans="2:24" ht="15" customHeight="1" x14ac:dyDescent="0.2">
      <c r="B110" s="107" t="s">
        <v>8</v>
      </c>
      <c r="C110" s="108"/>
      <c r="D110" s="49">
        <f>D56+D108</f>
        <v>42008750</v>
      </c>
      <c r="E110" s="48">
        <f>SUM(D110)/($E$9+$E$61)</f>
        <v>1609.2223711932579</v>
      </c>
      <c r="F110" s="49">
        <f>F56+F108</f>
        <v>69809694</v>
      </c>
      <c r="G110" s="50">
        <f>SUM(F110)/($G$9+$G$61)</f>
        <v>1729.1183216506081</v>
      </c>
      <c r="H110" s="49">
        <f>H56+H108</f>
        <v>33321832.399999999</v>
      </c>
      <c r="I110" s="48">
        <f>SUM(H110)/($I$9+$I$61)</f>
        <v>1840.3751463603226</v>
      </c>
      <c r="J110" s="49">
        <f>J56+J108</f>
        <v>59820520</v>
      </c>
      <c r="K110" s="48">
        <f>SUM(J110)/($K$9+$K$61)</f>
        <v>1487.6285685864916</v>
      </c>
      <c r="L110" s="49">
        <f>L56+L108</f>
        <v>46929896.68</v>
      </c>
      <c r="M110" s="48">
        <f>SUM(L110)/($M$9+$M$61)</f>
        <v>1705.6113639832818</v>
      </c>
      <c r="N110" s="49">
        <f>N56+N108</f>
        <v>62736808</v>
      </c>
      <c r="O110" s="48">
        <f>SUM(N110)/($O$9+$O$61)</f>
        <v>1727.2399096966026</v>
      </c>
      <c r="P110" s="49">
        <f>P56+P108</f>
        <v>59523103</v>
      </c>
      <c r="Q110" s="48">
        <f>SUM(P110)/($Q$9+$Q$61)</f>
        <v>1480.2323435790311</v>
      </c>
      <c r="R110" s="49">
        <f>R56+R108</f>
        <v>33367263</v>
      </c>
      <c r="S110" s="48">
        <f>SUM(R110)/($S$9+$S$61)</f>
        <v>1788.6498525864379</v>
      </c>
      <c r="U110" s="157">
        <f t="shared" si="37"/>
        <v>407517867.08000004</v>
      </c>
      <c r="V110" s="157">
        <f t="shared" si="37"/>
        <v>13368.077877636033</v>
      </c>
      <c r="W110" s="157">
        <f t="shared" si="38"/>
        <v>50939733.385000005</v>
      </c>
      <c r="X110" s="157">
        <f t="shared" si="38"/>
        <v>1671.0097347045041</v>
      </c>
    </row>
    <row r="111" spans="2:24" ht="15" customHeight="1" x14ac:dyDescent="0.2">
      <c r="B111" s="75"/>
      <c r="C111" s="76"/>
      <c r="D111" s="64"/>
      <c r="E111" s="58"/>
      <c r="F111" s="64"/>
      <c r="H111" s="64"/>
      <c r="J111" s="64"/>
      <c r="K111" s="58"/>
      <c r="L111" s="64"/>
      <c r="M111" s="79"/>
      <c r="N111" s="80"/>
      <c r="O111" s="58"/>
      <c r="P111" s="64"/>
      <c r="Q111" s="58"/>
      <c r="R111" s="64"/>
      <c r="S111" s="58"/>
    </row>
    <row r="112" spans="2:24" ht="15" customHeight="1" x14ac:dyDescent="0.2">
      <c r="B112" s="72"/>
      <c r="C112" s="83" t="s">
        <v>81</v>
      </c>
      <c r="D112" s="84"/>
      <c r="E112" s="78"/>
      <c r="F112" s="77"/>
      <c r="G112" s="81"/>
      <c r="H112" s="77"/>
      <c r="I112" s="81"/>
      <c r="J112" s="77"/>
      <c r="K112" s="78"/>
      <c r="L112" s="82"/>
      <c r="M112" s="73"/>
      <c r="N112" s="74"/>
      <c r="O112" s="81"/>
      <c r="P112" s="77"/>
      <c r="Q112" s="78"/>
      <c r="R112" s="77"/>
      <c r="S112" s="81"/>
      <c r="X112" s="158">
        <f>W110/30938</f>
        <v>1646.5102264205832</v>
      </c>
    </row>
    <row r="113" spans="2:19" ht="15" customHeight="1" x14ac:dyDescent="0.2">
      <c r="B113" s="85"/>
      <c r="C113" s="85"/>
      <c r="D113" s="86"/>
      <c r="E113" s="66"/>
      <c r="F113" s="64"/>
      <c r="H113" s="64"/>
      <c r="J113" s="64"/>
      <c r="K113" s="66"/>
      <c r="L113" s="65"/>
      <c r="M113" s="66"/>
      <c r="N113" s="64"/>
      <c r="O113" s="62"/>
      <c r="P113" s="64"/>
      <c r="Q113" s="66"/>
      <c r="R113" s="64"/>
      <c r="S113" s="62"/>
    </row>
    <row r="114" spans="2:19" s="71" customFormat="1" ht="15" customHeight="1" x14ac:dyDescent="0.2">
      <c r="B114" s="70"/>
      <c r="C114" s="70" t="s">
        <v>79</v>
      </c>
      <c r="D114" s="90">
        <f>SUM(210*3)</f>
        <v>630</v>
      </c>
      <c r="E114" s="88">
        <f>SUM(D11+D63)/D114</f>
        <v>34472.566666666666</v>
      </c>
      <c r="F114" s="91">
        <f>SUM(315*3)</f>
        <v>945</v>
      </c>
      <c r="G114" s="88">
        <f>SUM(F11+F63)/F114</f>
        <v>38884.003174603175</v>
      </c>
      <c r="H114" s="91">
        <f>SUM(960/3.52)*2</f>
        <v>545.4545454545455</v>
      </c>
      <c r="I114" s="88">
        <f>SUM(H11+H63)/H114</f>
        <v>28085.167733333332</v>
      </c>
      <c r="J114" s="91">
        <f>SUM(315*3)</f>
        <v>945</v>
      </c>
      <c r="K114" s="88">
        <f>SUM(J11+J63)/J114</f>
        <v>32698.065608465608</v>
      </c>
      <c r="L114" s="91">
        <f>SUM(1378/3.52)*2</f>
        <v>782.9545454545455</v>
      </c>
      <c r="M114" s="88">
        <f>SUM(L11+L63)/L114</f>
        <v>26498.969985486212</v>
      </c>
      <c r="N114" s="91">
        <f>SUM(300*3)</f>
        <v>900</v>
      </c>
      <c r="O114" s="88">
        <f>SUM(N11+N63)/N114</f>
        <v>40119.271111111113</v>
      </c>
      <c r="P114" s="91">
        <f>SUM(310*3)</f>
        <v>930</v>
      </c>
      <c r="Q114" s="88">
        <f>SUM(P11+P63)/P114</f>
        <v>32871.204301075268</v>
      </c>
      <c r="R114" s="91">
        <f>SUM(960/3.52)*2</f>
        <v>545.4545454545455</v>
      </c>
      <c r="S114" s="88">
        <f>SUM(R11+R63)/R114</f>
        <v>28234.490166666663</v>
      </c>
    </row>
    <row r="115" spans="2:19" s="67" customFormat="1" ht="15" customHeight="1" x14ac:dyDescent="0.15">
      <c r="C115" s="71"/>
      <c r="D115" s="87"/>
      <c r="E115" s="68"/>
      <c r="F115" s="69"/>
      <c r="H115" s="69"/>
      <c r="J115" s="69"/>
      <c r="K115" s="68"/>
      <c r="L115" s="69"/>
      <c r="M115" s="68"/>
      <c r="N115" s="69"/>
      <c r="O115" s="68"/>
      <c r="P115" s="69"/>
      <c r="Q115" s="68"/>
      <c r="R115" s="69"/>
      <c r="S115" s="68"/>
    </row>
    <row r="116" spans="2:19" s="71" customFormat="1" ht="15" customHeight="1" x14ac:dyDescent="0.2">
      <c r="B116" s="70"/>
      <c r="C116" s="70" t="s">
        <v>80</v>
      </c>
      <c r="D116" s="90">
        <f>SUM(1472.35+1455.5+853+519.5)</f>
        <v>4300.3500000000004</v>
      </c>
      <c r="E116" s="89">
        <f>SUM(D26+D78)/D116</f>
        <v>4718.4608229562709</v>
      </c>
      <c r="F116" s="91">
        <f>SUM(1797.72+1792.23+949.1+1928.42+873.5)</f>
        <v>7340.97</v>
      </c>
      <c r="G116" s="89">
        <f>SUM(F26+F78)/F116</f>
        <v>4504.0792974225478</v>
      </c>
      <c r="H116" s="91">
        <f>SUM(1336.7+895.5+852.8+284.2)</f>
        <v>3369.2</v>
      </c>
      <c r="I116" s="89">
        <f>SUM(H26+H78)/H116</f>
        <v>5343.3010803751631</v>
      </c>
      <c r="J116" s="91">
        <f>SUM(1755.38+1789.24+914+950+1959.28+869.5)</f>
        <v>8237.4</v>
      </c>
      <c r="K116" s="89">
        <f>SUM(J26+J78)/J116</f>
        <v>3510.9194648796952</v>
      </c>
      <c r="L116" s="91">
        <f>SUM(1500+1500+879+845+617.15)</f>
        <v>5341.15</v>
      </c>
      <c r="M116" s="89">
        <f>SUM(L26+L78)/L116</f>
        <v>4902.0169214495008</v>
      </c>
      <c r="N116" s="91">
        <f>SUM(1783.25+1771.01+949.8+1965.05+856)</f>
        <v>7325.1100000000006</v>
      </c>
      <c r="O116" s="89">
        <f>SUM(N26+N78)/N116</f>
        <v>3635.3671139409507</v>
      </c>
      <c r="P116" s="91">
        <f>SUM(1755.38+1789.24+914+950+1959.28)</f>
        <v>7367.9</v>
      </c>
      <c r="Q116" s="89">
        <f>SUM(P26+P78)/P116</f>
        <v>3929.5977144098047</v>
      </c>
      <c r="R116" s="91">
        <f>SUM(1336.7+895.5+852.8+284.2)</f>
        <v>3369.2</v>
      </c>
      <c r="S116" s="89">
        <f>SUM(R26+R78)/R116</f>
        <v>5332.6107087735963</v>
      </c>
    </row>
    <row r="118" spans="2:19" ht="15" customHeight="1" x14ac:dyDescent="0.2">
      <c r="E118" s="92">
        <f>E9+E61</f>
        <v>26105</v>
      </c>
      <c r="G118" s="92">
        <f>G9+G61</f>
        <v>40373</v>
      </c>
      <c r="I118" s="92">
        <f>I9+I61</f>
        <v>18106</v>
      </c>
      <c r="K118" s="92">
        <f>K9+K61</f>
        <v>40212</v>
      </c>
      <c r="M118" s="92">
        <f>M9+M61</f>
        <v>27515</v>
      </c>
      <c r="O118" s="92">
        <f>O9+O61</f>
        <v>36322</v>
      </c>
      <c r="Q118" s="92">
        <f>Q9+Q61</f>
        <v>40212</v>
      </c>
      <c r="S118" s="92">
        <f>S9+S61</f>
        <v>18655</v>
      </c>
    </row>
  </sheetData>
  <mergeCells count="64">
    <mergeCell ref="D58:E58"/>
    <mergeCell ref="F58:G58"/>
    <mergeCell ref="D5:E5"/>
    <mergeCell ref="F5:G5"/>
    <mergeCell ref="D6:E6"/>
    <mergeCell ref="B108:C108"/>
    <mergeCell ref="B110:C110"/>
    <mergeCell ref="D59:E59"/>
    <mergeCell ref="F59:G59"/>
    <mergeCell ref="B60:B61"/>
    <mergeCell ref="C60:C61"/>
    <mergeCell ref="D60:D61"/>
    <mergeCell ref="F60:F61"/>
    <mergeCell ref="B8:B9"/>
    <mergeCell ref="C8:C9"/>
    <mergeCell ref="D8:D9"/>
    <mergeCell ref="F8:F9"/>
    <mergeCell ref="B56:C56"/>
    <mergeCell ref="F6:G6"/>
    <mergeCell ref="D7:E7"/>
    <mergeCell ref="F7:G7"/>
    <mergeCell ref="N7:O7"/>
    <mergeCell ref="N8:N9"/>
    <mergeCell ref="H59:I59"/>
    <mergeCell ref="H60:H61"/>
    <mergeCell ref="J5:K5"/>
    <mergeCell ref="J6:K6"/>
    <mergeCell ref="J7:K7"/>
    <mergeCell ref="J8:J9"/>
    <mergeCell ref="J58:K58"/>
    <mergeCell ref="J59:K59"/>
    <mergeCell ref="J60:J61"/>
    <mergeCell ref="H5:I5"/>
    <mergeCell ref="H6:I6"/>
    <mergeCell ref="H7:I7"/>
    <mergeCell ref="H8:H9"/>
    <mergeCell ref="H58:I58"/>
    <mergeCell ref="L5:M5"/>
    <mergeCell ref="L6:M6"/>
    <mergeCell ref="L7:M7"/>
    <mergeCell ref="L8:L9"/>
    <mergeCell ref="L58:M58"/>
    <mergeCell ref="P6:Q6"/>
    <mergeCell ref="P7:Q7"/>
    <mergeCell ref="P8:P9"/>
    <mergeCell ref="L59:M59"/>
    <mergeCell ref="L60:L61"/>
    <mergeCell ref="N58:O58"/>
    <mergeCell ref="B4:S4"/>
    <mergeCell ref="N59:O59"/>
    <mergeCell ref="N60:N61"/>
    <mergeCell ref="N5:O5"/>
    <mergeCell ref="N6:O6"/>
    <mergeCell ref="P58:Q58"/>
    <mergeCell ref="P59:Q59"/>
    <mergeCell ref="P60:P61"/>
    <mergeCell ref="R5:S5"/>
    <mergeCell ref="R6:S6"/>
    <mergeCell ref="R7:S7"/>
    <mergeCell ref="R8:R9"/>
    <mergeCell ref="R58:S58"/>
    <mergeCell ref="R59:S59"/>
    <mergeCell ref="R60:R61"/>
    <mergeCell ref="P5:Q5"/>
  </mergeCells>
  <printOptions horizontalCentered="1"/>
  <pageMargins left="0.23622047244094491" right="0.23622047244094491" top="0.15748031496062992" bottom="0.39370078740157483" header="0.31496062992125984" footer="0.31496062992125984"/>
  <pageSetup paperSize="8" scale="60" fitToHeight="0" orientation="landscape" r:id="rId1"/>
  <headerFooter scaleWithDoc="0"/>
  <rowBreaks count="1" manualBreakCount="1">
    <brk id="57" min="1" max="49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74AE-AEED-6846-8D22-9038E7BF7E50}">
  <sheetPr published="0"/>
  <dimension ref="A1:AM393"/>
  <sheetViews>
    <sheetView tabSelected="1" zoomScale="120" zoomScaleNormal="120" workbookViewId="0">
      <pane xSplit="10" ySplit="3" topLeftCell="O28" activePane="bottomRight" state="frozen"/>
      <selection pane="topRight" activeCell="K1" sqref="K1"/>
      <selection pane="bottomLeft" activeCell="A4" sqref="A4"/>
      <selection pane="bottomRight" activeCell="AA262" sqref="AA262:AD304"/>
    </sheetView>
  </sheetViews>
  <sheetFormatPr baseColWidth="10" defaultRowHeight="21" customHeight="1" x14ac:dyDescent="0.2"/>
  <cols>
    <col min="1" max="1" width="17.33203125" bestFit="1" customWidth="1"/>
    <col min="2" max="2" width="24.6640625" bestFit="1" customWidth="1"/>
    <col min="8" max="8" width="9.5" customWidth="1"/>
    <col min="9" max="9" width="22.33203125" customWidth="1"/>
    <col min="11" max="11" width="20.83203125" customWidth="1"/>
    <col min="13" max="13" width="26" customWidth="1"/>
    <col min="14" max="14" width="23.6640625" customWidth="1"/>
    <col min="15" max="15" width="29.6640625" bestFit="1" customWidth="1"/>
    <col min="16" max="16" width="18" bestFit="1" customWidth="1"/>
    <col min="17" max="17" width="15.83203125" customWidth="1"/>
    <col min="18" max="19" width="14.33203125" customWidth="1"/>
    <col min="20" max="20" width="15.6640625" customWidth="1"/>
    <col min="21" max="21" width="8.83203125" bestFit="1" customWidth="1"/>
    <col min="22" max="22" width="30.83203125" customWidth="1"/>
    <col min="23" max="23" width="8.6640625" style="126" bestFit="1" customWidth="1"/>
    <col min="24" max="25" width="15.5" style="131" customWidth="1"/>
    <col min="26" max="29" width="15.5" customWidth="1"/>
  </cols>
  <sheetData>
    <row r="1" spans="1:30" ht="21" customHeight="1" x14ac:dyDescent="0.2">
      <c r="T1">
        <f>43*8</f>
        <v>344</v>
      </c>
    </row>
    <row r="2" spans="1:30" ht="21" customHeight="1" x14ac:dyDescent="0.2">
      <c r="R2" s="126"/>
    </row>
    <row r="3" spans="1:30" s="113" customFormat="1" ht="54" customHeight="1" x14ac:dyDescent="0.2">
      <c r="D3" s="114" t="s">
        <v>91</v>
      </c>
      <c r="E3" s="115" t="s">
        <v>96</v>
      </c>
      <c r="F3" s="115" t="s">
        <v>92</v>
      </c>
      <c r="G3" s="115" t="s">
        <v>97</v>
      </c>
      <c r="H3" s="115" t="s">
        <v>98</v>
      </c>
      <c r="I3" s="116" t="s">
        <v>93</v>
      </c>
      <c r="J3" s="117" t="s">
        <v>99</v>
      </c>
      <c r="K3" s="116" t="s">
        <v>95</v>
      </c>
      <c r="L3" s="116" t="s">
        <v>94</v>
      </c>
      <c r="M3" s="116" t="s">
        <v>100</v>
      </c>
      <c r="N3" s="116" t="s">
        <v>101</v>
      </c>
      <c r="O3" s="116" t="s">
        <v>128</v>
      </c>
      <c r="P3" s="116" t="s">
        <v>129</v>
      </c>
      <c r="Q3" s="129" t="s">
        <v>131</v>
      </c>
      <c r="R3" s="129" t="s">
        <v>132</v>
      </c>
      <c r="S3" s="129" t="s">
        <v>133</v>
      </c>
      <c r="T3" s="127" t="s">
        <v>126</v>
      </c>
      <c r="U3" s="118" t="s">
        <v>125</v>
      </c>
      <c r="V3" s="128" t="s">
        <v>130</v>
      </c>
      <c r="W3" s="118" t="s">
        <v>102</v>
      </c>
      <c r="X3" s="132" t="s">
        <v>134</v>
      </c>
      <c r="Y3" s="132" t="s">
        <v>135</v>
      </c>
      <c r="Z3" s="129" t="s">
        <v>136</v>
      </c>
      <c r="AA3" s="119" t="s">
        <v>137</v>
      </c>
      <c r="AB3" s="119" t="s">
        <v>138</v>
      </c>
      <c r="AC3" s="119" t="s">
        <v>139</v>
      </c>
      <c r="AD3" s="119" t="s">
        <v>103</v>
      </c>
    </row>
    <row r="4" spans="1:30" s="124" customFormat="1" ht="21" customHeight="1" x14ac:dyDescent="0.2">
      <c r="A4" s="124" t="str">
        <f t="shared" ref="A4:A64" si="0">I4</f>
        <v>Citywalk Phase 5.10</v>
      </c>
      <c r="B4" s="120" t="str">
        <f>CONCATENATE(I4, " - ",T4)</f>
        <v>Citywalk Phase 5.10 - Mechanical</v>
      </c>
      <c r="C4" s="120"/>
      <c r="D4" s="121" t="s">
        <v>82</v>
      </c>
      <c r="E4" s="121" t="s">
        <v>83</v>
      </c>
      <c r="F4" s="121" t="s">
        <v>84</v>
      </c>
      <c r="G4" s="121" t="s">
        <v>85</v>
      </c>
      <c r="H4" s="122" t="s">
        <v>111</v>
      </c>
      <c r="I4" s="121" t="s">
        <v>114</v>
      </c>
      <c r="J4" s="122">
        <v>2023</v>
      </c>
      <c r="K4" s="123" t="s">
        <v>88</v>
      </c>
      <c r="L4" s="122" t="s">
        <v>86</v>
      </c>
      <c r="M4" s="122" t="s">
        <v>104</v>
      </c>
      <c r="N4" s="122" t="s">
        <v>105</v>
      </c>
      <c r="O4" s="122" t="s">
        <v>122</v>
      </c>
      <c r="P4" s="122" t="s">
        <v>124</v>
      </c>
      <c r="Q4" s="130">
        <v>6454</v>
      </c>
      <c r="R4" s="130">
        <v>12201</v>
      </c>
      <c r="S4" s="130">
        <f t="shared" ref="S4:S46" si="1">SUM(Q4:R4)</f>
        <v>18655</v>
      </c>
      <c r="T4" s="121" t="s">
        <v>127</v>
      </c>
      <c r="U4" s="141">
        <v>5.3</v>
      </c>
      <c r="V4" s="121" t="s">
        <v>14</v>
      </c>
      <c r="W4" s="122" t="s">
        <v>11</v>
      </c>
      <c r="X4" s="112">
        <v>469190</v>
      </c>
      <c r="Y4" s="112">
        <v>567069</v>
      </c>
      <c r="Z4" s="139">
        <f t="shared" ref="Z4:Z64" si="2">SUM(X4:Y4)</f>
        <v>1036259</v>
      </c>
      <c r="AA4" s="140">
        <f t="shared" ref="AA4:AA67" si="3">X4/Q4</f>
        <v>72.697551905794853</v>
      </c>
      <c r="AB4" s="140">
        <f t="shared" ref="AB4:AB67" si="4">Y4/R4</f>
        <v>46.477255962626018</v>
      </c>
      <c r="AC4" s="140">
        <f t="shared" ref="AC4:AC67" si="5">Z4/S4</f>
        <v>55.548592870544091</v>
      </c>
      <c r="AD4" s="176" t="s">
        <v>157</v>
      </c>
    </row>
    <row r="5" spans="1:30" s="124" customFormat="1" ht="21" customHeight="1" x14ac:dyDescent="0.2">
      <c r="A5" s="124" t="str">
        <f t="shared" si="0"/>
        <v>Citywalk Phase 5.10</v>
      </c>
      <c r="B5" s="120" t="str">
        <f t="shared" ref="B5:B65" si="6">CONCATENATE(I5, " - ",T5)</f>
        <v>Citywalk Phase 5.10 - Mechanical</v>
      </c>
      <c r="C5" s="120"/>
      <c r="D5" s="121" t="s">
        <v>82</v>
      </c>
      <c r="E5" s="121" t="s">
        <v>83</v>
      </c>
      <c r="F5" s="121" t="s">
        <v>84</v>
      </c>
      <c r="G5" s="121" t="s">
        <v>85</v>
      </c>
      <c r="H5" s="122" t="s">
        <v>111</v>
      </c>
      <c r="I5" s="121" t="s">
        <v>114</v>
      </c>
      <c r="J5" s="122">
        <v>2023</v>
      </c>
      <c r="K5" s="123" t="s">
        <v>88</v>
      </c>
      <c r="L5" s="122" t="s">
        <v>86</v>
      </c>
      <c r="M5" s="122" t="s">
        <v>104</v>
      </c>
      <c r="N5" s="122" t="s">
        <v>105</v>
      </c>
      <c r="O5" s="122" t="s">
        <v>122</v>
      </c>
      <c r="P5" s="122" t="s">
        <v>124</v>
      </c>
      <c r="Q5" s="130">
        <v>6454</v>
      </c>
      <c r="R5" s="130">
        <v>12201</v>
      </c>
      <c r="S5" s="130">
        <f t="shared" si="1"/>
        <v>18655</v>
      </c>
      <c r="T5" s="121" t="s">
        <v>127</v>
      </c>
      <c r="U5" s="141">
        <v>5.3</v>
      </c>
      <c r="V5" s="121" t="s">
        <v>15</v>
      </c>
      <c r="W5" s="122" t="s">
        <v>11</v>
      </c>
      <c r="X5" s="112">
        <v>89580</v>
      </c>
      <c r="Y5" s="112">
        <v>0</v>
      </c>
      <c r="Z5" s="139">
        <f t="shared" si="2"/>
        <v>89580</v>
      </c>
      <c r="AA5" s="140">
        <f t="shared" si="3"/>
        <v>13.879764487139758</v>
      </c>
      <c r="AB5" s="140">
        <f t="shared" si="4"/>
        <v>0</v>
      </c>
      <c r="AC5" s="140">
        <f t="shared" si="5"/>
        <v>4.8019297775395335</v>
      </c>
      <c r="AD5" s="176" t="s">
        <v>157</v>
      </c>
    </row>
    <row r="6" spans="1:30" s="124" customFormat="1" ht="21" customHeight="1" x14ac:dyDescent="0.2">
      <c r="A6" s="124" t="str">
        <f t="shared" si="0"/>
        <v>Citywalk Phase 5.10</v>
      </c>
      <c r="B6" s="120" t="str">
        <f t="shared" si="6"/>
        <v>Citywalk Phase 5.10 - Mechanical</v>
      </c>
      <c r="C6" s="120"/>
      <c r="D6" s="121" t="s">
        <v>82</v>
      </c>
      <c r="E6" s="121" t="s">
        <v>83</v>
      </c>
      <c r="F6" s="121" t="s">
        <v>84</v>
      </c>
      <c r="G6" s="121" t="s">
        <v>85</v>
      </c>
      <c r="H6" s="122" t="s">
        <v>111</v>
      </c>
      <c r="I6" s="121" t="s">
        <v>114</v>
      </c>
      <c r="J6" s="122">
        <v>2023</v>
      </c>
      <c r="K6" s="123" t="s">
        <v>88</v>
      </c>
      <c r="L6" s="122" t="s">
        <v>86</v>
      </c>
      <c r="M6" s="122" t="s">
        <v>104</v>
      </c>
      <c r="N6" s="122" t="s">
        <v>105</v>
      </c>
      <c r="O6" s="122" t="s">
        <v>122</v>
      </c>
      <c r="P6" s="122" t="s">
        <v>124</v>
      </c>
      <c r="Q6" s="130">
        <v>6454</v>
      </c>
      <c r="R6" s="130">
        <v>12201</v>
      </c>
      <c r="S6" s="130">
        <f t="shared" si="1"/>
        <v>18655</v>
      </c>
      <c r="T6" s="121" t="s">
        <v>127</v>
      </c>
      <c r="U6" s="141">
        <v>5.4</v>
      </c>
      <c r="V6" s="121" t="s">
        <v>16</v>
      </c>
      <c r="W6" s="122" t="s">
        <v>11</v>
      </c>
      <c r="X6" s="112">
        <v>150038</v>
      </c>
      <c r="Y6" s="112">
        <v>1209329</v>
      </c>
      <c r="Z6" s="139">
        <f t="shared" si="2"/>
        <v>1359367</v>
      </c>
      <c r="AA6" s="140">
        <f t="shared" si="3"/>
        <v>23.247288503253795</v>
      </c>
      <c r="AB6" s="140">
        <f t="shared" si="4"/>
        <v>99.117203507909181</v>
      </c>
      <c r="AC6" s="140">
        <f t="shared" si="5"/>
        <v>72.868775127311707</v>
      </c>
      <c r="AD6" s="176" t="s">
        <v>157</v>
      </c>
    </row>
    <row r="7" spans="1:30" s="124" customFormat="1" ht="21" customHeight="1" x14ac:dyDescent="0.2">
      <c r="A7" s="124" t="str">
        <f t="shared" si="0"/>
        <v>Citywalk Phase 5.10</v>
      </c>
      <c r="B7" s="120" t="str">
        <f t="shared" si="6"/>
        <v>Citywalk Phase 5.10 - Mechanical</v>
      </c>
      <c r="C7" s="120"/>
      <c r="D7" s="121" t="s">
        <v>82</v>
      </c>
      <c r="E7" s="121" t="s">
        <v>83</v>
      </c>
      <c r="F7" s="121" t="s">
        <v>84</v>
      </c>
      <c r="G7" s="121" t="s">
        <v>85</v>
      </c>
      <c r="H7" s="122" t="s">
        <v>111</v>
      </c>
      <c r="I7" s="121" t="s">
        <v>114</v>
      </c>
      <c r="J7" s="122">
        <v>2023</v>
      </c>
      <c r="K7" s="123" t="s">
        <v>88</v>
      </c>
      <c r="L7" s="122" t="s">
        <v>86</v>
      </c>
      <c r="M7" s="122" t="s">
        <v>104</v>
      </c>
      <c r="N7" s="122" t="s">
        <v>105</v>
      </c>
      <c r="O7" s="122" t="s">
        <v>122</v>
      </c>
      <c r="P7" s="122" t="s">
        <v>124</v>
      </c>
      <c r="Q7" s="130">
        <v>6454</v>
      </c>
      <c r="R7" s="130">
        <v>12201</v>
      </c>
      <c r="S7" s="130">
        <f t="shared" si="1"/>
        <v>18655</v>
      </c>
      <c r="T7" s="121" t="s">
        <v>127</v>
      </c>
      <c r="U7" s="141">
        <v>5.4</v>
      </c>
      <c r="V7" s="121" t="s">
        <v>17</v>
      </c>
      <c r="W7" s="122" t="s">
        <v>11</v>
      </c>
      <c r="X7" s="112">
        <v>36488</v>
      </c>
      <c r="Y7" s="112">
        <v>398992</v>
      </c>
      <c r="Z7" s="139">
        <f t="shared" si="2"/>
        <v>435480</v>
      </c>
      <c r="AA7" s="140">
        <f t="shared" si="3"/>
        <v>5.6535481871707471</v>
      </c>
      <c r="AB7" s="140">
        <f t="shared" si="4"/>
        <v>32.701581837554301</v>
      </c>
      <c r="AC7" s="140">
        <f t="shared" si="5"/>
        <v>23.343875636558565</v>
      </c>
      <c r="AD7" s="176" t="s">
        <v>157</v>
      </c>
    </row>
    <row r="8" spans="1:30" s="124" customFormat="1" ht="21" customHeight="1" x14ac:dyDescent="0.2">
      <c r="A8" s="124" t="str">
        <f t="shared" si="0"/>
        <v>Citywalk Phase 5.10</v>
      </c>
      <c r="B8" s="120" t="str">
        <f t="shared" si="6"/>
        <v>Citywalk Phase 5.10 - Mechanical</v>
      </c>
      <c r="C8" s="120"/>
      <c r="D8" s="121" t="s">
        <v>82</v>
      </c>
      <c r="E8" s="121" t="s">
        <v>83</v>
      </c>
      <c r="F8" s="121" t="s">
        <v>84</v>
      </c>
      <c r="G8" s="121" t="s">
        <v>85</v>
      </c>
      <c r="H8" s="122" t="s">
        <v>111</v>
      </c>
      <c r="I8" s="121" t="s">
        <v>114</v>
      </c>
      <c r="J8" s="122">
        <v>2023</v>
      </c>
      <c r="K8" s="123" t="s">
        <v>88</v>
      </c>
      <c r="L8" s="122" t="s">
        <v>86</v>
      </c>
      <c r="M8" s="122" t="s">
        <v>104</v>
      </c>
      <c r="N8" s="122" t="s">
        <v>105</v>
      </c>
      <c r="O8" s="122" t="s">
        <v>122</v>
      </c>
      <c r="P8" s="122" t="s">
        <v>124</v>
      </c>
      <c r="Q8" s="130">
        <v>6454</v>
      </c>
      <c r="R8" s="130">
        <v>12201</v>
      </c>
      <c r="S8" s="130">
        <f t="shared" si="1"/>
        <v>18655</v>
      </c>
      <c r="T8" s="121" t="s">
        <v>127</v>
      </c>
      <c r="U8" s="141" t="s">
        <v>28</v>
      </c>
      <c r="V8" s="121" t="s">
        <v>18</v>
      </c>
      <c r="W8" s="122" t="s">
        <v>11</v>
      </c>
      <c r="X8" s="112">
        <v>669821</v>
      </c>
      <c r="Y8" s="112">
        <v>900100</v>
      </c>
      <c r="Z8" s="139">
        <f t="shared" si="2"/>
        <v>1569921</v>
      </c>
      <c r="AA8" s="140">
        <f t="shared" si="3"/>
        <v>103.78385497365974</v>
      </c>
      <c r="AB8" s="140">
        <f t="shared" si="4"/>
        <v>73.772641586755185</v>
      </c>
      <c r="AC8" s="140">
        <f t="shared" si="5"/>
        <v>84.155507906727422</v>
      </c>
      <c r="AD8" s="176" t="s">
        <v>157</v>
      </c>
    </row>
    <row r="9" spans="1:30" s="124" customFormat="1" ht="21" customHeight="1" x14ac:dyDescent="0.2">
      <c r="A9" s="124" t="str">
        <f t="shared" si="0"/>
        <v>Citywalk Phase 5.10</v>
      </c>
      <c r="B9" s="120" t="str">
        <f t="shared" si="6"/>
        <v>Citywalk Phase 5.10 - Mechanical</v>
      </c>
      <c r="C9" s="120"/>
      <c r="D9" s="121" t="s">
        <v>82</v>
      </c>
      <c r="E9" s="121" t="s">
        <v>83</v>
      </c>
      <c r="F9" s="121" t="s">
        <v>84</v>
      </c>
      <c r="G9" s="121" t="s">
        <v>85</v>
      </c>
      <c r="H9" s="122" t="s">
        <v>111</v>
      </c>
      <c r="I9" s="121" t="s">
        <v>114</v>
      </c>
      <c r="J9" s="122">
        <v>2023</v>
      </c>
      <c r="K9" s="123" t="s">
        <v>88</v>
      </c>
      <c r="L9" s="122" t="s">
        <v>86</v>
      </c>
      <c r="M9" s="122" t="s">
        <v>104</v>
      </c>
      <c r="N9" s="122" t="s">
        <v>105</v>
      </c>
      <c r="O9" s="122" t="s">
        <v>122</v>
      </c>
      <c r="P9" s="122" t="s">
        <v>124</v>
      </c>
      <c r="Q9" s="130">
        <v>6454</v>
      </c>
      <c r="R9" s="130">
        <v>12201</v>
      </c>
      <c r="S9" s="130">
        <f t="shared" si="1"/>
        <v>18655</v>
      </c>
      <c r="T9" s="121" t="s">
        <v>127</v>
      </c>
      <c r="U9" s="141" t="s">
        <v>28</v>
      </c>
      <c r="V9" s="121" t="s">
        <v>19</v>
      </c>
      <c r="W9" s="122" t="s">
        <v>11</v>
      </c>
      <c r="X9" s="112">
        <v>513705</v>
      </c>
      <c r="Y9" s="112">
        <v>0</v>
      </c>
      <c r="Z9" s="139">
        <f t="shared" si="2"/>
        <v>513705</v>
      </c>
      <c r="AA9" s="140">
        <f t="shared" si="3"/>
        <v>79.594824914781526</v>
      </c>
      <c r="AB9" s="140">
        <f t="shared" si="4"/>
        <v>0</v>
      </c>
      <c r="AC9" s="140">
        <f t="shared" si="5"/>
        <v>27.537121415170194</v>
      </c>
      <c r="AD9" s="176" t="s">
        <v>157</v>
      </c>
    </row>
    <row r="10" spans="1:30" s="124" customFormat="1" ht="21" customHeight="1" x14ac:dyDescent="0.2">
      <c r="A10" s="124" t="str">
        <f t="shared" si="0"/>
        <v>Citywalk Phase 5.10</v>
      </c>
      <c r="B10" s="120" t="str">
        <f t="shared" si="6"/>
        <v>Citywalk Phase 5.10 - Mechanical</v>
      </c>
      <c r="C10" s="120"/>
      <c r="D10" s="121" t="s">
        <v>82</v>
      </c>
      <c r="E10" s="121" t="s">
        <v>83</v>
      </c>
      <c r="F10" s="121" t="s">
        <v>84</v>
      </c>
      <c r="G10" s="121" t="s">
        <v>85</v>
      </c>
      <c r="H10" s="122" t="s">
        <v>111</v>
      </c>
      <c r="I10" s="121" t="s">
        <v>114</v>
      </c>
      <c r="J10" s="122">
        <v>2023</v>
      </c>
      <c r="K10" s="123" t="s">
        <v>88</v>
      </c>
      <c r="L10" s="122" t="s">
        <v>86</v>
      </c>
      <c r="M10" s="122" t="s">
        <v>104</v>
      </c>
      <c r="N10" s="122" t="s">
        <v>105</v>
      </c>
      <c r="O10" s="122" t="s">
        <v>122</v>
      </c>
      <c r="P10" s="122" t="s">
        <v>124</v>
      </c>
      <c r="Q10" s="130">
        <v>6454</v>
      </c>
      <c r="R10" s="130">
        <v>12201</v>
      </c>
      <c r="S10" s="130">
        <f t="shared" si="1"/>
        <v>18655</v>
      </c>
      <c r="T10" s="121" t="s">
        <v>127</v>
      </c>
      <c r="U10" s="141" t="s">
        <v>28</v>
      </c>
      <c r="V10" s="121" t="s">
        <v>20</v>
      </c>
      <c r="W10" s="122" t="s">
        <v>11</v>
      </c>
      <c r="X10" s="112">
        <v>665288</v>
      </c>
      <c r="Y10" s="112">
        <v>43628</v>
      </c>
      <c r="Z10" s="139">
        <f t="shared" si="2"/>
        <v>708916</v>
      </c>
      <c r="AA10" s="140">
        <f t="shared" si="3"/>
        <v>103.08149984505732</v>
      </c>
      <c r="AB10" s="140">
        <f t="shared" si="4"/>
        <v>3.5757724776657649</v>
      </c>
      <c r="AC10" s="140">
        <f t="shared" si="5"/>
        <v>38.001393728222993</v>
      </c>
      <c r="AD10" s="176" t="s">
        <v>157</v>
      </c>
    </row>
    <row r="11" spans="1:30" s="124" customFormat="1" ht="21" customHeight="1" x14ac:dyDescent="0.2">
      <c r="A11" s="124" t="str">
        <f t="shared" si="0"/>
        <v>Citywalk Phase 5.10</v>
      </c>
      <c r="B11" s="120" t="str">
        <f t="shared" si="6"/>
        <v>Citywalk Phase 5.10 - Mechanical</v>
      </c>
      <c r="C11" s="120"/>
      <c r="D11" s="121" t="s">
        <v>82</v>
      </c>
      <c r="E11" s="121" t="s">
        <v>83</v>
      </c>
      <c r="F11" s="121" t="s">
        <v>84</v>
      </c>
      <c r="G11" s="121" t="s">
        <v>85</v>
      </c>
      <c r="H11" s="122" t="s">
        <v>111</v>
      </c>
      <c r="I11" s="121" t="s">
        <v>114</v>
      </c>
      <c r="J11" s="122">
        <v>2023</v>
      </c>
      <c r="K11" s="123" t="s">
        <v>88</v>
      </c>
      <c r="L11" s="122" t="s">
        <v>86</v>
      </c>
      <c r="M11" s="122" t="s">
        <v>104</v>
      </c>
      <c r="N11" s="122" t="s">
        <v>105</v>
      </c>
      <c r="O11" s="122" t="s">
        <v>122</v>
      </c>
      <c r="P11" s="122" t="s">
        <v>124</v>
      </c>
      <c r="Q11" s="130">
        <v>6454</v>
      </c>
      <c r="R11" s="130">
        <v>12201</v>
      </c>
      <c r="S11" s="130">
        <f t="shared" si="1"/>
        <v>18655</v>
      </c>
      <c r="T11" s="121" t="s">
        <v>127</v>
      </c>
      <c r="U11" s="141">
        <v>5.6</v>
      </c>
      <c r="V11" s="121" t="s">
        <v>21</v>
      </c>
      <c r="W11" s="122" t="s">
        <v>11</v>
      </c>
      <c r="X11" s="112">
        <v>72879</v>
      </c>
      <c r="Y11" s="112">
        <v>946424</v>
      </c>
      <c r="Z11" s="139">
        <f t="shared" si="2"/>
        <v>1019303</v>
      </c>
      <c r="AA11" s="140">
        <f t="shared" si="3"/>
        <v>11.292066935233963</v>
      </c>
      <c r="AB11" s="140">
        <f t="shared" si="4"/>
        <v>77.569379559052535</v>
      </c>
      <c r="AC11" s="140">
        <f t="shared" si="5"/>
        <v>54.63966764942375</v>
      </c>
      <c r="AD11" s="176" t="s">
        <v>157</v>
      </c>
    </row>
    <row r="12" spans="1:30" s="124" customFormat="1" ht="21" customHeight="1" x14ac:dyDescent="0.2">
      <c r="A12" s="124" t="str">
        <f t="shared" si="0"/>
        <v>Citywalk Phase 5.10</v>
      </c>
      <c r="B12" s="120" t="str">
        <f t="shared" si="6"/>
        <v>Citywalk Phase 5.10 - Mechanical</v>
      </c>
      <c r="C12" s="120"/>
      <c r="D12" s="121" t="s">
        <v>82</v>
      </c>
      <c r="E12" s="121" t="s">
        <v>83</v>
      </c>
      <c r="F12" s="121" t="s">
        <v>84</v>
      </c>
      <c r="G12" s="121" t="s">
        <v>85</v>
      </c>
      <c r="H12" s="122" t="s">
        <v>111</v>
      </c>
      <c r="I12" s="121" t="s">
        <v>114</v>
      </c>
      <c r="J12" s="122">
        <v>2023</v>
      </c>
      <c r="K12" s="123" t="s">
        <v>88</v>
      </c>
      <c r="L12" s="122" t="s">
        <v>86</v>
      </c>
      <c r="M12" s="122" t="s">
        <v>104</v>
      </c>
      <c r="N12" s="122" t="s">
        <v>105</v>
      </c>
      <c r="O12" s="122" t="s">
        <v>122</v>
      </c>
      <c r="P12" s="122" t="s">
        <v>124</v>
      </c>
      <c r="Q12" s="130">
        <v>6454</v>
      </c>
      <c r="R12" s="130">
        <v>12201</v>
      </c>
      <c r="S12" s="130">
        <f t="shared" si="1"/>
        <v>18655</v>
      </c>
      <c r="T12" s="121" t="s">
        <v>127</v>
      </c>
      <c r="U12" s="141">
        <v>5.6</v>
      </c>
      <c r="V12" s="121" t="s">
        <v>22</v>
      </c>
      <c r="W12" s="122" t="s">
        <v>11</v>
      </c>
      <c r="X12" s="112">
        <v>0</v>
      </c>
      <c r="Y12" s="112">
        <v>2570474</v>
      </c>
      <c r="Z12" s="139">
        <f t="shared" si="2"/>
        <v>2570474</v>
      </c>
      <c r="AA12" s="140">
        <f t="shared" si="3"/>
        <v>0</v>
      </c>
      <c r="AB12" s="140">
        <f t="shared" si="4"/>
        <v>210.67732153102205</v>
      </c>
      <c r="AC12" s="140">
        <f t="shared" si="5"/>
        <v>137.79008308764406</v>
      </c>
      <c r="AD12" s="176" t="s">
        <v>157</v>
      </c>
    </row>
    <row r="13" spans="1:30" s="124" customFormat="1" ht="21" customHeight="1" x14ac:dyDescent="0.2">
      <c r="A13" s="124" t="str">
        <f t="shared" si="0"/>
        <v>Citywalk Phase 5.10</v>
      </c>
      <c r="B13" s="120" t="str">
        <f t="shared" si="6"/>
        <v>Citywalk Phase 5.10 - Mechanical</v>
      </c>
      <c r="C13" s="120"/>
      <c r="D13" s="121" t="s">
        <v>82</v>
      </c>
      <c r="E13" s="121" t="s">
        <v>83</v>
      </c>
      <c r="F13" s="121" t="s">
        <v>84</v>
      </c>
      <c r="G13" s="121" t="s">
        <v>85</v>
      </c>
      <c r="H13" s="122" t="s">
        <v>111</v>
      </c>
      <c r="I13" s="121" t="s">
        <v>114</v>
      </c>
      <c r="J13" s="122">
        <v>2023</v>
      </c>
      <c r="K13" s="123" t="s">
        <v>88</v>
      </c>
      <c r="L13" s="122" t="s">
        <v>86</v>
      </c>
      <c r="M13" s="122" t="s">
        <v>104</v>
      </c>
      <c r="N13" s="122" t="s">
        <v>105</v>
      </c>
      <c r="O13" s="122" t="s">
        <v>122</v>
      </c>
      <c r="P13" s="122" t="s">
        <v>124</v>
      </c>
      <c r="Q13" s="130">
        <v>6454</v>
      </c>
      <c r="R13" s="130">
        <v>12201</v>
      </c>
      <c r="S13" s="130">
        <f t="shared" si="1"/>
        <v>18655</v>
      </c>
      <c r="T13" s="121" t="s">
        <v>127</v>
      </c>
      <c r="U13" s="141">
        <v>5.6</v>
      </c>
      <c r="V13" s="121" t="s">
        <v>23</v>
      </c>
      <c r="W13" s="122" t="s">
        <v>11</v>
      </c>
      <c r="X13" s="112">
        <v>50138</v>
      </c>
      <c r="Y13" s="112">
        <v>846889</v>
      </c>
      <c r="Z13" s="139">
        <f t="shared" si="2"/>
        <v>897027</v>
      </c>
      <c r="AA13" s="140">
        <f t="shared" si="3"/>
        <v>7.7685156492097924</v>
      </c>
      <c r="AB13" s="140">
        <f t="shared" si="4"/>
        <v>69.411441685107775</v>
      </c>
      <c r="AC13" s="140">
        <f t="shared" si="5"/>
        <v>48.085071026534443</v>
      </c>
      <c r="AD13" s="176" t="s">
        <v>157</v>
      </c>
    </row>
    <row r="14" spans="1:30" s="124" customFormat="1" ht="21" customHeight="1" x14ac:dyDescent="0.2">
      <c r="A14" s="124" t="str">
        <f t="shared" si="0"/>
        <v>Citywalk Phase 5.10</v>
      </c>
      <c r="B14" s="120" t="str">
        <f t="shared" si="6"/>
        <v>Citywalk Phase 5.10 - Mechanical</v>
      </c>
      <c r="C14" s="120"/>
      <c r="D14" s="121" t="s">
        <v>82</v>
      </c>
      <c r="E14" s="121" t="s">
        <v>83</v>
      </c>
      <c r="F14" s="121" t="s">
        <v>84</v>
      </c>
      <c r="G14" s="121" t="s">
        <v>85</v>
      </c>
      <c r="H14" s="122" t="s">
        <v>111</v>
      </c>
      <c r="I14" s="121" t="s">
        <v>114</v>
      </c>
      <c r="J14" s="122">
        <v>2023</v>
      </c>
      <c r="K14" s="123" t="s">
        <v>88</v>
      </c>
      <c r="L14" s="122" t="s">
        <v>86</v>
      </c>
      <c r="M14" s="122" t="s">
        <v>104</v>
      </c>
      <c r="N14" s="122" t="s">
        <v>105</v>
      </c>
      <c r="O14" s="122" t="s">
        <v>122</v>
      </c>
      <c r="P14" s="122" t="s">
        <v>124</v>
      </c>
      <c r="Q14" s="130">
        <v>6454</v>
      </c>
      <c r="R14" s="130">
        <v>12201</v>
      </c>
      <c r="S14" s="130">
        <f t="shared" si="1"/>
        <v>18655</v>
      </c>
      <c r="T14" s="121" t="s">
        <v>127</v>
      </c>
      <c r="U14" s="141">
        <v>5.6</v>
      </c>
      <c r="V14" s="121" t="s">
        <v>24</v>
      </c>
      <c r="W14" s="122" t="s">
        <v>11</v>
      </c>
      <c r="X14" s="112">
        <v>361183</v>
      </c>
      <c r="Y14" s="112">
        <v>778951</v>
      </c>
      <c r="Z14" s="139">
        <f t="shared" si="2"/>
        <v>1140134</v>
      </c>
      <c r="AA14" s="140">
        <f t="shared" si="3"/>
        <v>55.96265881623799</v>
      </c>
      <c r="AB14" s="140">
        <f t="shared" si="4"/>
        <v>63.84320957298582</v>
      </c>
      <c r="AC14" s="140">
        <f t="shared" si="5"/>
        <v>61.116805146073439</v>
      </c>
      <c r="AD14" s="176" t="s">
        <v>157</v>
      </c>
    </row>
    <row r="15" spans="1:30" s="124" customFormat="1" ht="21" customHeight="1" x14ac:dyDescent="0.2">
      <c r="A15" s="124" t="str">
        <f t="shared" si="0"/>
        <v>Citywalk Phase 5.10</v>
      </c>
      <c r="B15" s="120" t="str">
        <f t="shared" si="6"/>
        <v>Citywalk Phase 5.10 - Mechanical</v>
      </c>
      <c r="C15" s="120"/>
      <c r="D15" s="121" t="s">
        <v>82</v>
      </c>
      <c r="E15" s="121" t="s">
        <v>83</v>
      </c>
      <c r="F15" s="121" t="s">
        <v>84</v>
      </c>
      <c r="G15" s="121" t="s">
        <v>85</v>
      </c>
      <c r="H15" s="122" t="s">
        <v>111</v>
      </c>
      <c r="I15" s="121" t="s">
        <v>114</v>
      </c>
      <c r="J15" s="122">
        <v>2023</v>
      </c>
      <c r="K15" s="123" t="s">
        <v>88</v>
      </c>
      <c r="L15" s="122" t="s">
        <v>86</v>
      </c>
      <c r="M15" s="122" t="s">
        <v>104</v>
      </c>
      <c r="N15" s="122" t="s">
        <v>105</v>
      </c>
      <c r="O15" s="122" t="s">
        <v>122</v>
      </c>
      <c r="P15" s="122" t="s">
        <v>124</v>
      </c>
      <c r="Q15" s="130">
        <v>6454</v>
      </c>
      <c r="R15" s="130">
        <v>12201</v>
      </c>
      <c r="S15" s="130">
        <f t="shared" si="1"/>
        <v>18655</v>
      </c>
      <c r="T15" s="121" t="s">
        <v>127</v>
      </c>
      <c r="U15" s="141">
        <v>5.6</v>
      </c>
      <c r="V15" s="121" t="s">
        <v>25</v>
      </c>
      <c r="W15" s="122" t="s">
        <v>11</v>
      </c>
      <c r="X15" s="112">
        <v>769180</v>
      </c>
      <c r="Y15" s="112">
        <v>1008070</v>
      </c>
      <c r="Z15" s="139">
        <f t="shared" si="2"/>
        <v>1777250</v>
      </c>
      <c r="AA15" s="140">
        <f t="shared" si="3"/>
        <v>119.17880384257825</v>
      </c>
      <c r="AB15" s="140">
        <f t="shared" si="4"/>
        <v>82.621916236374062</v>
      </c>
      <c r="AC15" s="140">
        <f t="shared" si="5"/>
        <v>95.269364781559901</v>
      </c>
      <c r="AD15" s="176" t="s">
        <v>157</v>
      </c>
    </row>
    <row r="16" spans="1:30" s="124" customFormat="1" ht="21" customHeight="1" x14ac:dyDescent="0.2">
      <c r="A16" s="124" t="str">
        <f t="shared" si="0"/>
        <v>Citywalk Phase 5.10</v>
      </c>
      <c r="B16" s="120" t="str">
        <f t="shared" si="6"/>
        <v>Citywalk Phase 5.10 - Mechanical</v>
      </c>
      <c r="C16" s="120"/>
      <c r="D16" s="121" t="s">
        <v>82</v>
      </c>
      <c r="E16" s="121" t="s">
        <v>83</v>
      </c>
      <c r="F16" s="121" t="s">
        <v>84</v>
      </c>
      <c r="G16" s="121" t="s">
        <v>85</v>
      </c>
      <c r="H16" s="122" t="s">
        <v>111</v>
      </c>
      <c r="I16" s="121" t="s">
        <v>114</v>
      </c>
      <c r="J16" s="122">
        <v>2023</v>
      </c>
      <c r="K16" s="123" t="s">
        <v>88</v>
      </c>
      <c r="L16" s="122" t="s">
        <v>86</v>
      </c>
      <c r="M16" s="122" t="s">
        <v>104</v>
      </c>
      <c r="N16" s="122" t="s">
        <v>105</v>
      </c>
      <c r="O16" s="122" t="s">
        <v>122</v>
      </c>
      <c r="P16" s="122" t="s">
        <v>124</v>
      </c>
      <c r="Q16" s="130">
        <v>6454</v>
      </c>
      <c r="R16" s="130">
        <v>12201</v>
      </c>
      <c r="S16" s="130">
        <f t="shared" si="1"/>
        <v>18655</v>
      </c>
      <c r="T16" s="121" t="s">
        <v>127</v>
      </c>
      <c r="U16" s="141">
        <v>5.6</v>
      </c>
      <c r="V16" s="121" t="s">
        <v>26</v>
      </c>
      <c r="W16" s="122" t="s">
        <v>11</v>
      </c>
      <c r="X16" s="112">
        <v>228968</v>
      </c>
      <c r="Y16" s="112">
        <v>829820</v>
      </c>
      <c r="Z16" s="139">
        <f t="shared" si="2"/>
        <v>1058788</v>
      </c>
      <c r="AA16" s="140">
        <f t="shared" si="3"/>
        <v>35.476913541989461</v>
      </c>
      <c r="AB16" s="140">
        <f t="shared" si="4"/>
        <v>68.012457995246294</v>
      </c>
      <c r="AC16" s="140">
        <f t="shared" si="5"/>
        <v>56.756258375770571</v>
      </c>
      <c r="AD16" s="176" t="s">
        <v>157</v>
      </c>
    </row>
    <row r="17" spans="1:30" s="124" customFormat="1" ht="21" customHeight="1" x14ac:dyDescent="0.2">
      <c r="A17" s="124" t="str">
        <f t="shared" si="0"/>
        <v>Citywalk Phase 5.10</v>
      </c>
      <c r="B17" s="120" t="str">
        <f t="shared" si="6"/>
        <v>Citywalk Phase 5.10 - Mechanical</v>
      </c>
      <c r="C17" s="120"/>
      <c r="D17" s="121" t="s">
        <v>82</v>
      </c>
      <c r="E17" s="121" t="s">
        <v>83</v>
      </c>
      <c r="F17" s="121" t="s">
        <v>84</v>
      </c>
      <c r="G17" s="121" t="s">
        <v>85</v>
      </c>
      <c r="H17" s="122" t="s">
        <v>111</v>
      </c>
      <c r="I17" s="121" t="s">
        <v>114</v>
      </c>
      <c r="J17" s="122">
        <v>2023</v>
      </c>
      <c r="K17" s="123" t="s">
        <v>88</v>
      </c>
      <c r="L17" s="122" t="s">
        <v>86</v>
      </c>
      <c r="M17" s="122" t="s">
        <v>104</v>
      </c>
      <c r="N17" s="122" t="s">
        <v>105</v>
      </c>
      <c r="O17" s="122" t="s">
        <v>122</v>
      </c>
      <c r="P17" s="122" t="s">
        <v>124</v>
      </c>
      <c r="Q17" s="130">
        <v>6454</v>
      </c>
      <c r="R17" s="130">
        <v>12201</v>
      </c>
      <c r="S17" s="130">
        <f t="shared" si="1"/>
        <v>18655</v>
      </c>
      <c r="T17" s="121" t="s">
        <v>127</v>
      </c>
      <c r="U17" s="141">
        <v>5.14</v>
      </c>
      <c r="V17" s="121" t="s">
        <v>27</v>
      </c>
      <c r="W17" s="122" t="s">
        <v>11</v>
      </c>
      <c r="X17" s="112">
        <v>135172</v>
      </c>
      <c r="Y17" s="112">
        <v>1089255</v>
      </c>
      <c r="Z17" s="139">
        <f t="shared" si="2"/>
        <v>1224427</v>
      </c>
      <c r="AA17" s="140">
        <f t="shared" si="3"/>
        <v>20.943910753021381</v>
      </c>
      <c r="AB17" s="140">
        <f t="shared" si="4"/>
        <v>89.275879026309312</v>
      </c>
      <c r="AC17" s="140">
        <f t="shared" si="5"/>
        <v>65.635325649959796</v>
      </c>
      <c r="AD17" s="176" t="s">
        <v>157</v>
      </c>
    </row>
    <row r="18" spans="1:30" s="124" customFormat="1" ht="21" customHeight="1" x14ac:dyDescent="0.2">
      <c r="A18" s="124" t="str">
        <f t="shared" si="0"/>
        <v>Citywalk Phase 5.10</v>
      </c>
      <c r="B18" s="120" t="str">
        <f t="shared" si="6"/>
        <v>Citywalk Phase 5.10 - Electrical</v>
      </c>
      <c r="C18" s="120"/>
      <c r="D18" s="121" t="s">
        <v>82</v>
      </c>
      <c r="E18" s="121" t="s">
        <v>83</v>
      </c>
      <c r="F18" s="121" t="s">
        <v>84</v>
      </c>
      <c r="G18" s="121" t="s">
        <v>85</v>
      </c>
      <c r="H18" s="122" t="s">
        <v>111</v>
      </c>
      <c r="I18" s="121" t="s">
        <v>114</v>
      </c>
      <c r="J18" s="122">
        <v>2023</v>
      </c>
      <c r="K18" s="123" t="s">
        <v>88</v>
      </c>
      <c r="L18" s="122" t="s">
        <v>86</v>
      </c>
      <c r="M18" s="122" t="s">
        <v>104</v>
      </c>
      <c r="N18" s="122" t="s">
        <v>105</v>
      </c>
      <c r="O18" s="122" t="s">
        <v>122</v>
      </c>
      <c r="P18" s="122" t="s">
        <v>124</v>
      </c>
      <c r="Q18" s="130">
        <v>6454</v>
      </c>
      <c r="R18" s="130">
        <v>12201</v>
      </c>
      <c r="S18" s="130">
        <f t="shared" si="1"/>
        <v>18655</v>
      </c>
      <c r="T18" s="121" t="s">
        <v>148</v>
      </c>
      <c r="U18" s="141">
        <v>5.8</v>
      </c>
      <c r="V18" s="121" t="s">
        <v>29</v>
      </c>
      <c r="W18" s="122" t="s">
        <v>11</v>
      </c>
      <c r="X18" s="112">
        <v>783540</v>
      </c>
      <c r="Y18" s="112">
        <v>1399416</v>
      </c>
      <c r="Z18" s="139">
        <f t="shared" si="2"/>
        <v>2182956</v>
      </c>
      <c r="AA18" s="140">
        <f t="shared" si="3"/>
        <v>121.40378060117756</v>
      </c>
      <c r="AB18" s="140">
        <f t="shared" si="4"/>
        <v>114.6968281288419</v>
      </c>
      <c r="AC18" s="140">
        <f t="shared" si="5"/>
        <v>117.01720718306085</v>
      </c>
      <c r="AD18" s="176" t="s">
        <v>157</v>
      </c>
    </row>
    <row r="19" spans="1:30" s="124" customFormat="1" ht="21" customHeight="1" x14ac:dyDescent="0.2">
      <c r="A19" s="124" t="str">
        <f t="shared" si="0"/>
        <v>Citywalk Phase 5.10</v>
      </c>
      <c r="B19" s="120" t="str">
        <f t="shared" si="6"/>
        <v>Citywalk Phase 5.10 - Electrical</v>
      </c>
      <c r="C19" s="120"/>
      <c r="D19" s="121" t="s">
        <v>82</v>
      </c>
      <c r="E19" s="121" t="s">
        <v>83</v>
      </c>
      <c r="F19" s="121" t="s">
        <v>84</v>
      </c>
      <c r="G19" s="121" t="s">
        <v>85</v>
      </c>
      <c r="H19" s="122" t="s">
        <v>111</v>
      </c>
      <c r="I19" s="121" t="s">
        <v>114</v>
      </c>
      <c r="J19" s="122">
        <v>2023</v>
      </c>
      <c r="K19" s="123" t="s">
        <v>88</v>
      </c>
      <c r="L19" s="122" t="s">
        <v>86</v>
      </c>
      <c r="M19" s="122" t="s">
        <v>104</v>
      </c>
      <c r="N19" s="122" t="s">
        <v>105</v>
      </c>
      <c r="O19" s="122" t="s">
        <v>122</v>
      </c>
      <c r="P19" s="122" t="s">
        <v>124</v>
      </c>
      <c r="Q19" s="130">
        <v>6454</v>
      </c>
      <c r="R19" s="130">
        <v>12201</v>
      </c>
      <c r="S19" s="130">
        <f t="shared" si="1"/>
        <v>18655</v>
      </c>
      <c r="T19" s="121" t="s">
        <v>148</v>
      </c>
      <c r="U19" s="141">
        <v>5.8</v>
      </c>
      <c r="V19" s="121" t="s">
        <v>55</v>
      </c>
      <c r="W19" s="122" t="s">
        <v>11</v>
      </c>
      <c r="X19" s="112">
        <v>0</v>
      </c>
      <c r="Y19" s="112">
        <v>0</v>
      </c>
      <c r="Z19" s="139">
        <f t="shared" si="2"/>
        <v>0</v>
      </c>
      <c r="AA19" s="140">
        <f t="shared" si="3"/>
        <v>0</v>
      </c>
      <c r="AB19" s="140">
        <f t="shared" si="4"/>
        <v>0</v>
      </c>
      <c r="AC19" s="140">
        <f t="shared" si="5"/>
        <v>0</v>
      </c>
      <c r="AD19" s="176" t="s">
        <v>157</v>
      </c>
    </row>
    <row r="20" spans="1:30" s="124" customFormat="1" ht="21" customHeight="1" x14ac:dyDescent="0.2">
      <c r="A20" s="124" t="str">
        <f t="shared" si="0"/>
        <v>Citywalk Phase 5.10</v>
      </c>
      <c r="B20" s="120" t="str">
        <f t="shared" si="6"/>
        <v>Citywalk Phase 5.10 - Electrical</v>
      </c>
      <c r="C20" s="120"/>
      <c r="D20" s="121" t="s">
        <v>82</v>
      </c>
      <c r="E20" s="121" t="s">
        <v>83</v>
      </c>
      <c r="F20" s="121" t="s">
        <v>84</v>
      </c>
      <c r="G20" s="121" t="s">
        <v>85</v>
      </c>
      <c r="H20" s="122" t="s">
        <v>111</v>
      </c>
      <c r="I20" s="121" t="s">
        <v>114</v>
      </c>
      <c r="J20" s="122">
        <v>2023</v>
      </c>
      <c r="K20" s="123" t="s">
        <v>88</v>
      </c>
      <c r="L20" s="122" t="s">
        <v>86</v>
      </c>
      <c r="M20" s="122" t="s">
        <v>104</v>
      </c>
      <c r="N20" s="122" t="s">
        <v>105</v>
      </c>
      <c r="O20" s="122" t="s">
        <v>122</v>
      </c>
      <c r="P20" s="122" t="s">
        <v>124</v>
      </c>
      <c r="Q20" s="130">
        <v>6454</v>
      </c>
      <c r="R20" s="130">
        <v>12201</v>
      </c>
      <c r="S20" s="130">
        <f t="shared" si="1"/>
        <v>18655</v>
      </c>
      <c r="T20" s="121" t="s">
        <v>148</v>
      </c>
      <c r="U20" s="141">
        <v>5.8</v>
      </c>
      <c r="V20" s="121" t="s">
        <v>30</v>
      </c>
      <c r="W20" s="122" t="s">
        <v>11</v>
      </c>
      <c r="X20" s="112">
        <v>1992836</v>
      </c>
      <c r="Y20" s="112">
        <v>1240389</v>
      </c>
      <c r="Z20" s="139">
        <f t="shared" si="2"/>
        <v>3233225</v>
      </c>
      <c r="AA20" s="140">
        <f t="shared" si="3"/>
        <v>308.77533312674308</v>
      </c>
      <c r="AB20" s="140">
        <f t="shared" si="4"/>
        <v>101.66289648389477</v>
      </c>
      <c r="AC20" s="140">
        <f t="shared" si="5"/>
        <v>173.31680514607345</v>
      </c>
      <c r="AD20" s="176" t="s">
        <v>157</v>
      </c>
    </row>
    <row r="21" spans="1:30" s="124" customFormat="1" ht="21" customHeight="1" x14ac:dyDescent="0.2">
      <c r="A21" s="124" t="str">
        <f t="shared" si="0"/>
        <v>Citywalk Phase 5.10</v>
      </c>
      <c r="B21" s="120" t="str">
        <f t="shared" si="6"/>
        <v>Citywalk Phase 5.10 - Electrical</v>
      </c>
      <c r="C21" s="120"/>
      <c r="D21" s="121" t="s">
        <v>82</v>
      </c>
      <c r="E21" s="121" t="s">
        <v>83</v>
      </c>
      <c r="F21" s="121" t="s">
        <v>84</v>
      </c>
      <c r="G21" s="121" t="s">
        <v>85</v>
      </c>
      <c r="H21" s="122" t="s">
        <v>111</v>
      </c>
      <c r="I21" s="121" t="s">
        <v>114</v>
      </c>
      <c r="J21" s="122">
        <v>2023</v>
      </c>
      <c r="K21" s="123" t="s">
        <v>88</v>
      </c>
      <c r="L21" s="122" t="s">
        <v>86</v>
      </c>
      <c r="M21" s="122" t="s">
        <v>104</v>
      </c>
      <c r="N21" s="122" t="s">
        <v>105</v>
      </c>
      <c r="O21" s="122" t="s">
        <v>122</v>
      </c>
      <c r="P21" s="122" t="s">
        <v>124</v>
      </c>
      <c r="Q21" s="130">
        <v>6454</v>
      </c>
      <c r="R21" s="130">
        <v>12201</v>
      </c>
      <c r="S21" s="130">
        <f t="shared" si="1"/>
        <v>18655</v>
      </c>
      <c r="T21" s="121" t="s">
        <v>148</v>
      </c>
      <c r="U21" s="141">
        <v>5.8</v>
      </c>
      <c r="V21" s="121" t="s">
        <v>31</v>
      </c>
      <c r="W21" s="122" t="s">
        <v>11</v>
      </c>
      <c r="X21" s="112">
        <v>36001</v>
      </c>
      <c r="Y21" s="112">
        <v>1059947</v>
      </c>
      <c r="Z21" s="139">
        <f t="shared" si="2"/>
        <v>1095948</v>
      </c>
      <c r="AA21" s="140">
        <f t="shared" si="3"/>
        <v>5.5780911062906728</v>
      </c>
      <c r="AB21" s="140">
        <f t="shared" si="4"/>
        <v>86.873780837636261</v>
      </c>
      <c r="AC21" s="140">
        <f t="shared" si="5"/>
        <v>58.748217636022517</v>
      </c>
      <c r="AD21" s="176" t="s">
        <v>157</v>
      </c>
    </row>
    <row r="22" spans="1:30" s="124" customFormat="1" ht="21" customHeight="1" x14ac:dyDescent="0.2">
      <c r="A22" s="124" t="str">
        <f t="shared" si="0"/>
        <v>Citywalk Phase 5.10</v>
      </c>
      <c r="B22" s="120" t="str">
        <f t="shared" si="6"/>
        <v>Citywalk Phase 5.10 - Electrical</v>
      </c>
      <c r="C22" s="120"/>
      <c r="D22" s="121" t="s">
        <v>82</v>
      </c>
      <c r="E22" s="121" t="s">
        <v>83</v>
      </c>
      <c r="F22" s="121" t="s">
        <v>84</v>
      </c>
      <c r="G22" s="121" t="s">
        <v>85</v>
      </c>
      <c r="H22" s="122" t="s">
        <v>111</v>
      </c>
      <c r="I22" s="121" t="s">
        <v>114</v>
      </c>
      <c r="J22" s="122">
        <v>2023</v>
      </c>
      <c r="K22" s="123" t="s">
        <v>88</v>
      </c>
      <c r="L22" s="122" t="s">
        <v>86</v>
      </c>
      <c r="M22" s="122" t="s">
        <v>104</v>
      </c>
      <c r="N22" s="122" t="s">
        <v>105</v>
      </c>
      <c r="O22" s="122" t="s">
        <v>122</v>
      </c>
      <c r="P22" s="122" t="s">
        <v>124</v>
      </c>
      <c r="Q22" s="130">
        <v>6454</v>
      </c>
      <c r="R22" s="130">
        <v>12201</v>
      </c>
      <c r="S22" s="130">
        <f t="shared" si="1"/>
        <v>18655</v>
      </c>
      <c r="T22" s="121" t="s">
        <v>148</v>
      </c>
      <c r="U22" s="141">
        <v>5.8</v>
      </c>
      <c r="V22" s="121" t="s">
        <v>32</v>
      </c>
      <c r="W22" s="122" t="s">
        <v>11</v>
      </c>
      <c r="X22" s="112">
        <v>64287</v>
      </c>
      <c r="Y22" s="112">
        <v>687660</v>
      </c>
      <c r="Z22" s="139">
        <f t="shared" si="2"/>
        <v>751947</v>
      </c>
      <c r="AA22" s="140">
        <f t="shared" si="3"/>
        <v>9.9607995041834521</v>
      </c>
      <c r="AB22" s="140">
        <f t="shared" si="4"/>
        <v>56.360954020162282</v>
      </c>
      <c r="AC22" s="140">
        <f t="shared" si="5"/>
        <v>40.308067542213884</v>
      </c>
      <c r="AD22" s="176" t="s">
        <v>157</v>
      </c>
    </row>
    <row r="23" spans="1:30" s="124" customFormat="1" ht="21" customHeight="1" x14ac:dyDescent="0.2">
      <c r="A23" s="124" t="str">
        <f t="shared" si="0"/>
        <v>Citywalk Phase 5.10</v>
      </c>
      <c r="B23" s="120" t="str">
        <f t="shared" si="6"/>
        <v>Citywalk Phase 5.10 - Electrical</v>
      </c>
      <c r="C23" s="120"/>
      <c r="D23" s="121" t="s">
        <v>82</v>
      </c>
      <c r="E23" s="121" t="s">
        <v>83</v>
      </c>
      <c r="F23" s="121" t="s">
        <v>84</v>
      </c>
      <c r="G23" s="121" t="s">
        <v>85</v>
      </c>
      <c r="H23" s="122" t="s">
        <v>111</v>
      </c>
      <c r="I23" s="121" t="s">
        <v>114</v>
      </c>
      <c r="J23" s="122">
        <v>2023</v>
      </c>
      <c r="K23" s="123" t="s">
        <v>88</v>
      </c>
      <c r="L23" s="122" t="s">
        <v>86</v>
      </c>
      <c r="M23" s="122" t="s">
        <v>104</v>
      </c>
      <c r="N23" s="122" t="s">
        <v>105</v>
      </c>
      <c r="O23" s="122" t="s">
        <v>122</v>
      </c>
      <c r="P23" s="122" t="s">
        <v>124</v>
      </c>
      <c r="Q23" s="130">
        <v>6454</v>
      </c>
      <c r="R23" s="130">
        <v>12201</v>
      </c>
      <c r="S23" s="130">
        <f t="shared" si="1"/>
        <v>18655</v>
      </c>
      <c r="T23" s="121" t="s">
        <v>148</v>
      </c>
      <c r="U23" s="141">
        <v>5.8</v>
      </c>
      <c r="V23" s="121" t="s">
        <v>33</v>
      </c>
      <c r="W23" s="122" t="s">
        <v>11</v>
      </c>
      <c r="X23" s="112">
        <v>152252</v>
      </c>
      <c r="Y23" s="112">
        <v>2825552</v>
      </c>
      <c r="Z23" s="139">
        <f t="shared" si="2"/>
        <v>2977804</v>
      </c>
      <c r="AA23" s="140">
        <f t="shared" si="3"/>
        <v>23.590331577316395</v>
      </c>
      <c r="AB23" s="140">
        <f t="shared" si="4"/>
        <v>231.58364068518975</v>
      </c>
      <c r="AC23" s="140">
        <f t="shared" si="5"/>
        <v>159.62497989815063</v>
      </c>
      <c r="AD23" s="176" t="s">
        <v>157</v>
      </c>
    </row>
    <row r="24" spans="1:30" s="124" customFormat="1" ht="21" customHeight="1" x14ac:dyDescent="0.2">
      <c r="A24" s="124" t="str">
        <f t="shared" si="0"/>
        <v>Citywalk Phase 5.10</v>
      </c>
      <c r="B24" s="120" t="str">
        <f t="shared" si="6"/>
        <v>Citywalk Phase 5.10 - Electrical</v>
      </c>
      <c r="C24" s="120"/>
      <c r="D24" s="121" t="s">
        <v>82</v>
      </c>
      <c r="E24" s="121" t="s">
        <v>83</v>
      </c>
      <c r="F24" s="121" t="s">
        <v>84</v>
      </c>
      <c r="G24" s="121" t="s">
        <v>85</v>
      </c>
      <c r="H24" s="122" t="s">
        <v>111</v>
      </c>
      <c r="I24" s="121" t="s">
        <v>114</v>
      </c>
      <c r="J24" s="122">
        <v>2023</v>
      </c>
      <c r="K24" s="123" t="s">
        <v>88</v>
      </c>
      <c r="L24" s="122" t="s">
        <v>86</v>
      </c>
      <c r="M24" s="122" t="s">
        <v>104</v>
      </c>
      <c r="N24" s="122" t="s">
        <v>105</v>
      </c>
      <c r="O24" s="122" t="s">
        <v>122</v>
      </c>
      <c r="P24" s="122" t="s">
        <v>124</v>
      </c>
      <c r="Q24" s="130">
        <v>6454</v>
      </c>
      <c r="R24" s="130">
        <v>12201</v>
      </c>
      <c r="S24" s="130">
        <f t="shared" si="1"/>
        <v>18655</v>
      </c>
      <c r="T24" s="121" t="s">
        <v>148</v>
      </c>
      <c r="U24" s="141">
        <v>5.8</v>
      </c>
      <c r="V24" s="121" t="s">
        <v>34</v>
      </c>
      <c r="W24" s="122" t="s">
        <v>11</v>
      </c>
      <c r="X24" s="112">
        <v>19831</v>
      </c>
      <c r="Y24" s="112">
        <v>20935</v>
      </c>
      <c r="Z24" s="139">
        <f t="shared" si="2"/>
        <v>40766</v>
      </c>
      <c r="AA24" s="140">
        <f t="shared" si="3"/>
        <v>3.0726681127982647</v>
      </c>
      <c r="AB24" s="140">
        <f t="shared" si="4"/>
        <v>1.7158429636915007</v>
      </c>
      <c r="AC24" s="140">
        <f t="shared" si="5"/>
        <v>2.1852586437952293</v>
      </c>
      <c r="AD24" s="176" t="s">
        <v>157</v>
      </c>
    </row>
    <row r="25" spans="1:30" s="124" customFormat="1" ht="21" customHeight="1" x14ac:dyDescent="0.2">
      <c r="A25" s="124" t="str">
        <f t="shared" si="0"/>
        <v>Citywalk Phase 5.10</v>
      </c>
      <c r="B25" s="120" t="str">
        <f t="shared" si="6"/>
        <v>Citywalk Phase 5.10 - Electrical</v>
      </c>
      <c r="C25" s="120"/>
      <c r="D25" s="121" t="s">
        <v>82</v>
      </c>
      <c r="E25" s="121" t="s">
        <v>83</v>
      </c>
      <c r="F25" s="121" t="s">
        <v>84</v>
      </c>
      <c r="G25" s="121" t="s">
        <v>85</v>
      </c>
      <c r="H25" s="122" t="s">
        <v>111</v>
      </c>
      <c r="I25" s="121" t="s">
        <v>114</v>
      </c>
      <c r="J25" s="122">
        <v>2023</v>
      </c>
      <c r="K25" s="123" t="s">
        <v>88</v>
      </c>
      <c r="L25" s="122" t="s">
        <v>86</v>
      </c>
      <c r="M25" s="122" t="s">
        <v>104</v>
      </c>
      <c r="N25" s="122" t="s">
        <v>105</v>
      </c>
      <c r="O25" s="122" t="s">
        <v>122</v>
      </c>
      <c r="P25" s="122" t="s">
        <v>124</v>
      </c>
      <c r="Q25" s="130">
        <v>6454</v>
      </c>
      <c r="R25" s="130">
        <v>12201</v>
      </c>
      <c r="S25" s="130">
        <f t="shared" si="1"/>
        <v>18655</v>
      </c>
      <c r="T25" s="121" t="s">
        <v>148</v>
      </c>
      <c r="U25" s="141">
        <v>5.8</v>
      </c>
      <c r="V25" s="121" t="s">
        <v>35</v>
      </c>
      <c r="W25" s="122" t="s">
        <v>11</v>
      </c>
      <c r="X25" s="112">
        <v>249604</v>
      </c>
      <c r="Y25" s="112">
        <v>947212</v>
      </c>
      <c r="Z25" s="139">
        <f t="shared" si="2"/>
        <v>1196816</v>
      </c>
      <c r="AA25" s="140">
        <f t="shared" si="3"/>
        <v>38.674310505113105</v>
      </c>
      <c r="AB25" s="140">
        <f t="shared" si="4"/>
        <v>77.633964429145152</v>
      </c>
      <c r="AC25" s="140">
        <f t="shared" si="5"/>
        <v>64.155239882069154</v>
      </c>
      <c r="AD25" s="176" t="s">
        <v>157</v>
      </c>
    </row>
    <row r="26" spans="1:30" s="124" customFormat="1" ht="21" customHeight="1" x14ac:dyDescent="0.2">
      <c r="A26" s="124" t="str">
        <f t="shared" si="0"/>
        <v>Citywalk Phase 5.10</v>
      </c>
      <c r="B26" s="120" t="str">
        <f t="shared" si="6"/>
        <v>Citywalk Phase 5.10 - Electrical</v>
      </c>
      <c r="C26" s="120"/>
      <c r="D26" s="121" t="s">
        <v>82</v>
      </c>
      <c r="E26" s="121" t="s">
        <v>83</v>
      </c>
      <c r="F26" s="121" t="s">
        <v>84</v>
      </c>
      <c r="G26" s="121" t="s">
        <v>85</v>
      </c>
      <c r="H26" s="122" t="s">
        <v>111</v>
      </c>
      <c r="I26" s="121" t="s">
        <v>114</v>
      </c>
      <c r="J26" s="122">
        <v>2023</v>
      </c>
      <c r="K26" s="123" t="s">
        <v>88</v>
      </c>
      <c r="L26" s="122" t="s">
        <v>86</v>
      </c>
      <c r="M26" s="122" t="s">
        <v>104</v>
      </c>
      <c r="N26" s="122" t="s">
        <v>105</v>
      </c>
      <c r="O26" s="122" t="s">
        <v>122</v>
      </c>
      <c r="P26" s="122" t="s">
        <v>124</v>
      </c>
      <c r="Q26" s="130">
        <v>6454</v>
      </c>
      <c r="R26" s="130">
        <v>12201</v>
      </c>
      <c r="S26" s="130">
        <f t="shared" si="1"/>
        <v>18655</v>
      </c>
      <c r="T26" s="121" t="s">
        <v>148</v>
      </c>
      <c r="U26" s="141">
        <v>5.8</v>
      </c>
      <c r="V26" s="121" t="s">
        <v>56</v>
      </c>
      <c r="W26" s="122" t="s">
        <v>11</v>
      </c>
      <c r="X26" s="112">
        <v>56041</v>
      </c>
      <c r="Y26" s="112">
        <v>395462</v>
      </c>
      <c r="Z26" s="139">
        <f t="shared" si="2"/>
        <v>451503</v>
      </c>
      <c r="AA26" s="140">
        <f t="shared" si="3"/>
        <v>8.6831422373721718</v>
      </c>
      <c r="AB26" s="140">
        <f t="shared" si="4"/>
        <v>32.41226129005819</v>
      </c>
      <c r="AC26" s="140">
        <f t="shared" si="5"/>
        <v>24.202787456445993</v>
      </c>
      <c r="AD26" s="176" t="s">
        <v>157</v>
      </c>
    </row>
    <row r="27" spans="1:30" s="124" customFormat="1" ht="21" customHeight="1" x14ac:dyDescent="0.2">
      <c r="A27" s="124" t="str">
        <f t="shared" si="0"/>
        <v>Citywalk Phase 5.10</v>
      </c>
      <c r="B27" s="120" t="str">
        <f t="shared" si="6"/>
        <v>Citywalk Phase 5.10 - Electrical</v>
      </c>
      <c r="C27" s="120"/>
      <c r="D27" s="121" t="s">
        <v>82</v>
      </c>
      <c r="E27" s="121" t="s">
        <v>83</v>
      </c>
      <c r="F27" s="121" t="s">
        <v>84</v>
      </c>
      <c r="G27" s="121" t="s">
        <v>85</v>
      </c>
      <c r="H27" s="122" t="s">
        <v>111</v>
      </c>
      <c r="I27" s="121" t="s">
        <v>114</v>
      </c>
      <c r="J27" s="122">
        <v>2023</v>
      </c>
      <c r="K27" s="123" t="s">
        <v>88</v>
      </c>
      <c r="L27" s="122" t="s">
        <v>86</v>
      </c>
      <c r="M27" s="122" t="s">
        <v>104</v>
      </c>
      <c r="N27" s="122" t="s">
        <v>105</v>
      </c>
      <c r="O27" s="122" t="s">
        <v>122</v>
      </c>
      <c r="P27" s="122" t="s">
        <v>124</v>
      </c>
      <c r="Q27" s="130">
        <v>6454</v>
      </c>
      <c r="R27" s="130">
        <v>12201</v>
      </c>
      <c r="S27" s="130">
        <f t="shared" si="1"/>
        <v>18655</v>
      </c>
      <c r="T27" s="121" t="s">
        <v>148</v>
      </c>
      <c r="U27" s="141">
        <v>5.8</v>
      </c>
      <c r="V27" s="121" t="s">
        <v>36</v>
      </c>
      <c r="W27" s="122" t="s">
        <v>11</v>
      </c>
      <c r="X27" s="112">
        <v>142676</v>
      </c>
      <c r="Y27" s="112">
        <v>88200</v>
      </c>
      <c r="Z27" s="139">
        <f t="shared" si="2"/>
        <v>230876</v>
      </c>
      <c r="AA27" s="140">
        <f t="shared" si="3"/>
        <v>22.106600557793616</v>
      </c>
      <c r="AB27" s="140">
        <f t="shared" si="4"/>
        <v>7.2289156626506026</v>
      </c>
      <c r="AC27" s="140">
        <f t="shared" si="5"/>
        <v>12.376092200482445</v>
      </c>
      <c r="AD27" s="176" t="s">
        <v>157</v>
      </c>
    </row>
    <row r="28" spans="1:30" s="124" customFormat="1" ht="21" customHeight="1" x14ac:dyDescent="0.2">
      <c r="A28" s="124" t="str">
        <f t="shared" si="0"/>
        <v>Citywalk Phase 5.10</v>
      </c>
      <c r="B28" s="120" t="str">
        <f t="shared" si="6"/>
        <v>Citywalk Phase 5.10 - Electrical</v>
      </c>
      <c r="C28" s="120"/>
      <c r="D28" s="121" t="s">
        <v>82</v>
      </c>
      <c r="E28" s="121" t="s">
        <v>83</v>
      </c>
      <c r="F28" s="121" t="s">
        <v>84</v>
      </c>
      <c r="G28" s="121" t="s">
        <v>85</v>
      </c>
      <c r="H28" s="122" t="s">
        <v>111</v>
      </c>
      <c r="I28" s="121" t="s">
        <v>114</v>
      </c>
      <c r="J28" s="122">
        <v>2023</v>
      </c>
      <c r="K28" s="123" t="s">
        <v>88</v>
      </c>
      <c r="L28" s="122" t="s">
        <v>86</v>
      </c>
      <c r="M28" s="122" t="s">
        <v>104</v>
      </c>
      <c r="N28" s="122" t="s">
        <v>105</v>
      </c>
      <c r="O28" s="122" t="s">
        <v>122</v>
      </c>
      <c r="P28" s="122" t="s">
        <v>124</v>
      </c>
      <c r="Q28" s="130">
        <v>6454</v>
      </c>
      <c r="R28" s="130">
        <v>12201</v>
      </c>
      <c r="S28" s="130">
        <f t="shared" si="1"/>
        <v>18655</v>
      </c>
      <c r="T28" s="121" t="s">
        <v>148</v>
      </c>
      <c r="U28" s="141">
        <v>5.8</v>
      </c>
      <c r="V28" s="121" t="s">
        <v>57</v>
      </c>
      <c r="W28" s="122" t="s">
        <v>11</v>
      </c>
      <c r="X28" s="112">
        <v>0</v>
      </c>
      <c r="Y28" s="112">
        <v>0</v>
      </c>
      <c r="Z28" s="139">
        <f t="shared" si="2"/>
        <v>0</v>
      </c>
      <c r="AA28" s="140">
        <f t="shared" si="3"/>
        <v>0</v>
      </c>
      <c r="AB28" s="140">
        <f t="shared" si="4"/>
        <v>0</v>
      </c>
      <c r="AC28" s="140">
        <f t="shared" si="5"/>
        <v>0</v>
      </c>
      <c r="AD28" s="176" t="s">
        <v>157</v>
      </c>
    </row>
    <row r="29" spans="1:30" s="124" customFormat="1" ht="21" customHeight="1" x14ac:dyDescent="0.2">
      <c r="A29" s="124" t="str">
        <f t="shared" si="0"/>
        <v>Citywalk Phase 5.10</v>
      </c>
      <c r="B29" s="120" t="str">
        <f t="shared" si="6"/>
        <v>Citywalk Phase 5.10 - Electrical</v>
      </c>
      <c r="C29" s="120"/>
      <c r="D29" s="121" t="s">
        <v>82</v>
      </c>
      <c r="E29" s="121" t="s">
        <v>83</v>
      </c>
      <c r="F29" s="121" t="s">
        <v>84</v>
      </c>
      <c r="G29" s="121" t="s">
        <v>85</v>
      </c>
      <c r="H29" s="122" t="s">
        <v>111</v>
      </c>
      <c r="I29" s="121" t="s">
        <v>114</v>
      </c>
      <c r="J29" s="122">
        <v>2023</v>
      </c>
      <c r="K29" s="123" t="s">
        <v>88</v>
      </c>
      <c r="L29" s="122" t="s">
        <v>86</v>
      </c>
      <c r="M29" s="122" t="s">
        <v>104</v>
      </c>
      <c r="N29" s="122" t="s">
        <v>105</v>
      </c>
      <c r="O29" s="122" t="s">
        <v>122</v>
      </c>
      <c r="P29" s="122" t="s">
        <v>124</v>
      </c>
      <c r="Q29" s="130">
        <v>6454</v>
      </c>
      <c r="R29" s="130">
        <v>12201</v>
      </c>
      <c r="S29" s="130">
        <f t="shared" si="1"/>
        <v>18655</v>
      </c>
      <c r="T29" s="121" t="s">
        <v>148</v>
      </c>
      <c r="U29" s="141">
        <v>5.8</v>
      </c>
      <c r="V29" s="121" t="s">
        <v>37</v>
      </c>
      <c r="W29" s="122" t="s">
        <v>11</v>
      </c>
      <c r="X29" s="112">
        <v>207656</v>
      </c>
      <c r="Y29" s="112">
        <v>279946</v>
      </c>
      <c r="Z29" s="139">
        <f t="shared" si="2"/>
        <v>487602</v>
      </c>
      <c r="AA29" s="140">
        <f t="shared" si="3"/>
        <v>32.174775333126746</v>
      </c>
      <c r="AB29" s="140">
        <f t="shared" si="4"/>
        <v>22.944512744856979</v>
      </c>
      <c r="AC29" s="140">
        <f t="shared" si="5"/>
        <v>26.137871884213347</v>
      </c>
      <c r="AD29" s="176" t="s">
        <v>157</v>
      </c>
    </row>
    <row r="30" spans="1:30" s="124" customFormat="1" ht="21" customHeight="1" x14ac:dyDescent="0.2">
      <c r="A30" s="124" t="str">
        <f t="shared" si="0"/>
        <v>Citywalk Phase 5.10</v>
      </c>
      <c r="B30" s="120" t="str">
        <f t="shared" si="6"/>
        <v>Citywalk Phase 5.10 - Electrical</v>
      </c>
      <c r="C30" s="120"/>
      <c r="D30" s="121" t="s">
        <v>82</v>
      </c>
      <c r="E30" s="121" t="s">
        <v>83</v>
      </c>
      <c r="F30" s="121" t="s">
        <v>84</v>
      </c>
      <c r="G30" s="121" t="s">
        <v>85</v>
      </c>
      <c r="H30" s="122" t="s">
        <v>111</v>
      </c>
      <c r="I30" s="121" t="s">
        <v>114</v>
      </c>
      <c r="J30" s="122">
        <v>2023</v>
      </c>
      <c r="K30" s="123" t="s">
        <v>88</v>
      </c>
      <c r="L30" s="122" t="s">
        <v>86</v>
      </c>
      <c r="M30" s="122" t="s">
        <v>104</v>
      </c>
      <c r="N30" s="122" t="s">
        <v>105</v>
      </c>
      <c r="O30" s="122" t="s">
        <v>122</v>
      </c>
      <c r="P30" s="122" t="s">
        <v>124</v>
      </c>
      <c r="Q30" s="130">
        <v>6454</v>
      </c>
      <c r="R30" s="130">
        <v>12201</v>
      </c>
      <c r="S30" s="130">
        <f t="shared" si="1"/>
        <v>18655</v>
      </c>
      <c r="T30" s="121" t="s">
        <v>148</v>
      </c>
      <c r="U30" s="141">
        <v>5.8</v>
      </c>
      <c r="V30" s="121" t="s">
        <v>38</v>
      </c>
      <c r="W30" s="122" t="s">
        <v>11</v>
      </c>
      <c r="X30" s="112">
        <v>77637</v>
      </c>
      <c r="Y30" s="112">
        <v>0</v>
      </c>
      <c r="Z30" s="139">
        <f t="shared" si="2"/>
        <v>77637</v>
      </c>
      <c r="AA30" s="140">
        <f t="shared" si="3"/>
        <v>12.029284164859002</v>
      </c>
      <c r="AB30" s="140">
        <f t="shared" si="4"/>
        <v>0</v>
      </c>
      <c r="AC30" s="140">
        <f t="shared" si="5"/>
        <v>4.1617260787992496</v>
      </c>
      <c r="AD30" s="176" t="s">
        <v>157</v>
      </c>
    </row>
    <row r="31" spans="1:30" s="124" customFormat="1" ht="21" customHeight="1" x14ac:dyDescent="0.2">
      <c r="A31" s="124" t="str">
        <f t="shared" si="0"/>
        <v>Citywalk Phase 5.10</v>
      </c>
      <c r="B31" s="120" t="str">
        <f t="shared" si="6"/>
        <v>Citywalk Phase 5.10 - Electrical</v>
      </c>
      <c r="C31" s="120"/>
      <c r="D31" s="121" t="s">
        <v>82</v>
      </c>
      <c r="E31" s="121" t="s">
        <v>83</v>
      </c>
      <c r="F31" s="121" t="s">
        <v>84</v>
      </c>
      <c r="G31" s="121" t="s">
        <v>85</v>
      </c>
      <c r="H31" s="122" t="s">
        <v>111</v>
      </c>
      <c r="I31" s="121" t="s">
        <v>114</v>
      </c>
      <c r="J31" s="122">
        <v>2023</v>
      </c>
      <c r="K31" s="123" t="s">
        <v>88</v>
      </c>
      <c r="L31" s="122" t="s">
        <v>86</v>
      </c>
      <c r="M31" s="122" t="s">
        <v>104</v>
      </c>
      <c r="N31" s="122" t="s">
        <v>105</v>
      </c>
      <c r="O31" s="122" t="s">
        <v>122</v>
      </c>
      <c r="P31" s="122" t="s">
        <v>124</v>
      </c>
      <c r="Q31" s="130">
        <v>6454</v>
      </c>
      <c r="R31" s="130">
        <v>12201</v>
      </c>
      <c r="S31" s="130">
        <f t="shared" si="1"/>
        <v>18655</v>
      </c>
      <c r="T31" s="121" t="s">
        <v>148</v>
      </c>
      <c r="U31" s="141">
        <v>5.8</v>
      </c>
      <c r="V31" s="121" t="s">
        <v>5</v>
      </c>
      <c r="W31" s="122" t="s">
        <v>11</v>
      </c>
      <c r="X31" s="112">
        <v>74481</v>
      </c>
      <c r="Y31" s="112">
        <v>224071</v>
      </c>
      <c r="Z31" s="139">
        <f t="shared" si="2"/>
        <v>298552</v>
      </c>
      <c r="AA31" s="140">
        <f t="shared" si="3"/>
        <v>11.540285094515029</v>
      </c>
      <c r="AB31" s="140">
        <f t="shared" si="4"/>
        <v>18.364970084419308</v>
      </c>
      <c r="AC31" s="140">
        <f t="shared" si="5"/>
        <v>16.003859555079067</v>
      </c>
      <c r="AD31" s="176" t="s">
        <v>157</v>
      </c>
    </row>
    <row r="32" spans="1:30" s="124" customFormat="1" ht="21" customHeight="1" x14ac:dyDescent="0.2">
      <c r="A32" s="124" t="str">
        <f t="shared" si="0"/>
        <v>Citywalk Phase 5.10</v>
      </c>
      <c r="B32" s="120" t="str">
        <f t="shared" si="6"/>
        <v>Citywalk Phase 5.10 - Electrical</v>
      </c>
      <c r="C32" s="120"/>
      <c r="D32" s="121" t="s">
        <v>82</v>
      </c>
      <c r="E32" s="121" t="s">
        <v>83</v>
      </c>
      <c r="F32" s="121" t="s">
        <v>84</v>
      </c>
      <c r="G32" s="121" t="s">
        <v>85</v>
      </c>
      <c r="H32" s="122" t="s">
        <v>111</v>
      </c>
      <c r="I32" s="121" t="s">
        <v>114</v>
      </c>
      <c r="J32" s="122">
        <v>2023</v>
      </c>
      <c r="K32" s="123" t="s">
        <v>88</v>
      </c>
      <c r="L32" s="122" t="s">
        <v>86</v>
      </c>
      <c r="M32" s="122" t="s">
        <v>104</v>
      </c>
      <c r="N32" s="122" t="s">
        <v>105</v>
      </c>
      <c r="O32" s="122" t="s">
        <v>122</v>
      </c>
      <c r="P32" s="122" t="s">
        <v>124</v>
      </c>
      <c r="Q32" s="130">
        <v>6454</v>
      </c>
      <c r="R32" s="130">
        <v>12201</v>
      </c>
      <c r="S32" s="130">
        <f t="shared" si="1"/>
        <v>18655</v>
      </c>
      <c r="T32" s="121" t="s">
        <v>148</v>
      </c>
      <c r="U32" s="141" t="s">
        <v>52</v>
      </c>
      <c r="V32" s="121" t="s">
        <v>39</v>
      </c>
      <c r="W32" s="122" t="s">
        <v>11</v>
      </c>
      <c r="X32" s="112">
        <v>50882</v>
      </c>
      <c r="Y32" s="112">
        <v>257509</v>
      </c>
      <c r="Z32" s="139">
        <f t="shared" si="2"/>
        <v>308391</v>
      </c>
      <c r="AA32" s="140">
        <f t="shared" si="3"/>
        <v>7.8837929965912616</v>
      </c>
      <c r="AB32" s="140">
        <f t="shared" si="4"/>
        <v>21.10556511761331</v>
      </c>
      <c r="AC32" s="140">
        <f t="shared" si="5"/>
        <v>16.531278477619942</v>
      </c>
      <c r="AD32" s="176" t="s">
        <v>157</v>
      </c>
    </row>
    <row r="33" spans="1:30" s="124" customFormat="1" ht="21" customHeight="1" x14ac:dyDescent="0.2">
      <c r="A33" s="124" t="str">
        <f t="shared" si="0"/>
        <v>Citywalk Phase 5.10</v>
      </c>
      <c r="B33" s="120" t="str">
        <f t="shared" si="6"/>
        <v>Citywalk Phase 5.10 - Electrical</v>
      </c>
      <c r="C33" s="120"/>
      <c r="D33" s="121" t="s">
        <v>82</v>
      </c>
      <c r="E33" s="121" t="s">
        <v>83</v>
      </c>
      <c r="F33" s="121" t="s">
        <v>84</v>
      </c>
      <c r="G33" s="121" t="s">
        <v>85</v>
      </c>
      <c r="H33" s="122" t="s">
        <v>111</v>
      </c>
      <c r="I33" s="121" t="s">
        <v>114</v>
      </c>
      <c r="J33" s="122">
        <v>2023</v>
      </c>
      <c r="K33" s="123" t="s">
        <v>88</v>
      </c>
      <c r="L33" s="122" t="s">
        <v>86</v>
      </c>
      <c r="M33" s="122" t="s">
        <v>104</v>
      </c>
      <c r="N33" s="122" t="s">
        <v>105</v>
      </c>
      <c r="O33" s="122" t="s">
        <v>122</v>
      </c>
      <c r="P33" s="122" t="s">
        <v>124</v>
      </c>
      <c r="Q33" s="130">
        <v>6454</v>
      </c>
      <c r="R33" s="130">
        <v>12201</v>
      </c>
      <c r="S33" s="130">
        <f t="shared" si="1"/>
        <v>18655</v>
      </c>
      <c r="T33" s="121" t="s">
        <v>148</v>
      </c>
      <c r="U33" s="141" t="s">
        <v>52</v>
      </c>
      <c r="V33" s="121" t="s">
        <v>40</v>
      </c>
      <c r="W33" s="122" t="s">
        <v>11</v>
      </c>
      <c r="X33" s="112">
        <v>118358</v>
      </c>
      <c r="Y33" s="112">
        <v>0</v>
      </c>
      <c r="Z33" s="139">
        <f t="shared" si="2"/>
        <v>118358</v>
      </c>
      <c r="AA33" s="140">
        <f t="shared" si="3"/>
        <v>18.33870467926867</v>
      </c>
      <c r="AB33" s="140">
        <f t="shared" si="4"/>
        <v>0</v>
      </c>
      <c r="AC33" s="140">
        <f t="shared" si="5"/>
        <v>6.3445725006700613</v>
      </c>
      <c r="AD33" s="176" t="s">
        <v>157</v>
      </c>
    </row>
    <row r="34" spans="1:30" s="124" customFormat="1" ht="21" customHeight="1" x14ac:dyDescent="0.2">
      <c r="A34" s="124" t="str">
        <f t="shared" si="0"/>
        <v>Citywalk Phase 5.10</v>
      </c>
      <c r="B34" s="120" t="str">
        <f t="shared" si="6"/>
        <v>Citywalk Phase 5.10 - Electrical</v>
      </c>
      <c r="C34" s="120"/>
      <c r="D34" s="121" t="s">
        <v>82</v>
      </c>
      <c r="E34" s="121" t="s">
        <v>83</v>
      </c>
      <c r="F34" s="121" t="s">
        <v>84</v>
      </c>
      <c r="G34" s="121" t="s">
        <v>85</v>
      </c>
      <c r="H34" s="122" t="s">
        <v>111</v>
      </c>
      <c r="I34" s="121" t="s">
        <v>114</v>
      </c>
      <c r="J34" s="122">
        <v>2023</v>
      </c>
      <c r="K34" s="123" t="s">
        <v>88</v>
      </c>
      <c r="L34" s="122" t="s">
        <v>86</v>
      </c>
      <c r="M34" s="122" t="s">
        <v>104</v>
      </c>
      <c r="N34" s="122" t="s">
        <v>105</v>
      </c>
      <c r="O34" s="122" t="s">
        <v>122</v>
      </c>
      <c r="P34" s="122" t="s">
        <v>124</v>
      </c>
      <c r="Q34" s="130">
        <v>6454</v>
      </c>
      <c r="R34" s="130">
        <v>12201</v>
      </c>
      <c r="S34" s="130">
        <f t="shared" si="1"/>
        <v>18655</v>
      </c>
      <c r="T34" s="121" t="s">
        <v>148</v>
      </c>
      <c r="U34" s="141">
        <v>5.12</v>
      </c>
      <c r="V34" s="121" t="s">
        <v>41</v>
      </c>
      <c r="W34" s="122" t="s">
        <v>11</v>
      </c>
      <c r="X34" s="112">
        <v>75213</v>
      </c>
      <c r="Y34" s="112">
        <v>556986</v>
      </c>
      <c r="Z34" s="139">
        <f t="shared" si="2"/>
        <v>632199</v>
      </c>
      <c r="AA34" s="140">
        <f t="shared" si="3"/>
        <v>11.653703129841958</v>
      </c>
      <c r="AB34" s="140">
        <f t="shared" si="4"/>
        <v>45.65084829112368</v>
      </c>
      <c r="AC34" s="140">
        <f t="shared" si="5"/>
        <v>33.888984186545159</v>
      </c>
      <c r="AD34" s="176" t="s">
        <v>157</v>
      </c>
    </row>
    <row r="35" spans="1:30" s="124" customFormat="1" ht="21" customHeight="1" x14ac:dyDescent="0.2">
      <c r="A35" s="124" t="str">
        <f t="shared" si="0"/>
        <v>Citywalk Phase 5.10</v>
      </c>
      <c r="B35" s="120" t="str">
        <f t="shared" si="6"/>
        <v>Citywalk Phase 5.10 - Electrical</v>
      </c>
      <c r="C35" s="120"/>
      <c r="D35" s="121" t="s">
        <v>82</v>
      </c>
      <c r="E35" s="121" t="s">
        <v>83</v>
      </c>
      <c r="F35" s="121" t="s">
        <v>84</v>
      </c>
      <c r="G35" s="121" t="s">
        <v>85</v>
      </c>
      <c r="H35" s="122" t="s">
        <v>111</v>
      </c>
      <c r="I35" s="121" t="s">
        <v>114</v>
      </c>
      <c r="J35" s="122">
        <v>2023</v>
      </c>
      <c r="K35" s="123" t="s">
        <v>88</v>
      </c>
      <c r="L35" s="122" t="s">
        <v>86</v>
      </c>
      <c r="M35" s="122" t="s">
        <v>104</v>
      </c>
      <c r="N35" s="122" t="s">
        <v>105</v>
      </c>
      <c r="O35" s="122" t="s">
        <v>122</v>
      </c>
      <c r="P35" s="122" t="s">
        <v>124</v>
      </c>
      <c r="Q35" s="130">
        <v>6454</v>
      </c>
      <c r="R35" s="130">
        <v>12201</v>
      </c>
      <c r="S35" s="130">
        <f t="shared" si="1"/>
        <v>18655</v>
      </c>
      <c r="T35" s="121" t="s">
        <v>148</v>
      </c>
      <c r="U35" s="141">
        <v>5.12</v>
      </c>
      <c r="V35" s="121" t="s">
        <v>42</v>
      </c>
      <c r="W35" s="122" t="s">
        <v>11</v>
      </c>
      <c r="X35" s="112">
        <v>303514</v>
      </c>
      <c r="Y35" s="112">
        <v>360990</v>
      </c>
      <c r="Z35" s="139">
        <f t="shared" si="2"/>
        <v>664504</v>
      </c>
      <c r="AA35" s="140">
        <f t="shared" si="3"/>
        <v>47.027269910133249</v>
      </c>
      <c r="AB35" s="140">
        <f t="shared" si="4"/>
        <v>29.586919104991395</v>
      </c>
      <c r="AC35" s="140">
        <f t="shared" si="5"/>
        <v>35.620691503618332</v>
      </c>
      <c r="AD35" s="176" t="s">
        <v>157</v>
      </c>
    </row>
    <row r="36" spans="1:30" s="124" customFormat="1" ht="21" customHeight="1" x14ac:dyDescent="0.2">
      <c r="A36" s="124" t="str">
        <f t="shared" si="0"/>
        <v>Citywalk Phase 5.10</v>
      </c>
      <c r="B36" s="120" t="str">
        <f t="shared" si="6"/>
        <v>Citywalk Phase 5.10 - Electrical</v>
      </c>
      <c r="C36" s="120"/>
      <c r="D36" s="121" t="s">
        <v>82</v>
      </c>
      <c r="E36" s="121" t="s">
        <v>83</v>
      </c>
      <c r="F36" s="121" t="s">
        <v>84</v>
      </c>
      <c r="G36" s="121" t="s">
        <v>85</v>
      </c>
      <c r="H36" s="122" t="s">
        <v>111</v>
      </c>
      <c r="I36" s="121" t="s">
        <v>114</v>
      </c>
      <c r="J36" s="122">
        <v>2023</v>
      </c>
      <c r="K36" s="123" t="s">
        <v>88</v>
      </c>
      <c r="L36" s="122" t="s">
        <v>86</v>
      </c>
      <c r="M36" s="122" t="s">
        <v>104</v>
      </c>
      <c r="N36" s="122" t="s">
        <v>105</v>
      </c>
      <c r="O36" s="122" t="s">
        <v>122</v>
      </c>
      <c r="P36" s="122" t="s">
        <v>124</v>
      </c>
      <c r="Q36" s="130">
        <v>6454</v>
      </c>
      <c r="R36" s="130">
        <v>12201</v>
      </c>
      <c r="S36" s="130">
        <f t="shared" si="1"/>
        <v>18655</v>
      </c>
      <c r="T36" s="121" t="s">
        <v>148</v>
      </c>
      <c r="U36" s="141">
        <v>5.12</v>
      </c>
      <c r="V36" s="121" t="s">
        <v>60</v>
      </c>
      <c r="W36" s="122" t="s">
        <v>11</v>
      </c>
      <c r="X36" s="112">
        <v>82848</v>
      </c>
      <c r="Y36" s="112">
        <v>0</v>
      </c>
      <c r="Z36" s="139">
        <f t="shared" si="2"/>
        <v>82848</v>
      </c>
      <c r="AA36" s="140">
        <f t="shared" si="3"/>
        <v>12.836690424542919</v>
      </c>
      <c r="AB36" s="140">
        <f t="shared" si="4"/>
        <v>0</v>
      </c>
      <c r="AC36" s="140">
        <f t="shared" si="5"/>
        <v>4.4410613776467436</v>
      </c>
      <c r="AD36" s="176" t="s">
        <v>157</v>
      </c>
    </row>
    <row r="37" spans="1:30" s="124" customFormat="1" ht="21" customHeight="1" x14ac:dyDescent="0.2">
      <c r="A37" s="124" t="str">
        <f t="shared" si="0"/>
        <v>Citywalk Phase 5.10</v>
      </c>
      <c r="B37" s="120" t="str">
        <f t="shared" si="6"/>
        <v>Citywalk Phase 5.10 - Electrical</v>
      </c>
      <c r="C37" s="120"/>
      <c r="D37" s="121" t="s">
        <v>82</v>
      </c>
      <c r="E37" s="121" t="s">
        <v>83</v>
      </c>
      <c r="F37" s="121" t="s">
        <v>84</v>
      </c>
      <c r="G37" s="121" t="s">
        <v>85</v>
      </c>
      <c r="H37" s="122" t="s">
        <v>111</v>
      </c>
      <c r="I37" s="121" t="s">
        <v>114</v>
      </c>
      <c r="J37" s="122">
        <v>2023</v>
      </c>
      <c r="K37" s="123" t="s">
        <v>88</v>
      </c>
      <c r="L37" s="122" t="s">
        <v>86</v>
      </c>
      <c r="M37" s="122" t="s">
        <v>104</v>
      </c>
      <c r="N37" s="122" t="s">
        <v>105</v>
      </c>
      <c r="O37" s="122" t="s">
        <v>122</v>
      </c>
      <c r="P37" s="122" t="s">
        <v>124</v>
      </c>
      <c r="Q37" s="130">
        <v>6454</v>
      </c>
      <c r="R37" s="130">
        <v>12201</v>
      </c>
      <c r="S37" s="130">
        <f t="shared" si="1"/>
        <v>18655</v>
      </c>
      <c r="T37" s="121" t="s">
        <v>148</v>
      </c>
      <c r="U37" s="141">
        <v>5.12</v>
      </c>
      <c r="V37" s="121" t="s">
        <v>43</v>
      </c>
      <c r="W37" s="122" t="s">
        <v>11</v>
      </c>
      <c r="X37" s="112">
        <v>65951</v>
      </c>
      <c r="Y37" s="112">
        <v>142223</v>
      </c>
      <c r="Z37" s="139">
        <f t="shared" si="2"/>
        <v>208174</v>
      </c>
      <c r="AA37" s="140">
        <f t="shared" si="3"/>
        <v>10.21862410907964</v>
      </c>
      <c r="AB37" s="140">
        <f t="shared" si="4"/>
        <v>11.656667486271617</v>
      </c>
      <c r="AC37" s="140">
        <f t="shared" si="5"/>
        <v>11.159153042079872</v>
      </c>
      <c r="AD37" s="176" t="s">
        <v>157</v>
      </c>
    </row>
    <row r="38" spans="1:30" s="124" customFormat="1" ht="21" customHeight="1" x14ac:dyDescent="0.2">
      <c r="A38" s="124" t="str">
        <f t="shared" si="0"/>
        <v>Citywalk Phase 5.10</v>
      </c>
      <c r="B38" s="120" t="str">
        <f t="shared" si="6"/>
        <v>Citywalk Phase 5.10 - Electrical</v>
      </c>
      <c r="C38" s="120"/>
      <c r="D38" s="121" t="s">
        <v>82</v>
      </c>
      <c r="E38" s="121" t="s">
        <v>83</v>
      </c>
      <c r="F38" s="121" t="s">
        <v>84</v>
      </c>
      <c r="G38" s="121" t="s">
        <v>85</v>
      </c>
      <c r="H38" s="122" t="s">
        <v>111</v>
      </c>
      <c r="I38" s="121" t="s">
        <v>114</v>
      </c>
      <c r="J38" s="122">
        <v>2023</v>
      </c>
      <c r="K38" s="123" t="s">
        <v>88</v>
      </c>
      <c r="L38" s="122" t="s">
        <v>86</v>
      </c>
      <c r="M38" s="122" t="s">
        <v>104</v>
      </c>
      <c r="N38" s="122" t="s">
        <v>105</v>
      </c>
      <c r="O38" s="122" t="s">
        <v>122</v>
      </c>
      <c r="P38" s="122" t="s">
        <v>124</v>
      </c>
      <c r="Q38" s="130">
        <v>6454</v>
      </c>
      <c r="R38" s="130">
        <v>12201</v>
      </c>
      <c r="S38" s="130">
        <f t="shared" si="1"/>
        <v>18655</v>
      </c>
      <c r="T38" s="121" t="s">
        <v>148</v>
      </c>
      <c r="U38" s="141">
        <v>5.12</v>
      </c>
      <c r="V38" s="121" t="s">
        <v>44</v>
      </c>
      <c r="W38" s="122" t="s">
        <v>11</v>
      </c>
      <c r="X38" s="112">
        <v>323118</v>
      </c>
      <c r="Y38" s="112">
        <v>278382</v>
      </c>
      <c r="Z38" s="139">
        <f t="shared" si="2"/>
        <v>601500</v>
      </c>
      <c r="AA38" s="140">
        <f t="shared" si="3"/>
        <v>50.064766036566468</v>
      </c>
      <c r="AB38" s="140">
        <f t="shared" si="4"/>
        <v>22.816326530612244</v>
      </c>
      <c r="AC38" s="140">
        <f t="shared" si="5"/>
        <v>32.243366389707852</v>
      </c>
      <c r="AD38" s="176" t="s">
        <v>157</v>
      </c>
    </row>
    <row r="39" spans="1:30" s="124" customFormat="1" ht="21" customHeight="1" x14ac:dyDescent="0.2">
      <c r="A39" s="124" t="str">
        <f t="shared" si="0"/>
        <v>Citywalk Phase 5.10</v>
      </c>
      <c r="B39" s="120" t="str">
        <f t="shared" si="6"/>
        <v>Citywalk Phase 5.10 - Electrical</v>
      </c>
      <c r="C39" s="120"/>
      <c r="D39" s="121" t="s">
        <v>82</v>
      </c>
      <c r="E39" s="121" t="s">
        <v>83</v>
      </c>
      <c r="F39" s="121" t="s">
        <v>84</v>
      </c>
      <c r="G39" s="121" t="s">
        <v>85</v>
      </c>
      <c r="H39" s="122" t="s">
        <v>111</v>
      </c>
      <c r="I39" s="121" t="s">
        <v>114</v>
      </c>
      <c r="J39" s="122">
        <v>2023</v>
      </c>
      <c r="K39" s="123" t="s">
        <v>88</v>
      </c>
      <c r="L39" s="122" t="s">
        <v>86</v>
      </c>
      <c r="M39" s="122" t="s">
        <v>104</v>
      </c>
      <c r="N39" s="122" t="s">
        <v>105</v>
      </c>
      <c r="O39" s="122" t="s">
        <v>122</v>
      </c>
      <c r="P39" s="122" t="s">
        <v>124</v>
      </c>
      <c r="Q39" s="130">
        <v>6454</v>
      </c>
      <c r="R39" s="130">
        <v>12201</v>
      </c>
      <c r="S39" s="130">
        <f t="shared" si="1"/>
        <v>18655</v>
      </c>
      <c r="T39" s="121" t="s">
        <v>148</v>
      </c>
      <c r="U39" s="141">
        <v>5.12</v>
      </c>
      <c r="V39" s="121" t="s">
        <v>45</v>
      </c>
      <c r="W39" s="122" t="s">
        <v>11</v>
      </c>
      <c r="X39" s="112">
        <v>321253</v>
      </c>
      <c r="Y39" s="112">
        <v>240474</v>
      </c>
      <c r="Z39" s="139">
        <f t="shared" si="2"/>
        <v>561727</v>
      </c>
      <c r="AA39" s="140">
        <f t="shared" si="3"/>
        <v>49.77579795475674</v>
      </c>
      <c r="AB39" s="140">
        <f t="shared" si="4"/>
        <v>19.709368084583232</v>
      </c>
      <c r="AC39" s="140">
        <f t="shared" si="5"/>
        <v>30.111337443044761</v>
      </c>
      <c r="AD39" s="176" t="s">
        <v>157</v>
      </c>
    </row>
    <row r="40" spans="1:30" s="124" customFormat="1" ht="21" customHeight="1" x14ac:dyDescent="0.2">
      <c r="A40" s="124" t="str">
        <f t="shared" si="0"/>
        <v>Citywalk Phase 5.10</v>
      </c>
      <c r="B40" s="120" t="str">
        <f t="shared" si="6"/>
        <v>Citywalk Phase 5.10 - Electrical</v>
      </c>
      <c r="C40" s="120"/>
      <c r="D40" s="121" t="s">
        <v>82</v>
      </c>
      <c r="E40" s="121" t="s">
        <v>83</v>
      </c>
      <c r="F40" s="121" t="s">
        <v>84</v>
      </c>
      <c r="G40" s="121" t="s">
        <v>85</v>
      </c>
      <c r="H40" s="122" t="s">
        <v>111</v>
      </c>
      <c r="I40" s="121" t="s">
        <v>114</v>
      </c>
      <c r="J40" s="122">
        <v>2023</v>
      </c>
      <c r="K40" s="123" t="s">
        <v>88</v>
      </c>
      <c r="L40" s="122" t="s">
        <v>86</v>
      </c>
      <c r="M40" s="122" t="s">
        <v>104</v>
      </c>
      <c r="N40" s="122" t="s">
        <v>105</v>
      </c>
      <c r="O40" s="122" t="s">
        <v>122</v>
      </c>
      <c r="P40" s="122" t="s">
        <v>124</v>
      </c>
      <c r="Q40" s="130">
        <v>6454</v>
      </c>
      <c r="R40" s="130">
        <v>12201</v>
      </c>
      <c r="S40" s="130">
        <f t="shared" si="1"/>
        <v>18655</v>
      </c>
      <c r="T40" s="121" t="s">
        <v>148</v>
      </c>
      <c r="U40" s="141">
        <v>5.12</v>
      </c>
      <c r="V40" s="121" t="s">
        <v>46</v>
      </c>
      <c r="W40" s="122" t="s">
        <v>11</v>
      </c>
      <c r="X40" s="112">
        <v>287009</v>
      </c>
      <c r="Y40" s="112">
        <v>42824</v>
      </c>
      <c r="Z40" s="139">
        <f t="shared" si="2"/>
        <v>329833</v>
      </c>
      <c r="AA40" s="140">
        <f t="shared" si="3"/>
        <v>44.469941121784942</v>
      </c>
      <c r="AB40" s="140">
        <f t="shared" si="4"/>
        <v>3.5098762396524874</v>
      </c>
      <c r="AC40" s="140">
        <f t="shared" si="5"/>
        <v>17.680675422138837</v>
      </c>
      <c r="AD40" s="176" t="s">
        <v>157</v>
      </c>
    </row>
    <row r="41" spans="1:30" s="124" customFormat="1" ht="21" customHeight="1" x14ac:dyDescent="0.2">
      <c r="A41" s="124" t="str">
        <f t="shared" si="0"/>
        <v>Citywalk Phase 5.10</v>
      </c>
      <c r="B41" s="120" t="str">
        <f t="shared" si="6"/>
        <v>Citywalk Phase 5.10 - Electrical</v>
      </c>
      <c r="C41" s="120"/>
      <c r="D41" s="121" t="s">
        <v>82</v>
      </c>
      <c r="E41" s="121" t="s">
        <v>83</v>
      </c>
      <c r="F41" s="121" t="s">
        <v>84</v>
      </c>
      <c r="G41" s="121" t="s">
        <v>85</v>
      </c>
      <c r="H41" s="122" t="s">
        <v>111</v>
      </c>
      <c r="I41" s="121" t="s">
        <v>114</v>
      </c>
      <c r="J41" s="122">
        <v>2023</v>
      </c>
      <c r="K41" s="123" t="s">
        <v>88</v>
      </c>
      <c r="L41" s="122" t="s">
        <v>86</v>
      </c>
      <c r="M41" s="122" t="s">
        <v>104</v>
      </c>
      <c r="N41" s="122" t="s">
        <v>105</v>
      </c>
      <c r="O41" s="122" t="s">
        <v>122</v>
      </c>
      <c r="P41" s="122" t="s">
        <v>124</v>
      </c>
      <c r="Q41" s="130">
        <v>6454</v>
      </c>
      <c r="R41" s="130">
        <v>12201</v>
      </c>
      <c r="S41" s="130">
        <f t="shared" si="1"/>
        <v>18655</v>
      </c>
      <c r="T41" s="121" t="s">
        <v>148</v>
      </c>
      <c r="U41" s="141">
        <v>5.12</v>
      </c>
      <c r="V41" s="121" t="s">
        <v>47</v>
      </c>
      <c r="W41" s="122" t="s">
        <v>11</v>
      </c>
      <c r="X41" s="112">
        <v>42460</v>
      </c>
      <c r="Y41" s="112">
        <v>78555</v>
      </c>
      <c r="Z41" s="139">
        <f t="shared" si="2"/>
        <v>121015</v>
      </c>
      <c r="AA41" s="140">
        <f t="shared" si="3"/>
        <v>6.5788658196467305</v>
      </c>
      <c r="AB41" s="140">
        <f t="shared" si="4"/>
        <v>6.4384066879763955</v>
      </c>
      <c r="AC41" s="140">
        <f t="shared" si="5"/>
        <v>6.4870008040739746</v>
      </c>
      <c r="AD41" s="176" t="s">
        <v>157</v>
      </c>
    </row>
    <row r="42" spans="1:30" s="124" customFormat="1" ht="21" customHeight="1" x14ac:dyDescent="0.2">
      <c r="A42" s="124" t="str">
        <f t="shared" si="0"/>
        <v>Citywalk Phase 5.10</v>
      </c>
      <c r="B42" s="120" t="str">
        <f t="shared" si="6"/>
        <v>Citywalk Phase 5.10 - Electrical</v>
      </c>
      <c r="C42" s="120"/>
      <c r="D42" s="121" t="s">
        <v>82</v>
      </c>
      <c r="E42" s="121" t="s">
        <v>83</v>
      </c>
      <c r="F42" s="121" t="s">
        <v>84</v>
      </c>
      <c r="G42" s="121" t="s">
        <v>85</v>
      </c>
      <c r="H42" s="122" t="s">
        <v>111</v>
      </c>
      <c r="I42" s="121" t="s">
        <v>114</v>
      </c>
      <c r="J42" s="122">
        <v>2023</v>
      </c>
      <c r="K42" s="123" t="s">
        <v>88</v>
      </c>
      <c r="L42" s="122" t="s">
        <v>86</v>
      </c>
      <c r="M42" s="122" t="s">
        <v>104</v>
      </c>
      <c r="N42" s="122" t="s">
        <v>105</v>
      </c>
      <c r="O42" s="122" t="s">
        <v>122</v>
      </c>
      <c r="P42" s="122" t="s">
        <v>124</v>
      </c>
      <c r="Q42" s="130">
        <v>6454</v>
      </c>
      <c r="R42" s="130">
        <v>12201</v>
      </c>
      <c r="S42" s="130">
        <f t="shared" si="1"/>
        <v>18655</v>
      </c>
      <c r="T42" s="121" t="s">
        <v>148</v>
      </c>
      <c r="U42" s="141">
        <v>5.12</v>
      </c>
      <c r="V42" s="121" t="s">
        <v>48</v>
      </c>
      <c r="W42" s="122" t="s">
        <v>11</v>
      </c>
      <c r="X42" s="112">
        <v>0</v>
      </c>
      <c r="Y42" s="112">
        <v>59444</v>
      </c>
      <c r="Z42" s="139">
        <f t="shared" si="2"/>
        <v>59444</v>
      </c>
      <c r="AA42" s="140">
        <f t="shared" si="3"/>
        <v>0</v>
      </c>
      <c r="AB42" s="140">
        <f t="shared" si="4"/>
        <v>4.8720596672403902</v>
      </c>
      <c r="AC42" s="140">
        <f t="shared" si="5"/>
        <v>3.1864915572232646</v>
      </c>
      <c r="AD42" s="176" t="s">
        <v>157</v>
      </c>
    </row>
    <row r="43" spans="1:30" s="124" customFormat="1" ht="21" customHeight="1" x14ac:dyDescent="0.2">
      <c r="A43" s="124" t="str">
        <f t="shared" si="0"/>
        <v>Citywalk Phase 5.10</v>
      </c>
      <c r="B43" s="120" t="str">
        <f t="shared" si="6"/>
        <v>Citywalk Phase 5.10 - Electrical</v>
      </c>
      <c r="C43" s="120"/>
      <c r="D43" s="121" t="s">
        <v>82</v>
      </c>
      <c r="E43" s="121" t="s">
        <v>83</v>
      </c>
      <c r="F43" s="121" t="s">
        <v>84</v>
      </c>
      <c r="G43" s="121" t="s">
        <v>85</v>
      </c>
      <c r="H43" s="122" t="s">
        <v>111</v>
      </c>
      <c r="I43" s="121" t="s">
        <v>114</v>
      </c>
      <c r="J43" s="122">
        <v>2023</v>
      </c>
      <c r="K43" s="123" t="s">
        <v>88</v>
      </c>
      <c r="L43" s="122" t="s">
        <v>86</v>
      </c>
      <c r="M43" s="122" t="s">
        <v>104</v>
      </c>
      <c r="N43" s="122" t="s">
        <v>105</v>
      </c>
      <c r="O43" s="122" t="s">
        <v>122</v>
      </c>
      <c r="P43" s="122" t="s">
        <v>124</v>
      </c>
      <c r="Q43" s="130">
        <v>6454</v>
      </c>
      <c r="R43" s="130">
        <v>12201</v>
      </c>
      <c r="S43" s="130">
        <f t="shared" si="1"/>
        <v>18655</v>
      </c>
      <c r="T43" s="121" t="s">
        <v>148</v>
      </c>
      <c r="U43" s="141">
        <v>5.12</v>
      </c>
      <c r="V43" s="121" t="s">
        <v>49</v>
      </c>
      <c r="W43" s="122" t="s">
        <v>11</v>
      </c>
      <c r="X43" s="112">
        <v>0</v>
      </c>
      <c r="Y43" s="112">
        <v>0</v>
      </c>
      <c r="Z43" s="139">
        <f t="shared" si="2"/>
        <v>0</v>
      </c>
      <c r="AA43" s="140">
        <f t="shared" si="3"/>
        <v>0</v>
      </c>
      <c r="AB43" s="140">
        <f t="shared" si="4"/>
        <v>0</v>
      </c>
      <c r="AC43" s="140">
        <f t="shared" si="5"/>
        <v>0</v>
      </c>
      <c r="AD43" s="176" t="s">
        <v>157</v>
      </c>
    </row>
    <row r="44" spans="1:30" s="124" customFormat="1" ht="21" customHeight="1" x14ac:dyDescent="0.2">
      <c r="A44" s="124" t="str">
        <f t="shared" si="0"/>
        <v>Citywalk Phase 5.10</v>
      </c>
      <c r="B44" s="120" t="str">
        <f t="shared" si="6"/>
        <v>Citywalk Phase 5.10 - Electrical</v>
      </c>
      <c r="C44" s="120"/>
      <c r="D44" s="121" t="s">
        <v>82</v>
      </c>
      <c r="E44" s="121" t="s">
        <v>83</v>
      </c>
      <c r="F44" s="121" t="s">
        <v>84</v>
      </c>
      <c r="G44" s="121" t="s">
        <v>85</v>
      </c>
      <c r="H44" s="122" t="s">
        <v>111</v>
      </c>
      <c r="I44" s="121" t="s">
        <v>114</v>
      </c>
      <c r="J44" s="122">
        <v>2023</v>
      </c>
      <c r="K44" s="123" t="s">
        <v>88</v>
      </c>
      <c r="L44" s="122" t="s">
        <v>86</v>
      </c>
      <c r="M44" s="122" t="s">
        <v>104</v>
      </c>
      <c r="N44" s="122" t="s">
        <v>105</v>
      </c>
      <c r="O44" s="122" t="s">
        <v>122</v>
      </c>
      <c r="P44" s="122" t="s">
        <v>124</v>
      </c>
      <c r="Q44" s="130">
        <v>6454</v>
      </c>
      <c r="R44" s="130">
        <v>12201</v>
      </c>
      <c r="S44" s="130">
        <f t="shared" si="1"/>
        <v>18655</v>
      </c>
      <c r="T44" s="121" t="s">
        <v>148</v>
      </c>
      <c r="U44" s="141">
        <v>5.12</v>
      </c>
      <c r="V44" s="121" t="s">
        <v>50</v>
      </c>
      <c r="W44" s="122" t="s">
        <v>11</v>
      </c>
      <c r="X44" s="112">
        <v>58656</v>
      </c>
      <c r="Y44" s="112">
        <v>5077</v>
      </c>
      <c r="Z44" s="139">
        <f t="shared" si="2"/>
        <v>63733</v>
      </c>
      <c r="AA44" s="140">
        <f t="shared" si="3"/>
        <v>9.0883173225906422</v>
      </c>
      <c r="AB44" s="140">
        <f t="shared" si="4"/>
        <v>0.41611343332513728</v>
      </c>
      <c r="AC44" s="140">
        <f t="shared" si="5"/>
        <v>3.4164031090860361</v>
      </c>
      <c r="AD44" s="176" t="s">
        <v>157</v>
      </c>
    </row>
    <row r="45" spans="1:30" s="124" customFormat="1" ht="21" customHeight="1" x14ac:dyDescent="0.2">
      <c r="A45" s="124" t="str">
        <f t="shared" si="0"/>
        <v>Citywalk Phase 5.10</v>
      </c>
      <c r="B45" s="120" t="str">
        <f t="shared" si="6"/>
        <v>Citywalk Phase 5.10 - Electrical</v>
      </c>
      <c r="C45" s="120"/>
      <c r="D45" s="121" t="s">
        <v>82</v>
      </c>
      <c r="E45" s="121" t="s">
        <v>83</v>
      </c>
      <c r="F45" s="121" t="s">
        <v>84</v>
      </c>
      <c r="G45" s="121" t="s">
        <v>85</v>
      </c>
      <c r="H45" s="122" t="s">
        <v>111</v>
      </c>
      <c r="I45" s="121" t="s">
        <v>114</v>
      </c>
      <c r="J45" s="122">
        <v>2023</v>
      </c>
      <c r="K45" s="123" t="s">
        <v>88</v>
      </c>
      <c r="L45" s="122" t="s">
        <v>86</v>
      </c>
      <c r="M45" s="122" t="s">
        <v>104</v>
      </c>
      <c r="N45" s="122" t="s">
        <v>105</v>
      </c>
      <c r="O45" s="122" t="s">
        <v>122</v>
      </c>
      <c r="P45" s="122" t="s">
        <v>124</v>
      </c>
      <c r="Q45" s="130">
        <v>6454</v>
      </c>
      <c r="R45" s="130">
        <v>12201</v>
      </c>
      <c r="S45" s="130">
        <f t="shared" si="1"/>
        <v>18655</v>
      </c>
      <c r="T45" s="121" t="s">
        <v>148</v>
      </c>
      <c r="U45" s="141">
        <v>5.12</v>
      </c>
      <c r="V45" s="121" t="s">
        <v>51</v>
      </c>
      <c r="W45" s="122" t="s">
        <v>11</v>
      </c>
      <c r="X45" s="112">
        <v>433339</v>
      </c>
      <c r="Y45" s="112">
        <v>563079</v>
      </c>
      <c r="Z45" s="139">
        <f t="shared" si="2"/>
        <v>996418</v>
      </c>
      <c r="AA45" s="140">
        <f t="shared" si="3"/>
        <v>67.142702200185937</v>
      </c>
      <c r="AB45" s="140">
        <f t="shared" si="4"/>
        <v>46.150233587410867</v>
      </c>
      <c r="AC45" s="140">
        <f t="shared" si="5"/>
        <v>53.412918788528543</v>
      </c>
      <c r="AD45" s="176" t="s">
        <v>157</v>
      </c>
    </row>
    <row r="46" spans="1:30" s="124" customFormat="1" ht="21" customHeight="1" x14ac:dyDescent="0.2">
      <c r="A46" s="124" t="str">
        <f t="shared" si="0"/>
        <v>Citywalk Phase 5.10</v>
      </c>
      <c r="B46" s="120" t="str">
        <f t="shared" si="6"/>
        <v>Citywalk Phase 5.10 - Electrical</v>
      </c>
      <c r="C46" s="120"/>
      <c r="D46" s="121" t="s">
        <v>82</v>
      </c>
      <c r="E46" s="121" t="s">
        <v>83</v>
      </c>
      <c r="F46" s="121" t="s">
        <v>84</v>
      </c>
      <c r="G46" s="121" t="s">
        <v>85</v>
      </c>
      <c r="H46" s="122" t="s">
        <v>111</v>
      </c>
      <c r="I46" s="121" t="s">
        <v>114</v>
      </c>
      <c r="J46" s="122">
        <v>2023</v>
      </c>
      <c r="K46" s="123" t="s">
        <v>88</v>
      </c>
      <c r="L46" s="122" t="s">
        <v>86</v>
      </c>
      <c r="M46" s="122" t="s">
        <v>104</v>
      </c>
      <c r="N46" s="122" t="s">
        <v>105</v>
      </c>
      <c r="O46" s="122" t="s">
        <v>122</v>
      </c>
      <c r="P46" s="122" t="s">
        <v>124</v>
      </c>
      <c r="Q46" s="130">
        <v>6454</v>
      </c>
      <c r="R46" s="130">
        <v>12201</v>
      </c>
      <c r="S46" s="130">
        <f t="shared" si="1"/>
        <v>18655</v>
      </c>
      <c r="T46" s="121" t="s">
        <v>148</v>
      </c>
      <c r="U46" s="142" t="s">
        <v>53</v>
      </c>
      <c r="V46" s="121" t="s">
        <v>27</v>
      </c>
      <c r="W46" s="122" t="s">
        <v>11</v>
      </c>
      <c r="X46" s="112">
        <v>124920</v>
      </c>
      <c r="Y46" s="112">
        <v>67936</v>
      </c>
      <c r="Z46" s="139">
        <f t="shared" si="2"/>
        <v>192856</v>
      </c>
      <c r="AA46" s="140">
        <f t="shared" si="3"/>
        <v>19.355438487759528</v>
      </c>
      <c r="AB46" s="140">
        <f t="shared" si="4"/>
        <v>5.5680681911318741</v>
      </c>
      <c r="AC46" s="140">
        <f t="shared" si="5"/>
        <v>10.338032699008309</v>
      </c>
      <c r="AD46" s="176" t="s">
        <v>157</v>
      </c>
    </row>
    <row r="47" spans="1:30" s="146" customFormat="1" ht="21" customHeight="1" x14ac:dyDescent="0.2">
      <c r="A47" s="146" t="str">
        <f t="shared" si="0"/>
        <v>Citywalk Phase 5.08</v>
      </c>
      <c r="B47" s="147" t="str">
        <f t="shared" si="6"/>
        <v>Citywalk Phase 5.08 - Mechanical</v>
      </c>
      <c r="C47" s="147"/>
      <c r="D47" s="148" t="s">
        <v>82</v>
      </c>
      <c r="E47" s="148" t="s">
        <v>83</v>
      </c>
      <c r="F47" s="148" t="s">
        <v>84</v>
      </c>
      <c r="G47" s="148" t="s">
        <v>85</v>
      </c>
      <c r="H47" s="149" t="s">
        <v>110</v>
      </c>
      <c r="I47" s="148" t="s">
        <v>115</v>
      </c>
      <c r="J47" s="149">
        <v>2023</v>
      </c>
      <c r="K47" s="150" t="s">
        <v>88</v>
      </c>
      <c r="L47" s="149" t="s">
        <v>86</v>
      </c>
      <c r="M47" s="149" t="s">
        <v>104</v>
      </c>
      <c r="N47" s="149" t="s">
        <v>105</v>
      </c>
      <c r="O47" s="149" t="s">
        <v>122</v>
      </c>
      <c r="P47" s="149" t="s">
        <v>124</v>
      </c>
      <c r="Q47" s="151">
        <v>6339</v>
      </c>
      <c r="R47" s="151">
        <v>11767</v>
      </c>
      <c r="S47" s="151">
        <v>18108</v>
      </c>
      <c r="T47" s="148" t="s">
        <v>127</v>
      </c>
      <c r="U47" s="154">
        <v>5.3</v>
      </c>
      <c r="V47" s="148" t="s">
        <v>14</v>
      </c>
      <c r="W47" s="149" t="s">
        <v>11</v>
      </c>
      <c r="X47" s="151">
        <v>469190</v>
      </c>
      <c r="Y47" s="151">
        <v>567069</v>
      </c>
      <c r="Z47" s="152">
        <f t="shared" si="2"/>
        <v>1036259</v>
      </c>
      <c r="AA47" s="153">
        <f t="shared" si="3"/>
        <v>74.01640637324499</v>
      </c>
      <c r="AB47" s="153">
        <f t="shared" si="4"/>
        <v>48.191467663805561</v>
      </c>
      <c r="AC47" s="153">
        <f t="shared" si="5"/>
        <v>57.226584934835429</v>
      </c>
      <c r="AD47" s="175" t="s">
        <v>157</v>
      </c>
    </row>
    <row r="48" spans="1:30" s="146" customFormat="1" ht="21" customHeight="1" x14ac:dyDescent="0.2">
      <c r="A48" s="146" t="str">
        <f t="shared" si="0"/>
        <v>Citywalk Phase 5.08</v>
      </c>
      <c r="B48" s="147" t="str">
        <f t="shared" si="6"/>
        <v>Citywalk Phase 5.08 - Mechanical</v>
      </c>
      <c r="C48" s="147"/>
      <c r="D48" s="148" t="s">
        <v>82</v>
      </c>
      <c r="E48" s="148" t="s">
        <v>83</v>
      </c>
      <c r="F48" s="148" t="s">
        <v>84</v>
      </c>
      <c r="G48" s="148" t="s">
        <v>85</v>
      </c>
      <c r="H48" s="149" t="s">
        <v>110</v>
      </c>
      <c r="I48" s="148" t="s">
        <v>115</v>
      </c>
      <c r="J48" s="149">
        <v>2023</v>
      </c>
      <c r="K48" s="150" t="s">
        <v>88</v>
      </c>
      <c r="L48" s="149" t="s">
        <v>86</v>
      </c>
      <c r="M48" s="149" t="s">
        <v>104</v>
      </c>
      <c r="N48" s="149" t="s">
        <v>105</v>
      </c>
      <c r="O48" s="149" t="s">
        <v>122</v>
      </c>
      <c r="P48" s="149" t="s">
        <v>124</v>
      </c>
      <c r="Q48" s="151">
        <v>6339</v>
      </c>
      <c r="R48" s="151">
        <v>11767</v>
      </c>
      <c r="S48" s="151">
        <v>18108</v>
      </c>
      <c r="T48" s="148" t="s">
        <v>127</v>
      </c>
      <c r="U48" s="154">
        <v>5.3</v>
      </c>
      <c r="V48" s="148" t="s">
        <v>15</v>
      </c>
      <c r="W48" s="149" t="s">
        <v>11</v>
      </c>
      <c r="X48" s="151">
        <v>89580</v>
      </c>
      <c r="Y48" s="151">
        <v>0</v>
      </c>
      <c r="Z48" s="152">
        <f t="shared" si="2"/>
        <v>89580</v>
      </c>
      <c r="AA48" s="153">
        <f t="shared" si="3"/>
        <v>14.131566493137719</v>
      </c>
      <c r="AB48" s="153">
        <f t="shared" si="4"/>
        <v>0</v>
      </c>
      <c r="AC48" s="153">
        <f t="shared" si="5"/>
        <v>4.9469847581179591</v>
      </c>
      <c r="AD48" s="175" t="s">
        <v>157</v>
      </c>
    </row>
    <row r="49" spans="1:30" s="146" customFormat="1" ht="21" customHeight="1" x14ac:dyDescent="0.2">
      <c r="A49" s="146" t="str">
        <f t="shared" si="0"/>
        <v>Citywalk Phase 5.08</v>
      </c>
      <c r="B49" s="147" t="str">
        <f t="shared" si="6"/>
        <v>Citywalk Phase 5.08 - Mechanical</v>
      </c>
      <c r="C49" s="147"/>
      <c r="D49" s="148" t="s">
        <v>82</v>
      </c>
      <c r="E49" s="148" t="s">
        <v>83</v>
      </c>
      <c r="F49" s="148" t="s">
        <v>84</v>
      </c>
      <c r="G49" s="148" t="s">
        <v>85</v>
      </c>
      <c r="H49" s="149" t="s">
        <v>110</v>
      </c>
      <c r="I49" s="148" t="s">
        <v>115</v>
      </c>
      <c r="J49" s="149">
        <v>2023</v>
      </c>
      <c r="K49" s="150" t="s">
        <v>88</v>
      </c>
      <c r="L49" s="149" t="s">
        <v>86</v>
      </c>
      <c r="M49" s="149" t="s">
        <v>104</v>
      </c>
      <c r="N49" s="149" t="s">
        <v>105</v>
      </c>
      <c r="O49" s="149" t="s">
        <v>122</v>
      </c>
      <c r="P49" s="149" t="s">
        <v>124</v>
      </c>
      <c r="Q49" s="151">
        <v>6339</v>
      </c>
      <c r="R49" s="151">
        <v>11767</v>
      </c>
      <c r="S49" s="151">
        <v>18108</v>
      </c>
      <c r="T49" s="148" t="s">
        <v>127</v>
      </c>
      <c r="U49" s="154">
        <v>5.4</v>
      </c>
      <c r="V49" s="148" t="s">
        <v>16</v>
      </c>
      <c r="W49" s="149" t="s">
        <v>11</v>
      </c>
      <c r="X49" s="151">
        <v>150038</v>
      </c>
      <c r="Y49" s="151">
        <v>1209329</v>
      </c>
      <c r="Z49" s="152">
        <f t="shared" si="2"/>
        <v>1359367</v>
      </c>
      <c r="AA49" s="153">
        <f t="shared" si="3"/>
        <v>23.66903297050008</v>
      </c>
      <c r="AB49" s="153">
        <f t="shared" si="4"/>
        <v>102.77292427976545</v>
      </c>
      <c r="AC49" s="153">
        <f t="shared" si="5"/>
        <v>75.069969074442241</v>
      </c>
      <c r="AD49" s="175" t="s">
        <v>157</v>
      </c>
    </row>
    <row r="50" spans="1:30" s="146" customFormat="1" ht="21" customHeight="1" x14ac:dyDescent="0.2">
      <c r="A50" s="146" t="str">
        <f t="shared" si="0"/>
        <v>Citywalk Phase 5.08</v>
      </c>
      <c r="B50" s="147" t="str">
        <f t="shared" si="6"/>
        <v>Citywalk Phase 5.08 - Mechanical</v>
      </c>
      <c r="C50" s="147"/>
      <c r="D50" s="148" t="s">
        <v>82</v>
      </c>
      <c r="E50" s="148" t="s">
        <v>83</v>
      </c>
      <c r="F50" s="148" t="s">
        <v>84</v>
      </c>
      <c r="G50" s="148" t="s">
        <v>85</v>
      </c>
      <c r="H50" s="149" t="s">
        <v>110</v>
      </c>
      <c r="I50" s="148" t="s">
        <v>115</v>
      </c>
      <c r="J50" s="149">
        <v>2023</v>
      </c>
      <c r="K50" s="150" t="s">
        <v>88</v>
      </c>
      <c r="L50" s="149" t="s">
        <v>86</v>
      </c>
      <c r="M50" s="149" t="s">
        <v>104</v>
      </c>
      <c r="N50" s="149" t="s">
        <v>105</v>
      </c>
      <c r="O50" s="149" t="s">
        <v>122</v>
      </c>
      <c r="P50" s="149" t="s">
        <v>124</v>
      </c>
      <c r="Q50" s="151">
        <v>6339</v>
      </c>
      <c r="R50" s="151">
        <v>11767</v>
      </c>
      <c r="S50" s="151">
        <v>18108</v>
      </c>
      <c r="T50" s="148" t="s">
        <v>127</v>
      </c>
      <c r="U50" s="154">
        <v>5.4</v>
      </c>
      <c r="V50" s="148" t="s">
        <v>17</v>
      </c>
      <c r="W50" s="149" t="s">
        <v>11</v>
      </c>
      <c r="X50" s="151">
        <v>36488</v>
      </c>
      <c r="Y50" s="151">
        <v>398992</v>
      </c>
      <c r="Z50" s="152">
        <f t="shared" si="2"/>
        <v>435480</v>
      </c>
      <c r="AA50" s="153">
        <f t="shared" si="3"/>
        <v>5.7561129515696479</v>
      </c>
      <c r="AB50" s="153">
        <f t="shared" si="4"/>
        <v>33.907707996940594</v>
      </c>
      <c r="AC50" s="153">
        <f t="shared" si="5"/>
        <v>24.049039098740888</v>
      </c>
      <c r="AD50" s="175" t="s">
        <v>157</v>
      </c>
    </row>
    <row r="51" spans="1:30" s="146" customFormat="1" ht="21" customHeight="1" x14ac:dyDescent="0.2">
      <c r="A51" s="146" t="str">
        <f t="shared" si="0"/>
        <v>Citywalk Phase 5.08</v>
      </c>
      <c r="B51" s="147" t="str">
        <f t="shared" si="6"/>
        <v>Citywalk Phase 5.08 - Mechanical</v>
      </c>
      <c r="C51" s="147"/>
      <c r="D51" s="148" t="s">
        <v>82</v>
      </c>
      <c r="E51" s="148" t="s">
        <v>83</v>
      </c>
      <c r="F51" s="148" t="s">
        <v>84</v>
      </c>
      <c r="G51" s="148" t="s">
        <v>85</v>
      </c>
      <c r="H51" s="149" t="s">
        <v>110</v>
      </c>
      <c r="I51" s="148" t="s">
        <v>115</v>
      </c>
      <c r="J51" s="149">
        <v>2023</v>
      </c>
      <c r="K51" s="150" t="s">
        <v>88</v>
      </c>
      <c r="L51" s="149" t="s">
        <v>86</v>
      </c>
      <c r="M51" s="149" t="s">
        <v>104</v>
      </c>
      <c r="N51" s="149" t="s">
        <v>105</v>
      </c>
      <c r="O51" s="149" t="s">
        <v>122</v>
      </c>
      <c r="P51" s="149" t="s">
        <v>124</v>
      </c>
      <c r="Q51" s="151">
        <v>6339</v>
      </c>
      <c r="R51" s="151">
        <v>11767</v>
      </c>
      <c r="S51" s="151">
        <v>18108</v>
      </c>
      <c r="T51" s="148" t="s">
        <v>127</v>
      </c>
      <c r="U51" s="154" t="s">
        <v>28</v>
      </c>
      <c r="V51" s="148" t="s">
        <v>18</v>
      </c>
      <c r="W51" s="149" t="s">
        <v>11</v>
      </c>
      <c r="X51" s="151">
        <v>669821</v>
      </c>
      <c r="Y51" s="151">
        <v>900100</v>
      </c>
      <c r="Z51" s="152">
        <f t="shared" si="2"/>
        <v>1569921</v>
      </c>
      <c r="AA51" s="153">
        <f t="shared" si="3"/>
        <v>105.66666666666667</v>
      </c>
      <c r="AB51" s="153">
        <f t="shared" si="4"/>
        <v>76.493583751168515</v>
      </c>
      <c r="AC51" s="153">
        <f t="shared" si="5"/>
        <v>86.69764744864149</v>
      </c>
      <c r="AD51" s="175" t="s">
        <v>157</v>
      </c>
    </row>
    <row r="52" spans="1:30" s="146" customFormat="1" ht="21" customHeight="1" x14ac:dyDescent="0.2">
      <c r="A52" s="146" t="str">
        <f t="shared" si="0"/>
        <v>Citywalk Phase 5.08</v>
      </c>
      <c r="B52" s="147" t="str">
        <f t="shared" si="6"/>
        <v>Citywalk Phase 5.08 - Mechanical</v>
      </c>
      <c r="C52" s="147"/>
      <c r="D52" s="148" t="s">
        <v>82</v>
      </c>
      <c r="E52" s="148" t="s">
        <v>83</v>
      </c>
      <c r="F52" s="148" t="s">
        <v>84</v>
      </c>
      <c r="G52" s="148" t="s">
        <v>85</v>
      </c>
      <c r="H52" s="149" t="s">
        <v>110</v>
      </c>
      <c r="I52" s="148" t="s">
        <v>115</v>
      </c>
      <c r="J52" s="149">
        <v>2023</v>
      </c>
      <c r="K52" s="150" t="s">
        <v>88</v>
      </c>
      <c r="L52" s="149" t="s">
        <v>86</v>
      </c>
      <c r="M52" s="149" t="s">
        <v>104</v>
      </c>
      <c r="N52" s="149" t="s">
        <v>105</v>
      </c>
      <c r="O52" s="149" t="s">
        <v>122</v>
      </c>
      <c r="P52" s="149" t="s">
        <v>124</v>
      </c>
      <c r="Q52" s="151">
        <v>6339</v>
      </c>
      <c r="R52" s="151">
        <v>11767</v>
      </c>
      <c r="S52" s="151">
        <v>18108</v>
      </c>
      <c r="T52" s="148" t="s">
        <v>127</v>
      </c>
      <c r="U52" s="154" t="s">
        <v>28</v>
      </c>
      <c r="V52" s="148" t="s">
        <v>19</v>
      </c>
      <c r="W52" s="149" t="s">
        <v>11</v>
      </c>
      <c r="X52" s="151">
        <v>513705</v>
      </c>
      <c r="Y52" s="151">
        <v>0</v>
      </c>
      <c r="Z52" s="152">
        <f t="shared" si="2"/>
        <v>513705</v>
      </c>
      <c r="AA52" s="153">
        <f t="shared" si="3"/>
        <v>81.038807382867958</v>
      </c>
      <c r="AB52" s="153">
        <f t="shared" si="4"/>
        <v>0</v>
      </c>
      <c r="AC52" s="153">
        <f t="shared" si="5"/>
        <v>28.368952948972829</v>
      </c>
      <c r="AD52" s="175" t="s">
        <v>157</v>
      </c>
    </row>
    <row r="53" spans="1:30" s="146" customFormat="1" ht="21" customHeight="1" x14ac:dyDescent="0.2">
      <c r="A53" s="146" t="str">
        <f t="shared" si="0"/>
        <v>Citywalk Phase 5.08</v>
      </c>
      <c r="B53" s="147" t="str">
        <f t="shared" si="6"/>
        <v>Citywalk Phase 5.08 - Mechanical</v>
      </c>
      <c r="C53" s="147"/>
      <c r="D53" s="148" t="s">
        <v>82</v>
      </c>
      <c r="E53" s="148" t="s">
        <v>83</v>
      </c>
      <c r="F53" s="148" t="s">
        <v>84</v>
      </c>
      <c r="G53" s="148" t="s">
        <v>85</v>
      </c>
      <c r="H53" s="149" t="s">
        <v>110</v>
      </c>
      <c r="I53" s="148" t="s">
        <v>115</v>
      </c>
      <c r="J53" s="149">
        <v>2023</v>
      </c>
      <c r="K53" s="150" t="s">
        <v>88</v>
      </c>
      <c r="L53" s="149" t="s">
        <v>86</v>
      </c>
      <c r="M53" s="149" t="s">
        <v>104</v>
      </c>
      <c r="N53" s="149" t="s">
        <v>105</v>
      </c>
      <c r="O53" s="149" t="s">
        <v>122</v>
      </c>
      <c r="P53" s="149" t="s">
        <v>124</v>
      </c>
      <c r="Q53" s="151">
        <v>6339</v>
      </c>
      <c r="R53" s="151">
        <v>11767</v>
      </c>
      <c r="S53" s="151">
        <v>18108</v>
      </c>
      <c r="T53" s="148" t="s">
        <v>127</v>
      </c>
      <c r="U53" s="154" t="s">
        <v>28</v>
      </c>
      <c r="V53" s="148" t="s">
        <v>20</v>
      </c>
      <c r="W53" s="149" t="s">
        <v>11</v>
      </c>
      <c r="X53" s="151">
        <v>665288</v>
      </c>
      <c r="Y53" s="151">
        <v>43628</v>
      </c>
      <c r="Z53" s="152">
        <f t="shared" si="2"/>
        <v>708916</v>
      </c>
      <c r="AA53" s="153">
        <f t="shared" si="3"/>
        <v>104.9515696482095</v>
      </c>
      <c r="AB53" s="153">
        <f t="shared" si="4"/>
        <v>3.7076570068836578</v>
      </c>
      <c r="AC53" s="153">
        <f t="shared" si="5"/>
        <v>39.149326264634418</v>
      </c>
      <c r="AD53" s="175" t="s">
        <v>157</v>
      </c>
    </row>
    <row r="54" spans="1:30" s="146" customFormat="1" ht="21" customHeight="1" x14ac:dyDescent="0.2">
      <c r="A54" s="146" t="str">
        <f t="shared" si="0"/>
        <v>Citywalk Phase 5.08</v>
      </c>
      <c r="B54" s="147" t="str">
        <f t="shared" si="6"/>
        <v>Citywalk Phase 5.08 - Mechanical</v>
      </c>
      <c r="C54" s="147"/>
      <c r="D54" s="148" t="s">
        <v>82</v>
      </c>
      <c r="E54" s="148" t="s">
        <v>83</v>
      </c>
      <c r="F54" s="148" t="s">
        <v>84</v>
      </c>
      <c r="G54" s="148" t="s">
        <v>85</v>
      </c>
      <c r="H54" s="149" t="s">
        <v>110</v>
      </c>
      <c r="I54" s="148" t="s">
        <v>115</v>
      </c>
      <c r="J54" s="149">
        <v>2023</v>
      </c>
      <c r="K54" s="150" t="s">
        <v>88</v>
      </c>
      <c r="L54" s="149" t="s">
        <v>86</v>
      </c>
      <c r="M54" s="149" t="s">
        <v>104</v>
      </c>
      <c r="N54" s="149" t="s">
        <v>105</v>
      </c>
      <c r="O54" s="149" t="s">
        <v>122</v>
      </c>
      <c r="P54" s="149" t="s">
        <v>124</v>
      </c>
      <c r="Q54" s="151">
        <v>6339</v>
      </c>
      <c r="R54" s="151">
        <v>11767</v>
      </c>
      <c r="S54" s="151">
        <v>18108</v>
      </c>
      <c r="T54" s="148" t="s">
        <v>127</v>
      </c>
      <c r="U54" s="154">
        <v>5.6</v>
      </c>
      <c r="V54" s="148" t="s">
        <v>21</v>
      </c>
      <c r="W54" s="149" t="s">
        <v>11</v>
      </c>
      <c r="X54" s="151">
        <v>72879</v>
      </c>
      <c r="Y54" s="151">
        <v>946424</v>
      </c>
      <c r="Z54" s="152">
        <f t="shared" si="2"/>
        <v>1019303</v>
      </c>
      <c r="AA54" s="153">
        <f t="shared" si="3"/>
        <v>11.496923805016564</v>
      </c>
      <c r="AB54" s="153">
        <f t="shared" si="4"/>
        <v>80.430356080564295</v>
      </c>
      <c r="AC54" s="153">
        <f t="shared" si="5"/>
        <v>56.290203225093883</v>
      </c>
      <c r="AD54" s="175" t="s">
        <v>157</v>
      </c>
    </row>
    <row r="55" spans="1:30" s="146" customFormat="1" ht="21" customHeight="1" x14ac:dyDescent="0.2">
      <c r="A55" s="146" t="str">
        <f t="shared" si="0"/>
        <v>Citywalk Phase 5.08</v>
      </c>
      <c r="B55" s="147" t="str">
        <f t="shared" si="6"/>
        <v>Citywalk Phase 5.08 - Mechanical</v>
      </c>
      <c r="C55" s="147"/>
      <c r="D55" s="148" t="s">
        <v>82</v>
      </c>
      <c r="E55" s="148" t="s">
        <v>83</v>
      </c>
      <c r="F55" s="148" t="s">
        <v>84</v>
      </c>
      <c r="G55" s="148" t="s">
        <v>85</v>
      </c>
      <c r="H55" s="149" t="s">
        <v>110</v>
      </c>
      <c r="I55" s="148" t="s">
        <v>115</v>
      </c>
      <c r="J55" s="149">
        <v>2023</v>
      </c>
      <c r="K55" s="150" t="s">
        <v>88</v>
      </c>
      <c r="L55" s="149" t="s">
        <v>86</v>
      </c>
      <c r="M55" s="149" t="s">
        <v>104</v>
      </c>
      <c r="N55" s="149" t="s">
        <v>105</v>
      </c>
      <c r="O55" s="149" t="s">
        <v>122</v>
      </c>
      <c r="P55" s="149" t="s">
        <v>124</v>
      </c>
      <c r="Q55" s="151">
        <v>6339</v>
      </c>
      <c r="R55" s="151">
        <v>11767</v>
      </c>
      <c r="S55" s="151">
        <v>18108</v>
      </c>
      <c r="T55" s="148" t="s">
        <v>127</v>
      </c>
      <c r="U55" s="154">
        <v>5.6</v>
      </c>
      <c r="V55" s="148" t="s">
        <v>22</v>
      </c>
      <c r="W55" s="149" t="s">
        <v>11</v>
      </c>
      <c r="X55" s="151">
        <v>0</v>
      </c>
      <c r="Y55" s="151">
        <v>2570474</v>
      </c>
      <c r="Z55" s="152">
        <f t="shared" si="2"/>
        <v>2570474</v>
      </c>
      <c r="AA55" s="153">
        <f t="shared" si="3"/>
        <v>0</v>
      </c>
      <c r="AB55" s="153">
        <f t="shared" si="4"/>
        <v>218.44769269992352</v>
      </c>
      <c r="AC55" s="153">
        <f t="shared" si="5"/>
        <v>141.95239673072675</v>
      </c>
      <c r="AD55" s="175" t="s">
        <v>157</v>
      </c>
    </row>
    <row r="56" spans="1:30" s="146" customFormat="1" ht="21" customHeight="1" x14ac:dyDescent="0.2">
      <c r="A56" s="146" t="str">
        <f t="shared" si="0"/>
        <v>Citywalk Phase 5.08</v>
      </c>
      <c r="B56" s="147" t="str">
        <f t="shared" si="6"/>
        <v>Citywalk Phase 5.08 - Mechanical</v>
      </c>
      <c r="C56" s="147"/>
      <c r="D56" s="148" t="s">
        <v>82</v>
      </c>
      <c r="E56" s="148" t="s">
        <v>83</v>
      </c>
      <c r="F56" s="148" t="s">
        <v>84</v>
      </c>
      <c r="G56" s="148" t="s">
        <v>85</v>
      </c>
      <c r="H56" s="149" t="s">
        <v>110</v>
      </c>
      <c r="I56" s="148" t="s">
        <v>115</v>
      </c>
      <c r="J56" s="149">
        <v>2023</v>
      </c>
      <c r="K56" s="150" t="s">
        <v>88</v>
      </c>
      <c r="L56" s="149" t="s">
        <v>86</v>
      </c>
      <c r="M56" s="149" t="s">
        <v>104</v>
      </c>
      <c r="N56" s="149" t="s">
        <v>105</v>
      </c>
      <c r="O56" s="149" t="s">
        <v>122</v>
      </c>
      <c r="P56" s="149" t="s">
        <v>124</v>
      </c>
      <c r="Q56" s="151">
        <v>6339</v>
      </c>
      <c r="R56" s="151">
        <v>11767</v>
      </c>
      <c r="S56" s="151">
        <v>18108</v>
      </c>
      <c r="T56" s="148" t="s">
        <v>127</v>
      </c>
      <c r="U56" s="154">
        <v>5.6</v>
      </c>
      <c r="V56" s="148" t="s">
        <v>23</v>
      </c>
      <c r="W56" s="149" t="s">
        <v>11</v>
      </c>
      <c r="X56" s="151">
        <v>50138</v>
      </c>
      <c r="Y56" s="151">
        <v>846889</v>
      </c>
      <c r="Z56" s="152">
        <f t="shared" si="2"/>
        <v>897027</v>
      </c>
      <c r="AA56" s="153">
        <f t="shared" si="3"/>
        <v>7.9094494399747592</v>
      </c>
      <c r="AB56" s="153">
        <f t="shared" si="4"/>
        <v>71.971530551542443</v>
      </c>
      <c r="AC56" s="153">
        <f t="shared" si="5"/>
        <v>49.53760768721007</v>
      </c>
      <c r="AD56" s="175" t="s">
        <v>157</v>
      </c>
    </row>
    <row r="57" spans="1:30" s="146" customFormat="1" ht="21" customHeight="1" x14ac:dyDescent="0.2">
      <c r="A57" s="146" t="str">
        <f t="shared" si="0"/>
        <v>Citywalk Phase 5.08</v>
      </c>
      <c r="B57" s="147" t="str">
        <f t="shared" si="6"/>
        <v>Citywalk Phase 5.08 - Mechanical</v>
      </c>
      <c r="C57" s="147"/>
      <c r="D57" s="148" t="s">
        <v>82</v>
      </c>
      <c r="E57" s="148" t="s">
        <v>83</v>
      </c>
      <c r="F57" s="148" t="s">
        <v>84</v>
      </c>
      <c r="G57" s="148" t="s">
        <v>85</v>
      </c>
      <c r="H57" s="149" t="s">
        <v>110</v>
      </c>
      <c r="I57" s="148" t="s">
        <v>115</v>
      </c>
      <c r="J57" s="149">
        <v>2023</v>
      </c>
      <c r="K57" s="150" t="s">
        <v>88</v>
      </c>
      <c r="L57" s="149" t="s">
        <v>86</v>
      </c>
      <c r="M57" s="149" t="s">
        <v>104</v>
      </c>
      <c r="N57" s="149" t="s">
        <v>105</v>
      </c>
      <c r="O57" s="149" t="s">
        <v>122</v>
      </c>
      <c r="P57" s="149" t="s">
        <v>124</v>
      </c>
      <c r="Q57" s="151">
        <v>6339</v>
      </c>
      <c r="R57" s="151">
        <v>11767</v>
      </c>
      <c r="S57" s="151">
        <v>18108</v>
      </c>
      <c r="T57" s="148" t="s">
        <v>127</v>
      </c>
      <c r="U57" s="154">
        <v>5.6</v>
      </c>
      <c r="V57" s="148" t="s">
        <v>24</v>
      </c>
      <c r="W57" s="149" t="s">
        <v>11</v>
      </c>
      <c r="X57" s="151">
        <v>361183</v>
      </c>
      <c r="Y57" s="151">
        <v>778951</v>
      </c>
      <c r="Z57" s="152">
        <f t="shared" si="2"/>
        <v>1140134</v>
      </c>
      <c r="AA57" s="153">
        <f t="shared" si="3"/>
        <v>56.977914497554821</v>
      </c>
      <c r="AB57" s="153">
        <f t="shared" si="4"/>
        <v>66.197926404351151</v>
      </c>
      <c r="AC57" s="153">
        <f t="shared" si="5"/>
        <v>62.962999779103157</v>
      </c>
      <c r="AD57" s="175" t="s">
        <v>157</v>
      </c>
    </row>
    <row r="58" spans="1:30" s="146" customFormat="1" ht="21" customHeight="1" x14ac:dyDescent="0.2">
      <c r="A58" s="146" t="str">
        <f t="shared" si="0"/>
        <v>Citywalk Phase 5.08</v>
      </c>
      <c r="B58" s="147" t="str">
        <f t="shared" si="6"/>
        <v>Citywalk Phase 5.08 - Mechanical</v>
      </c>
      <c r="C58" s="147"/>
      <c r="D58" s="148" t="s">
        <v>82</v>
      </c>
      <c r="E58" s="148" t="s">
        <v>83</v>
      </c>
      <c r="F58" s="148" t="s">
        <v>84</v>
      </c>
      <c r="G58" s="148" t="s">
        <v>85</v>
      </c>
      <c r="H58" s="149" t="s">
        <v>110</v>
      </c>
      <c r="I58" s="148" t="s">
        <v>115</v>
      </c>
      <c r="J58" s="149">
        <v>2023</v>
      </c>
      <c r="K58" s="150" t="s">
        <v>88</v>
      </c>
      <c r="L58" s="149" t="s">
        <v>86</v>
      </c>
      <c r="M58" s="149" t="s">
        <v>104</v>
      </c>
      <c r="N58" s="149" t="s">
        <v>105</v>
      </c>
      <c r="O58" s="149" t="s">
        <v>122</v>
      </c>
      <c r="P58" s="149" t="s">
        <v>124</v>
      </c>
      <c r="Q58" s="151">
        <v>6339</v>
      </c>
      <c r="R58" s="151">
        <v>11767</v>
      </c>
      <c r="S58" s="151">
        <v>18108</v>
      </c>
      <c r="T58" s="148" t="s">
        <v>127</v>
      </c>
      <c r="U58" s="154">
        <v>5.6</v>
      </c>
      <c r="V58" s="148" t="s">
        <v>25</v>
      </c>
      <c r="W58" s="149" t="s">
        <v>11</v>
      </c>
      <c r="X58" s="151">
        <v>769180</v>
      </c>
      <c r="Y58" s="151">
        <v>1008070</v>
      </c>
      <c r="Z58" s="152">
        <f t="shared" si="2"/>
        <v>1777250</v>
      </c>
      <c r="AA58" s="153">
        <f t="shared" si="3"/>
        <v>121.34090550560025</v>
      </c>
      <c r="AB58" s="153">
        <f t="shared" si="4"/>
        <v>85.669244497323021</v>
      </c>
      <c r="AC58" s="153">
        <f t="shared" si="5"/>
        <v>98.147227744643246</v>
      </c>
      <c r="AD58" s="175" t="s">
        <v>157</v>
      </c>
    </row>
    <row r="59" spans="1:30" s="146" customFormat="1" ht="21" customHeight="1" x14ac:dyDescent="0.2">
      <c r="A59" s="146" t="str">
        <f t="shared" si="0"/>
        <v>Citywalk Phase 5.08</v>
      </c>
      <c r="B59" s="147" t="str">
        <f t="shared" si="6"/>
        <v>Citywalk Phase 5.08 - Mechanical</v>
      </c>
      <c r="C59" s="147"/>
      <c r="D59" s="148" t="s">
        <v>82</v>
      </c>
      <c r="E59" s="148" t="s">
        <v>83</v>
      </c>
      <c r="F59" s="148" t="s">
        <v>84</v>
      </c>
      <c r="G59" s="148" t="s">
        <v>85</v>
      </c>
      <c r="H59" s="149" t="s">
        <v>110</v>
      </c>
      <c r="I59" s="148" t="s">
        <v>115</v>
      </c>
      <c r="J59" s="149">
        <v>2023</v>
      </c>
      <c r="K59" s="150" t="s">
        <v>88</v>
      </c>
      <c r="L59" s="149" t="s">
        <v>86</v>
      </c>
      <c r="M59" s="149" t="s">
        <v>104</v>
      </c>
      <c r="N59" s="149" t="s">
        <v>105</v>
      </c>
      <c r="O59" s="149" t="s">
        <v>122</v>
      </c>
      <c r="P59" s="149" t="s">
        <v>124</v>
      </c>
      <c r="Q59" s="151">
        <v>6339</v>
      </c>
      <c r="R59" s="151">
        <v>11767</v>
      </c>
      <c r="S59" s="151">
        <v>18108</v>
      </c>
      <c r="T59" s="148" t="s">
        <v>127</v>
      </c>
      <c r="U59" s="154">
        <v>5.6</v>
      </c>
      <c r="V59" s="148" t="s">
        <v>26</v>
      </c>
      <c r="W59" s="149" t="s">
        <v>11</v>
      </c>
      <c r="X59" s="151">
        <v>228968</v>
      </c>
      <c r="Y59" s="151">
        <v>829820</v>
      </c>
      <c r="Z59" s="152">
        <f t="shared" si="2"/>
        <v>1058788</v>
      </c>
      <c r="AA59" s="153">
        <f t="shared" si="3"/>
        <v>36.120523741915129</v>
      </c>
      <c r="AB59" s="153">
        <f t="shared" si="4"/>
        <v>70.520948415059067</v>
      </c>
      <c r="AC59" s="153">
        <f t="shared" si="5"/>
        <v>58.47073116854429</v>
      </c>
      <c r="AD59" s="175" t="s">
        <v>157</v>
      </c>
    </row>
    <row r="60" spans="1:30" s="146" customFormat="1" ht="21" customHeight="1" x14ac:dyDescent="0.2">
      <c r="A60" s="146" t="str">
        <f t="shared" si="0"/>
        <v>Citywalk Phase 5.08</v>
      </c>
      <c r="B60" s="147" t="str">
        <f t="shared" si="6"/>
        <v>Citywalk Phase 5.08 - Mechanical</v>
      </c>
      <c r="C60" s="147"/>
      <c r="D60" s="148" t="s">
        <v>82</v>
      </c>
      <c r="E60" s="148" t="s">
        <v>83</v>
      </c>
      <c r="F60" s="148" t="s">
        <v>84</v>
      </c>
      <c r="G60" s="148" t="s">
        <v>85</v>
      </c>
      <c r="H60" s="149" t="s">
        <v>110</v>
      </c>
      <c r="I60" s="148" t="s">
        <v>115</v>
      </c>
      <c r="J60" s="149">
        <v>2023</v>
      </c>
      <c r="K60" s="150" t="s">
        <v>88</v>
      </c>
      <c r="L60" s="149" t="s">
        <v>86</v>
      </c>
      <c r="M60" s="149" t="s">
        <v>104</v>
      </c>
      <c r="N60" s="149" t="s">
        <v>105</v>
      </c>
      <c r="O60" s="149" t="s">
        <v>122</v>
      </c>
      <c r="P60" s="149" t="s">
        <v>124</v>
      </c>
      <c r="Q60" s="151">
        <v>6339</v>
      </c>
      <c r="R60" s="151">
        <v>11767</v>
      </c>
      <c r="S60" s="151">
        <v>18108</v>
      </c>
      <c r="T60" s="148" t="s">
        <v>127</v>
      </c>
      <c r="U60" s="154">
        <v>5.14</v>
      </c>
      <c r="V60" s="148" t="s">
        <v>27</v>
      </c>
      <c r="W60" s="149" t="s">
        <v>11</v>
      </c>
      <c r="X60" s="151">
        <v>40000</v>
      </c>
      <c r="Y60" s="151">
        <v>1102978.3999999999</v>
      </c>
      <c r="Z60" s="152">
        <f t="shared" si="2"/>
        <v>1142978.3999999999</v>
      </c>
      <c r="AA60" s="153">
        <f t="shared" si="3"/>
        <v>6.3101435557658938</v>
      </c>
      <c r="AB60" s="153">
        <f t="shared" si="4"/>
        <v>93.734885697289016</v>
      </c>
      <c r="AC60" s="153">
        <f t="shared" si="5"/>
        <v>63.120079522862817</v>
      </c>
      <c r="AD60" s="175" t="s">
        <v>157</v>
      </c>
    </row>
    <row r="61" spans="1:30" s="146" customFormat="1" ht="21" customHeight="1" x14ac:dyDescent="0.2">
      <c r="A61" s="146" t="str">
        <f t="shared" si="0"/>
        <v>Citywalk Phase 5.08</v>
      </c>
      <c r="B61" s="147" t="str">
        <f t="shared" si="6"/>
        <v>Citywalk Phase 5.08 - Electrical</v>
      </c>
      <c r="C61" s="147"/>
      <c r="D61" s="148" t="s">
        <v>82</v>
      </c>
      <c r="E61" s="148" t="s">
        <v>83</v>
      </c>
      <c r="F61" s="148" t="s">
        <v>84</v>
      </c>
      <c r="G61" s="148" t="s">
        <v>85</v>
      </c>
      <c r="H61" s="149" t="s">
        <v>110</v>
      </c>
      <c r="I61" s="148" t="s">
        <v>115</v>
      </c>
      <c r="J61" s="149">
        <v>2023</v>
      </c>
      <c r="K61" s="150" t="s">
        <v>88</v>
      </c>
      <c r="L61" s="149" t="s">
        <v>86</v>
      </c>
      <c r="M61" s="149" t="s">
        <v>104</v>
      </c>
      <c r="N61" s="149" t="s">
        <v>105</v>
      </c>
      <c r="O61" s="149" t="s">
        <v>122</v>
      </c>
      <c r="P61" s="149" t="s">
        <v>124</v>
      </c>
      <c r="Q61" s="151">
        <v>6339</v>
      </c>
      <c r="R61" s="151">
        <v>11767</v>
      </c>
      <c r="S61" s="151">
        <v>18108</v>
      </c>
      <c r="T61" s="148" t="s">
        <v>148</v>
      </c>
      <c r="U61" s="154">
        <v>5.8</v>
      </c>
      <c r="V61" s="148" t="s">
        <v>29</v>
      </c>
      <c r="W61" s="149" t="s">
        <v>11</v>
      </c>
      <c r="X61" s="151">
        <v>783540</v>
      </c>
      <c r="Y61" s="151">
        <v>1399416</v>
      </c>
      <c r="Z61" s="152">
        <f t="shared" si="2"/>
        <v>2182956</v>
      </c>
      <c r="AA61" s="153">
        <f t="shared" si="3"/>
        <v>123.6062470421202</v>
      </c>
      <c r="AB61" s="153">
        <f t="shared" si="4"/>
        <v>118.92716920200562</v>
      </c>
      <c r="AC61" s="153">
        <f t="shared" si="5"/>
        <v>120.55202120609675</v>
      </c>
      <c r="AD61" s="175" t="s">
        <v>157</v>
      </c>
    </row>
    <row r="62" spans="1:30" s="146" customFormat="1" ht="21" customHeight="1" x14ac:dyDescent="0.2">
      <c r="A62" s="146" t="str">
        <f t="shared" si="0"/>
        <v>Citywalk Phase 5.08</v>
      </c>
      <c r="B62" s="147" t="str">
        <f t="shared" si="6"/>
        <v>Citywalk Phase 5.08 - Electrical</v>
      </c>
      <c r="C62" s="147"/>
      <c r="D62" s="148" t="s">
        <v>82</v>
      </c>
      <c r="E62" s="148" t="s">
        <v>83</v>
      </c>
      <c r="F62" s="148" t="s">
        <v>84</v>
      </c>
      <c r="G62" s="148" t="s">
        <v>85</v>
      </c>
      <c r="H62" s="149" t="s">
        <v>110</v>
      </c>
      <c r="I62" s="148" t="s">
        <v>115</v>
      </c>
      <c r="J62" s="149">
        <v>2023</v>
      </c>
      <c r="K62" s="150" t="s">
        <v>88</v>
      </c>
      <c r="L62" s="149" t="s">
        <v>86</v>
      </c>
      <c r="M62" s="149" t="s">
        <v>104</v>
      </c>
      <c r="N62" s="149" t="s">
        <v>105</v>
      </c>
      <c r="O62" s="149" t="s">
        <v>122</v>
      </c>
      <c r="P62" s="149" t="s">
        <v>124</v>
      </c>
      <c r="Q62" s="151">
        <v>6339</v>
      </c>
      <c r="R62" s="151">
        <v>11767</v>
      </c>
      <c r="S62" s="151">
        <v>18108</v>
      </c>
      <c r="T62" s="148" t="s">
        <v>148</v>
      </c>
      <c r="U62" s="154">
        <v>5.8</v>
      </c>
      <c r="V62" s="148" t="s">
        <v>55</v>
      </c>
      <c r="W62" s="149" t="s">
        <v>11</v>
      </c>
      <c r="X62" s="151">
        <v>0</v>
      </c>
      <c r="Y62" s="151">
        <v>0</v>
      </c>
      <c r="Z62" s="152">
        <f t="shared" si="2"/>
        <v>0</v>
      </c>
      <c r="AA62" s="153">
        <f t="shared" si="3"/>
        <v>0</v>
      </c>
      <c r="AB62" s="153">
        <f t="shared" si="4"/>
        <v>0</v>
      </c>
      <c r="AC62" s="153">
        <f t="shared" si="5"/>
        <v>0</v>
      </c>
      <c r="AD62" s="175" t="s">
        <v>157</v>
      </c>
    </row>
    <row r="63" spans="1:30" s="146" customFormat="1" ht="21" customHeight="1" x14ac:dyDescent="0.2">
      <c r="A63" s="146" t="str">
        <f t="shared" si="0"/>
        <v>Citywalk Phase 5.08</v>
      </c>
      <c r="B63" s="147" t="str">
        <f t="shared" si="6"/>
        <v>Citywalk Phase 5.08 - Electrical</v>
      </c>
      <c r="C63" s="147"/>
      <c r="D63" s="148" t="s">
        <v>82</v>
      </c>
      <c r="E63" s="148" t="s">
        <v>83</v>
      </c>
      <c r="F63" s="148" t="s">
        <v>84</v>
      </c>
      <c r="G63" s="148" t="s">
        <v>85</v>
      </c>
      <c r="H63" s="149" t="s">
        <v>110</v>
      </c>
      <c r="I63" s="148" t="s">
        <v>115</v>
      </c>
      <c r="J63" s="149">
        <v>2023</v>
      </c>
      <c r="K63" s="150" t="s">
        <v>88</v>
      </c>
      <c r="L63" s="149" t="s">
        <v>86</v>
      </c>
      <c r="M63" s="149" t="s">
        <v>104</v>
      </c>
      <c r="N63" s="149" t="s">
        <v>105</v>
      </c>
      <c r="O63" s="149" t="s">
        <v>122</v>
      </c>
      <c r="P63" s="149" t="s">
        <v>124</v>
      </c>
      <c r="Q63" s="151">
        <v>6339</v>
      </c>
      <c r="R63" s="151">
        <v>11767</v>
      </c>
      <c r="S63" s="151">
        <v>18108</v>
      </c>
      <c r="T63" s="148" t="s">
        <v>148</v>
      </c>
      <c r="U63" s="154">
        <v>5.8</v>
      </c>
      <c r="V63" s="148" t="s">
        <v>30</v>
      </c>
      <c r="W63" s="149" t="s">
        <v>11</v>
      </c>
      <c r="X63" s="151">
        <v>1992836</v>
      </c>
      <c r="Y63" s="151">
        <v>1240389</v>
      </c>
      <c r="Z63" s="152">
        <f t="shared" si="2"/>
        <v>3233225</v>
      </c>
      <c r="AA63" s="153">
        <f t="shared" si="3"/>
        <v>314.37703107745699</v>
      </c>
      <c r="AB63" s="153">
        <f t="shared" si="4"/>
        <v>105.41250956063567</v>
      </c>
      <c r="AC63" s="153">
        <f t="shared" si="5"/>
        <v>178.55229732714821</v>
      </c>
      <c r="AD63" s="175" t="s">
        <v>157</v>
      </c>
    </row>
    <row r="64" spans="1:30" s="146" customFormat="1" ht="21" customHeight="1" x14ac:dyDescent="0.2">
      <c r="A64" s="146" t="str">
        <f t="shared" si="0"/>
        <v>Citywalk Phase 5.08</v>
      </c>
      <c r="B64" s="147" t="str">
        <f t="shared" si="6"/>
        <v>Citywalk Phase 5.08 - Electrical</v>
      </c>
      <c r="C64" s="147"/>
      <c r="D64" s="148" t="s">
        <v>82</v>
      </c>
      <c r="E64" s="148" t="s">
        <v>83</v>
      </c>
      <c r="F64" s="148" t="s">
        <v>84</v>
      </c>
      <c r="G64" s="148" t="s">
        <v>85</v>
      </c>
      <c r="H64" s="149" t="s">
        <v>110</v>
      </c>
      <c r="I64" s="148" t="s">
        <v>115</v>
      </c>
      <c r="J64" s="149">
        <v>2023</v>
      </c>
      <c r="K64" s="150" t="s">
        <v>88</v>
      </c>
      <c r="L64" s="149" t="s">
        <v>86</v>
      </c>
      <c r="M64" s="149" t="s">
        <v>104</v>
      </c>
      <c r="N64" s="149" t="s">
        <v>105</v>
      </c>
      <c r="O64" s="149" t="s">
        <v>122</v>
      </c>
      <c r="P64" s="149" t="s">
        <v>124</v>
      </c>
      <c r="Q64" s="151">
        <v>6339</v>
      </c>
      <c r="R64" s="151">
        <v>11767</v>
      </c>
      <c r="S64" s="151">
        <v>18108</v>
      </c>
      <c r="T64" s="148" t="s">
        <v>148</v>
      </c>
      <c r="U64" s="154">
        <v>5.8</v>
      </c>
      <c r="V64" s="148" t="s">
        <v>31</v>
      </c>
      <c r="W64" s="149" t="s">
        <v>11</v>
      </c>
      <c r="X64" s="151">
        <v>36001</v>
      </c>
      <c r="Y64" s="151">
        <v>1059947</v>
      </c>
      <c r="Z64" s="152">
        <f t="shared" si="2"/>
        <v>1095948</v>
      </c>
      <c r="AA64" s="153">
        <f t="shared" si="3"/>
        <v>5.679286953778198</v>
      </c>
      <c r="AB64" s="153">
        <f t="shared" si="4"/>
        <v>90.077929803688278</v>
      </c>
      <c r="AC64" s="153">
        <f t="shared" si="5"/>
        <v>60.522862823061629</v>
      </c>
      <c r="AD64" s="175" t="s">
        <v>157</v>
      </c>
    </row>
    <row r="65" spans="1:30" s="146" customFormat="1" ht="21" customHeight="1" x14ac:dyDescent="0.2">
      <c r="A65" s="146" t="str">
        <f t="shared" ref="A65:A126" si="7">I65</f>
        <v>Citywalk Phase 5.08</v>
      </c>
      <c r="B65" s="147" t="str">
        <f t="shared" si="6"/>
        <v>Citywalk Phase 5.08 - Electrical</v>
      </c>
      <c r="C65" s="147"/>
      <c r="D65" s="148" t="s">
        <v>82</v>
      </c>
      <c r="E65" s="148" t="s">
        <v>83</v>
      </c>
      <c r="F65" s="148" t="s">
        <v>84</v>
      </c>
      <c r="G65" s="148" t="s">
        <v>85</v>
      </c>
      <c r="H65" s="149" t="s">
        <v>110</v>
      </c>
      <c r="I65" s="148" t="s">
        <v>115</v>
      </c>
      <c r="J65" s="149">
        <v>2023</v>
      </c>
      <c r="K65" s="150" t="s">
        <v>88</v>
      </c>
      <c r="L65" s="149" t="s">
        <v>86</v>
      </c>
      <c r="M65" s="149" t="s">
        <v>104</v>
      </c>
      <c r="N65" s="149" t="s">
        <v>105</v>
      </c>
      <c r="O65" s="149" t="s">
        <v>122</v>
      </c>
      <c r="P65" s="149" t="s">
        <v>124</v>
      </c>
      <c r="Q65" s="151">
        <v>6339</v>
      </c>
      <c r="R65" s="151">
        <v>11767</v>
      </c>
      <c r="S65" s="151">
        <v>18108</v>
      </c>
      <c r="T65" s="148" t="s">
        <v>148</v>
      </c>
      <c r="U65" s="154">
        <v>5.8</v>
      </c>
      <c r="V65" s="148" t="s">
        <v>32</v>
      </c>
      <c r="W65" s="149" t="s">
        <v>11</v>
      </c>
      <c r="X65" s="151">
        <v>64287</v>
      </c>
      <c r="Y65" s="151">
        <v>687660</v>
      </c>
      <c r="Z65" s="152">
        <f t="shared" ref="Z65:Z126" si="8">SUM(X65:Y65)</f>
        <v>751947</v>
      </c>
      <c r="AA65" s="153">
        <f t="shared" si="3"/>
        <v>10.141504969238051</v>
      </c>
      <c r="AB65" s="153">
        <f t="shared" si="4"/>
        <v>58.439704257669753</v>
      </c>
      <c r="AC65" s="153">
        <f t="shared" si="5"/>
        <v>41.525679257786614</v>
      </c>
      <c r="AD65" s="175" t="s">
        <v>157</v>
      </c>
    </row>
    <row r="66" spans="1:30" s="146" customFormat="1" ht="21" customHeight="1" x14ac:dyDescent="0.2">
      <c r="A66" s="146" t="str">
        <f t="shared" si="7"/>
        <v>Citywalk Phase 5.08</v>
      </c>
      <c r="B66" s="147" t="str">
        <f t="shared" ref="B66:B127" si="9">CONCATENATE(I66, " - ",T66)</f>
        <v>Citywalk Phase 5.08 - Electrical</v>
      </c>
      <c r="C66" s="147"/>
      <c r="D66" s="148" t="s">
        <v>82</v>
      </c>
      <c r="E66" s="148" t="s">
        <v>83</v>
      </c>
      <c r="F66" s="148" t="s">
        <v>84</v>
      </c>
      <c r="G66" s="148" t="s">
        <v>85</v>
      </c>
      <c r="H66" s="149" t="s">
        <v>110</v>
      </c>
      <c r="I66" s="148" t="s">
        <v>115</v>
      </c>
      <c r="J66" s="149">
        <v>2023</v>
      </c>
      <c r="K66" s="150" t="s">
        <v>88</v>
      </c>
      <c r="L66" s="149" t="s">
        <v>86</v>
      </c>
      <c r="M66" s="149" t="s">
        <v>104</v>
      </c>
      <c r="N66" s="149" t="s">
        <v>105</v>
      </c>
      <c r="O66" s="149" t="s">
        <v>122</v>
      </c>
      <c r="P66" s="149" t="s">
        <v>124</v>
      </c>
      <c r="Q66" s="151">
        <v>6339</v>
      </c>
      <c r="R66" s="151">
        <v>11767</v>
      </c>
      <c r="S66" s="151">
        <v>18108</v>
      </c>
      <c r="T66" s="148" t="s">
        <v>148</v>
      </c>
      <c r="U66" s="154">
        <v>5.8</v>
      </c>
      <c r="V66" s="148" t="s">
        <v>33</v>
      </c>
      <c r="W66" s="149" t="s">
        <v>11</v>
      </c>
      <c r="X66" s="151">
        <v>152252</v>
      </c>
      <c r="Y66" s="151">
        <v>2825552</v>
      </c>
      <c r="Z66" s="152">
        <f t="shared" si="8"/>
        <v>2977804</v>
      </c>
      <c r="AA66" s="153">
        <f t="shared" si="3"/>
        <v>24.01829941631172</v>
      </c>
      <c r="AB66" s="153">
        <f t="shared" si="4"/>
        <v>240.12509560635675</v>
      </c>
      <c r="AC66" s="153">
        <f t="shared" si="5"/>
        <v>164.44687430969736</v>
      </c>
      <c r="AD66" s="175" t="s">
        <v>157</v>
      </c>
    </row>
    <row r="67" spans="1:30" s="146" customFormat="1" ht="21" customHeight="1" x14ac:dyDescent="0.2">
      <c r="A67" s="146" t="str">
        <f t="shared" si="7"/>
        <v>Citywalk Phase 5.08</v>
      </c>
      <c r="B67" s="147" t="str">
        <f t="shared" si="9"/>
        <v>Citywalk Phase 5.08 - Electrical</v>
      </c>
      <c r="C67" s="147"/>
      <c r="D67" s="148" t="s">
        <v>82</v>
      </c>
      <c r="E67" s="148" t="s">
        <v>83</v>
      </c>
      <c r="F67" s="148" t="s">
        <v>84</v>
      </c>
      <c r="G67" s="148" t="s">
        <v>85</v>
      </c>
      <c r="H67" s="149" t="s">
        <v>110</v>
      </c>
      <c r="I67" s="148" t="s">
        <v>115</v>
      </c>
      <c r="J67" s="149">
        <v>2023</v>
      </c>
      <c r="K67" s="150" t="s">
        <v>88</v>
      </c>
      <c r="L67" s="149" t="s">
        <v>86</v>
      </c>
      <c r="M67" s="149" t="s">
        <v>104</v>
      </c>
      <c r="N67" s="149" t="s">
        <v>105</v>
      </c>
      <c r="O67" s="149" t="s">
        <v>122</v>
      </c>
      <c r="P67" s="149" t="s">
        <v>124</v>
      </c>
      <c r="Q67" s="151">
        <v>6339</v>
      </c>
      <c r="R67" s="151">
        <v>11767</v>
      </c>
      <c r="S67" s="151">
        <v>18108</v>
      </c>
      <c r="T67" s="148" t="s">
        <v>148</v>
      </c>
      <c r="U67" s="154">
        <v>5.8</v>
      </c>
      <c r="V67" s="148" t="s">
        <v>34</v>
      </c>
      <c r="W67" s="149" t="s">
        <v>11</v>
      </c>
      <c r="X67" s="151">
        <v>19831</v>
      </c>
      <c r="Y67" s="151">
        <v>20935</v>
      </c>
      <c r="Z67" s="152">
        <f t="shared" si="8"/>
        <v>40766</v>
      </c>
      <c r="AA67" s="153">
        <f t="shared" si="3"/>
        <v>3.1284114213598357</v>
      </c>
      <c r="AB67" s="153">
        <f t="shared" si="4"/>
        <v>1.7791280700263448</v>
      </c>
      <c r="AC67" s="153">
        <f t="shared" si="5"/>
        <v>2.2512701568367572</v>
      </c>
      <c r="AD67" s="175" t="s">
        <v>157</v>
      </c>
    </row>
    <row r="68" spans="1:30" s="146" customFormat="1" ht="21" customHeight="1" x14ac:dyDescent="0.2">
      <c r="A68" s="146" t="str">
        <f t="shared" si="7"/>
        <v>Citywalk Phase 5.08</v>
      </c>
      <c r="B68" s="147" t="str">
        <f t="shared" si="9"/>
        <v>Citywalk Phase 5.08 - Electrical</v>
      </c>
      <c r="C68" s="147"/>
      <c r="D68" s="148" t="s">
        <v>82</v>
      </c>
      <c r="E68" s="148" t="s">
        <v>83</v>
      </c>
      <c r="F68" s="148" t="s">
        <v>84</v>
      </c>
      <c r="G68" s="148" t="s">
        <v>85</v>
      </c>
      <c r="H68" s="149" t="s">
        <v>110</v>
      </c>
      <c r="I68" s="148" t="s">
        <v>115</v>
      </c>
      <c r="J68" s="149">
        <v>2023</v>
      </c>
      <c r="K68" s="150" t="s">
        <v>88</v>
      </c>
      <c r="L68" s="149" t="s">
        <v>86</v>
      </c>
      <c r="M68" s="149" t="s">
        <v>104</v>
      </c>
      <c r="N68" s="149" t="s">
        <v>105</v>
      </c>
      <c r="O68" s="149" t="s">
        <v>122</v>
      </c>
      <c r="P68" s="149" t="s">
        <v>124</v>
      </c>
      <c r="Q68" s="151">
        <v>6339</v>
      </c>
      <c r="R68" s="151">
        <v>11767</v>
      </c>
      <c r="S68" s="151">
        <v>18108</v>
      </c>
      <c r="T68" s="148" t="s">
        <v>148</v>
      </c>
      <c r="U68" s="154">
        <v>5.8</v>
      </c>
      <c r="V68" s="148" t="s">
        <v>35</v>
      </c>
      <c r="W68" s="149" t="s">
        <v>11</v>
      </c>
      <c r="X68" s="151">
        <v>249604</v>
      </c>
      <c r="Y68" s="151">
        <v>947212</v>
      </c>
      <c r="Z68" s="152">
        <f t="shared" si="8"/>
        <v>1196816</v>
      </c>
      <c r="AA68" s="153">
        <f t="shared" ref="AA68:AA131" si="10">X68/Q68</f>
        <v>39.375926802334753</v>
      </c>
      <c r="AB68" s="153">
        <f t="shared" ref="AB68:AB131" si="11">Y68/R68</f>
        <v>80.497323022010704</v>
      </c>
      <c r="AC68" s="153">
        <f t="shared" ref="AC68:AC131" si="12">Z68/S68</f>
        <v>66.093218466975927</v>
      </c>
      <c r="AD68" s="175" t="s">
        <v>157</v>
      </c>
    </row>
    <row r="69" spans="1:30" s="146" customFormat="1" ht="21" customHeight="1" x14ac:dyDescent="0.2">
      <c r="A69" s="146" t="str">
        <f t="shared" si="7"/>
        <v>Citywalk Phase 5.08</v>
      </c>
      <c r="B69" s="147" t="str">
        <f t="shared" si="9"/>
        <v>Citywalk Phase 5.08 - Electrical</v>
      </c>
      <c r="C69" s="147"/>
      <c r="D69" s="148" t="s">
        <v>82</v>
      </c>
      <c r="E69" s="148" t="s">
        <v>83</v>
      </c>
      <c r="F69" s="148" t="s">
        <v>84</v>
      </c>
      <c r="G69" s="148" t="s">
        <v>85</v>
      </c>
      <c r="H69" s="149" t="s">
        <v>110</v>
      </c>
      <c r="I69" s="148" t="s">
        <v>115</v>
      </c>
      <c r="J69" s="149">
        <v>2023</v>
      </c>
      <c r="K69" s="150" t="s">
        <v>88</v>
      </c>
      <c r="L69" s="149" t="s">
        <v>86</v>
      </c>
      <c r="M69" s="149" t="s">
        <v>104</v>
      </c>
      <c r="N69" s="149" t="s">
        <v>105</v>
      </c>
      <c r="O69" s="149" t="s">
        <v>122</v>
      </c>
      <c r="P69" s="149" t="s">
        <v>124</v>
      </c>
      <c r="Q69" s="151">
        <v>6339</v>
      </c>
      <c r="R69" s="151">
        <v>11767</v>
      </c>
      <c r="S69" s="151">
        <v>18108</v>
      </c>
      <c r="T69" s="148" t="s">
        <v>148</v>
      </c>
      <c r="U69" s="154">
        <v>5.8</v>
      </c>
      <c r="V69" s="148" t="s">
        <v>56</v>
      </c>
      <c r="W69" s="149" t="s">
        <v>11</v>
      </c>
      <c r="X69" s="151">
        <v>56041</v>
      </c>
      <c r="Y69" s="151">
        <v>395462</v>
      </c>
      <c r="Z69" s="152">
        <f t="shared" si="8"/>
        <v>451503</v>
      </c>
      <c r="AA69" s="153">
        <f t="shared" si="10"/>
        <v>8.8406688752169114</v>
      </c>
      <c r="AB69" s="153">
        <f t="shared" si="11"/>
        <v>33.60771649528342</v>
      </c>
      <c r="AC69" s="153">
        <f t="shared" si="12"/>
        <v>24.933896620278329</v>
      </c>
      <c r="AD69" s="175" t="s">
        <v>157</v>
      </c>
    </row>
    <row r="70" spans="1:30" s="146" customFormat="1" ht="21" customHeight="1" x14ac:dyDescent="0.2">
      <c r="A70" s="146" t="str">
        <f t="shared" si="7"/>
        <v>Citywalk Phase 5.08</v>
      </c>
      <c r="B70" s="147" t="str">
        <f t="shared" si="9"/>
        <v>Citywalk Phase 5.08 - Electrical</v>
      </c>
      <c r="C70" s="147"/>
      <c r="D70" s="148" t="s">
        <v>82</v>
      </c>
      <c r="E70" s="148" t="s">
        <v>83</v>
      </c>
      <c r="F70" s="148" t="s">
        <v>84</v>
      </c>
      <c r="G70" s="148" t="s">
        <v>85</v>
      </c>
      <c r="H70" s="149" t="s">
        <v>110</v>
      </c>
      <c r="I70" s="148" t="s">
        <v>115</v>
      </c>
      <c r="J70" s="149">
        <v>2023</v>
      </c>
      <c r="K70" s="150" t="s">
        <v>88</v>
      </c>
      <c r="L70" s="149" t="s">
        <v>86</v>
      </c>
      <c r="M70" s="149" t="s">
        <v>104</v>
      </c>
      <c r="N70" s="149" t="s">
        <v>105</v>
      </c>
      <c r="O70" s="149" t="s">
        <v>122</v>
      </c>
      <c r="P70" s="149" t="s">
        <v>124</v>
      </c>
      <c r="Q70" s="151">
        <v>6339</v>
      </c>
      <c r="R70" s="151">
        <v>11767</v>
      </c>
      <c r="S70" s="151">
        <v>18108</v>
      </c>
      <c r="T70" s="148" t="s">
        <v>148</v>
      </c>
      <c r="U70" s="154">
        <v>5.8</v>
      </c>
      <c r="V70" s="148" t="s">
        <v>36</v>
      </c>
      <c r="W70" s="149" t="s">
        <v>11</v>
      </c>
      <c r="X70" s="151">
        <v>142676</v>
      </c>
      <c r="Y70" s="151">
        <v>88200</v>
      </c>
      <c r="Z70" s="152">
        <f t="shared" si="8"/>
        <v>230876</v>
      </c>
      <c r="AA70" s="153">
        <f t="shared" si="10"/>
        <v>22.507651049061366</v>
      </c>
      <c r="AB70" s="153">
        <f t="shared" si="11"/>
        <v>7.4955383700178464</v>
      </c>
      <c r="AC70" s="153">
        <f t="shared" si="12"/>
        <v>12.749944775789706</v>
      </c>
      <c r="AD70" s="175" t="s">
        <v>157</v>
      </c>
    </row>
    <row r="71" spans="1:30" s="146" customFormat="1" ht="21" customHeight="1" x14ac:dyDescent="0.2">
      <c r="A71" s="146" t="str">
        <f t="shared" si="7"/>
        <v>Citywalk Phase 5.08</v>
      </c>
      <c r="B71" s="147" t="str">
        <f t="shared" si="9"/>
        <v>Citywalk Phase 5.08 - Electrical</v>
      </c>
      <c r="C71" s="147"/>
      <c r="D71" s="148" t="s">
        <v>82</v>
      </c>
      <c r="E71" s="148" t="s">
        <v>83</v>
      </c>
      <c r="F71" s="148" t="s">
        <v>84</v>
      </c>
      <c r="G71" s="148" t="s">
        <v>85</v>
      </c>
      <c r="H71" s="149" t="s">
        <v>110</v>
      </c>
      <c r="I71" s="148" t="s">
        <v>115</v>
      </c>
      <c r="J71" s="149">
        <v>2023</v>
      </c>
      <c r="K71" s="150" t="s">
        <v>88</v>
      </c>
      <c r="L71" s="149" t="s">
        <v>86</v>
      </c>
      <c r="M71" s="149" t="s">
        <v>104</v>
      </c>
      <c r="N71" s="149" t="s">
        <v>105</v>
      </c>
      <c r="O71" s="149" t="s">
        <v>122</v>
      </c>
      <c r="P71" s="149" t="s">
        <v>124</v>
      </c>
      <c r="Q71" s="151">
        <v>6339</v>
      </c>
      <c r="R71" s="151">
        <v>11767</v>
      </c>
      <c r="S71" s="151">
        <v>18108</v>
      </c>
      <c r="T71" s="148" t="s">
        <v>148</v>
      </c>
      <c r="U71" s="154">
        <v>5.8</v>
      </c>
      <c r="V71" s="148" t="s">
        <v>57</v>
      </c>
      <c r="W71" s="149" t="s">
        <v>11</v>
      </c>
      <c r="X71" s="151">
        <v>0</v>
      </c>
      <c r="Y71" s="151">
        <v>0</v>
      </c>
      <c r="Z71" s="152">
        <f t="shared" si="8"/>
        <v>0</v>
      </c>
      <c r="AA71" s="153">
        <f t="shared" si="10"/>
        <v>0</v>
      </c>
      <c r="AB71" s="153">
        <f t="shared" si="11"/>
        <v>0</v>
      </c>
      <c r="AC71" s="153">
        <f t="shared" si="12"/>
        <v>0</v>
      </c>
      <c r="AD71" s="175" t="s">
        <v>157</v>
      </c>
    </row>
    <row r="72" spans="1:30" s="146" customFormat="1" ht="21" customHeight="1" x14ac:dyDescent="0.2">
      <c r="A72" s="146" t="str">
        <f t="shared" si="7"/>
        <v>Citywalk Phase 5.08</v>
      </c>
      <c r="B72" s="147" t="str">
        <f t="shared" si="9"/>
        <v>Citywalk Phase 5.08 - Electrical</v>
      </c>
      <c r="C72" s="147"/>
      <c r="D72" s="148" t="s">
        <v>82</v>
      </c>
      <c r="E72" s="148" t="s">
        <v>83</v>
      </c>
      <c r="F72" s="148" t="s">
        <v>84</v>
      </c>
      <c r="G72" s="148" t="s">
        <v>85</v>
      </c>
      <c r="H72" s="149" t="s">
        <v>110</v>
      </c>
      <c r="I72" s="148" t="s">
        <v>115</v>
      </c>
      <c r="J72" s="149">
        <v>2023</v>
      </c>
      <c r="K72" s="150" t="s">
        <v>88</v>
      </c>
      <c r="L72" s="149" t="s">
        <v>86</v>
      </c>
      <c r="M72" s="149" t="s">
        <v>104</v>
      </c>
      <c r="N72" s="149" t="s">
        <v>105</v>
      </c>
      <c r="O72" s="149" t="s">
        <v>122</v>
      </c>
      <c r="P72" s="149" t="s">
        <v>124</v>
      </c>
      <c r="Q72" s="151">
        <v>6339</v>
      </c>
      <c r="R72" s="151">
        <v>11767</v>
      </c>
      <c r="S72" s="151">
        <v>18108</v>
      </c>
      <c r="T72" s="148" t="s">
        <v>148</v>
      </c>
      <c r="U72" s="154">
        <v>5.8</v>
      </c>
      <c r="V72" s="148" t="s">
        <v>37</v>
      </c>
      <c r="W72" s="149" t="s">
        <v>11</v>
      </c>
      <c r="X72" s="151">
        <v>207656</v>
      </c>
      <c r="Y72" s="151">
        <v>279946</v>
      </c>
      <c r="Z72" s="152">
        <f t="shared" si="8"/>
        <v>487602</v>
      </c>
      <c r="AA72" s="153">
        <f t="shared" si="10"/>
        <v>32.75847925540306</v>
      </c>
      <c r="AB72" s="153">
        <f t="shared" si="11"/>
        <v>23.790770799694059</v>
      </c>
      <c r="AC72" s="153">
        <f t="shared" si="12"/>
        <v>26.927435387673956</v>
      </c>
      <c r="AD72" s="175" t="s">
        <v>157</v>
      </c>
    </row>
    <row r="73" spans="1:30" s="146" customFormat="1" ht="21" customHeight="1" x14ac:dyDescent="0.2">
      <c r="A73" s="146" t="str">
        <f t="shared" si="7"/>
        <v>Citywalk Phase 5.08</v>
      </c>
      <c r="B73" s="147" t="str">
        <f t="shared" si="9"/>
        <v>Citywalk Phase 5.08 - Electrical</v>
      </c>
      <c r="C73" s="147"/>
      <c r="D73" s="148" t="s">
        <v>82</v>
      </c>
      <c r="E73" s="148" t="s">
        <v>83</v>
      </c>
      <c r="F73" s="148" t="s">
        <v>84</v>
      </c>
      <c r="G73" s="148" t="s">
        <v>85</v>
      </c>
      <c r="H73" s="149" t="s">
        <v>110</v>
      </c>
      <c r="I73" s="148" t="s">
        <v>115</v>
      </c>
      <c r="J73" s="149">
        <v>2023</v>
      </c>
      <c r="K73" s="150" t="s">
        <v>88</v>
      </c>
      <c r="L73" s="149" t="s">
        <v>86</v>
      </c>
      <c r="M73" s="149" t="s">
        <v>104</v>
      </c>
      <c r="N73" s="149" t="s">
        <v>105</v>
      </c>
      <c r="O73" s="149" t="s">
        <v>122</v>
      </c>
      <c r="P73" s="149" t="s">
        <v>124</v>
      </c>
      <c r="Q73" s="151">
        <v>6339</v>
      </c>
      <c r="R73" s="151">
        <v>11767</v>
      </c>
      <c r="S73" s="151">
        <v>18108</v>
      </c>
      <c r="T73" s="148" t="s">
        <v>148</v>
      </c>
      <c r="U73" s="154">
        <v>5.8</v>
      </c>
      <c r="V73" s="148" t="s">
        <v>38</v>
      </c>
      <c r="W73" s="149" t="s">
        <v>11</v>
      </c>
      <c r="X73" s="151">
        <v>77637</v>
      </c>
      <c r="Y73" s="151">
        <v>0</v>
      </c>
      <c r="Z73" s="152">
        <f t="shared" si="8"/>
        <v>77637</v>
      </c>
      <c r="AA73" s="153">
        <f t="shared" si="10"/>
        <v>12.247515380974917</v>
      </c>
      <c r="AB73" s="153">
        <f t="shared" si="11"/>
        <v>0</v>
      </c>
      <c r="AC73" s="153">
        <f t="shared" si="12"/>
        <v>4.2874420145791916</v>
      </c>
      <c r="AD73" s="175" t="s">
        <v>157</v>
      </c>
    </row>
    <row r="74" spans="1:30" s="146" customFormat="1" ht="21" customHeight="1" x14ac:dyDescent="0.2">
      <c r="A74" s="146" t="str">
        <f t="shared" si="7"/>
        <v>Citywalk Phase 5.08</v>
      </c>
      <c r="B74" s="147" t="str">
        <f t="shared" si="9"/>
        <v>Citywalk Phase 5.08 - Electrical</v>
      </c>
      <c r="C74" s="147"/>
      <c r="D74" s="148" t="s">
        <v>82</v>
      </c>
      <c r="E74" s="148" t="s">
        <v>83</v>
      </c>
      <c r="F74" s="148" t="s">
        <v>84</v>
      </c>
      <c r="G74" s="148" t="s">
        <v>85</v>
      </c>
      <c r="H74" s="149" t="s">
        <v>110</v>
      </c>
      <c r="I74" s="148" t="s">
        <v>115</v>
      </c>
      <c r="J74" s="149">
        <v>2023</v>
      </c>
      <c r="K74" s="150" t="s">
        <v>88</v>
      </c>
      <c r="L74" s="149" t="s">
        <v>86</v>
      </c>
      <c r="M74" s="149" t="s">
        <v>104</v>
      </c>
      <c r="N74" s="149" t="s">
        <v>105</v>
      </c>
      <c r="O74" s="149" t="s">
        <v>122</v>
      </c>
      <c r="P74" s="149" t="s">
        <v>124</v>
      </c>
      <c r="Q74" s="151">
        <v>6339</v>
      </c>
      <c r="R74" s="151">
        <v>11767</v>
      </c>
      <c r="S74" s="151">
        <v>18108</v>
      </c>
      <c r="T74" s="148" t="s">
        <v>148</v>
      </c>
      <c r="U74" s="154">
        <v>5.8</v>
      </c>
      <c r="V74" s="148" t="s">
        <v>5</v>
      </c>
      <c r="W74" s="149" t="s">
        <v>11</v>
      </c>
      <c r="X74" s="151">
        <v>74481</v>
      </c>
      <c r="Y74" s="151">
        <v>224071</v>
      </c>
      <c r="Z74" s="152">
        <f t="shared" si="8"/>
        <v>298552</v>
      </c>
      <c r="AA74" s="153">
        <f t="shared" si="10"/>
        <v>11.749645054424988</v>
      </c>
      <c r="AB74" s="153">
        <f t="shared" si="11"/>
        <v>19.042321747259283</v>
      </c>
      <c r="AC74" s="153">
        <f t="shared" si="12"/>
        <v>16.487298431632428</v>
      </c>
      <c r="AD74" s="175" t="s">
        <v>157</v>
      </c>
    </row>
    <row r="75" spans="1:30" s="146" customFormat="1" ht="21" customHeight="1" x14ac:dyDescent="0.2">
      <c r="A75" s="146" t="str">
        <f t="shared" si="7"/>
        <v>Citywalk Phase 5.08</v>
      </c>
      <c r="B75" s="147" t="str">
        <f t="shared" si="9"/>
        <v>Citywalk Phase 5.08 - Electrical</v>
      </c>
      <c r="C75" s="147"/>
      <c r="D75" s="148" t="s">
        <v>82</v>
      </c>
      <c r="E75" s="148" t="s">
        <v>83</v>
      </c>
      <c r="F75" s="148" t="s">
        <v>84</v>
      </c>
      <c r="G75" s="148" t="s">
        <v>85</v>
      </c>
      <c r="H75" s="149" t="s">
        <v>110</v>
      </c>
      <c r="I75" s="148" t="s">
        <v>115</v>
      </c>
      <c r="J75" s="149">
        <v>2023</v>
      </c>
      <c r="K75" s="150" t="s">
        <v>88</v>
      </c>
      <c r="L75" s="149" t="s">
        <v>86</v>
      </c>
      <c r="M75" s="149" t="s">
        <v>104</v>
      </c>
      <c r="N75" s="149" t="s">
        <v>105</v>
      </c>
      <c r="O75" s="149" t="s">
        <v>122</v>
      </c>
      <c r="P75" s="149" t="s">
        <v>124</v>
      </c>
      <c r="Q75" s="151">
        <v>6339</v>
      </c>
      <c r="R75" s="151">
        <v>11767</v>
      </c>
      <c r="S75" s="151">
        <v>18108</v>
      </c>
      <c r="T75" s="148" t="s">
        <v>148</v>
      </c>
      <c r="U75" s="154" t="s">
        <v>52</v>
      </c>
      <c r="V75" s="148" t="s">
        <v>39</v>
      </c>
      <c r="W75" s="149" t="s">
        <v>11</v>
      </c>
      <c r="X75" s="151">
        <v>50882</v>
      </c>
      <c r="Y75" s="151">
        <v>257509</v>
      </c>
      <c r="Z75" s="152">
        <f t="shared" si="8"/>
        <v>308391</v>
      </c>
      <c r="AA75" s="153">
        <f t="shared" si="10"/>
        <v>8.0268181101120053</v>
      </c>
      <c r="AB75" s="153">
        <f t="shared" si="11"/>
        <v>21.883997620464008</v>
      </c>
      <c r="AC75" s="153">
        <f t="shared" si="12"/>
        <v>17.030649436713055</v>
      </c>
      <c r="AD75" s="175" t="s">
        <v>157</v>
      </c>
    </row>
    <row r="76" spans="1:30" s="146" customFormat="1" ht="21" customHeight="1" x14ac:dyDescent="0.2">
      <c r="A76" s="146" t="str">
        <f t="shared" si="7"/>
        <v>Citywalk Phase 5.08</v>
      </c>
      <c r="B76" s="147" t="str">
        <f t="shared" si="9"/>
        <v>Citywalk Phase 5.08 - Electrical</v>
      </c>
      <c r="C76" s="147"/>
      <c r="D76" s="148" t="s">
        <v>82</v>
      </c>
      <c r="E76" s="148" t="s">
        <v>83</v>
      </c>
      <c r="F76" s="148" t="s">
        <v>84</v>
      </c>
      <c r="G76" s="148" t="s">
        <v>85</v>
      </c>
      <c r="H76" s="149" t="s">
        <v>110</v>
      </c>
      <c r="I76" s="148" t="s">
        <v>115</v>
      </c>
      <c r="J76" s="149">
        <v>2023</v>
      </c>
      <c r="K76" s="150" t="s">
        <v>88</v>
      </c>
      <c r="L76" s="149" t="s">
        <v>86</v>
      </c>
      <c r="M76" s="149" t="s">
        <v>104</v>
      </c>
      <c r="N76" s="149" t="s">
        <v>105</v>
      </c>
      <c r="O76" s="149" t="s">
        <v>122</v>
      </c>
      <c r="P76" s="149" t="s">
        <v>124</v>
      </c>
      <c r="Q76" s="151">
        <v>6339</v>
      </c>
      <c r="R76" s="151">
        <v>11767</v>
      </c>
      <c r="S76" s="151">
        <v>18108</v>
      </c>
      <c r="T76" s="148" t="s">
        <v>148</v>
      </c>
      <c r="U76" s="154" t="s">
        <v>52</v>
      </c>
      <c r="V76" s="148" t="s">
        <v>40</v>
      </c>
      <c r="W76" s="149" t="s">
        <v>11</v>
      </c>
      <c r="X76" s="151">
        <v>118358</v>
      </c>
      <c r="Y76" s="151">
        <v>0</v>
      </c>
      <c r="Z76" s="152">
        <f t="shared" si="8"/>
        <v>118358</v>
      </c>
      <c r="AA76" s="153">
        <f t="shared" si="10"/>
        <v>18.671399274333492</v>
      </c>
      <c r="AB76" s="153">
        <f t="shared" si="11"/>
        <v>0</v>
      </c>
      <c r="AC76" s="153">
        <f t="shared" si="12"/>
        <v>6.5362270819527284</v>
      </c>
      <c r="AD76" s="175" t="s">
        <v>157</v>
      </c>
    </row>
    <row r="77" spans="1:30" s="146" customFormat="1" ht="21" customHeight="1" x14ac:dyDescent="0.2">
      <c r="A77" s="146" t="str">
        <f t="shared" si="7"/>
        <v>Citywalk Phase 5.08</v>
      </c>
      <c r="B77" s="147" t="str">
        <f t="shared" si="9"/>
        <v>Citywalk Phase 5.08 - Electrical</v>
      </c>
      <c r="C77" s="147"/>
      <c r="D77" s="148" t="s">
        <v>82</v>
      </c>
      <c r="E77" s="148" t="s">
        <v>83</v>
      </c>
      <c r="F77" s="148" t="s">
        <v>84</v>
      </c>
      <c r="G77" s="148" t="s">
        <v>85</v>
      </c>
      <c r="H77" s="149" t="s">
        <v>110</v>
      </c>
      <c r="I77" s="148" t="s">
        <v>115</v>
      </c>
      <c r="J77" s="149">
        <v>2023</v>
      </c>
      <c r="K77" s="150" t="s">
        <v>88</v>
      </c>
      <c r="L77" s="149" t="s">
        <v>86</v>
      </c>
      <c r="M77" s="149" t="s">
        <v>104</v>
      </c>
      <c r="N77" s="149" t="s">
        <v>105</v>
      </c>
      <c r="O77" s="149" t="s">
        <v>122</v>
      </c>
      <c r="P77" s="149" t="s">
        <v>124</v>
      </c>
      <c r="Q77" s="151">
        <v>6339</v>
      </c>
      <c r="R77" s="151">
        <v>11767</v>
      </c>
      <c r="S77" s="151">
        <v>18108</v>
      </c>
      <c r="T77" s="148" t="s">
        <v>148</v>
      </c>
      <c r="U77" s="154">
        <v>5.12</v>
      </c>
      <c r="V77" s="148" t="s">
        <v>41</v>
      </c>
      <c r="W77" s="149" t="s">
        <v>11</v>
      </c>
      <c r="X77" s="151">
        <v>75213</v>
      </c>
      <c r="Y77" s="151">
        <v>556986</v>
      </c>
      <c r="Z77" s="152">
        <f t="shared" si="8"/>
        <v>632199</v>
      </c>
      <c r="AA77" s="153">
        <f t="shared" si="10"/>
        <v>11.865120681495505</v>
      </c>
      <c r="AB77" s="153">
        <f t="shared" si="11"/>
        <v>47.334579756947399</v>
      </c>
      <c r="AC77" s="153">
        <f t="shared" si="12"/>
        <v>34.912690523525512</v>
      </c>
      <c r="AD77" s="175" t="s">
        <v>157</v>
      </c>
    </row>
    <row r="78" spans="1:30" s="146" customFormat="1" ht="21" customHeight="1" x14ac:dyDescent="0.2">
      <c r="A78" s="146" t="str">
        <f t="shared" si="7"/>
        <v>Citywalk Phase 5.08</v>
      </c>
      <c r="B78" s="147" t="str">
        <f t="shared" si="9"/>
        <v>Citywalk Phase 5.08 - Electrical</v>
      </c>
      <c r="C78" s="147"/>
      <c r="D78" s="148" t="s">
        <v>82</v>
      </c>
      <c r="E78" s="148" t="s">
        <v>83</v>
      </c>
      <c r="F78" s="148" t="s">
        <v>84</v>
      </c>
      <c r="G78" s="148" t="s">
        <v>85</v>
      </c>
      <c r="H78" s="149" t="s">
        <v>110</v>
      </c>
      <c r="I78" s="148" t="s">
        <v>115</v>
      </c>
      <c r="J78" s="149">
        <v>2023</v>
      </c>
      <c r="K78" s="150" t="s">
        <v>88</v>
      </c>
      <c r="L78" s="149" t="s">
        <v>86</v>
      </c>
      <c r="M78" s="149" t="s">
        <v>104</v>
      </c>
      <c r="N78" s="149" t="s">
        <v>105</v>
      </c>
      <c r="O78" s="149" t="s">
        <v>122</v>
      </c>
      <c r="P78" s="149" t="s">
        <v>124</v>
      </c>
      <c r="Q78" s="151">
        <v>6339</v>
      </c>
      <c r="R78" s="151">
        <v>11767</v>
      </c>
      <c r="S78" s="151">
        <v>18108</v>
      </c>
      <c r="T78" s="148" t="s">
        <v>148</v>
      </c>
      <c r="U78" s="154">
        <v>5.12</v>
      </c>
      <c r="V78" s="148" t="s">
        <v>42</v>
      </c>
      <c r="W78" s="149" t="s">
        <v>11</v>
      </c>
      <c r="X78" s="151">
        <v>303514</v>
      </c>
      <c r="Y78" s="151">
        <v>360990</v>
      </c>
      <c r="Z78" s="152">
        <f t="shared" si="8"/>
        <v>664504</v>
      </c>
      <c r="AA78" s="153">
        <f t="shared" si="10"/>
        <v>47.880422779618236</v>
      </c>
      <c r="AB78" s="153">
        <f t="shared" si="11"/>
        <v>30.67816775728733</v>
      </c>
      <c r="AC78" s="153">
        <f t="shared" si="12"/>
        <v>36.696708637066493</v>
      </c>
      <c r="AD78" s="175" t="s">
        <v>157</v>
      </c>
    </row>
    <row r="79" spans="1:30" s="146" customFormat="1" ht="21" customHeight="1" x14ac:dyDescent="0.2">
      <c r="A79" s="146" t="str">
        <f t="shared" si="7"/>
        <v>Citywalk Phase 5.08</v>
      </c>
      <c r="B79" s="147" t="str">
        <f t="shared" si="9"/>
        <v>Citywalk Phase 5.08 - Electrical</v>
      </c>
      <c r="C79" s="147"/>
      <c r="D79" s="148" t="s">
        <v>82</v>
      </c>
      <c r="E79" s="148" t="s">
        <v>83</v>
      </c>
      <c r="F79" s="148" t="s">
        <v>84</v>
      </c>
      <c r="G79" s="148" t="s">
        <v>85</v>
      </c>
      <c r="H79" s="149" t="s">
        <v>110</v>
      </c>
      <c r="I79" s="148" t="s">
        <v>115</v>
      </c>
      <c r="J79" s="149">
        <v>2023</v>
      </c>
      <c r="K79" s="150" t="s">
        <v>88</v>
      </c>
      <c r="L79" s="149" t="s">
        <v>86</v>
      </c>
      <c r="M79" s="149" t="s">
        <v>104</v>
      </c>
      <c r="N79" s="149" t="s">
        <v>105</v>
      </c>
      <c r="O79" s="149" t="s">
        <v>122</v>
      </c>
      <c r="P79" s="149" t="s">
        <v>124</v>
      </c>
      <c r="Q79" s="151">
        <v>6339</v>
      </c>
      <c r="R79" s="151">
        <v>11767</v>
      </c>
      <c r="S79" s="151">
        <v>18108</v>
      </c>
      <c r="T79" s="148" t="s">
        <v>148</v>
      </c>
      <c r="U79" s="154">
        <v>5.12</v>
      </c>
      <c r="V79" s="148" t="s">
        <v>60</v>
      </c>
      <c r="W79" s="149" t="s">
        <v>11</v>
      </c>
      <c r="X79" s="151">
        <v>82848</v>
      </c>
      <c r="Y79" s="151">
        <v>0</v>
      </c>
      <c r="Z79" s="152">
        <f t="shared" si="8"/>
        <v>82848</v>
      </c>
      <c r="AA79" s="153">
        <f t="shared" si="10"/>
        <v>13.069569332702319</v>
      </c>
      <c r="AB79" s="153">
        <f t="shared" si="11"/>
        <v>0</v>
      </c>
      <c r="AC79" s="153">
        <f t="shared" si="12"/>
        <v>4.5752153744201456</v>
      </c>
      <c r="AD79" s="175" t="s">
        <v>157</v>
      </c>
    </row>
    <row r="80" spans="1:30" s="146" customFormat="1" ht="21" customHeight="1" x14ac:dyDescent="0.2">
      <c r="A80" s="146" t="str">
        <f t="shared" si="7"/>
        <v>Citywalk Phase 5.08</v>
      </c>
      <c r="B80" s="147" t="str">
        <f t="shared" si="9"/>
        <v>Citywalk Phase 5.08 - Electrical</v>
      </c>
      <c r="C80" s="147"/>
      <c r="D80" s="148" t="s">
        <v>82</v>
      </c>
      <c r="E80" s="148" t="s">
        <v>83</v>
      </c>
      <c r="F80" s="148" t="s">
        <v>84</v>
      </c>
      <c r="G80" s="148" t="s">
        <v>85</v>
      </c>
      <c r="H80" s="149" t="s">
        <v>110</v>
      </c>
      <c r="I80" s="148" t="s">
        <v>115</v>
      </c>
      <c r="J80" s="149">
        <v>2023</v>
      </c>
      <c r="K80" s="150" t="s">
        <v>88</v>
      </c>
      <c r="L80" s="149" t="s">
        <v>86</v>
      </c>
      <c r="M80" s="149" t="s">
        <v>104</v>
      </c>
      <c r="N80" s="149" t="s">
        <v>105</v>
      </c>
      <c r="O80" s="149" t="s">
        <v>122</v>
      </c>
      <c r="P80" s="149" t="s">
        <v>124</v>
      </c>
      <c r="Q80" s="151">
        <v>6339</v>
      </c>
      <c r="R80" s="151">
        <v>11767</v>
      </c>
      <c r="S80" s="151">
        <v>18108</v>
      </c>
      <c r="T80" s="148" t="s">
        <v>148</v>
      </c>
      <c r="U80" s="154">
        <v>5.12</v>
      </c>
      <c r="V80" s="148" t="s">
        <v>43</v>
      </c>
      <c r="W80" s="149" t="s">
        <v>11</v>
      </c>
      <c r="X80" s="151">
        <v>65951</v>
      </c>
      <c r="Y80" s="151">
        <v>142223</v>
      </c>
      <c r="Z80" s="152">
        <f t="shared" si="8"/>
        <v>208174</v>
      </c>
      <c r="AA80" s="153">
        <f t="shared" si="10"/>
        <v>10.404006941157911</v>
      </c>
      <c r="AB80" s="153">
        <f t="shared" si="11"/>
        <v>12.086598113367893</v>
      </c>
      <c r="AC80" s="153">
        <f t="shared" si="12"/>
        <v>11.496244753700022</v>
      </c>
      <c r="AD80" s="175" t="s">
        <v>157</v>
      </c>
    </row>
    <row r="81" spans="1:39" s="146" customFormat="1" ht="21" customHeight="1" x14ac:dyDescent="0.2">
      <c r="A81" s="146" t="str">
        <f t="shared" si="7"/>
        <v>Citywalk Phase 5.08</v>
      </c>
      <c r="B81" s="147" t="str">
        <f t="shared" si="9"/>
        <v>Citywalk Phase 5.08 - Electrical</v>
      </c>
      <c r="C81" s="147"/>
      <c r="D81" s="148" t="s">
        <v>82</v>
      </c>
      <c r="E81" s="148" t="s">
        <v>83</v>
      </c>
      <c r="F81" s="148" t="s">
        <v>84</v>
      </c>
      <c r="G81" s="148" t="s">
        <v>85</v>
      </c>
      <c r="H81" s="149" t="s">
        <v>110</v>
      </c>
      <c r="I81" s="148" t="s">
        <v>115</v>
      </c>
      <c r="J81" s="149">
        <v>2023</v>
      </c>
      <c r="K81" s="150" t="s">
        <v>88</v>
      </c>
      <c r="L81" s="149" t="s">
        <v>86</v>
      </c>
      <c r="M81" s="149" t="s">
        <v>104</v>
      </c>
      <c r="N81" s="149" t="s">
        <v>105</v>
      </c>
      <c r="O81" s="149" t="s">
        <v>122</v>
      </c>
      <c r="P81" s="149" t="s">
        <v>124</v>
      </c>
      <c r="Q81" s="151">
        <v>6339</v>
      </c>
      <c r="R81" s="151">
        <v>11767</v>
      </c>
      <c r="S81" s="151">
        <v>18108</v>
      </c>
      <c r="T81" s="148" t="s">
        <v>148</v>
      </c>
      <c r="U81" s="154">
        <v>5.12</v>
      </c>
      <c r="V81" s="148" t="s">
        <v>44</v>
      </c>
      <c r="W81" s="149" t="s">
        <v>11</v>
      </c>
      <c r="X81" s="151">
        <v>323118</v>
      </c>
      <c r="Y81" s="151">
        <v>278382</v>
      </c>
      <c r="Z81" s="152">
        <f t="shared" si="8"/>
        <v>601500</v>
      </c>
      <c r="AA81" s="153">
        <f t="shared" si="10"/>
        <v>50.973024136299102</v>
      </c>
      <c r="AB81" s="153">
        <f t="shared" si="11"/>
        <v>23.657856717940003</v>
      </c>
      <c r="AC81" s="153">
        <f t="shared" si="12"/>
        <v>33.217362491716365</v>
      </c>
      <c r="AD81" s="175" t="s">
        <v>157</v>
      </c>
    </row>
    <row r="82" spans="1:39" s="146" customFormat="1" ht="21" customHeight="1" x14ac:dyDescent="0.2">
      <c r="A82" s="146" t="str">
        <f t="shared" si="7"/>
        <v>Citywalk Phase 5.08</v>
      </c>
      <c r="B82" s="147" t="str">
        <f t="shared" si="9"/>
        <v>Citywalk Phase 5.08 - Electrical</v>
      </c>
      <c r="C82" s="147"/>
      <c r="D82" s="148" t="s">
        <v>82</v>
      </c>
      <c r="E82" s="148" t="s">
        <v>83</v>
      </c>
      <c r="F82" s="148" t="s">
        <v>84</v>
      </c>
      <c r="G82" s="148" t="s">
        <v>85</v>
      </c>
      <c r="H82" s="149" t="s">
        <v>110</v>
      </c>
      <c r="I82" s="148" t="s">
        <v>115</v>
      </c>
      <c r="J82" s="149">
        <v>2023</v>
      </c>
      <c r="K82" s="150" t="s">
        <v>88</v>
      </c>
      <c r="L82" s="149" t="s">
        <v>86</v>
      </c>
      <c r="M82" s="149" t="s">
        <v>104</v>
      </c>
      <c r="N82" s="149" t="s">
        <v>105</v>
      </c>
      <c r="O82" s="149" t="s">
        <v>122</v>
      </c>
      <c r="P82" s="149" t="s">
        <v>124</v>
      </c>
      <c r="Q82" s="151">
        <v>6339</v>
      </c>
      <c r="R82" s="151">
        <v>11767</v>
      </c>
      <c r="S82" s="151">
        <v>18108</v>
      </c>
      <c r="T82" s="148" t="s">
        <v>148</v>
      </c>
      <c r="U82" s="154">
        <v>5.12</v>
      </c>
      <c r="V82" s="148" t="s">
        <v>45</v>
      </c>
      <c r="W82" s="149" t="s">
        <v>11</v>
      </c>
      <c r="X82" s="151">
        <v>321253</v>
      </c>
      <c r="Y82" s="151">
        <v>240474</v>
      </c>
      <c r="Z82" s="152">
        <f t="shared" si="8"/>
        <v>561727</v>
      </c>
      <c r="AA82" s="153">
        <f t="shared" si="10"/>
        <v>50.678813693011513</v>
      </c>
      <c r="AB82" s="153">
        <f t="shared" si="11"/>
        <v>20.436304920540493</v>
      </c>
      <c r="AC82" s="153">
        <f t="shared" si="12"/>
        <v>31.020929975701346</v>
      </c>
      <c r="AD82" s="175" t="s">
        <v>157</v>
      </c>
    </row>
    <row r="83" spans="1:39" s="146" customFormat="1" ht="21" customHeight="1" x14ac:dyDescent="0.2">
      <c r="A83" s="146" t="str">
        <f t="shared" si="7"/>
        <v>Citywalk Phase 5.08</v>
      </c>
      <c r="B83" s="147" t="str">
        <f t="shared" si="9"/>
        <v>Citywalk Phase 5.08 - Electrical</v>
      </c>
      <c r="C83" s="147"/>
      <c r="D83" s="148" t="s">
        <v>82</v>
      </c>
      <c r="E83" s="148" t="s">
        <v>83</v>
      </c>
      <c r="F83" s="148" t="s">
        <v>84</v>
      </c>
      <c r="G83" s="148" t="s">
        <v>85</v>
      </c>
      <c r="H83" s="149" t="s">
        <v>110</v>
      </c>
      <c r="I83" s="148" t="s">
        <v>115</v>
      </c>
      <c r="J83" s="149">
        <v>2023</v>
      </c>
      <c r="K83" s="150" t="s">
        <v>88</v>
      </c>
      <c r="L83" s="149" t="s">
        <v>86</v>
      </c>
      <c r="M83" s="149" t="s">
        <v>104</v>
      </c>
      <c r="N83" s="149" t="s">
        <v>105</v>
      </c>
      <c r="O83" s="149" t="s">
        <v>122</v>
      </c>
      <c r="P83" s="149" t="s">
        <v>124</v>
      </c>
      <c r="Q83" s="151">
        <v>6339</v>
      </c>
      <c r="R83" s="151">
        <v>11767</v>
      </c>
      <c r="S83" s="151">
        <v>18108</v>
      </c>
      <c r="T83" s="148" t="s">
        <v>148</v>
      </c>
      <c r="U83" s="154">
        <v>5.12</v>
      </c>
      <c r="V83" s="148" t="s">
        <v>46</v>
      </c>
      <c r="W83" s="149" t="s">
        <v>11</v>
      </c>
      <c r="X83" s="151">
        <v>287009</v>
      </c>
      <c r="Y83" s="151">
        <v>42824</v>
      </c>
      <c r="Z83" s="152">
        <f t="shared" si="8"/>
        <v>329833</v>
      </c>
      <c r="AA83" s="153">
        <f t="shared" si="10"/>
        <v>45.276699794920333</v>
      </c>
      <c r="AB83" s="153">
        <f t="shared" si="11"/>
        <v>3.639330330585536</v>
      </c>
      <c r="AC83" s="153">
        <f t="shared" si="12"/>
        <v>18.214766953832559</v>
      </c>
      <c r="AD83" s="175" t="s">
        <v>157</v>
      </c>
    </row>
    <row r="84" spans="1:39" s="146" customFormat="1" ht="21" customHeight="1" x14ac:dyDescent="0.2">
      <c r="A84" s="146" t="str">
        <f t="shared" si="7"/>
        <v>Citywalk Phase 5.08</v>
      </c>
      <c r="B84" s="147" t="str">
        <f t="shared" si="9"/>
        <v>Citywalk Phase 5.08 - Electrical</v>
      </c>
      <c r="C84" s="147"/>
      <c r="D84" s="148" t="s">
        <v>82</v>
      </c>
      <c r="E84" s="148" t="s">
        <v>83</v>
      </c>
      <c r="F84" s="148" t="s">
        <v>84</v>
      </c>
      <c r="G84" s="148" t="s">
        <v>85</v>
      </c>
      <c r="H84" s="149" t="s">
        <v>110</v>
      </c>
      <c r="I84" s="148" t="s">
        <v>115</v>
      </c>
      <c r="J84" s="149">
        <v>2023</v>
      </c>
      <c r="K84" s="150" t="s">
        <v>88</v>
      </c>
      <c r="L84" s="149" t="s">
        <v>86</v>
      </c>
      <c r="M84" s="149" t="s">
        <v>104</v>
      </c>
      <c r="N84" s="149" t="s">
        <v>105</v>
      </c>
      <c r="O84" s="149" t="s">
        <v>122</v>
      </c>
      <c r="P84" s="149" t="s">
        <v>124</v>
      </c>
      <c r="Q84" s="151">
        <v>6339</v>
      </c>
      <c r="R84" s="151">
        <v>11767</v>
      </c>
      <c r="S84" s="151">
        <v>18108</v>
      </c>
      <c r="T84" s="148" t="s">
        <v>148</v>
      </c>
      <c r="U84" s="154">
        <v>5.12</v>
      </c>
      <c r="V84" s="148" t="s">
        <v>47</v>
      </c>
      <c r="W84" s="149" t="s">
        <v>11</v>
      </c>
      <c r="X84" s="151">
        <v>127380</v>
      </c>
      <c r="Y84" s="151">
        <v>78555</v>
      </c>
      <c r="Z84" s="152">
        <f t="shared" si="8"/>
        <v>205935</v>
      </c>
      <c r="AA84" s="153">
        <f t="shared" si="10"/>
        <v>20.09465215333649</v>
      </c>
      <c r="AB84" s="153">
        <f t="shared" si="11"/>
        <v>6.6758732047250788</v>
      </c>
      <c r="AC84" s="153">
        <f t="shared" si="12"/>
        <v>11.37259774685222</v>
      </c>
      <c r="AD84" s="175" t="s">
        <v>157</v>
      </c>
    </row>
    <row r="85" spans="1:39" s="146" customFormat="1" ht="21" customHeight="1" x14ac:dyDescent="0.2">
      <c r="A85" s="146" t="str">
        <f t="shared" si="7"/>
        <v>Citywalk Phase 5.08</v>
      </c>
      <c r="B85" s="147" t="str">
        <f t="shared" si="9"/>
        <v>Citywalk Phase 5.08 - Electrical</v>
      </c>
      <c r="C85" s="147"/>
      <c r="D85" s="148" t="s">
        <v>82</v>
      </c>
      <c r="E85" s="148" t="s">
        <v>83</v>
      </c>
      <c r="F85" s="148" t="s">
        <v>84</v>
      </c>
      <c r="G85" s="148" t="s">
        <v>85</v>
      </c>
      <c r="H85" s="149" t="s">
        <v>110</v>
      </c>
      <c r="I85" s="148" t="s">
        <v>115</v>
      </c>
      <c r="J85" s="149">
        <v>2023</v>
      </c>
      <c r="K85" s="150" t="s">
        <v>88</v>
      </c>
      <c r="L85" s="149" t="s">
        <v>86</v>
      </c>
      <c r="M85" s="149" t="s">
        <v>104</v>
      </c>
      <c r="N85" s="149" t="s">
        <v>105</v>
      </c>
      <c r="O85" s="149" t="s">
        <v>122</v>
      </c>
      <c r="P85" s="149" t="s">
        <v>124</v>
      </c>
      <c r="Q85" s="151">
        <v>6339</v>
      </c>
      <c r="R85" s="151">
        <v>11767</v>
      </c>
      <c r="S85" s="151">
        <v>18108</v>
      </c>
      <c r="T85" s="148" t="s">
        <v>148</v>
      </c>
      <c r="U85" s="154">
        <v>5.12</v>
      </c>
      <c r="V85" s="148" t="s">
        <v>48</v>
      </c>
      <c r="W85" s="149" t="s">
        <v>11</v>
      </c>
      <c r="X85" s="151">
        <v>0</v>
      </c>
      <c r="Y85" s="151">
        <v>127380</v>
      </c>
      <c r="Z85" s="152">
        <f t="shared" si="8"/>
        <v>127380</v>
      </c>
      <c r="AA85" s="153">
        <f t="shared" si="10"/>
        <v>0</v>
      </c>
      <c r="AB85" s="153">
        <f t="shared" si="11"/>
        <v>10.825189088127814</v>
      </c>
      <c r="AC85" s="153">
        <f t="shared" si="12"/>
        <v>7.0344599072233267</v>
      </c>
      <c r="AD85" s="175" t="s">
        <v>157</v>
      </c>
    </row>
    <row r="86" spans="1:39" s="146" customFormat="1" ht="21" customHeight="1" x14ac:dyDescent="0.2">
      <c r="A86" s="146" t="str">
        <f t="shared" si="7"/>
        <v>Citywalk Phase 5.08</v>
      </c>
      <c r="B86" s="147" t="str">
        <f t="shared" si="9"/>
        <v>Citywalk Phase 5.08 - Electrical</v>
      </c>
      <c r="C86" s="147"/>
      <c r="D86" s="148" t="s">
        <v>82</v>
      </c>
      <c r="E86" s="148" t="s">
        <v>83</v>
      </c>
      <c r="F86" s="148" t="s">
        <v>84</v>
      </c>
      <c r="G86" s="148" t="s">
        <v>85</v>
      </c>
      <c r="H86" s="149" t="s">
        <v>110</v>
      </c>
      <c r="I86" s="148" t="s">
        <v>115</v>
      </c>
      <c r="J86" s="149">
        <v>2023</v>
      </c>
      <c r="K86" s="150" t="s">
        <v>88</v>
      </c>
      <c r="L86" s="149" t="s">
        <v>86</v>
      </c>
      <c r="M86" s="149" t="s">
        <v>104</v>
      </c>
      <c r="N86" s="149" t="s">
        <v>105</v>
      </c>
      <c r="O86" s="149" t="s">
        <v>122</v>
      </c>
      <c r="P86" s="149" t="s">
        <v>124</v>
      </c>
      <c r="Q86" s="151">
        <v>6339</v>
      </c>
      <c r="R86" s="151">
        <v>11767</v>
      </c>
      <c r="S86" s="151">
        <v>18108</v>
      </c>
      <c r="T86" s="148" t="s">
        <v>148</v>
      </c>
      <c r="U86" s="154">
        <v>5.12</v>
      </c>
      <c r="V86" s="148" t="s">
        <v>49</v>
      </c>
      <c r="W86" s="149" t="s">
        <v>11</v>
      </c>
      <c r="X86" s="151">
        <v>0</v>
      </c>
      <c r="Y86" s="151">
        <v>0</v>
      </c>
      <c r="Z86" s="152">
        <f t="shared" si="8"/>
        <v>0</v>
      </c>
      <c r="AA86" s="153">
        <f t="shared" si="10"/>
        <v>0</v>
      </c>
      <c r="AB86" s="153">
        <f t="shared" si="11"/>
        <v>0</v>
      </c>
      <c r="AC86" s="153">
        <f t="shared" si="12"/>
        <v>0</v>
      </c>
      <c r="AD86" s="175" t="s">
        <v>157</v>
      </c>
    </row>
    <row r="87" spans="1:39" s="146" customFormat="1" ht="21" customHeight="1" x14ac:dyDescent="0.2">
      <c r="A87" s="146" t="str">
        <f t="shared" si="7"/>
        <v>Citywalk Phase 5.08</v>
      </c>
      <c r="B87" s="147" t="str">
        <f t="shared" si="9"/>
        <v>Citywalk Phase 5.08 - Electrical</v>
      </c>
      <c r="C87" s="147"/>
      <c r="D87" s="148" t="s">
        <v>82</v>
      </c>
      <c r="E87" s="148" t="s">
        <v>83</v>
      </c>
      <c r="F87" s="148" t="s">
        <v>84</v>
      </c>
      <c r="G87" s="148" t="s">
        <v>85</v>
      </c>
      <c r="H87" s="149" t="s">
        <v>110</v>
      </c>
      <c r="I87" s="148" t="s">
        <v>115</v>
      </c>
      <c r="J87" s="149">
        <v>2023</v>
      </c>
      <c r="K87" s="150" t="s">
        <v>88</v>
      </c>
      <c r="L87" s="149" t="s">
        <v>86</v>
      </c>
      <c r="M87" s="149" t="s">
        <v>104</v>
      </c>
      <c r="N87" s="149" t="s">
        <v>105</v>
      </c>
      <c r="O87" s="149" t="s">
        <v>122</v>
      </c>
      <c r="P87" s="149" t="s">
        <v>124</v>
      </c>
      <c r="Q87" s="151">
        <v>6339</v>
      </c>
      <c r="R87" s="151">
        <v>11767</v>
      </c>
      <c r="S87" s="151">
        <v>18108</v>
      </c>
      <c r="T87" s="148" t="s">
        <v>148</v>
      </c>
      <c r="U87" s="154">
        <v>5.12</v>
      </c>
      <c r="V87" s="148" t="s">
        <v>50</v>
      </c>
      <c r="W87" s="149" t="s">
        <v>11</v>
      </c>
      <c r="X87" s="151">
        <v>58656</v>
      </c>
      <c r="Y87" s="151">
        <v>5077</v>
      </c>
      <c r="Z87" s="152">
        <f t="shared" si="8"/>
        <v>63733</v>
      </c>
      <c r="AA87" s="153">
        <f t="shared" si="10"/>
        <v>9.2531945101751063</v>
      </c>
      <c r="AB87" s="153">
        <f t="shared" si="11"/>
        <v>0.43146086513129939</v>
      </c>
      <c r="AC87" s="153">
        <f t="shared" si="12"/>
        <v>3.5196045946542966</v>
      </c>
      <c r="AD87" s="175" t="s">
        <v>157</v>
      </c>
    </row>
    <row r="88" spans="1:39" s="146" customFormat="1" ht="21" customHeight="1" x14ac:dyDescent="0.2">
      <c r="A88" s="146" t="str">
        <f t="shared" si="7"/>
        <v>Citywalk Phase 5.08</v>
      </c>
      <c r="B88" s="147" t="str">
        <f t="shared" si="9"/>
        <v>Citywalk Phase 5.08 - Electrical</v>
      </c>
      <c r="C88" s="147"/>
      <c r="D88" s="148" t="s">
        <v>82</v>
      </c>
      <c r="E88" s="148" t="s">
        <v>83</v>
      </c>
      <c r="F88" s="148" t="s">
        <v>84</v>
      </c>
      <c r="G88" s="148" t="s">
        <v>85</v>
      </c>
      <c r="H88" s="149" t="s">
        <v>110</v>
      </c>
      <c r="I88" s="148" t="s">
        <v>115</v>
      </c>
      <c r="J88" s="149">
        <v>2023</v>
      </c>
      <c r="K88" s="150" t="s">
        <v>88</v>
      </c>
      <c r="L88" s="149" t="s">
        <v>86</v>
      </c>
      <c r="M88" s="149" t="s">
        <v>104</v>
      </c>
      <c r="N88" s="149" t="s">
        <v>105</v>
      </c>
      <c r="O88" s="149" t="s">
        <v>122</v>
      </c>
      <c r="P88" s="149" t="s">
        <v>124</v>
      </c>
      <c r="Q88" s="151">
        <v>6339</v>
      </c>
      <c r="R88" s="151">
        <v>11767</v>
      </c>
      <c r="S88" s="151">
        <v>18108</v>
      </c>
      <c r="T88" s="148" t="s">
        <v>148</v>
      </c>
      <c r="U88" s="154">
        <v>5.12</v>
      </c>
      <c r="V88" s="148" t="s">
        <v>51</v>
      </c>
      <c r="W88" s="149" t="s">
        <v>11</v>
      </c>
      <c r="X88" s="151">
        <v>433339</v>
      </c>
      <c r="Y88" s="151">
        <v>563079</v>
      </c>
      <c r="Z88" s="152">
        <f t="shared" si="8"/>
        <v>996418</v>
      </c>
      <c r="AA88" s="153">
        <f t="shared" si="10"/>
        <v>68.360782457800909</v>
      </c>
      <c r="AB88" s="153">
        <f t="shared" si="11"/>
        <v>47.852383785161891</v>
      </c>
      <c r="AC88" s="153">
        <f t="shared" si="12"/>
        <v>55.026397172520433</v>
      </c>
      <c r="AD88" s="175" t="s">
        <v>157</v>
      </c>
    </row>
    <row r="89" spans="1:39" s="146" customFormat="1" ht="21" customHeight="1" x14ac:dyDescent="0.2">
      <c r="A89" s="146" t="str">
        <f t="shared" si="7"/>
        <v>Citywalk Phase 5.08</v>
      </c>
      <c r="B89" s="147" t="str">
        <f t="shared" si="9"/>
        <v>Citywalk Phase 5.08 - Electrical</v>
      </c>
      <c r="C89" s="147"/>
      <c r="D89" s="148" t="s">
        <v>82</v>
      </c>
      <c r="E89" s="148" t="s">
        <v>83</v>
      </c>
      <c r="F89" s="148" t="s">
        <v>84</v>
      </c>
      <c r="G89" s="148" t="s">
        <v>85</v>
      </c>
      <c r="H89" s="149" t="s">
        <v>110</v>
      </c>
      <c r="I89" s="148" t="s">
        <v>115</v>
      </c>
      <c r="J89" s="149">
        <v>2023</v>
      </c>
      <c r="K89" s="150" t="s">
        <v>88</v>
      </c>
      <c r="L89" s="149" t="s">
        <v>86</v>
      </c>
      <c r="M89" s="149" t="s">
        <v>104</v>
      </c>
      <c r="N89" s="149" t="s">
        <v>105</v>
      </c>
      <c r="O89" s="149" t="s">
        <v>122</v>
      </c>
      <c r="P89" s="149" t="s">
        <v>124</v>
      </c>
      <c r="Q89" s="151">
        <v>6339</v>
      </c>
      <c r="R89" s="151">
        <v>11767</v>
      </c>
      <c r="S89" s="151">
        <v>18108</v>
      </c>
      <c r="T89" s="148" t="s">
        <v>148</v>
      </c>
      <c r="U89" s="155" t="s">
        <v>53</v>
      </c>
      <c r="V89" s="148" t="s">
        <v>27</v>
      </c>
      <c r="W89" s="149" t="s">
        <v>11</v>
      </c>
      <c r="X89" s="151">
        <v>76018</v>
      </c>
      <c r="Y89" s="151">
        <v>0</v>
      </c>
      <c r="Z89" s="152">
        <f t="shared" si="8"/>
        <v>76018</v>
      </c>
      <c r="AA89" s="153">
        <f t="shared" si="10"/>
        <v>11.992112320555293</v>
      </c>
      <c r="AB89" s="153">
        <f t="shared" si="11"/>
        <v>0</v>
      </c>
      <c r="AC89" s="153">
        <f t="shared" si="12"/>
        <v>4.1980340181135407</v>
      </c>
      <c r="AD89" s="175" t="s">
        <v>157</v>
      </c>
    </row>
    <row r="90" spans="1:39" s="124" customFormat="1" ht="21" customHeight="1" x14ac:dyDescent="0.2">
      <c r="A90" s="124" t="str">
        <f t="shared" si="7"/>
        <v>Citywalk Phase 5.03</v>
      </c>
      <c r="B90" s="120" t="str">
        <f t="shared" si="9"/>
        <v>Citywalk Phase 5.03 - Mechanical</v>
      </c>
      <c r="C90" s="120"/>
      <c r="D90" s="121" t="s">
        <v>82</v>
      </c>
      <c r="E90" s="121" t="s">
        <v>83</v>
      </c>
      <c r="F90" s="121" t="s">
        <v>84</v>
      </c>
      <c r="G90" s="121" t="s">
        <v>85</v>
      </c>
      <c r="H90" s="122" t="s">
        <v>107</v>
      </c>
      <c r="I90" s="121" t="s">
        <v>116</v>
      </c>
      <c r="J90" s="122">
        <v>2023</v>
      </c>
      <c r="K90" s="123" t="s">
        <v>88</v>
      </c>
      <c r="L90" s="122" t="s">
        <v>86</v>
      </c>
      <c r="M90" s="122" t="s">
        <v>104</v>
      </c>
      <c r="N90" s="122" t="s">
        <v>105</v>
      </c>
      <c r="O90" s="122" t="s">
        <v>122</v>
      </c>
      <c r="P90" s="122" t="s">
        <v>124</v>
      </c>
      <c r="Q90" s="112">
        <v>10390</v>
      </c>
      <c r="R90" s="112">
        <v>17125</v>
      </c>
      <c r="S90" s="112">
        <v>27515</v>
      </c>
      <c r="T90" s="121" t="s">
        <v>127</v>
      </c>
      <c r="U90" s="141">
        <v>5.3</v>
      </c>
      <c r="V90" s="121" t="s">
        <v>14</v>
      </c>
      <c r="W90" s="122" t="s">
        <v>11</v>
      </c>
      <c r="X90" s="112">
        <v>447549</v>
      </c>
      <c r="Y90" s="112">
        <v>801397</v>
      </c>
      <c r="Z90" s="139">
        <f t="shared" si="8"/>
        <v>1248946</v>
      </c>
      <c r="AA90" s="140">
        <f t="shared" si="10"/>
        <v>43.074975938402311</v>
      </c>
      <c r="AB90" s="140">
        <f t="shared" si="11"/>
        <v>46.796905109489053</v>
      </c>
      <c r="AC90" s="140">
        <f t="shared" si="12"/>
        <v>45.391459204070507</v>
      </c>
      <c r="AD90" s="176" t="s">
        <v>157</v>
      </c>
      <c r="AE90" s="125"/>
      <c r="AF90" s="125"/>
      <c r="AG90" s="125"/>
      <c r="AH90" s="125"/>
      <c r="AI90" s="125"/>
      <c r="AJ90" s="125"/>
      <c r="AK90" s="125"/>
      <c r="AL90" s="125"/>
      <c r="AM90" s="125"/>
    </row>
    <row r="91" spans="1:39" s="124" customFormat="1" ht="21" customHeight="1" x14ac:dyDescent="0.2">
      <c r="A91" s="124" t="str">
        <f t="shared" si="7"/>
        <v>Citywalk Phase 5.03</v>
      </c>
      <c r="B91" s="120" t="str">
        <f t="shared" si="9"/>
        <v>Citywalk Phase 5.03 - Mechanical</v>
      </c>
      <c r="C91" s="120"/>
      <c r="D91" s="121" t="s">
        <v>82</v>
      </c>
      <c r="E91" s="121" t="s">
        <v>83</v>
      </c>
      <c r="F91" s="121" t="s">
        <v>84</v>
      </c>
      <c r="G91" s="121" t="s">
        <v>85</v>
      </c>
      <c r="H91" s="122" t="s">
        <v>107</v>
      </c>
      <c r="I91" s="121" t="s">
        <v>116</v>
      </c>
      <c r="J91" s="122">
        <v>2023</v>
      </c>
      <c r="K91" s="123" t="s">
        <v>88</v>
      </c>
      <c r="L91" s="122" t="s">
        <v>86</v>
      </c>
      <c r="M91" s="122" t="s">
        <v>104</v>
      </c>
      <c r="N91" s="122" t="s">
        <v>105</v>
      </c>
      <c r="O91" s="122" t="s">
        <v>122</v>
      </c>
      <c r="P91" s="122" t="s">
        <v>124</v>
      </c>
      <c r="Q91" s="112">
        <v>10390</v>
      </c>
      <c r="R91" s="112">
        <v>17125</v>
      </c>
      <c r="S91" s="112">
        <v>27515</v>
      </c>
      <c r="T91" s="121" t="s">
        <v>127</v>
      </c>
      <c r="U91" s="141">
        <v>5.3</v>
      </c>
      <c r="V91" s="121" t="s">
        <v>15</v>
      </c>
      <c r="W91" s="122" t="s">
        <v>11</v>
      </c>
      <c r="X91" s="112">
        <v>96648</v>
      </c>
      <c r="Y91" s="112">
        <v>0</v>
      </c>
      <c r="Z91" s="139">
        <f t="shared" si="8"/>
        <v>96648</v>
      </c>
      <c r="AA91" s="140">
        <f t="shared" si="10"/>
        <v>9.3020211742059669</v>
      </c>
      <c r="AB91" s="140">
        <f t="shared" si="11"/>
        <v>0</v>
      </c>
      <c r="AC91" s="140">
        <f t="shared" si="12"/>
        <v>3.5125567872069778</v>
      </c>
      <c r="AD91" s="176" t="s">
        <v>157</v>
      </c>
      <c r="AE91" s="125"/>
      <c r="AF91" s="125"/>
      <c r="AG91" s="125"/>
      <c r="AH91" s="125"/>
      <c r="AI91" s="125"/>
      <c r="AJ91" s="125"/>
      <c r="AK91" s="125"/>
      <c r="AL91" s="125"/>
      <c r="AM91" s="125"/>
    </row>
    <row r="92" spans="1:39" s="124" customFormat="1" ht="21" customHeight="1" x14ac:dyDescent="0.2">
      <c r="A92" s="124" t="str">
        <f t="shared" si="7"/>
        <v>Citywalk Phase 5.03</v>
      </c>
      <c r="B92" s="120" t="str">
        <f t="shared" si="9"/>
        <v>Citywalk Phase 5.03 - Mechanical</v>
      </c>
      <c r="C92" s="120"/>
      <c r="D92" s="121" t="s">
        <v>82</v>
      </c>
      <c r="E92" s="121" t="s">
        <v>83</v>
      </c>
      <c r="F92" s="121" t="s">
        <v>84</v>
      </c>
      <c r="G92" s="121" t="s">
        <v>85</v>
      </c>
      <c r="H92" s="122" t="s">
        <v>107</v>
      </c>
      <c r="I92" s="121" t="s">
        <v>116</v>
      </c>
      <c r="J92" s="122">
        <v>2023</v>
      </c>
      <c r="K92" s="123" t="s">
        <v>88</v>
      </c>
      <c r="L92" s="122" t="s">
        <v>86</v>
      </c>
      <c r="M92" s="122" t="s">
        <v>104</v>
      </c>
      <c r="N92" s="122" t="s">
        <v>105</v>
      </c>
      <c r="O92" s="122" t="s">
        <v>122</v>
      </c>
      <c r="P92" s="122" t="s">
        <v>124</v>
      </c>
      <c r="Q92" s="112">
        <v>10390</v>
      </c>
      <c r="R92" s="112">
        <v>17125</v>
      </c>
      <c r="S92" s="112">
        <v>27515</v>
      </c>
      <c r="T92" s="121" t="s">
        <v>127</v>
      </c>
      <c r="U92" s="141">
        <v>5.4</v>
      </c>
      <c r="V92" s="121" t="s">
        <v>16</v>
      </c>
      <c r="W92" s="122" t="s">
        <v>11</v>
      </c>
      <c r="X92" s="112">
        <v>222325</v>
      </c>
      <c r="Y92" s="112">
        <v>1506402</v>
      </c>
      <c r="Z92" s="139">
        <f t="shared" si="8"/>
        <v>1728727</v>
      </c>
      <c r="AA92" s="140">
        <f t="shared" si="10"/>
        <v>21.397978825794034</v>
      </c>
      <c r="AB92" s="140">
        <f t="shared" si="11"/>
        <v>87.965080291970807</v>
      </c>
      <c r="AC92" s="140">
        <f t="shared" si="12"/>
        <v>62.828529892785753</v>
      </c>
      <c r="AD92" s="176" t="s">
        <v>157</v>
      </c>
      <c r="AE92" s="125"/>
      <c r="AF92" s="125"/>
      <c r="AG92" s="125"/>
      <c r="AH92" s="125"/>
      <c r="AI92" s="125"/>
      <c r="AJ92" s="125"/>
      <c r="AK92" s="125"/>
      <c r="AL92" s="125"/>
      <c r="AM92" s="125"/>
    </row>
    <row r="93" spans="1:39" s="124" customFormat="1" ht="21" customHeight="1" x14ac:dyDescent="0.2">
      <c r="A93" s="124" t="str">
        <f t="shared" si="7"/>
        <v>Citywalk Phase 5.03</v>
      </c>
      <c r="B93" s="120" t="str">
        <f t="shared" si="9"/>
        <v>Citywalk Phase 5.03 - Mechanical</v>
      </c>
      <c r="C93" s="120"/>
      <c r="D93" s="121" t="s">
        <v>82</v>
      </c>
      <c r="E93" s="121" t="s">
        <v>83</v>
      </c>
      <c r="F93" s="121" t="s">
        <v>84</v>
      </c>
      <c r="G93" s="121" t="s">
        <v>85</v>
      </c>
      <c r="H93" s="122" t="s">
        <v>107</v>
      </c>
      <c r="I93" s="121" t="s">
        <v>116</v>
      </c>
      <c r="J93" s="122">
        <v>2023</v>
      </c>
      <c r="K93" s="123" t="s">
        <v>88</v>
      </c>
      <c r="L93" s="122" t="s">
        <v>86</v>
      </c>
      <c r="M93" s="122" t="s">
        <v>104</v>
      </c>
      <c r="N93" s="122" t="s">
        <v>105</v>
      </c>
      <c r="O93" s="122" t="s">
        <v>122</v>
      </c>
      <c r="P93" s="122" t="s">
        <v>124</v>
      </c>
      <c r="Q93" s="112">
        <v>10390</v>
      </c>
      <c r="R93" s="112">
        <v>17125</v>
      </c>
      <c r="S93" s="112">
        <v>27515</v>
      </c>
      <c r="T93" s="121" t="s">
        <v>127</v>
      </c>
      <c r="U93" s="141">
        <v>5.4</v>
      </c>
      <c r="V93" s="121" t="s">
        <v>17</v>
      </c>
      <c r="W93" s="122" t="s">
        <v>11</v>
      </c>
      <c r="X93" s="112">
        <v>73202</v>
      </c>
      <c r="Y93" s="112">
        <v>531208</v>
      </c>
      <c r="Z93" s="139">
        <f t="shared" si="8"/>
        <v>604410</v>
      </c>
      <c r="AA93" s="140">
        <f t="shared" si="10"/>
        <v>7.0454282964388835</v>
      </c>
      <c r="AB93" s="140">
        <f t="shared" si="11"/>
        <v>31.019445255474452</v>
      </c>
      <c r="AC93" s="140">
        <f t="shared" si="12"/>
        <v>21.966563692531345</v>
      </c>
      <c r="AD93" s="176" t="s">
        <v>157</v>
      </c>
      <c r="AE93" s="125"/>
      <c r="AF93" s="125"/>
      <c r="AG93" s="125"/>
      <c r="AH93" s="125"/>
      <c r="AI93" s="125"/>
      <c r="AJ93" s="125"/>
      <c r="AK93" s="125"/>
      <c r="AL93" s="125"/>
      <c r="AM93" s="125"/>
    </row>
    <row r="94" spans="1:39" s="124" customFormat="1" ht="21" customHeight="1" x14ac:dyDescent="0.2">
      <c r="A94" s="124" t="str">
        <f t="shared" si="7"/>
        <v>Citywalk Phase 5.03</v>
      </c>
      <c r="B94" s="120" t="str">
        <f t="shared" si="9"/>
        <v>Citywalk Phase 5.03 - Mechanical</v>
      </c>
      <c r="C94" s="120"/>
      <c r="D94" s="121" t="s">
        <v>82</v>
      </c>
      <c r="E94" s="121" t="s">
        <v>83</v>
      </c>
      <c r="F94" s="121" t="s">
        <v>84</v>
      </c>
      <c r="G94" s="121" t="s">
        <v>85</v>
      </c>
      <c r="H94" s="122" t="s">
        <v>107</v>
      </c>
      <c r="I94" s="121" t="s">
        <v>116</v>
      </c>
      <c r="J94" s="122">
        <v>2023</v>
      </c>
      <c r="K94" s="123" t="s">
        <v>88</v>
      </c>
      <c r="L94" s="122" t="s">
        <v>86</v>
      </c>
      <c r="M94" s="122" t="s">
        <v>104</v>
      </c>
      <c r="N94" s="122" t="s">
        <v>105</v>
      </c>
      <c r="O94" s="122" t="s">
        <v>122</v>
      </c>
      <c r="P94" s="122" t="s">
        <v>124</v>
      </c>
      <c r="Q94" s="112">
        <v>10390</v>
      </c>
      <c r="R94" s="112">
        <v>17125</v>
      </c>
      <c r="S94" s="112">
        <v>27515</v>
      </c>
      <c r="T94" s="121" t="s">
        <v>127</v>
      </c>
      <c r="U94" s="141" t="s">
        <v>28</v>
      </c>
      <c r="V94" s="121" t="s">
        <v>18</v>
      </c>
      <c r="W94" s="122" t="s">
        <v>11</v>
      </c>
      <c r="X94" s="112">
        <v>894294</v>
      </c>
      <c r="Y94" s="112">
        <v>1287975</v>
      </c>
      <c r="Z94" s="139">
        <f t="shared" si="8"/>
        <v>2182269</v>
      </c>
      <c r="AA94" s="140">
        <f t="shared" si="10"/>
        <v>86.072569778633294</v>
      </c>
      <c r="AB94" s="140">
        <f t="shared" si="11"/>
        <v>75.210218978102191</v>
      </c>
      <c r="AC94" s="140">
        <f t="shared" si="12"/>
        <v>79.311975286207527</v>
      </c>
      <c r="AD94" s="176" t="s">
        <v>157</v>
      </c>
      <c r="AE94" s="125"/>
      <c r="AF94" s="125"/>
      <c r="AG94" s="125"/>
      <c r="AH94" s="125"/>
      <c r="AI94" s="125"/>
      <c r="AJ94" s="125"/>
      <c r="AK94" s="125"/>
      <c r="AL94" s="125"/>
      <c r="AM94" s="125"/>
    </row>
    <row r="95" spans="1:39" s="124" customFormat="1" ht="21" customHeight="1" x14ac:dyDescent="0.2">
      <c r="A95" s="124" t="str">
        <f t="shared" si="7"/>
        <v>Citywalk Phase 5.03</v>
      </c>
      <c r="B95" s="120" t="str">
        <f t="shared" si="9"/>
        <v>Citywalk Phase 5.03 - Mechanical</v>
      </c>
      <c r="C95" s="120"/>
      <c r="D95" s="121" t="s">
        <v>82</v>
      </c>
      <c r="E95" s="121" t="s">
        <v>83</v>
      </c>
      <c r="F95" s="121" t="s">
        <v>84</v>
      </c>
      <c r="G95" s="121" t="s">
        <v>85</v>
      </c>
      <c r="H95" s="122" t="s">
        <v>107</v>
      </c>
      <c r="I95" s="121" t="s">
        <v>116</v>
      </c>
      <c r="J95" s="122">
        <v>2023</v>
      </c>
      <c r="K95" s="123" t="s">
        <v>88</v>
      </c>
      <c r="L95" s="122" t="s">
        <v>86</v>
      </c>
      <c r="M95" s="122" t="s">
        <v>104</v>
      </c>
      <c r="N95" s="122" t="s">
        <v>105</v>
      </c>
      <c r="O95" s="122" t="s">
        <v>122</v>
      </c>
      <c r="P95" s="122" t="s">
        <v>124</v>
      </c>
      <c r="Q95" s="112">
        <v>10390</v>
      </c>
      <c r="R95" s="112">
        <v>17125</v>
      </c>
      <c r="S95" s="112">
        <v>27515</v>
      </c>
      <c r="T95" s="121" t="s">
        <v>127</v>
      </c>
      <c r="U95" s="141" t="s">
        <v>28</v>
      </c>
      <c r="V95" s="121" t="s">
        <v>19</v>
      </c>
      <c r="W95" s="122" t="s">
        <v>11</v>
      </c>
      <c r="X95" s="112">
        <v>477381</v>
      </c>
      <c r="Y95" s="112">
        <v>0</v>
      </c>
      <c r="Z95" s="139">
        <f t="shared" si="8"/>
        <v>477381</v>
      </c>
      <c r="AA95" s="140">
        <f t="shared" si="10"/>
        <v>45.946198267564966</v>
      </c>
      <c r="AB95" s="140">
        <f t="shared" si="11"/>
        <v>0</v>
      </c>
      <c r="AC95" s="140">
        <f t="shared" si="12"/>
        <v>17.34984553879702</v>
      </c>
      <c r="AD95" s="176" t="s">
        <v>157</v>
      </c>
      <c r="AE95" s="125"/>
      <c r="AF95" s="125"/>
      <c r="AG95" s="125"/>
      <c r="AH95" s="125"/>
      <c r="AI95" s="125"/>
      <c r="AJ95" s="125"/>
      <c r="AK95" s="125"/>
      <c r="AL95" s="125"/>
      <c r="AM95" s="125"/>
    </row>
    <row r="96" spans="1:39" s="124" customFormat="1" ht="21" customHeight="1" x14ac:dyDescent="0.2">
      <c r="A96" s="124" t="str">
        <f t="shared" si="7"/>
        <v>Citywalk Phase 5.03</v>
      </c>
      <c r="B96" s="120" t="str">
        <f t="shared" si="9"/>
        <v>Citywalk Phase 5.03 - Mechanical</v>
      </c>
      <c r="C96" s="120"/>
      <c r="D96" s="121" t="s">
        <v>82</v>
      </c>
      <c r="E96" s="121" t="s">
        <v>83</v>
      </c>
      <c r="F96" s="121" t="s">
        <v>84</v>
      </c>
      <c r="G96" s="121" t="s">
        <v>85</v>
      </c>
      <c r="H96" s="122" t="s">
        <v>107</v>
      </c>
      <c r="I96" s="121" t="s">
        <v>116</v>
      </c>
      <c r="J96" s="122">
        <v>2023</v>
      </c>
      <c r="K96" s="123" t="s">
        <v>88</v>
      </c>
      <c r="L96" s="122" t="s">
        <v>86</v>
      </c>
      <c r="M96" s="122" t="s">
        <v>104</v>
      </c>
      <c r="N96" s="122" t="s">
        <v>105</v>
      </c>
      <c r="O96" s="122" t="s">
        <v>122</v>
      </c>
      <c r="P96" s="122" t="s">
        <v>124</v>
      </c>
      <c r="Q96" s="112">
        <v>10390</v>
      </c>
      <c r="R96" s="112">
        <v>17125</v>
      </c>
      <c r="S96" s="112">
        <v>27515</v>
      </c>
      <c r="T96" s="121" t="s">
        <v>127</v>
      </c>
      <c r="U96" s="141" t="s">
        <v>28</v>
      </c>
      <c r="V96" s="121" t="s">
        <v>20</v>
      </c>
      <c r="W96" s="122" t="s">
        <v>11</v>
      </c>
      <c r="X96" s="112">
        <v>1081431</v>
      </c>
      <c r="Y96" s="112">
        <v>0</v>
      </c>
      <c r="Z96" s="139">
        <f t="shared" si="8"/>
        <v>1081431</v>
      </c>
      <c r="AA96" s="140">
        <f t="shared" si="10"/>
        <v>104.08383060635227</v>
      </c>
      <c r="AB96" s="140">
        <f t="shared" si="11"/>
        <v>0</v>
      </c>
      <c r="AC96" s="140">
        <f t="shared" si="12"/>
        <v>39.303325458840632</v>
      </c>
      <c r="AD96" s="176" t="s">
        <v>157</v>
      </c>
      <c r="AE96" s="125"/>
      <c r="AF96" s="125"/>
      <c r="AG96" s="125"/>
      <c r="AH96" s="125"/>
      <c r="AI96" s="125"/>
      <c r="AJ96" s="125"/>
      <c r="AK96" s="125"/>
      <c r="AL96" s="125"/>
      <c r="AM96" s="125"/>
    </row>
    <row r="97" spans="1:39" s="124" customFormat="1" ht="21" customHeight="1" x14ac:dyDescent="0.2">
      <c r="A97" s="124" t="str">
        <f t="shared" si="7"/>
        <v>Citywalk Phase 5.03</v>
      </c>
      <c r="B97" s="120" t="str">
        <f t="shared" si="9"/>
        <v>Citywalk Phase 5.03 - Mechanical</v>
      </c>
      <c r="C97" s="120"/>
      <c r="D97" s="121" t="s">
        <v>82</v>
      </c>
      <c r="E97" s="121" t="s">
        <v>83</v>
      </c>
      <c r="F97" s="121" t="s">
        <v>84</v>
      </c>
      <c r="G97" s="121" t="s">
        <v>85</v>
      </c>
      <c r="H97" s="122" t="s">
        <v>107</v>
      </c>
      <c r="I97" s="121" t="s">
        <v>116</v>
      </c>
      <c r="J97" s="122">
        <v>2023</v>
      </c>
      <c r="K97" s="123" t="s">
        <v>88</v>
      </c>
      <c r="L97" s="122" t="s">
        <v>86</v>
      </c>
      <c r="M97" s="122" t="s">
        <v>104</v>
      </c>
      <c r="N97" s="122" t="s">
        <v>105</v>
      </c>
      <c r="O97" s="122" t="s">
        <v>122</v>
      </c>
      <c r="P97" s="122" t="s">
        <v>124</v>
      </c>
      <c r="Q97" s="112">
        <v>10390</v>
      </c>
      <c r="R97" s="112">
        <v>17125</v>
      </c>
      <c r="S97" s="112">
        <v>27515</v>
      </c>
      <c r="T97" s="121" t="s">
        <v>127</v>
      </c>
      <c r="U97" s="141">
        <v>5.6</v>
      </c>
      <c r="V97" s="121" t="s">
        <v>21</v>
      </c>
      <c r="W97" s="122" t="s">
        <v>11</v>
      </c>
      <c r="X97" s="112">
        <v>244452</v>
      </c>
      <c r="Y97" s="112">
        <v>1226240</v>
      </c>
      <c r="Z97" s="139">
        <f t="shared" si="8"/>
        <v>1470692</v>
      </c>
      <c r="AA97" s="140">
        <f t="shared" si="10"/>
        <v>23.527622714148219</v>
      </c>
      <c r="AB97" s="140">
        <f t="shared" si="11"/>
        <v>71.605255474452548</v>
      </c>
      <c r="AC97" s="140">
        <f t="shared" si="12"/>
        <v>53.450554243140104</v>
      </c>
      <c r="AD97" s="176" t="s">
        <v>157</v>
      </c>
      <c r="AE97" s="125"/>
      <c r="AF97" s="125"/>
      <c r="AG97" s="125"/>
      <c r="AH97" s="125"/>
      <c r="AI97" s="125"/>
      <c r="AJ97" s="125"/>
      <c r="AK97" s="125"/>
      <c r="AL97" s="125"/>
      <c r="AM97" s="125"/>
    </row>
    <row r="98" spans="1:39" s="124" customFormat="1" ht="21" customHeight="1" x14ac:dyDescent="0.2">
      <c r="A98" s="124" t="str">
        <f t="shared" si="7"/>
        <v>Citywalk Phase 5.03</v>
      </c>
      <c r="B98" s="120" t="str">
        <f t="shared" si="9"/>
        <v>Citywalk Phase 5.03 - Mechanical</v>
      </c>
      <c r="C98" s="120"/>
      <c r="D98" s="121" t="s">
        <v>82</v>
      </c>
      <c r="E98" s="121" t="s">
        <v>83</v>
      </c>
      <c r="F98" s="121" t="s">
        <v>84</v>
      </c>
      <c r="G98" s="121" t="s">
        <v>85</v>
      </c>
      <c r="H98" s="122" t="s">
        <v>107</v>
      </c>
      <c r="I98" s="121" t="s">
        <v>116</v>
      </c>
      <c r="J98" s="122">
        <v>2023</v>
      </c>
      <c r="K98" s="123" t="s">
        <v>88</v>
      </c>
      <c r="L98" s="122" t="s">
        <v>86</v>
      </c>
      <c r="M98" s="122" t="s">
        <v>104</v>
      </c>
      <c r="N98" s="122" t="s">
        <v>105</v>
      </c>
      <c r="O98" s="122" t="s">
        <v>122</v>
      </c>
      <c r="P98" s="122" t="s">
        <v>124</v>
      </c>
      <c r="Q98" s="112">
        <v>10390</v>
      </c>
      <c r="R98" s="112">
        <v>17125</v>
      </c>
      <c r="S98" s="112">
        <v>27515</v>
      </c>
      <c r="T98" s="121" t="s">
        <v>127</v>
      </c>
      <c r="U98" s="141">
        <v>5.6</v>
      </c>
      <c r="V98" s="121" t="s">
        <v>22</v>
      </c>
      <c r="W98" s="122" t="s">
        <v>11</v>
      </c>
      <c r="X98" s="112">
        <v>0</v>
      </c>
      <c r="Y98" s="112">
        <v>3456001</v>
      </c>
      <c r="Z98" s="139">
        <f t="shared" si="8"/>
        <v>3456001</v>
      </c>
      <c r="AA98" s="140">
        <f t="shared" si="10"/>
        <v>0</v>
      </c>
      <c r="AB98" s="140">
        <f t="shared" si="11"/>
        <v>201.81027737226276</v>
      </c>
      <c r="AC98" s="140">
        <f t="shared" si="12"/>
        <v>125.60425222605852</v>
      </c>
      <c r="AD98" s="176" t="s">
        <v>157</v>
      </c>
      <c r="AE98" s="125"/>
      <c r="AF98" s="125"/>
      <c r="AG98" s="125"/>
      <c r="AH98" s="125"/>
      <c r="AI98" s="125"/>
      <c r="AJ98" s="125"/>
      <c r="AK98" s="125"/>
      <c r="AL98" s="125"/>
      <c r="AM98" s="125"/>
    </row>
    <row r="99" spans="1:39" s="124" customFormat="1" ht="21" customHeight="1" x14ac:dyDescent="0.2">
      <c r="A99" s="124" t="str">
        <f t="shared" si="7"/>
        <v>Citywalk Phase 5.03</v>
      </c>
      <c r="B99" s="120" t="str">
        <f t="shared" si="9"/>
        <v>Citywalk Phase 5.03 - Mechanical</v>
      </c>
      <c r="C99" s="120"/>
      <c r="D99" s="121" t="s">
        <v>82</v>
      </c>
      <c r="E99" s="121" t="s">
        <v>83</v>
      </c>
      <c r="F99" s="121" t="s">
        <v>84</v>
      </c>
      <c r="G99" s="121" t="s">
        <v>85</v>
      </c>
      <c r="H99" s="122" t="s">
        <v>107</v>
      </c>
      <c r="I99" s="121" t="s">
        <v>116</v>
      </c>
      <c r="J99" s="122">
        <v>2023</v>
      </c>
      <c r="K99" s="123" t="s">
        <v>88</v>
      </c>
      <c r="L99" s="122" t="s">
        <v>86</v>
      </c>
      <c r="M99" s="122" t="s">
        <v>104</v>
      </c>
      <c r="N99" s="122" t="s">
        <v>105</v>
      </c>
      <c r="O99" s="122" t="s">
        <v>122</v>
      </c>
      <c r="P99" s="122" t="s">
        <v>124</v>
      </c>
      <c r="Q99" s="112">
        <v>10390</v>
      </c>
      <c r="R99" s="112">
        <v>17125</v>
      </c>
      <c r="S99" s="112">
        <v>27515</v>
      </c>
      <c r="T99" s="121" t="s">
        <v>127</v>
      </c>
      <c r="U99" s="141">
        <v>5.6</v>
      </c>
      <c r="V99" s="121" t="s">
        <v>23</v>
      </c>
      <c r="W99" s="122" t="s">
        <v>11</v>
      </c>
      <c r="X99" s="112">
        <v>85910</v>
      </c>
      <c r="Y99" s="112">
        <v>1025565</v>
      </c>
      <c r="Z99" s="139">
        <f t="shared" si="8"/>
        <v>1111475</v>
      </c>
      <c r="AA99" s="140">
        <f t="shared" si="10"/>
        <v>8.2685274302213667</v>
      </c>
      <c r="AB99" s="140">
        <f t="shared" si="11"/>
        <v>59.887007299270074</v>
      </c>
      <c r="AC99" s="140">
        <f t="shared" si="12"/>
        <v>40.395238960566964</v>
      </c>
      <c r="AD99" s="176" t="s">
        <v>157</v>
      </c>
      <c r="AE99" s="125"/>
      <c r="AF99" s="125"/>
      <c r="AG99" s="125"/>
      <c r="AH99" s="125"/>
      <c r="AI99" s="125"/>
      <c r="AJ99" s="125"/>
      <c r="AK99" s="125"/>
      <c r="AL99" s="125"/>
      <c r="AM99" s="125"/>
    </row>
    <row r="100" spans="1:39" s="124" customFormat="1" ht="21" customHeight="1" x14ac:dyDescent="0.2">
      <c r="A100" s="124" t="str">
        <f t="shared" si="7"/>
        <v>Citywalk Phase 5.03</v>
      </c>
      <c r="B100" s="120" t="str">
        <f t="shared" si="9"/>
        <v>Citywalk Phase 5.03 - Mechanical</v>
      </c>
      <c r="C100" s="120"/>
      <c r="D100" s="121" t="s">
        <v>82</v>
      </c>
      <c r="E100" s="121" t="s">
        <v>83</v>
      </c>
      <c r="F100" s="121" t="s">
        <v>84</v>
      </c>
      <c r="G100" s="121" t="s">
        <v>85</v>
      </c>
      <c r="H100" s="122" t="s">
        <v>107</v>
      </c>
      <c r="I100" s="121" t="s">
        <v>116</v>
      </c>
      <c r="J100" s="122">
        <v>2023</v>
      </c>
      <c r="K100" s="123" t="s">
        <v>88</v>
      </c>
      <c r="L100" s="122" t="s">
        <v>86</v>
      </c>
      <c r="M100" s="122" t="s">
        <v>104</v>
      </c>
      <c r="N100" s="122" t="s">
        <v>105</v>
      </c>
      <c r="O100" s="122" t="s">
        <v>122</v>
      </c>
      <c r="P100" s="122" t="s">
        <v>124</v>
      </c>
      <c r="Q100" s="112">
        <v>10390</v>
      </c>
      <c r="R100" s="112">
        <v>17125</v>
      </c>
      <c r="S100" s="112">
        <v>27515</v>
      </c>
      <c r="T100" s="121" t="s">
        <v>127</v>
      </c>
      <c r="U100" s="141">
        <v>5.6</v>
      </c>
      <c r="V100" s="121" t="s">
        <v>24</v>
      </c>
      <c r="W100" s="122" t="s">
        <v>11</v>
      </c>
      <c r="X100" s="112">
        <v>886481</v>
      </c>
      <c r="Y100" s="112">
        <v>1007236</v>
      </c>
      <c r="Z100" s="139">
        <f t="shared" si="8"/>
        <v>1893717</v>
      </c>
      <c r="AA100" s="140">
        <f t="shared" si="10"/>
        <v>85.320596727622714</v>
      </c>
      <c r="AB100" s="140">
        <f t="shared" si="11"/>
        <v>58.816700729927007</v>
      </c>
      <c r="AC100" s="140">
        <f t="shared" si="12"/>
        <v>68.824895511539154</v>
      </c>
      <c r="AD100" s="176" t="s">
        <v>157</v>
      </c>
      <c r="AE100" s="125"/>
      <c r="AF100" s="125"/>
      <c r="AG100" s="125"/>
      <c r="AH100" s="125"/>
      <c r="AI100" s="125"/>
      <c r="AJ100" s="125"/>
      <c r="AK100" s="125"/>
      <c r="AL100" s="125"/>
      <c r="AM100" s="125"/>
    </row>
    <row r="101" spans="1:39" s="124" customFormat="1" ht="21" customHeight="1" x14ac:dyDescent="0.2">
      <c r="A101" s="124" t="str">
        <f t="shared" si="7"/>
        <v>Citywalk Phase 5.03</v>
      </c>
      <c r="B101" s="120" t="str">
        <f t="shared" si="9"/>
        <v>Citywalk Phase 5.03 - Mechanical</v>
      </c>
      <c r="C101" s="120"/>
      <c r="D101" s="121" t="s">
        <v>82</v>
      </c>
      <c r="E101" s="121" t="s">
        <v>83</v>
      </c>
      <c r="F101" s="121" t="s">
        <v>84</v>
      </c>
      <c r="G101" s="121" t="s">
        <v>85</v>
      </c>
      <c r="H101" s="122" t="s">
        <v>107</v>
      </c>
      <c r="I101" s="121" t="s">
        <v>116</v>
      </c>
      <c r="J101" s="122">
        <v>2023</v>
      </c>
      <c r="K101" s="123" t="s">
        <v>88</v>
      </c>
      <c r="L101" s="122" t="s">
        <v>86</v>
      </c>
      <c r="M101" s="122" t="s">
        <v>104</v>
      </c>
      <c r="N101" s="122" t="s">
        <v>105</v>
      </c>
      <c r="O101" s="122" t="s">
        <v>122</v>
      </c>
      <c r="P101" s="122" t="s">
        <v>124</v>
      </c>
      <c r="Q101" s="112">
        <v>10390</v>
      </c>
      <c r="R101" s="112">
        <v>17125</v>
      </c>
      <c r="S101" s="112">
        <v>27515</v>
      </c>
      <c r="T101" s="121" t="s">
        <v>127</v>
      </c>
      <c r="U101" s="141">
        <v>5.6</v>
      </c>
      <c r="V101" s="121" t="s">
        <v>25</v>
      </c>
      <c r="W101" s="122" t="s">
        <v>11</v>
      </c>
      <c r="X101" s="112">
        <v>1288531</v>
      </c>
      <c r="Y101" s="112">
        <v>1494817</v>
      </c>
      <c r="Z101" s="139">
        <f t="shared" si="8"/>
        <v>2783348</v>
      </c>
      <c r="AA101" s="140">
        <f t="shared" si="10"/>
        <v>124.01645813282002</v>
      </c>
      <c r="AB101" s="140">
        <f t="shared" si="11"/>
        <v>87.288583941605836</v>
      </c>
      <c r="AC101" s="140">
        <f t="shared" si="12"/>
        <v>101.15747773941486</v>
      </c>
      <c r="AD101" s="176" t="s">
        <v>157</v>
      </c>
      <c r="AE101" s="125"/>
      <c r="AF101" s="125"/>
      <c r="AG101" s="125"/>
      <c r="AH101" s="125"/>
      <c r="AI101" s="125"/>
      <c r="AJ101" s="125"/>
      <c r="AK101" s="125"/>
      <c r="AL101" s="125"/>
      <c r="AM101" s="125"/>
    </row>
    <row r="102" spans="1:39" s="124" customFormat="1" ht="21" customHeight="1" x14ac:dyDescent="0.2">
      <c r="A102" s="124" t="str">
        <f t="shared" si="7"/>
        <v>Citywalk Phase 5.03</v>
      </c>
      <c r="B102" s="120" t="str">
        <f t="shared" si="9"/>
        <v>Citywalk Phase 5.03 - Mechanical</v>
      </c>
      <c r="C102" s="120"/>
      <c r="D102" s="121" t="s">
        <v>82</v>
      </c>
      <c r="E102" s="121" t="s">
        <v>83</v>
      </c>
      <c r="F102" s="121" t="s">
        <v>84</v>
      </c>
      <c r="G102" s="121" t="s">
        <v>85</v>
      </c>
      <c r="H102" s="122" t="s">
        <v>107</v>
      </c>
      <c r="I102" s="121" t="s">
        <v>116</v>
      </c>
      <c r="J102" s="122">
        <v>2023</v>
      </c>
      <c r="K102" s="123" t="s">
        <v>88</v>
      </c>
      <c r="L102" s="122" t="s">
        <v>86</v>
      </c>
      <c r="M102" s="122" t="s">
        <v>104</v>
      </c>
      <c r="N102" s="122" t="s">
        <v>105</v>
      </c>
      <c r="O102" s="122" t="s">
        <v>122</v>
      </c>
      <c r="P102" s="122" t="s">
        <v>124</v>
      </c>
      <c r="Q102" s="112">
        <v>10390</v>
      </c>
      <c r="R102" s="112">
        <v>17125</v>
      </c>
      <c r="S102" s="112">
        <v>27515</v>
      </c>
      <c r="T102" s="121" t="s">
        <v>127</v>
      </c>
      <c r="U102" s="141">
        <v>5.6</v>
      </c>
      <c r="V102" s="121" t="s">
        <v>26</v>
      </c>
      <c r="W102" s="122" t="s">
        <v>11</v>
      </c>
      <c r="X102" s="112">
        <v>324059</v>
      </c>
      <c r="Y102" s="112">
        <v>802760</v>
      </c>
      <c r="Z102" s="139">
        <f t="shared" si="8"/>
        <v>1126819</v>
      </c>
      <c r="AA102" s="140">
        <f t="shared" si="10"/>
        <v>31.189509143407122</v>
      </c>
      <c r="AB102" s="140">
        <f t="shared" si="11"/>
        <v>46.876496350364967</v>
      </c>
      <c r="AC102" s="140">
        <f t="shared" si="12"/>
        <v>40.952898419044161</v>
      </c>
      <c r="AD102" s="176" t="s">
        <v>157</v>
      </c>
      <c r="AE102" s="125"/>
      <c r="AF102" s="125"/>
      <c r="AG102" s="125"/>
      <c r="AH102" s="125"/>
      <c r="AI102" s="125"/>
      <c r="AJ102" s="125"/>
      <c r="AK102" s="125"/>
      <c r="AL102" s="125"/>
      <c r="AM102" s="125"/>
    </row>
    <row r="103" spans="1:39" s="124" customFormat="1" ht="21" customHeight="1" x14ac:dyDescent="0.2">
      <c r="A103" s="124" t="str">
        <f t="shared" si="7"/>
        <v>Citywalk Phase 5.03</v>
      </c>
      <c r="B103" s="120" t="str">
        <f t="shared" si="9"/>
        <v>Citywalk Phase 5.03 - Mechanical</v>
      </c>
      <c r="C103" s="120"/>
      <c r="D103" s="121" t="s">
        <v>82</v>
      </c>
      <c r="E103" s="121" t="s">
        <v>83</v>
      </c>
      <c r="F103" s="121" t="s">
        <v>84</v>
      </c>
      <c r="G103" s="121" t="s">
        <v>85</v>
      </c>
      <c r="H103" s="122" t="s">
        <v>107</v>
      </c>
      <c r="I103" s="121" t="s">
        <v>116</v>
      </c>
      <c r="J103" s="122">
        <v>2023</v>
      </c>
      <c r="K103" s="123" t="s">
        <v>88</v>
      </c>
      <c r="L103" s="122" t="s">
        <v>86</v>
      </c>
      <c r="M103" s="122" t="s">
        <v>104</v>
      </c>
      <c r="N103" s="122" t="s">
        <v>105</v>
      </c>
      <c r="O103" s="122" t="s">
        <v>122</v>
      </c>
      <c r="P103" s="122" t="s">
        <v>124</v>
      </c>
      <c r="Q103" s="112">
        <v>10390</v>
      </c>
      <c r="R103" s="112">
        <v>17125</v>
      </c>
      <c r="S103" s="112">
        <v>27515</v>
      </c>
      <c r="T103" s="121" t="s">
        <v>127</v>
      </c>
      <c r="U103" s="141">
        <v>5.14</v>
      </c>
      <c r="V103" s="121" t="s">
        <v>27</v>
      </c>
      <c r="W103" s="122" t="s">
        <v>11</v>
      </c>
      <c r="X103" s="112">
        <v>89743</v>
      </c>
      <c r="Y103" s="112">
        <v>1395882</v>
      </c>
      <c r="Z103" s="139">
        <f t="shared" si="8"/>
        <v>1485625</v>
      </c>
      <c r="AA103" s="140">
        <f t="shared" si="10"/>
        <v>8.6374398460057744</v>
      </c>
      <c r="AB103" s="140">
        <f t="shared" si="11"/>
        <v>81.511357664233572</v>
      </c>
      <c r="AC103" s="140">
        <f t="shared" si="12"/>
        <v>53.993276394693801</v>
      </c>
      <c r="AD103" s="176" t="s">
        <v>157</v>
      </c>
      <c r="AE103" s="125"/>
      <c r="AF103" s="125"/>
      <c r="AG103" s="125"/>
      <c r="AH103" s="125"/>
      <c r="AI103" s="125"/>
      <c r="AJ103" s="125"/>
      <c r="AK103" s="125"/>
      <c r="AL103" s="125"/>
      <c r="AM103" s="125"/>
    </row>
    <row r="104" spans="1:39" s="124" customFormat="1" ht="21" customHeight="1" x14ac:dyDescent="0.2">
      <c r="A104" s="124" t="str">
        <f t="shared" si="7"/>
        <v>Citywalk Phase 5.03</v>
      </c>
      <c r="B104" s="120" t="str">
        <f t="shared" si="9"/>
        <v>Citywalk Phase 5.03 - Electrical</v>
      </c>
      <c r="C104" s="120"/>
      <c r="D104" s="121" t="s">
        <v>82</v>
      </c>
      <c r="E104" s="121" t="s">
        <v>83</v>
      </c>
      <c r="F104" s="121" t="s">
        <v>84</v>
      </c>
      <c r="G104" s="121" t="s">
        <v>85</v>
      </c>
      <c r="H104" s="122" t="s">
        <v>107</v>
      </c>
      <c r="I104" s="121" t="s">
        <v>116</v>
      </c>
      <c r="J104" s="122">
        <v>2023</v>
      </c>
      <c r="K104" s="123" t="s">
        <v>88</v>
      </c>
      <c r="L104" s="122" t="s">
        <v>86</v>
      </c>
      <c r="M104" s="122" t="s">
        <v>104</v>
      </c>
      <c r="N104" s="122" t="s">
        <v>105</v>
      </c>
      <c r="O104" s="122" t="s">
        <v>122</v>
      </c>
      <c r="P104" s="122" t="s">
        <v>124</v>
      </c>
      <c r="Q104" s="112">
        <v>10390</v>
      </c>
      <c r="R104" s="112">
        <v>17125</v>
      </c>
      <c r="S104" s="112">
        <v>27515</v>
      </c>
      <c r="T104" s="121" t="s">
        <v>148</v>
      </c>
      <c r="U104" s="141">
        <v>5.8</v>
      </c>
      <c r="V104" s="121" t="s">
        <v>29</v>
      </c>
      <c r="W104" s="122" t="s">
        <v>11</v>
      </c>
      <c r="X104" s="112">
        <v>1502869</v>
      </c>
      <c r="Y104" s="112">
        <v>1986515</v>
      </c>
      <c r="Z104" s="139">
        <f t="shared" si="8"/>
        <v>3489384</v>
      </c>
      <c r="AA104" s="140">
        <f t="shared" si="10"/>
        <v>144.64571703561117</v>
      </c>
      <c r="AB104" s="140">
        <f t="shared" si="11"/>
        <v>116.00087591240876</v>
      </c>
      <c r="AC104" s="140">
        <f t="shared" si="12"/>
        <v>126.81751771760858</v>
      </c>
      <c r="AD104" s="176" t="s">
        <v>157</v>
      </c>
      <c r="AE104" s="125"/>
      <c r="AF104" s="125"/>
      <c r="AG104" s="125"/>
      <c r="AH104" s="125"/>
      <c r="AI104" s="125"/>
      <c r="AJ104" s="125"/>
      <c r="AK104" s="125"/>
      <c r="AL104" s="125"/>
      <c r="AM104" s="125"/>
    </row>
    <row r="105" spans="1:39" s="124" customFormat="1" ht="21" customHeight="1" x14ac:dyDescent="0.2">
      <c r="A105" s="124" t="str">
        <f t="shared" si="7"/>
        <v>Citywalk Phase 5.03</v>
      </c>
      <c r="B105" s="120" t="str">
        <f t="shared" si="9"/>
        <v>Citywalk Phase 5.03 - Electrical</v>
      </c>
      <c r="C105" s="120"/>
      <c r="D105" s="121" t="s">
        <v>82</v>
      </c>
      <c r="E105" s="121" t="s">
        <v>83</v>
      </c>
      <c r="F105" s="121" t="s">
        <v>84</v>
      </c>
      <c r="G105" s="121" t="s">
        <v>85</v>
      </c>
      <c r="H105" s="122" t="s">
        <v>107</v>
      </c>
      <c r="I105" s="121" t="s">
        <v>116</v>
      </c>
      <c r="J105" s="122">
        <v>2023</v>
      </c>
      <c r="K105" s="123" t="s">
        <v>88</v>
      </c>
      <c r="L105" s="122" t="s">
        <v>86</v>
      </c>
      <c r="M105" s="122" t="s">
        <v>104</v>
      </c>
      <c r="N105" s="122" t="s">
        <v>105</v>
      </c>
      <c r="O105" s="122" t="s">
        <v>122</v>
      </c>
      <c r="P105" s="122" t="s">
        <v>124</v>
      </c>
      <c r="Q105" s="112">
        <v>10390</v>
      </c>
      <c r="R105" s="112">
        <v>17125</v>
      </c>
      <c r="S105" s="112">
        <v>27515</v>
      </c>
      <c r="T105" s="121" t="s">
        <v>148</v>
      </c>
      <c r="U105" s="141">
        <v>5.8</v>
      </c>
      <c r="V105" s="121" t="s">
        <v>55</v>
      </c>
      <c r="W105" s="122" t="s">
        <v>11</v>
      </c>
      <c r="X105" s="112">
        <v>0</v>
      </c>
      <c r="Y105" s="112">
        <v>0</v>
      </c>
      <c r="Z105" s="139">
        <f t="shared" si="8"/>
        <v>0</v>
      </c>
      <c r="AA105" s="140">
        <f t="shared" si="10"/>
        <v>0</v>
      </c>
      <c r="AB105" s="140">
        <f t="shared" si="11"/>
        <v>0</v>
      </c>
      <c r="AC105" s="140">
        <f t="shared" si="12"/>
        <v>0</v>
      </c>
      <c r="AD105" s="176" t="s">
        <v>157</v>
      </c>
      <c r="AE105" s="125"/>
      <c r="AF105" s="125"/>
      <c r="AG105" s="125"/>
      <c r="AH105" s="125"/>
      <c r="AI105" s="125"/>
      <c r="AJ105" s="125"/>
      <c r="AK105" s="125"/>
      <c r="AL105" s="125"/>
      <c r="AM105" s="125"/>
    </row>
    <row r="106" spans="1:39" s="124" customFormat="1" ht="21" customHeight="1" x14ac:dyDescent="0.2">
      <c r="A106" s="124" t="str">
        <f t="shared" si="7"/>
        <v>Citywalk Phase 5.03</v>
      </c>
      <c r="B106" s="120" t="str">
        <f t="shared" si="9"/>
        <v>Citywalk Phase 5.03 - Electrical</v>
      </c>
      <c r="C106" s="120"/>
      <c r="D106" s="121" t="s">
        <v>82</v>
      </c>
      <c r="E106" s="121" t="s">
        <v>83</v>
      </c>
      <c r="F106" s="121" t="s">
        <v>84</v>
      </c>
      <c r="G106" s="121" t="s">
        <v>85</v>
      </c>
      <c r="H106" s="122" t="s">
        <v>107</v>
      </c>
      <c r="I106" s="121" t="s">
        <v>116</v>
      </c>
      <c r="J106" s="122">
        <v>2023</v>
      </c>
      <c r="K106" s="123" t="s">
        <v>88</v>
      </c>
      <c r="L106" s="122" t="s">
        <v>86</v>
      </c>
      <c r="M106" s="122" t="s">
        <v>104</v>
      </c>
      <c r="N106" s="122" t="s">
        <v>105</v>
      </c>
      <c r="O106" s="122" t="s">
        <v>122</v>
      </c>
      <c r="P106" s="122" t="s">
        <v>124</v>
      </c>
      <c r="Q106" s="112">
        <v>10390</v>
      </c>
      <c r="R106" s="112">
        <v>17125</v>
      </c>
      <c r="S106" s="112">
        <v>27515</v>
      </c>
      <c r="T106" s="121" t="s">
        <v>148</v>
      </c>
      <c r="U106" s="141">
        <v>5.8</v>
      </c>
      <c r="V106" s="121" t="s">
        <v>30</v>
      </c>
      <c r="W106" s="122" t="s">
        <v>11</v>
      </c>
      <c r="X106" s="112">
        <v>3187790</v>
      </c>
      <c r="Y106" s="112">
        <v>1910259</v>
      </c>
      <c r="Z106" s="139">
        <f t="shared" si="8"/>
        <v>5098049</v>
      </c>
      <c r="AA106" s="140">
        <f t="shared" si="10"/>
        <v>306.8132820019249</v>
      </c>
      <c r="AB106" s="140">
        <f t="shared" si="11"/>
        <v>111.54797080291971</v>
      </c>
      <c r="AC106" s="140">
        <f t="shared" si="12"/>
        <v>185.28253679811013</v>
      </c>
      <c r="AD106" s="176" t="s">
        <v>157</v>
      </c>
      <c r="AE106" s="125"/>
      <c r="AF106" s="125"/>
      <c r="AG106" s="125"/>
      <c r="AH106" s="125"/>
      <c r="AI106" s="125"/>
      <c r="AJ106" s="125"/>
      <c r="AK106" s="125"/>
      <c r="AL106" s="125"/>
      <c r="AM106" s="125"/>
    </row>
    <row r="107" spans="1:39" s="124" customFormat="1" ht="21" customHeight="1" x14ac:dyDescent="0.2">
      <c r="A107" s="124" t="str">
        <f t="shared" si="7"/>
        <v>Citywalk Phase 5.03</v>
      </c>
      <c r="B107" s="120" t="str">
        <f t="shared" si="9"/>
        <v>Citywalk Phase 5.03 - Electrical</v>
      </c>
      <c r="C107" s="120"/>
      <c r="D107" s="121" t="s">
        <v>82</v>
      </c>
      <c r="E107" s="121" t="s">
        <v>83</v>
      </c>
      <c r="F107" s="121" t="s">
        <v>84</v>
      </c>
      <c r="G107" s="121" t="s">
        <v>85</v>
      </c>
      <c r="H107" s="122" t="s">
        <v>107</v>
      </c>
      <c r="I107" s="121" t="s">
        <v>116</v>
      </c>
      <c r="J107" s="122">
        <v>2023</v>
      </c>
      <c r="K107" s="123" t="s">
        <v>88</v>
      </c>
      <c r="L107" s="122" t="s">
        <v>86</v>
      </c>
      <c r="M107" s="122" t="s">
        <v>104</v>
      </c>
      <c r="N107" s="122" t="s">
        <v>105</v>
      </c>
      <c r="O107" s="122" t="s">
        <v>122</v>
      </c>
      <c r="P107" s="122" t="s">
        <v>124</v>
      </c>
      <c r="Q107" s="112">
        <v>10390</v>
      </c>
      <c r="R107" s="112">
        <v>17125</v>
      </c>
      <c r="S107" s="112">
        <v>27515</v>
      </c>
      <c r="T107" s="121" t="s">
        <v>148</v>
      </c>
      <c r="U107" s="141">
        <v>5.8</v>
      </c>
      <c r="V107" s="121" t="s">
        <v>31</v>
      </c>
      <c r="W107" s="122" t="s">
        <v>11</v>
      </c>
      <c r="X107" s="112">
        <v>57260</v>
      </c>
      <c r="Y107" s="112">
        <v>1217009</v>
      </c>
      <c r="Z107" s="139">
        <f t="shared" si="8"/>
        <v>1274269</v>
      </c>
      <c r="AA107" s="140">
        <f t="shared" si="10"/>
        <v>5.5110683349374394</v>
      </c>
      <c r="AB107" s="140">
        <f t="shared" si="11"/>
        <v>71.066218978102185</v>
      </c>
      <c r="AC107" s="140">
        <f t="shared" si="12"/>
        <v>46.311793567145195</v>
      </c>
      <c r="AD107" s="176" t="s">
        <v>157</v>
      </c>
      <c r="AE107" s="125"/>
      <c r="AF107" s="125"/>
      <c r="AG107" s="125"/>
      <c r="AH107" s="125"/>
      <c r="AI107" s="125"/>
      <c r="AJ107" s="125"/>
      <c r="AK107" s="125"/>
      <c r="AL107" s="125"/>
      <c r="AM107" s="125"/>
    </row>
    <row r="108" spans="1:39" s="124" customFormat="1" ht="21" customHeight="1" x14ac:dyDescent="0.2">
      <c r="A108" s="124" t="str">
        <f t="shared" si="7"/>
        <v>Citywalk Phase 5.03</v>
      </c>
      <c r="B108" s="120" t="str">
        <f t="shared" si="9"/>
        <v>Citywalk Phase 5.03 - Electrical</v>
      </c>
      <c r="C108" s="120"/>
      <c r="D108" s="121" t="s">
        <v>82</v>
      </c>
      <c r="E108" s="121" t="s">
        <v>83</v>
      </c>
      <c r="F108" s="121" t="s">
        <v>84</v>
      </c>
      <c r="G108" s="121" t="s">
        <v>85</v>
      </c>
      <c r="H108" s="122" t="s">
        <v>107</v>
      </c>
      <c r="I108" s="121" t="s">
        <v>116</v>
      </c>
      <c r="J108" s="122">
        <v>2023</v>
      </c>
      <c r="K108" s="123" t="s">
        <v>88</v>
      </c>
      <c r="L108" s="122" t="s">
        <v>86</v>
      </c>
      <c r="M108" s="122" t="s">
        <v>104</v>
      </c>
      <c r="N108" s="122" t="s">
        <v>105</v>
      </c>
      <c r="O108" s="122" t="s">
        <v>122</v>
      </c>
      <c r="P108" s="122" t="s">
        <v>124</v>
      </c>
      <c r="Q108" s="112">
        <v>10390</v>
      </c>
      <c r="R108" s="112">
        <v>17125</v>
      </c>
      <c r="S108" s="112">
        <v>27515</v>
      </c>
      <c r="T108" s="121" t="s">
        <v>148</v>
      </c>
      <c r="U108" s="141">
        <v>5.8</v>
      </c>
      <c r="V108" s="121" t="s">
        <v>32</v>
      </c>
      <c r="W108" s="122" t="s">
        <v>11</v>
      </c>
      <c r="X108" s="112">
        <v>133891</v>
      </c>
      <c r="Y108" s="112">
        <v>708478</v>
      </c>
      <c r="Z108" s="139">
        <f t="shared" si="8"/>
        <v>842369</v>
      </c>
      <c r="AA108" s="140">
        <f t="shared" si="10"/>
        <v>12.886525505293552</v>
      </c>
      <c r="AB108" s="140">
        <f t="shared" si="11"/>
        <v>41.370978102189781</v>
      </c>
      <c r="AC108" s="140">
        <f t="shared" si="12"/>
        <v>30.61490096311103</v>
      </c>
      <c r="AD108" s="176" t="s">
        <v>157</v>
      </c>
      <c r="AE108" s="125"/>
      <c r="AF108" s="125"/>
      <c r="AG108" s="125"/>
      <c r="AH108" s="125"/>
      <c r="AI108" s="125"/>
      <c r="AJ108" s="125"/>
      <c r="AK108" s="125"/>
      <c r="AL108" s="125"/>
      <c r="AM108" s="125"/>
    </row>
    <row r="109" spans="1:39" s="124" customFormat="1" ht="21" customHeight="1" x14ac:dyDescent="0.2">
      <c r="A109" s="124" t="str">
        <f t="shared" si="7"/>
        <v>Citywalk Phase 5.03</v>
      </c>
      <c r="B109" s="120" t="str">
        <f t="shared" si="9"/>
        <v>Citywalk Phase 5.03 - Electrical</v>
      </c>
      <c r="C109" s="120"/>
      <c r="D109" s="121" t="s">
        <v>82</v>
      </c>
      <c r="E109" s="121" t="s">
        <v>83</v>
      </c>
      <c r="F109" s="121" t="s">
        <v>84</v>
      </c>
      <c r="G109" s="121" t="s">
        <v>85</v>
      </c>
      <c r="H109" s="122" t="s">
        <v>107</v>
      </c>
      <c r="I109" s="121" t="s">
        <v>116</v>
      </c>
      <c r="J109" s="122">
        <v>2023</v>
      </c>
      <c r="K109" s="123" t="s">
        <v>88</v>
      </c>
      <c r="L109" s="122" t="s">
        <v>86</v>
      </c>
      <c r="M109" s="122" t="s">
        <v>104</v>
      </c>
      <c r="N109" s="122" t="s">
        <v>105</v>
      </c>
      <c r="O109" s="122" t="s">
        <v>122</v>
      </c>
      <c r="P109" s="122" t="s">
        <v>124</v>
      </c>
      <c r="Q109" s="112">
        <v>10390</v>
      </c>
      <c r="R109" s="112">
        <v>17125</v>
      </c>
      <c r="S109" s="112">
        <v>27515</v>
      </c>
      <c r="T109" s="121" t="s">
        <v>148</v>
      </c>
      <c r="U109" s="141">
        <v>5.8</v>
      </c>
      <c r="V109" s="121" t="s">
        <v>33</v>
      </c>
      <c r="W109" s="122" t="s">
        <v>11</v>
      </c>
      <c r="X109" s="112">
        <v>490010</v>
      </c>
      <c r="Y109" s="112">
        <v>3815078</v>
      </c>
      <c r="Z109" s="139">
        <f t="shared" si="8"/>
        <v>4305088</v>
      </c>
      <c r="AA109" s="140">
        <f t="shared" si="10"/>
        <v>47.161693936477384</v>
      </c>
      <c r="AB109" s="140">
        <f t="shared" si="11"/>
        <v>222.77827737226278</v>
      </c>
      <c r="AC109" s="140">
        <f t="shared" si="12"/>
        <v>156.46331092131564</v>
      </c>
      <c r="AD109" s="176" t="s">
        <v>157</v>
      </c>
      <c r="AE109" s="125"/>
      <c r="AF109" s="125"/>
      <c r="AG109" s="125"/>
      <c r="AH109" s="125"/>
      <c r="AI109" s="125"/>
      <c r="AJ109" s="125"/>
      <c r="AK109" s="125"/>
      <c r="AL109" s="125"/>
      <c r="AM109" s="125"/>
    </row>
    <row r="110" spans="1:39" s="124" customFormat="1" ht="21" customHeight="1" x14ac:dyDescent="0.2">
      <c r="A110" s="124" t="str">
        <f t="shared" si="7"/>
        <v>Citywalk Phase 5.03</v>
      </c>
      <c r="B110" s="120" t="str">
        <f t="shared" si="9"/>
        <v>Citywalk Phase 5.03 - Electrical</v>
      </c>
      <c r="C110" s="120"/>
      <c r="D110" s="121" t="s">
        <v>82</v>
      </c>
      <c r="E110" s="121" t="s">
        <v>83</v>
      </c>
      <c r="F110" s="121" t="s">
        <v>84</v>
      </c>
      <c r="G110" s="121" t="s">
        <v>85</v>
      </c>
      <c r="H110" s="122" t="s">
        <v>107</v>
      </c>
      <c r="I110" s="121" t="s">
        <v>116</v>
      </c>
      <c r="J110" s="122">
        <v>2023</v>
      </c>
      <c r="K110" s="123" t="s">
        <v>88</v>
      </c>
      <c r="L110" s="122" t="s">
        <v>86</v>
      </c>
      <c r="M110" s="122" t="s">
        <v>104</v>
      </c>
      <c r="N110" s="122" t="s">
        <v>105</v>
      </c>
      <c r="O110" s="122" t="s">
        <v>122</v>
      </c>
      <c r="P110" s="122" t="s">
        <v>124</v>
      </c>
      <c r="Q110" s="112">
        <v>10390</v>
      </c>
      <c r="R110" s="112">
        <v>17125</v>
      </c>
      <c r="S110" s="112">
        <v>27515</v>
      </c>
      <c r="T110" s="121" t="s">
        <v>148</v>
      </c>
      <c r="U110" s="141">
        <v>5.8</v>
      </c>
      <c r="V110" s="121" t="s">
        <v>34</v>
      </c>
      <c r="W110" s="122" t="s">
        <v>11</v>
      </c>
      <c r="X110" s="112">
        <v>6864</v>
      </c>
      <c r="Y110" s="112">
        <v>38158</v>
      </c>
      <c r="Z110" s="139">
        <f t="shared" si="8"/>
        <v>45022</v>
      </c>
      <c r="AA110" s="140">
        <f t="shared" si="10"/>
        <v>0.66063522617901826</v>
      </c>
      <c r="AB110" s="140">
        <f t="shared" si="11"/>
        <v>2.2282043795620439</v>
      </c>
      <c r="AC110" s="140">
        <f t="shared" si="12"/>
        <v>1.6362711248409958</v>
      </c>
      <c r="AD110" s="176" t="s">
        <v>157</v>
      </c>
      <c r="AE110" s="125"/>
      <c r="AF110" s="125"/>
      <c r="AG110" s="125"/>
      <c r="AH110" s="125"/>
      <c r="AI110" s="125"/>
      <c r="AJ110" s="125"/>
      <c r="AK110" s="125"/>
      <c r="AL110" s="125"/>
      <c r="AM110" s="125"/>
    </row>
    <row r="111" spans="1:39" s="124" customFormat="1" ht="21" customHeight="1" x14ac:dyDescent="0.2">
      <c r="A111" s="124" t="str">
        <f t="shared" si="7"/>
        <v>Citywalk Phase 5.03</v>
      </c>
      <c r="B111" s="120" t="str">
        <f t="shared" si="9"/>
        <v>Citywalk Phase 5.03 - Electrical</v>
      </c>
      <c r="C111" s="120"/>
      <c r="D111" s="121" t="s">
        <v>82</v>
      </c>
      <c r="E111" s="121" t="s">
        <v>83</v>
      </c>
      <c r="F111" s="121" t="s">
        <v>84</v>
      </c>
      <c r="G111" s="121" t="s">
        <v>85</v>
      </c>
      <c r="H111" s="122" t="s">
        <v>107</v>
      </c>
      <c r="I111" s="121" t="s">
        <v>116</v>
      </c>
      <c r="J111" s="122">
        <v>2023</v>
      </c>
      <c r="K111" s="123" t="s">
        <v>88</v>
      </c>
      <c r="L111" s="122" t="s">
        <v>86</v>
      </c>
      <c r="M111" s="122" t="s">
        <v>104</v>
      </c>
      <c r="N111" s="122" t="s">
        <v>105</v>
      </c>
      <c r="O111" s="122" t="s">
        <v>122</v>
      </c>
      <c r="P111" s="122" t="s">
        <v>124</v>
      </c>
      <c r="Q111" s="112">
        <v>10390</v>
      </c>
      <c r="R111" s="112">
        <v>17125</v>
      </c>
      <c r="S111" s="112">
        <v>27515</v>
      </c>
      <c r="T111" s="121" t="s">
        <v>148</v>
      </c>
      <c r="U111" s="141">
        <v>5.8</v>
      </c>
      <c r="V111" s="121" t="s">
        <v>35</v>
      </c>
      <c r="W111" s="122" t="s">
        <v>11</v>
      </c>
      <c r="X111" s="112">
        <v>77502</v>
      </c>
      <c r="Y111" s="112">
        <v>1297938</v>
      </c>
      <c r="Z111" s="139">
        <f t="shared" si="8"/>
        <v>1375440</v>
      </c>
      <c r="AA111" s="140">
        <f t="shared" si="10"/>
        <v>7.4592877767083738</v>
      </c>
      <c r="AB111" s="140">
        <f t="shared" si="11"/>
        <v>75.792000000000002</v>
      </c>
      <c r="AC111" s="140">
        <f t="shared" si="12"/>
        <v>49.98873341813556</v>
      </c>
      <c r="AD111" s="176" t="s">
        <v>157</v>
      </c>
      <c r="AE111" s="125"/>
      <c r="AF111" s="125"/>
      <c r="AG111" s="125"/>
      <c r="AH111" s="125"/>
      <c r="AI111" s="125"/>
      <c r="AJ111" s="125"/>
      <c r="AK111" s="125"/>
      <c r="AL111" s="125"/>
      <c r="AM111" s="125"/>
    </row>
    <row r="112" spans="1:39" s="124" customFormat="1" ht="21" customHeight="1" x14ac:dyDescent="0.2">
      <c r="A112" s="124" t="str">
        <f t="shared" si="7"/>
        <v>Citywalk Phase 5.03</v>
      </c>
      <c r="B112" s="120" t="str">
        <f t="shared" si="9"/>
        <v>Citywalk Phase 5.03 - Electrical</v>
      </c>
      <c r="C112" s="120"/>
      <c r="D112" s="121" t="s">
        <v>82</v>
      </c>
      <c r="E112" s="121" t="s">
        <v>83</v>
      </c>
      <c r="F112" s="121" t="s">
        <v>84</v>
      </c>
      <c r="G112" s="121" t="s">
        <v>85</v>
      </c>
      <c r="H112" s="122" t="s">
        <v>107</v>
      </c>
      <c r="I112" s="121" t="s">
        <v>116</v>
      </c>
      <c r="J112" s="122">
        <v>2023</v>
      </c>
      <c r="K112" s="123" t="s">
        <v>88</v>
      </c>
      <c r="L112" s="122" t="s">
        <v>86</v>
      </c>
      <c r="M112" s="122" t="s">
        <v>104</v>
      </c>
      <c r="N112" s="122" t="s">
        <v>105</v>
      </c>
      <c r="O112" s="122" t="s">
        <v>122</v>
      </c>
      <c r="P112" s="122" t="s">
        <v>124</v>
      </c>
      <c r="Q112" s="112">
        <v>10390</v>
      </c>
      <c r="R112" s="112">
        <v>17125</v>
      </c>
      <c r="S112" s="112">
        <v>27515</v>
      </c>
      <c r="T112" s="121" t="s">
        <v>148</v>
      </c>
      <c r="U112" s="141">
        <v>5.8</v>
      </c>
      <c r="V112" s="121" t="s">
        <v>56</v>
      </c>
      <c r="W112" s="122" t="s">
        <v>11</v>
      </c>
      <c r="X112" s="112">
        <v>99801</v>
      </c>
      <c r="Y112" s="112">
        <v>489994</v>
      </c>
      <c r="Z112" s="139">
        <f t="shared" si="8"/>
        <v>589795</v>
      </c>
      <c r="AA112" s="140">
        <f t="shared" si="10"/>
        <v>9.6054860442733396</v>
      </c>
      <c r="AB112" s="140">
        <f t="shared" si="11"/>
        <v>28.612788321167884</v>
      </c>
      <c r="AC112" s="140">
        <f t="shared" si="12"/>
        <v>21.435398873341814</v>
      </c>
      <c r="AD112" s="176" t="s">
        <v>157</v>
      </c>
      <c r="AE112" s="125"/>
      <c r="AF112" s="125"/>
      <c r="AG112" s="125"/>
      <c r="AH112" s="125"/>
      <c r="AI112" s="125"/>
      <c r="AJ112" s="125"/>
      <c r="AK112" s="125"/>
      <c r="AL112" s="125"/>
      <c r="AM112" s="125"/>
    </row>
    <row r="113" spans="1:39" s="124" customFormat="1" ht="21" customHeight="1" x14ac:dyDescent="0.2">
      <c r="A113" s="124" t="str">
        <f t="shared" si="7"/>
        <v>Citywalk Phase 5.03</v>
      </c>
      <c r="B113" s="120" t="str">
        <f t="shared" si="9"/>
        <v>Citywalk Phase 5.03 - Electrical</v>
      </c>
      <c r="C113" s="120"/>
      <c r="D113" s="121" t="s">
        <v>82</v>
      </c>
      <c r="E113" s="121" t="s">
        <v>83</v>
      </c>
      <c r="F113" s="121" t="s">
        <v>84</v>
      </c>
      <c r="G113" s="121" t="s">
        <v>85</v>
      </c>
      <c r="H113" s="122" t="s">
        <v>107</v>
      </c>
      <c r="I113" s="121" t="s">
        <v>116</v>
      </c>
      <c r="J113" s="122">
        <v>2023</v>
      </c>
      <c r="K113" s="123" t="s">
        <v>88</v>
      </c>
      <c r="L113" s="122" t="s">
        <v>86</v>
      </c>
      <c r="M113" s="122" t="s">
        <v>104</v>
      </c>
      <c r="N113" s="122" t="s">
        <v>105</v>
      </c>
      <c r="O113" s="122" t="s">
        <v>122</v>
      </c>
      <c r="P113" s="122" t="s">
        <v>124</v>
      </c>
      <c r="Q113" s="112">
        <v>10390</v>
      </c>
      <c r="R113" s="112">
        <v>17125</v>
      </c>
      <c r="S113" s="112">
        <v>27515</v>
      </c>
      <c r="T113" s="121" t="s">
        <v>148</v>
      </c>
      <c r="U113" s="141">
        <v>5.8</v>
      </c>
      <c r="V113" s="121" t="s">
        <v>36</v>
      </c>
      <c r="W113" s="122" t="s">
        <v>11</v>
      </c>
      <c r="X113" s="112">
        <v>191133</v>
      </c>
      <c r="Y113" s="112">
        <v>105381</v>
      </c>
      <c r="Z113" s="139">
        <f t="shared" si="8"/>
        <v>296514</v>
      </c>
      <c r="AA113" s="140">
        <f t="shared" si="10"/>
        <v>18.395861405197305</v>
      </c>
      <c r="AB113" s="140">
        <f t="shared" si="11"/>
        <v>6.1536350364963504</v>
      </c>
      <c r="AC113" s="140">
        <f t="shared" si="12"/>
        <v>10.776449209522079</v>
      </c>
      <c r="AD113" s="176" t="s">
        <v>157</v>
      </c>
      <c r="AE113" s="125"/>
      <c r="AF113" s="125"/>
      <c r="AG113" s="125"/>
      <c r="AH113" s="125"/>
      <c r="AI113" s="125"/>
      <c r="AJ113" s="125"/>
      <c r="AK113" s="125"/>
      <c r="AL113" s="125"/>
      <c r="AM113" s="125"/>
    </row>
    <row r="114" spans="1:39" s="124" customFormat="1" ht="21" customHeight="1" x14ac:dyDescent="0.2">
      <c r="A114" s="124" t="str">
        <f t="shared" si="7"/>
        <v>Citywalk Phase 5.03</v>
      </c>
      <c r="B114" s="120" t="str">
        <f t="shared" si="9"/>
        <v>Citywalk Phase 5.03 - Electrical</v>
      </c>
      <c r="C114" s="120"/>
      <c r="D114" s="121" t="s">
        <v>82</v>
      </c>
      <c r="E114" s="121" t="s">
        <v>83</v>
      </c>
      <c r="F114" s="121" t="s">
        <v>84</v>
      </c>
      <c r="G114" s="121" t="s">
        <v>85</v>
      </c>
      <c r="H114" s="122" t="s">
        <v>107</v>
      </c>
      <c r="I114" s="121" t="s">
        <v>116</v>
      </c>
      <c r="J114" s="122">
        <v>2023</v>
      </c>
      <c r="K114" s="123" t="s">
        <v>88</v>
      </c>
      <c r="L114" s="122" t="s">
        <v>86</v>
      </c>
      <c r="M114" s="122" t="s">
        <v>104</v>
      </c>
      <c r="N114" s="122" t="s">
        <v>105</v>
      </c>
      <c r="O114" s="122" t="s">
        <v>122</v>
      </c>
      <c r="P114" s="122" t="s">
        <v>124</v>
      </c>
      <c r="Q114" s="112">
        <v>10390</v>
      </c>
      <c r="R114" s="112">
        <v>17125</v>
      </c>
      <c r="S114" s="112">
        <v>27515</v>
      </c>
      <c r="T114" s="121" t="s">
        <v>148</v>
      </c>
      <c r="U114" s="141">
        <v>5.8</v>
      </c>
      <c r="V114" s="121" t="s">
        <v>57</v>
      </c>
      <c r="W114" s="122" t="s">
        <v>11</v>
      </c>
      <c r="X114" s="112">
        <v>0</v>
      </c>
      <c r="Y114" s="112">
        <v>0</v>
      </c>
      <c r="Z114" s="139">
        <f t="shared" si="8"/>
        <v>0</v>
      </c>
      <c r="AA114" s="140">
        <f t="shared" si="10"/>
        <v>0</v>
      </c>
      <c r="AB114" s="140">
        <f t="shared" si="11"/>
        <v>0</v>
      </c>
      <c r="AC114" s="140">
        <f t="shared" si="12"/>
        <v>0</v>
      </c>
      <c r="AD114" s="176" t="s">
        <v>157</v>
      </c>
      <c r="AE114" s="125"/>
      <c r="AF114" s="125"/>
      <c r="AG114" s="125"/>
      <c r="AH114" s="125"/>
      <c r="AI114" s="125"/>
      <c r="AJ114" s="125"/>
      <c r="AK114" s="125"/>
      <c r="AL114" s="125"/>
      <c r="AM114" s="125"/>
    </row>
    <row r="115" spans="1:39" s="124" customFormat="1" ht="21" customHeight="1" x14ac:dyDescent="0.2">
      <c r="A115" s="124" t="str">
        <f t="shared" si="7"/>
        <v>Citywalk Phase 5.03</v>
      </c>
      <c r="B115" s="120" t="str">
        <f t="shared" si="9"/>
        <v>Citywalk Phase 5.03 - Electrical</v>
      </c>
      <c r="C115" s="120"/>
      <c r="D115" s="121" t="s">
        <v>82</v>
      </c>
      <c r="E115" s="121" t="s">
        <v>83</v>
      </c>
      <c r="F115" s="121" t="s">
        <v>84</v>
      </c>
      <c r="G115" s="121" t="s">
        <v>85</v>
      </c>
      <c r="H115" s="122" t="s">
        <v>107</v>
      </c>
      <c r="I115" s="121" t="s">
        <v>116</v>
      </c>
      <c r="J115" s="122">
        <v>2023</v>
      </c>
      <c r="K115" s="123" t="s">
        <v>88</v>
      </c>
      <c r="L115" s="122" t="s">
        <v>86</v>
      </c>
      <c r="M115" s="122" t="s">
        <v>104</v>
      </c>
      <c r="N115" s="122" t="s">
        <v>105</v>
      </c>
      <c r="O115" s="122" t="s">
        <v>122</v>
      </c>
      <c r="P115" s="122" t="s">
        <v>124</v>
      </c>
      <c r="Q115" s="112">
        <v>10390</v>
      </c>
      <c r="R115" s="112">
        <v>17125</v>
      </c>
      <c r="S115" s="112">
        <v>27515</v>
      </c>
      <c r="T115" s="121" t="s">
        <v>148</v>
      </c>
      <c r="U115" s="141">
        <v>5.8</v>
      </c>
      <c r="V115" s="121" t="s">
        <v>37</v>
      </c>
      <c r="W115" s="122" t="s">
        <v>11</v>
      </c>
      <c r="X115" s="112">
        <v>387591</v>
      </c>
      <c r="Y115" s="112">
        <v>455627</v>
      </c>
      <c r="Z115" s="139">
        <f t="shared" si="8"/>
        <v>843218</v>
      </c>
      <c r="AA115" s="140">
        <f t="shared" si="10"/>
        <v>37.304234841193455</v>
      </c>
      <c r="AB115" s="140">
        <f t="shared" si="11"/>
        <v>26.605956204379563</v>
      </c>
      <c r="AC115" s="140">
        <f t="shared" si="12"/>
        <v>30.645756859894604</v>
      </c>
      <c r="AD115" s="176" t="s">
        <v>157</v>
      </c>
      <c r="AE115" s="125"/>
      <c r="AF115" s="125"/>
      <c r="AG115" s="125"/>
      <c r="AH115" s="125"/>
      <c r="AI115" s="125"/>
      <c r="AJ115" s="125"/>
      <c r="AK115" s="125"/>
      <c r="AL115" s="125"/>
      <c r="AM115" s="125"/>
    </row>
    <row r="116" spans="1:39" s="124" customFormat="1" ht="21" customHeight="1" x14ac:dyDescent="0.2">
      <c r="A116" s="124" t="str">
        <f t="shared" si="7"/>
        <v>Citywalk Phase 5.03</v>
      </c>
      <c r="B116" s="120" t="str">
        <f t="shared" si="9"/>
        <v>Citywalk Phase 5.03 - Electrical</v>
      </c>
      <c r="C116" s="120"/>
      <c r="D116" s="121" t="s">
        <v>82</v>
      </c>
      <c r="E116" s="121" t="s">
        <v>83</v>
      </c>
      <c r="F116" s="121" t="s">
        <v>84</v>
      </c>
      <c r="G116" s="121" t="s">
        <v>85</v>
      </c>
      <c r="H116" s="122" t="s">
        <v>107</v>
      </c>
      <c r="I116" s="121" t="s">
        <v>116</v>
      </c>
      <c r="J116" s="122">
        <v>2023</v>
      </c>
      <c r="K116" s="123" t="s">
        <v>88</v>
      </c>
      <c r="L116" s="122" t="s">
        <v>86</v>
      </c>
      <c r="M116" s="122" t="s">
        <v>104</v>
      </c>
      <c r="N116" s="122" t="s">
        <v>105</v>
      </c>
      <c r="O116" s="122" t="s">
        <v>122</v>
      </c>
      <c r="P116" s="122" t="s">
        <v>124</v>
      </c>
      <c r="Q116" s="112">
        <v>10390</v>
      </c>
      <c r="R116" s="112">
        <v>17125</v>
      </c>
      <c r="S116" s="112">
        <v>27515</v>
      </c>
      <c r="T116" s="121" t="s">
        <v>148</v>
      </c>
      <c r="U116" s="141">
        <v>5.8</v>
      </c>
      <c r="V116" s="121" t="s">
        <v>38</v>
      </c>
      <c r="W116" s="122" t="s">
        <v>11</v>
      </c>
      <c r="X116" s="112">
        <v>216441</v>
      </c>
      <c r="Y116" s="112">
        <v>0</v>
      </c>
      <c r="Z116" s="139">
        <f t="shared" si="8"/>
        <v>216441</v>
      </c>
      <c r="AA116" s="140">
        <f t="shared" si="10"/>
        <v>20.831665062560155</v>
      </c>
      <c r="AB116" s="140">
        <f t="shared" si="11"/>
        <v>0</v>
      </c>
      <c r="AC116" s="140">
        <f t="shared" si="12"/>
        <v>7.8662911139378524</v>
      </c>
      <c r="AD116" s="176" t="s">
        <v>157</v>
      </c>
      <c r="AE116" s="125"/>
      <c r="AF116" s="125"/>
      <c r="AG116" s="125"/>
      <c r="AH116" s="125"/>
      <c r="AI116" s="125"/>
      <c r="AJ116" s="125"/>
      <c r="AK116" s="125"/>
      <c r="AL116" s="125"/>
      <c r="AM116" s="125"/>
    </row>
    <row r="117" spans="1:39" s="124" customFormat="1" ht="21" customHeight="1" x14ac:dyDescent="0.2">
      <c r="A117" s="124" t="str">
        <f t="shared" si="7"/>
        <v>Citywalk Phase 5.03</v>
      </c>
      <c r="B117" s="120" t="str">
        <f t="shared" si="9"/>
        <v>Citywalk Phase 5.03 - Electrical</v>
      </c>
      <c r="C117" s="120"/>
      <c r="D117" s="121" t="s">
        <v>82</v>
      </c>
      <c r="E117" s="121" t="s">
        <v>83</v>
      </c>
      <c r="F117" s="121" t="s">
        <v>84</v>
      </c>
      <c r="G117" s="121" t="s">
        <v>85</v>
      </c>
      <c r="H117" s="122" t="s">
        <v>107</v>
      </c>
      <c r="I117" s="121" t="s">
        <v>116</v>
      </c>
      <c r="J117" s="122">
        <v>2023</v>
      </c>
      <c r="K117" s="123" t="s">
        <v>88</v>
      </c>
      <c r="L117" s="122" t="s">
        <v>86</v>
      </c>
      <c r="M117" s="122" t="s">
        <v>104</v>
      </c>
      <c r="N117" s="122" t="s">
        <v>105</v>
      </c>
      <c r="O117" s="122" t="s">
        <v>122</v>
      </c>
      <c r="P117" s="122" t="s">
        <v>124</v>
      </c>
      <c r="Q117" s="112">
        <v>10390</v>
      </c>
      <c r="R117" s="112">
        <v>17125</v>
      </c>
      <c r="S117" s="112">
        <v>27515</v>
      </c>
      <c r="T117" s="121" t="s">
        <v>148</v>
      </c>
      <c r="U117" s="141">
        <v>5.8</v>
      </c>
      <c r="V117" s="121" t="s">
        <v>5</v>
      </c>
      <c r="W117" s="122" t="s">
        <v>11</v>
      </c>
      <c r="X117" s="112">
        <v>85682</v>
      </c>
      <c r="Y117" s="112">
        <v>378165</v>
      </c>
      <c r="Z117" s="139">
        <f t="shared" si="8"/>
        <v>463847</v>
      </c>
      <c r="AA117" s="140">
        <f t="shared" si="10"/>
        <v>8.2465832531280086</v>
      </c>
      <c r="AB117" s="140">
        <f t="shared" si="11"/>
        <v>22.082627737226279</v>
      </c>
      <c r="AC117" s="140">
        <f t="shared" si="12"/>
        <v>16.857968380883154</v>
      </c>
      <c r="AD117" s="176" t="s">
        <v>157</v>
      </c>
      <c r="AE117" s="125"/>
      <c r="AF117" s="125"/>
      <c r="AG117" s="125"/>
      <c r="AH117" s="125"/>
      <c r="AI117" s="125"/>
      <c r="AJ117" s="125"/>
      <c r="AK117" s="125"/>
      <c r="AL117" s="125"/>
      <c r="AM117" s="125"/>
    </row>
    <row r="118" spans="1:39" s="124" customFormat="1" ht="21" customHeight="1" x14ac:dyDescent="0.2">
      <c r="A118" s="124" t="str">
        <f t="shared" si="7"/>
        <v>Citywalk Phase 5.03</v>
      </c>
      <c r="B118" s="120" t="str">
        <f t="shared" si="9"/>
        <v>Citywalk Phase 5.03 - Electrical</v>
      </c>
      <c r="C118" s="120"/>
      <c r="D118" s="121" t="s">
        <v>82</v>
      </c>
      <c r="E118" s="121" t="s">
        <v>83</v>
      </c>
      <c r="F118" s="121" t="s">
        <v>84</v>
      </c>
      <c r="G118" s="121" t="s">
        <v>85</v>
      </c>
      <c r="H118" s="122" t="s">
        <v>107</v>
      </c>
      <c r="I118" s="121" t="s">
        <v>116</v>
      </c>
      <c r="J118" s="122">
        <v>2023</v>
      </c>
      <c r="K118" s="123" t="s">
        <v>88</v>
      </c>
      <c r="L118" s="122" t="s">
        <v>86</v>
      </c>
      <c r="M118" s="122" t="s">
        <v>104</v>
      </c>
      <c r="N118" s="122" t="s">
        <v>105</v>
      </c>
      <c r="O118" s="122" t="s">
        <v>122</v>
      </c>
      <c r="P118" s="122" t="s">
        <v>124</v>
      </c>
      <c r="Q118" s="112">
        <v>10390</v>
      </c>
      <c r="R118" s="112">
        <v>17125</v>
      </c>
      <c r="S118" s="112">
        <v>27515</v>
      </c>
      <c r="T118" s="121" t="s">
        <v>148</v>
      </c>
      <c r="U118" s="141" t="s">
        <v>52</v>
      </c>
      <c r="V118" s="121" t="s">
        <v>39</v>
      </c>
      <c r="W118" s="122" t="s">
        <v>11</v>
      </c>
      <c r="X118" s="112">
        <v>87136</v>
      </c>
      <c r="Y118" s="112">
        <v>788447</v>
      </c>
      <c r="Z118" s="139">
        <f t="shared" si="8"/>
        <v>875583</v>
      </c>
      <c r="AA118" s="140">
        <f t="shared" si="10"/>
        <v>8.3865255052935517</v>
      </c>
      <c r="AB118" s="140">
        <f t="shared" si="11"/>
        <v>46.040700729927011</v>
      </c>
      <c r="AC118" s="140">
        <f t="shared" si="12"/>
        <v>31.822024350354351</v>
      </c>
      <c r="AD118" s="176" t="s">
        <v>157</v>
      </c>
      <c r="AE118" s="125"/>
      <c r="AF118" s="125"/>
      <c r="AG118" s="125"/>
      <c r="AH118" s="125"/>
      <c r="AI118" s="125"/>
      <c r="AJ118" s="125"/>
      <c r="AK118" s="125"/>
      <c r="AL118" s="125"/>
      <c r="AM118" s="125"/>
    </row>
    <row r="119" spans="1:39" s="124" customFormat="1" ht="21" customHeight="1" x14ac:dyDescent="0.2">
      <c r="A119" s="124" t="str">
        <f t="shared" si="7"/>
        <v>Citywalk Phase 5.03</v>
      </c>
      <c r="B119" s="120" t="str">
        <f t="shared" si="9"/>
        <v>Citywalk Phase 5.03 - Electrical</v>
      </c>
      <c r="C119" s="120"/>
      <c r="D119" s="121" t="s">
        <v>82</v>
      </c>
      <c r="E119" s="121" t="s">
        <v>83</v>
      </c>
      <c r="F119" s="121" t="s">
        <v>84</v>
      </c>
      <c r="G119" s="121" t="s">
        <v>85</v>
      </c>
      <c r="H119" s="122" t="s">
        <v>107</v>
      </c>
      <c r="I119" s="121" t="s">
        <v>116</v>
      </c>
      <c r="J119" s="122">
        <v>2023</v>
      </c>
      <c r="K119" s="123" t="s">
        <v>88</v>
      </c>
      <c r="L119" s="122" t="s">
        <v>86</v>
      </c>
      <c r="M119" s="122" t="s">
        <v>104</v>
      </c>
      <c r="N119" s="122" t="s">
        <v>105</v>
      </c>
      <c r="O119" s="122" t="s">
        <v>122</v>
      </c>
      <c r="P119" s="122" t="s">
        <v>124</v>
      </c>
      <c r="Q119" s="112">
        <v>10390</v>
      </c>
      <c r="R119" s="112">
        <v>17125</v>
      </c>
      <c r="S119" s="112">
        <v>27515</v>
      </c>
      <c r="T119" s="121" t="s">
        <v>148</v>
      </c>
      <c r="U119" s="141" t="s">
        <v>52</v>
      </c>
      <c r="V119" s="121" t="s">
        <v>40</v>
      </c>
      <c r="W119" s="122" t="s">
        <v>11</v>
      </c>
      <c r="X119" s="112">
        <v>211981</v>
      </c>
      <c r="Y119" s="112">
        <v>0</v>
      </c>
      <c r="Z119" s="139">
        <f t="shared" si="8"/>
        <v>211981</v>
      </c>
      <c r="AA119" s="140">
        <f t="shared" si="10"/>
        <v>20.402406159769008</v>
      </c>
      <c r="AB119" s="140">
        <f t="shared" si="11"/>
        <v>0</v>
      </c>
      <c r="AC119" s="140">
        <f t="shared" si="12"/>
        <v>7.7041977103398143</v>
      </c>
      <c r="AD119" s="176" t="s">
        <v>157</v>
      </c>
      <c r="AE119" s="125"/>
      <c r="AF119" s="125"/>
      <c r="AG119" s="125"/>
      <c r="AH119" s="125"/>
      <c r="AI119" s="125"/>
      <c r="AJ119" s="125"/>
      <c r="AK119" s="125"/>
      <c r="AL119" s="125"/>
      <c r="AM119" s="125"/>
    </row>
    <row r="120" spans="1:39" s="124" customFormat="1" ht="21" customHeight="1" x14ac:dyDescent="0.2">
      <c r="A120" s="124" t="str">
        <f t="shared" si="7"/>
        <v>Citywalk Phase 5.03</v>
      </c>
      <c r="B120" s="120" t="str">
        <f t="shared" si="9"/>
        <v>Citywalk Phase 5.03 - Electrical</v>
      </c>
      <c r="C120" s="120"/>
      <c r="D120" s="121" t="s">
        <v>82</v>
      </c>
      <c r="E120" s="121" t="s">
        <v>83</v>
      </c>
      <c r="F120" s="121" t="s">
        <v>84</v>
      </c>
      <c r="G120" s="121" t="s">
        <v>85</v>
      </c>
      <c r="H120" s="122" t="s">
        <v>107</v>
      </c>
      <c r="I120" s="121" t="s">
        <v>116</v>
      </c>
      <c r="J120" s="122">
        <v>2023</v>
      </c>
      <c r="K120" s="123" t="s">
        <v>88</v>
      </c>
      <c r="L120" s="122" t="s">
        <v>86</v>
      </c>
      <c r="M120" s="122" t="s">
        <v>104</v>
      </c>
      <c r="N120" s="122" t="s">
        <v>105</v>
      </c>
      <c r="O120" s="122" t="s">
        <v>122</v>
      </c>
      <c r="P120" s="122" t="s">
        <v>124</v>
      </c>
      <c r="Q120" s="112">
        <v>10390</v>
      </c>
      <c r="R120" s="112">
        <v>17125</v>
      </c>
      <c r="S120" s="112">
        <v>27515</v>
      </c>
      <c r="T120" s="121" t="s">
        <v>148</v>
      </c>
      <c r="U120" s="141">
        <v>5.12</v>
      </c>
      <c r="V120" s="121" t="s">
        <v>41</v>
      </c>
      <c r="W120" s="122" t="s">
        <v>11</v>
      </c>
      <c r="X120" s="112">
        <v>126713</v>
      </c>
      <c r="Y120" s="112">
        <v>541703</v>
      </c>
      <c r="Z120" s="139">
        <f t="shared" si="8"/>
        <v>668416</v>
      </c>
      <c r="AA120" s="140">
        <f t="shared" si="10"/>
        <v>12.195668912415785</v>
      </c>
      <c r="AB120" s="140">
        <f t="shared" si="11"/>
        <v>31.632291970802921</v>
      </c>
      <c r="AC120" s="140">
        <f t="shared" si="12"/>
        <v>24.292785753225512</v>
      </c>
      <c r="AD120" s="176" t="s">
        <v>157</v>
      </c>
      <c r="AE120" s="125"/>
      <c r="AF120" s="125"/>
      <c r="AG120" s="125"/>
      <c r="AH120" s="125"/>
      <c r="AI120" s="125"/>
      <c r="AJ120" s="125"/>
      <c r="AK120" s="125"/>
      <c r="AL120" s="125"/>
      <c r="AM120" s="125"/>
    </row>
    <row r="121" spans="1:39" s="124" customFormat="1" ht="21" customHeight="1" x14ac:dyDescent="0.2">
      <c r="A121" s="124" t="str">
        <f t="shared" si="7"/>
        <v>Citywalk Phase 5.03</v>
      </c>
      <c r="B121" s="120" t="str">
        <f t="shared" si="9"/>
        <v>Citywalk Phase 5.03 - Electrical</v>
      </c>
      <c r="C121" s="120"/>
      <c r="D121" s="121" t="s">
        <v>82</v>
      </c>
      <c r="E121" s="121" t="s">
        <v>83</v>
      </c>
      <c r="F121" s="121" t="s">
        <v>84</v>
      </c>
      <c r="G121" s="121" t="s">
        <v>85</v>
      </c>
      <c r="H121" s="122" t="s">
        <v>107</v>
      </c>
      <c r="I121" s="121" t="s">
        <v>116</v>
      </c>
      <c r="J121" s="122">
        <v>2023</v>
      </c>
      <c r="K121" s="123" t="s">
        <v>88</v>
      </c>
      <c r="L121" s="122" t="s">
        <v>86</v>
      </c>
      <c r="M121" s="122" t="s">
        <v>104</v>
      </c>
      <c r="N121" s="122" t="s">
        <v>105</v>
      </c>
      <c r="O121" s="122" t="s">
        <v>122</v>
      </c>
      <c r="P121" s="122" t="s">
        <v>124</v>
      </c>
      <c r="Q121" s="112">
        <v>10390</v>
      </c>
      <c r="R121" s="112">
        <v>17125</v>
      </c>
      <c r="S121" s="112">
        <v>27515</v>
      </c>
      <c r="T121" s="121" t="s">
        <v>148</v>
      </c>
      <c r="U121" s="141">
        <v>5.12</v>
      </c>
      <c r="V121" s="121" t="s">
        <v>42</v>
      </c>
      <c r="W121" s="122" t="s">
        <v>11</v>
      </c>
      <c r="X121" s="112">
        <v>373877</v>
      </c>
      <c r="Y121" s="112">
        <v>585198</v>
      </c>
      <c r="Z121" s="139">
        <f t="shared" si="8"/>
        <v>959075</v>
      </c>
      <c r="AA121" s="140">
        <f t="shared" si="10"/>
        <v>35.984311838306063</v>
      </c>
      <c r="AB121" s="140">
        <f t="shared" si="11"/>
        <v>34.172145985401457</v>
      </c>
      <c r="AC121" s="140">
        <f t="shared" si="12"/>
        <v>34.856441940759588</v>
      </c>
      <c r="AD121" s="176" t="s">
        <v>157</v>
      </c>
      <c r="AE121" s="125"/>
      <c r="AF121" s="125"/>
      <c r="AG121" s="125"/>
      <c r="AH121" s="125"/>
      <c r="AI121" s="125"/>
      <c r="AJ121" s="125"/>
      <c r="AK121" s="125"/>
      <c r="AL121" s="125"/>
      <c r="AM121" s="125"/>
    </row>
    <row r="122" spans="1:39" s="124" customFormat="1" ht="21" customHeight="1" x14ac:dyDescent="0.2">
      <c r="A122" s="124" t="str">
        <f t="shared" si="7"/>
        <v>Citywalk Phase 5.03</v>
      </c>
      <c r="B122" s="120" t="str">
        <f t="shared" si="9"/>
        <v>Citywalk Phase 5.03 - Electrical</v>
      </c>
      <c r="C122" s="120"/>
      <c r="D122" s="121" t="s">
        <v>82</v>
      </c>
      <c r="E122" s="121" t="s">
        <v>83</v>
      </c>
      <c r="F122" s="121" t="s">
        <v>84</v>
      </c>
      <c r="G122" s="121" t="s">
        <v>85</v>
      </c>
      <c r="H122" s="122" t="s">
        <v>107</v>
      </c>
      <c r="I122" s="121" t="s">
        <v>116</v>
      </c>
      <c r="J122" s="122">
        <v>2023</v>
      </c>
      <c r="K122" s="123" t="s">
        <v>88</v>
      </c>
      <c r="L122" s="122" t="s">
        <v>86</v>
      </c>
      <c r="M122" s="122" t="s">
        <v>104</v>
      </c>
      <c r="N122" s="122" t="s">
        <v>105</v>
      </c>
      <c r="O122" s="122" t="s">
        <v>122</v>
      </c>
      <c r="P122" s="122" t="s">
        <v>124</v>
      </c>
      <c r="Q122" s="112">
        <v>10390</v>
      </c>
      <c r="R122" s="112">
        <v>17125</v>
      </c>
      <c r="S122" s="112">
        <v>27515</v>
      </c>
      <c r="T122" s="121" t="s">
        <v>148</v>
      </c>
      <c r="U122" s="141">
        <v>5.12</v>
      </c>
      <c r="V122" s="121" t="s">
        <v>60</v>
      </c>
      <c r="W122" s="122" t="s">
        <v>11</v>
      </c>
      <c r="X122" s="112">
        <v>172653</v>
      </c>
      <c r="Y122" s="112">
        <v>0</v>
      </c>
      <c r="Z122" s="139">
        <f t="shared" si="8"/>
        <v>172653</v>
      </c>
      <c r="AA122" s="140">
        <f t="shared" si="10"/>
        <v>16.617228103946101</v>
      </c>
      <c r="AB122" s="140">
        <f t="shared" si="11"/>
        <v>0</v>
      </c>
      <c r="AC122" s="140">
        <f t="shared" si="12"/>
        <v>6.274868253679811</v>
      </c>
      <c r="AD122" s="176" t="s">
        <v>157</v>
      </c>
      <c r="AE122" s="125"/>
      <c r="AF122" s="125"/>
      <c r="AG122" s="125"/>
      <c r="AH122" s="125"/>
      <c r="AI122" s="125"/>
      <c r="AJ122" s="125"/>
      <c r="AK122" s="125"/>
      <c r="AL122" s="125"/>
      <c r="AM122" s="125"/>
    </row>
    <row r="123" spans="1:39" s="124" customFormat="1" ht="21" customHeight="1" x14ac:dyDescent="0.2">
      <c r="A123" s="124" t="str">
        <f t="shared" si="7"/>
        <v>Citywalk Phase 5.03</v>
      </c>
      <c r="B123" s="120" t="str">
        <f t="shared" si="9"/>
        <v>Citywalk Phase 5.03 - Electrical</v>
      </c>
      <c r="C123" s="120"/>
      <c r="D123" s="121" t="s">
        <v>82</v>
      </c>
      <c r="E123" s="121" t="s">
        <v>83</v>
      </c>
      <c r="F123" s="121" t="s">
        <v>84</v>
      </c>
      <c r="G123" s="121" t="s">
        <v>85</v>
      </c>
      <c r="H123" s="122" t="s">
        <v>107</v>
      </c>
      <c r="I123" s="121" t="s">
        <v>116</v>
      </c>
      <c r="J123" s="122">
        <v>2023</v>
      </c>
      <c r="K123" s="123" t="s">
        <v>88</v>
      </c>
      <c r="L123" s="122" t="s">
        <v>86</v>
      </c>
      <c r="M123" s="122" t="s">
        <v>104</v>
      </c>
      <c r="N123" s="122" t="s">
        <v>105</v>
      </c>
      <c r="O123" s="122" t="s">
        <v>122</v>
      </c>
      <c r="P123" s="122" t="s">
        <v>124</v>
      </c>
      <c r="Q123" s="112">
        <v>10390</v>
      </c>
      <c r="R123" s="112">
        <v>17125</v>
      </c>
      <c r="S123" s="112">
        <v>27515</v>
      </c>
      <c r="T123" s="121" t="s">
        <v>148</v>
      </c>
      <c r="U123" s="141">
        <v>5.12</v>
      </c>
      <c r="V123" s="121" t="s">
        <v>43</v>
      </c>
      <c r="W123" s="122" t="s">
        <v>11</v>
      </c>
      <c r="X123" s="112">
        <v>101417</v>
      </c>
      <c r="Y123" s="112">
        <v>110779</v>
      </c>
      <c r="Z123" s="139">
        <f t="shared" si="8"/>
        <v>212196</v>
      </c>
      <c r="AA123" s="140">
        <f t="shared" si="10"/>
        <v>9.7610202117420588</v>
      </c>
      <c r="AB123" s="140">
        <f t="shared" si="11"/>
        <v>6.4688467153284668</v>
      </c>
      <c r="AC123" s="140">
        <f t="shared" si="12"/>
        <v>7.7120116300199895</v>
      </c>
      <c r="AD123" s="176" t="s">
        <v>157</v>
      </c>
      <c r="AE123" s="125"/>
      <c r="AF123" s="125"/>
      <c r="AG123" s="125"/>
      <c r="AH123" s="125"/>
      <c r="AI123" s="125"/>
      <c r="AJ123" s="125"/>
      <c r="AK123" s="125"/>
      <c r="AL123" s="125"/>
      <c r="AM123" s="125"/>
    </row>
    <row r="124" spans="1:39" s="124" customFormat="1" ht="21" customHeight="1" x14ac:dyDescent="0.2">
      <c r="A124" s="124" t="str">
        <f t="shared" si="7"/>
        <v>Citywalk Phase 5.03</v>
      </c>
      <c r="B124" s="120" t="str">
        <f t="shared" si="9"/>
        <v>Citywalk Phase 5.03 - Electrical</v>
      </c>
      <c r="C124" s="120"/>
      <c r="D124" s="121" t="s">
        <v>82</v>
      </c>
      <c r="E124" s="121" t="s">
        <v>83</v>
      </c>
      <c r="F124" s="121" t="s">
        <v>84</v>
      </c>
      <c r="G124" s="121" t="s">
        <v>85</v>
      </c>
      <c r="H124" s="122" t="s">
        <v>107</v>
      </c>
      <c r="I124" s="121" t="s">
        <v>116</v>
      </c>
      <c r="J124" s="122">
        <v>2023</v>
      </c>
      <c r="K124" s="123" t="s">
        <v>88</v>
      </c>
      <c r="L124" s="122" t="s">
        <v>86</v>
      </c>
      <c r="M124" s="122" t="s">
        <v>104</v>
      </c>
      <c r="N124" s="122" t="s">
        <v>105</v>
      </c>
      <c r="O124" s="122" t="s">
        <v>122</v>
      </c>
      <c r="P124" s="122" t="s">
        <v>124</v>
      </c>
      <c r="Q124" s="112">
        <v>10390</v>
      </c>
      <c r="R124" s="112">
        <v>17125</v>
      </c>
      <c r="S124" s="112">
        <v>27515</v>
      </c>
      <c r="T124" s="121" t="s">
        <v>148</v>
      </c>
      <c r="U124" s="141">
        <v>5.12</v>
      </c>
      <c r="V124" s="121" t="s">
        <v>44</v>
      </c>
      <c r="W124" s="122" t="s">
        <v>11</v>
      </c>
      <c r="X124" s="112">
        <v>542457</v>
      </c>
      <c r="Y124" s="112">
        <v>320960</v>
      </c>
      <c r="Z124" s="139">
        <f t="shared" si="8"/>
        <v>863417</v>
      </c>
      <c r="AA124" s="140">
        <f t="shared" si="10"/>
        <v>52.209528392685272</v>
      </c>
      <c r="AB124" s="140">
        <f t="shared" si="11"/>
        <v>18.742189781021899</v>
      </c>
      <c r="AC124" s="140">
        <f t="shared" si="12"/>
        <v>31.379865527893877</v>
      </c>
      <c r="AD124" s="176" t="s">
        <v>157</v>
      </c>
      <c r="AE124" s="125"/>
      <c r="AF124" s="125"/>
      <c r="AG124" s="125"/>
      <c r="AH124" s="125"/>
      <c r="AI124" s="125"/>
      <c r="AJ124" s="125"/>
      <c r="AK124" s="125"/>
      <c r="AL124" s="125"/>
      <c r="AM124" s="125"/>
    </row>
    <row r="125" spans="1:39" s="124" customFormat="1" ht="21" customHeight="1" x14ac:dyDescent="0.2">
      <c r="A125" s="124" t="str">
        <f t="shared" si="7"/>
        <v>Citywalk Phase 5.03</v>
      </c>
      <c r="B125" s="120" t="str">
        <f t="shared" si="9"/>
        <v>Citywalk Phase 5.03 - Electrical</v>
      </c>
      <c r="C125" s="120"/>
      <c r="D125" s="121" t="s">
        <v>82</v>
      </c>
      <c r="E125" s="121" t="s">
        <v>83</v>
      </c>
      <c r="F125" s="121" t="s">
        <v>84</v>
      </c>
      <c r="G125" s="121" t="s">
        <v>85</v>
      </c>
      <c r="H125" s="122" t="s">
        <v>107</v>
      </c>
      <c r="I125" s="121" t="s">
        <v>116</v>
      </c>
      <c r="J125" s="122">
        <v>2023</v>
      </c>
      <c r="K125" s="123" t="s">
        <v>88</v>
      </c>
      <c r="L125" s="122" t="s">
        <v>86</v>
      </c>
      <c r="M125" s="122" t="s">
        <v>104</v>
      </c>
      <c r="N125" s="122" t="s">
        <v>105</v>
      </c>
      <c r="O125" s="122" t="s">
        <v>122</v>
      </c>
      <c r="P125" s="122" t="s">
        <v>124</v>
      </c>
      <c r="Q125" s="112">
        <v>10390</v>
      </c>
      <c r="R125" s="112">
        <v>17125</v>
      </c>
      <c r="S125" s="112">
        <v>27515</v>
      </c>
      <c r="T125" s="121" t="s">
        <v>148</v>
      </c>
      <c r="U125" s="141">
        <v>5.12</v>
      </c>
      <c r="V125" s="121" t="s">
        <v>45</v>
      </c>
      <c r="W125" s="122" t="s">
        <v>11</v>
      </c>
      <c r="X125" s="112">
        <v>336504</v>
      </c>
      <c r="Y125" s="112">
        <v>465846</v>
      </c>
      <c r="Z125" s="139">
        <f t="shared" si="8"/>
        <v>802350</v>
      </c>
      <c r="AA125" s="140">
        <f t="shared" si="10"/>
        <v>32.387295476419631</v>
      </c>
      <c r="AB125" s="140">
        <f t="shared" si="11"/>
        <v>27.202686131386862</v>
      </c>
      <c r="AC125" s="140">
        <f t="shared" si="12"/>
        <v>29.160457932037069</v>
      </c>
      <c r="AD125" s="176" t="s">
        <v>157</v>
      </c>
      <c r="AE125" s="125"/>
      <c r="AF125" s="125"/>
      <c r="AG125" s="125"/>
      <c r="AH125" s="125"/>
      <c r="AI125" s="125"/>
      <c r="AJ125" s="125"/>
      <c r="AK125" s="125"/>
      <c r="AL125" s="125"/>
      <c r="AM125" s="125"/>
    </row>
    <row r="126" spans="1:39" s="124" customFormat="1" ht="21" customHeight="1" x14ac:dyDescent="0.2">
      <c r="A126" s="124" t="str">
        <f t="shared" si="7"/>
        <v>Citywalk Phase 5.03</v>
      </c>
      <c r="B126" s="120" t="str">
        <f t="shared" si="9"/>
        <v>Citywalk Phase 5.03 - Electrical</v>
      </c>
      <c r="C126" s="120"/>
      <c r="D126" s="121" t="s">
        <v>82</v>
      </c>
      <c r="E126" s="121" t="s">
        <v>83</v>
      </c>
      <c r="F126" s="121" t="s">
        <v>84</v>
      </c>
      <c r="G126" s="121" t="s">
        <v>85</v>
      </c>
      <c r="H126" s="122" t="s">
        <v>107</v>
      </c>
      <c r="I126" s="121" t="s">
        <v>116</v>
      </c>
      <c r="J126" s="122">
        <v>2023</v>
      </c>
      <c r="K126" s="123" t="s">
        <v>88</v>
      </c>
      <c r="L126" s="122" t="s">
        <v>86</v>
      </c>
      <c r="M126" s="122" t="s">
        <v>104</v>
      </c>
      <c r="N126" s="122" t="s">
        <v>105</v>
      </c>
      <c r="O126" s="122" t="s">
        <v>122</v>
      </c>
      <c r="P126" s="122" t="s">
        <v>124</v>
      </c>
      <c r="Q126" s="112">
        <v>10390</v>
      </c>
      <c r="R126" s="112">
        <v>17125</v>
      </c>
      <c r="S126" s="112">
        <v>27515</v>
      </c>
      <c r="T126" s="121" t="s">
        <v>148</v>
      </c>
      <c r="U126" s="141">
        <v>5.12</v>
      </c>
      <c r="V126" s="121" t="s">
        <v>46</v>
      </c>
      <c r="W126" s="122" t="s">
        <v>11</v>
      </c>
      <c r="X126" s="112">
        <v>430229</v>
      </c>
      <c r="Y126" s="112">
        <v>119388</v>
      </c>
      <c r="Z126" s="139">
        <f t="shared" si="8"/>
        <v>549617</v>
      </c>
      <c r="AA126" s="140">
        <f t="shared" si="10"/>
        <v>41.407988450433109</v>
      </c>
      <c r="AB126" s="140">
        <f t="shared" si="11"/>
        <v>6.9715620437956201</v>
      </c>
      <c r="AC126" s="140">
        <f t="shared" si="12"/>
        <v>19.975177176085772</v>
      </c>
      <c r="AD126" s="176" t="s">
        <v>157</v>
      </c>
      <c r="AE126" s="125"/>
      <c r="AF126" s="125"/>
      <c r="AG126" s="125"/>
      <c r="AH126" s="125"/>
      <c r="AI126" s="125"/>
      <c r="AJ126" s="125"/>
      <c r="AK126" s="125"/>
      <c r="AL126" s="125"/>
      <c r="AM126" s="125"/>
    </row>
    <row r="127" spans="1:39" s="124" customFormat="1" ht="21" customHeight="1" x14ac:dyDescent="0.2">
      <c r="A127" s="124" t="str">
        <f t="shared" ref="A127:A187" si="13">I127</f>
        <v>Citywalk Phase 5.03</v>
      </c>
      <c r="B127" s="120" t="str">
        <f t="shared" si="9"/>
        <v>Citywalk Phase 5.03 - Electrical</v>
      </c>
      <c r="C127" s="120"/>
      <c r="D127" s="121" t="s">
        <v>82</v>
      </c>
      <c r="E127" s="121" t="s">
        <v>83</v>
      </c>
      <c r="F127" s="121" t="s">
        <v>84</v>
      </c>
      <c r="G127" s="121" t="s">
        <v>85</v>
      </c>
      <c r="H127" s="122" t="s">
        <v>107</v>
      </c>
      <c r="I127" s="121" t="s">
        <v>116</v>
      </c>
      <c r="J127" s="122">
        <v>2023</v>
      </c>
      <c r="K127" s="123" t="s">
        <v>88</v>
      </c>
      <c r="L127" s="122" t="s">
        <v>86</v>
      </c>
      <c r="M127" s="122" t="s">
        <v>104</v>
      </c>
      <c r="N127" s="122" t="s">
        <v>105</v>
      </c>
      <c r="O127" s="122" t="s">
        <v>122</v>
      </c>
      <c r="P127" s="122" t="s">
        <v>124</v>
      </c>
      <c r="Q127" s="112">
        <v>10390</v>
      </c>
      <c r="R127" s="112">
        <v>17125</v>
      </c>
      <c r="S127" s="112">
        <v>27515</v>
      </c>
      <c r="T127" s="121" t="s">
        <v>148</v>
      </c>
      <c r="U127" s="141">
        <v>5.12</v>
      </c>
      <c r="V127" s="121" t="s">
        <v>47</v>
      </c>
      <c r="W127" s="122" t="s">
        <v>11</v>
      </c>
      <c r="X127" s="112">
        <v>47346</v>
      </c>
      <c r="Y127" s="112">
        <v>160705</v>
      </c>
      <c r="Z127" s="139">
        <f t="shared" ref="Z127:Z187" si="14">SUM(X127:Y127)</f>
        <v>208051</v>
      </c>
      <c r="AA127" s="140">
        <f t="shared" si="10"/>
        <v>4.5568816169393651</v>
      </c>
      <c r="AB127" s="140">
        <f t="shared" si="11"/>
        <v>9.3842335766423357</v>
      </c>
      <c r="AC127" s="140">
        <f t="shared" si="12"/>
        <v>7.5613665273487189</v>
      </c>
      <c r="AD127" s="176" t="s">
        <v>157</v>
      </c>
      <c r="AE127" s="125"/>
      <c r="AF127" s="125"/>
      <c r="AG127" s="125"/>
      <c r="AH127" s="125"/>
      <c r="AI127" s="125"/>
      <c r="AJ127" s="125"/>
      <c r="AK127" s="125"/>
      <c r="AL127" s="125"/>
      <c r="AM127" s="125"/>
    </row>
    <row r="128" spans="1:39" s="124" customFormat="1" ht="21" customHeight="1" x14ac:dyDescent="0.2">
      <c r="A128" s="124" t="str">
        <f t="shared" si="13"/>
        <v>Citywalk Phase 5.03</v>
      </c>
      <c r="B128" s="120" t="str">
        <f t="shared" ref="B128:B188" si="15">CONCATENATE(I128, " - ",T128)</f>
        <v>Citywalk Phase 5.03 - Electrical</v>
      </c>
      <c r="C128" s="120"/>
      <c r="D128" s="121" t="s">
        <v>82</v>
      </c>
      <c r="E128" s="121" t="s">
        <v>83</v>
      </c>
      <c r="F128" s="121" t="s">
        <v>84</v>
      </c>
      <c r="G128" s="121" t="s">
        <v>85</v>
      </c>
      <c r="H128" s="122" t="s">
        <v>107</v>
      </c>
      <c r="I128" s="121" t="s">
        <v>116</v>
      </c>
      <c r="J128" s="122">
        <v>2023</v>
      </c>
      <c r="K128" s="123" t="s">
        <v>88</v>
      </c>
      <c r="L128" s="122" t="s">
        <v>86</v>
      </c>
      <c r="M128" s="122" t="s">
        <v>104</v>
      </c>
      <c r="N128" s="122" t="s">
        <v>105</v>
      </c>
      <c r="O128" s="122" t="s">
        <v>122</v>
      </c>
      <c r="P128" s="122" t="s">
        <v>124</v>
      </c>
      <c r="Q128" s="112">
        <v>10390</v>
      </c>
      <c r="R128" s="112">
        <v>17125</v>
      </c>
      <c r="S128" s="112">
        <v>27515</v>
      </c>
      <c r="T128" s="121" t="s">
        <v>148</v>
      </c>
      <c r="U128" s="141">
        <v>5.12</v>
      </c>
      <c r="V128" s="121" t="s">
        <v>48</v>
      </c>
      <c r="W128" s="122" t="s">
        <v>11</v>
      </c>
      <c r="X128" s="112">
        <v>0</v>
      </c>
      <c r="Y128" s="112">
        <v>110474</v>
      </c>
      <c r="Z128" s="139">
        <f t="shared" si="14"/>
        <v>110474</v>
      </c>
      <c r="AA128" s="140">
        <f t="shared" si="10"/>
        <v>0</v>
      </c>
      <c r="AB128" s="140">
        <f t="shared" si="11"/>
        <v>6.4510364963503646</v>
      </c>
      <c r="AC128" s="140">
        <f t="shared" si="12"/>
        <v>4.0150463383608939</v>
      </c>
      <c r="AD128" s="176" t="s">
        <v>157</v>
      </c>
      <c r="AE128" s="125"/>
      <c r="AF128" s="125"/>
      <c r="AG128" s="125"/>
      <c r="AH128" s="125"/>
      <c r="AI128" s="125"/>
      <c r="AJ128" s="125"/>
      <c r="AK128" s="125"/>
      <c r="AL128" s="125"/>
      <c r="AM128" s="125"/>
    </row>
    <row r="129" spans="1:39" s="124" customFormat="1" ht="21" customHeight="1" x14ac:dyDescent="0.2">
      <c r="A129" s="124" t="str">
        <f t="shared" si="13"/>
        <v>Citywalk Phase 5.03</v>
      </c>
      <c r="B129" s="120" t="str">
        <f t="shared" si="15"/>
        <v>Citywalk Phase 5.03 - Electrical</v>
      </c>
      <c r="C129" s="120"/>
      <c r="D129" s="121" t="s">
        <v>82</v>
      </c>
      <c r="E129" s="121" t="s">
        <v>83</v>
      </c>
      <c r="F129" s="121" t="s">
        <v>84</v>
      </c>
      <c r="G129" s="121" t="s">
        <v>85</v>
      </c>
      <c r="H129" s="122" t="s">
        <v>107</v>
      </c>
      <c r="I129" s="121" t="s">
        <v>116</v>
      </c>
      <c r="J129" s="122">
        <v>2023</v>
      </c>
      <c r="K129" s="123" t="s">
        <v>88</v>
      </c>
      <c r="L129" s="122" t="s">
        <v>86</v>
      </c>
      <c r="M129" s="122" t="s">
        <v>104</v>
      </c>
      <c r="N129" s="122" t="s">
        <v>105</v>
      </c>
      <c r="O129" s="122" t="s">
        <v>122</v>
      </c>
      <c r="P129" s="122" t="s">
        <v>124</v>
      </c>
      <c r="Q129" s="112">
        <v>10390</v>
      </c>
      <c r="R129" s="112">
        <v>17125</v>
      </c>
      <c r="S129" s="112">
        <v>27515</v>
      </c>
      <c r="T129" s="121" t="s">
        <v>148</v>
      </c>
      <c r="U129" s="141">
        <v>5.12</v>
      </c>
      <c r="V129" s="121" t="s">
        <v>49</v>
      </c>
      <c r="W129" s="122" t="s">
        <v>11</v>
      </c>
      <c r="X129" s="112">
        <v>12786</v>
      </c>
      <c r="Y129" s="112">
        <v>0</v>
      </c>
      <c r="Z129" s="139">
        <f t="shared" si="14"/>
        <v>12786</v>
      </c>
      <c r="AA129" s="140">
        <f t="shared" si="10"/>
        <v>1.2306063522617903</v>
      </c>
      <c r="AB129" s="140">
        <f t="shared" si="11"/>
        <v>0</v>
      </c>
      <c r="AC129" s="140">
        <f t="shared" si="12"/>
        <v>0.46469198618935126</v>
      </c>
      <c r="AD129" s="176" t="s">
        <v>157</v>
      </c>
      <c r="AE129" s="125"/>
      <c r="AF129" s="125"/>
      <c r="AG129" s="125"/>
      <c r="AH129" s="125"/>
      <c r="AI129" s="125"/>
      <c r="AJ129" s="125"/>
      <c r="AK129" s="125"/>
      <c r="AL129" s="125"/>
      <c r="AM129" s="125"/>
    </row>
    <row r="130" spans="1:39" s="124" customFormat="1" ht="21" customHeight="1" x14ac:dyDescent="0.2">
      <c r="A130" s="124" t="str">
        <f t="shared" si="13"/>
        <v>Citywalk Phase 5.03</v>
      </c>
      <c r="B130" s="120" t="str">
        <f t="shared" si="15"/>
        <v>Citywalk Phase 5.03 - Electrical</v>
      </c>
      <c r="C130" s="120"/>
      <c r="D130" s="121" t="s">
        <v>82</v>
      </c>
      <c r="E130" s="121" t="s">
        <v>83</v>
      </c>
      <c r="F130" s="121" t="s">
        <v>84</v>
      </c>
      <c r="G130" s="121" t="s">
        <v>85</v>
      </c>
      <c r="H130" s="122" t="s">
        <v>107</v>
      </c>
      <c r="I130" s="121" t="s">
        <v>116</v>
      </c>
      <c r="J130" s="122">
        <v>2023</v>
      </c>
      <c r="K130" s="123" t="s">
        <v>88</v>
      </c>
      <c r="L130" s="122" t="s">
        <v>86</v>
      </c>
      <c r="M130" s="122" t="s">
        <v>104</v>
      </c>
      <c r="N130" s="122" t="s">
        <v>105</v>
      </c>
      <c r="O130" s="122" t="s">
        <v>122</v>
      </c>
      <c r="P130" s="122" t="s">
        <v>124</v>
      </c>
      <c r="Q130" s="112">
        <v>10390</v>
      </c>
      <c r="R130" s="112">
        <v>17125</v>
      </c>
      <c r="S130" s="112">
        <v>27515</v>
      </c>
      <c r="T130" s="121" t="s">
        <v>148</v>
      </c>
      <c r="U130" s="141">
        <v>5.12</v>
      </c>
      <c r="V130" s="121" t="s">
        <v>50</v>
      </c>
      <c r="W130" s="122" t="s">
        <v>11</v>
      </c>
      <c r="X130" s="112">
        <v>54510</v>
      </c>
      <c r="Y130" s="112">
        <v>1374</v>
      </c>
      <c r="Z130" s="139">
        <f t="shared" si="14"/>
        <v>55884</v>
      </c>
      <c r="AA130" s="140">
        <f t="shared" si="10"/>
        <v>5.246390760346487</v>
      </c>
      <c r="AB130" s="140">
        <f t="shared" si="11"/>
        <v>8.0233576642335769E-2</v>
      </c>
      <c r="AC130" s="140">
        <f t="shared" si="12"/>
        <v>2.0310376158459023</v>
      </c>
      <c r="AD130" s="176" t="s">
        <v>157</v>
      </c>
      <c r="AE130" s="125"/>
      <c r="AF130" s="125"/>
      <c r="AG130" s="125"/>
      <c r="AH130" s="125"/>
      <c r="AI130" s="125"/>
      <c r="AJ130" s="125"/>
      <c r="AK130" s="125"/>
      <c r="AL130" s="125"/>
      <c r="AM130" s="125"/>
    </row>
    <row r="131" spans="1:39" s="124" customFormat="1" ht="21" customHeight="1" x14ac:dyDescent="0.2">
      <c r="A131" s="124" t="str">
        <f t="shared" si="13"/>
        <v>Citywalk Phase 5.03</v>
      </c>
      <c r="B131" s="120" t="str">
        <f t="shared" si="15"/>
        <v>Citywalk Phase 5.03 - Electrical</v>
      </c>
      <c r="C131" s="120"/>
      <c r="D131" s="121" t="s">
        <v>82</v>
      </c>
      <c r="E131" s="121" t="s">
        <v>83</v>
      </c>
      <c r="F131" s="121" t="s">
        <v>84</v>
      </c>
      <c r="G131" s="121" t="s">
        <v>85</v>
      </c>
      <c r="H131" s="122" t="s">
        <v>107</v>
      </c>
      <c r="I131" s="121" t="s">
        <v>116</v>
      </c>
      <c r="J131" s="122">
        <v>2023</v>
      </c>
      <c r="K131" s="123" t="s">
        <v>88</v>
      </c>
      <c r="L131" s="122" t="s">
        <v>86</v>
      </c>
      <c r="M131" s="122" t="s">
        <v>104</v>
      </c>
      <c r="N131" s="122" t="s">
        <v>105</v>
      </c>
      <c r="O131" s="122" t="s">
        <v>122</v>
      </c>
      <c r="P131" s="122" t="s">
        <v>124</v>
      </c>
      <c r="Q131" s="112">
        <v>10390</v>
      </c>
      <c r="R131" s="112">
        <v>17125</v>
      </c>
      <c r="S131" s="112">
        <v>27515</v>
      </c>
      <c r="T131" s="121" t="s">
        <v>148</v>
      </c>
      <c r="U131" s="141">
        <v>5.12</v>
      </c>
      <c r="V131" s="121" t="s">
        <v>51</v>
      </c>
      <c r="W131" s="122" t="s">
        <v>11</v>
      </c>
      <c r="X131" s="112">
        <v>522940</v>
      </c>
      <c r="Y131" s="112">
        <v>659207</v>
      </c>
      <c r="Z131" s="139">
        <f t="shared" si="14"/>
        <v>1182147</v>
      </c>
      <c r="AA131" s="140">
        <f t="shared" si="10"/>
        <v>50.331087584215595</v>
      </c>
      <c r="AB131" s="140">
        <f t="shared" si="11"/>
        <v>38.493839416058393</v>
      </c>
      <c r="AC131" s="140">
        <f t="shared" si="12"/>
        <v>42.963728875159006</v>
      </c>
      <c r="AD131" s="176" t="s">
        <v>157</v>
      </c>
      <c r="AE131" s="125"/>
      <c r="AF131" s="125"/>
      <c r="AG131" s="125"/>
      <c r="AH131" s="125"/>
      <c r="AI131" s="125"/>
      <c r="AJ131" s="125"/>
      <c r="AK131" s="125"/>
      <c r="AL131" s="125"/>
      <c r="AM131" s="125"/>
    </row>
    <row r="132" spans="1:39" s="124" customFormat="1" ht="21" customHeight="1" x14ac:dyDescent="0.2">
      <c r="A132" s="124" t="str">
        <f t="shared" si="13"/>
        <v>Citywalk Phase 5.03</v>
      </c>
      <c r="B132" s="120" t="str">
        <f t="shared" si="15"/>
        <v>Citywalk Phase 5.03 - Electrical</v>
      </c>
      <c r="C132" s="120"/>
      <c r="D132" s="121" t="s">
        <v>82</v>
      </c>
      <c r="E132" s="121" t="s">
        <v>83</v>
      </c>
      <c r="F132" s="121" t="s">
        <v>84</v>
      </c>
      <c r="G132" s="121" t="s">
        <v>85</v>
      </c>
      <c r="H132" s="122" t="s">
        <v>107</v>
      </c>
      <c r="I132" s="121" t="s">
        <v>116</v>
      </c>
      <c r="J132" s="122">
        <v>2023</v>
      </c>
      <c r="K132" s="123" t="s">
        <v>88</v>
      </c>
      <c r="L132" s="122" t="s">
        <v>86</v>
      </c>
      <c r="M132" s="122" t="s">
        <v>104</v>
      </c>
      <c r="N132" s="122" t="s">
        <v>105</v>
      </c>
      <c r="O132" s="122" t="s">
        <v>122</v>
      </c>
      <c r="P132" s="122" t="s">
        <v>124</v>
      </c>
      <c r="Q132" s="112">
        <v>10390</v>
      </c>
      <c r="R132" s="112">
        <v>17125</v>
      </c>
      <c r="S132" s="112">
        <v>27515</v>
      </c>
      <c r="T132" s="121" t="s">
        <v>148</v>
      </c>
      <c r="U132" s="142" t="s">
        <v>53</v>
      </c>
      <c r="V132" s="121" t="s">
        <v>27</v>
      </c>
      <c r="W132" s="122" t="s">
        <v>11</v>
      </c>
      <c r="X132" s="112">
        <v>86251.68</v>
      </c>
      <c r="Y132" s="112">
        <v>372090</v>
      </c>
      <c r="Z132" s="139">
        <f t="shared" si="14"/>
        <v>458341.68</v>
      </c>
      <c r="AA132" s="140">
        <f t="shared" ref="AA132:AA195" si="16">X132/Q132</f>
        <v>8.3014128970163608</v>
      </c>
      <c r="AB132" s="140">
        <f t="shared" ref="AB132:AB195" si="17">Y132/R132</f>
        <v>21.727883211678833</v>
      </c>
      <c r="AC132" s="140">
        <f t="shared" ref="AC132:AC195" si="18">Z132/S132</f>
        <v>16.657884063238232</v>
      </c>
      <c r="AD132" s="176" t="s">
        <v>157</v>
      </c>
      <c r="AE132" s="125"/>
      <c r="AF132" s="125"/>
      <c r="AG132" s="125"/>
      <c r="AH132" s="125"/>
      <c r="AI132" s="125"/>
      <c r="AJ132" s="125"/>
      <c r="AK132" s="125"/>
      <c r="AL132" s="125"/>
      <c r="AM132" s="125"/>
    </row>
    <row r="133" spans="1:39" s="146" customFormat="1" ht="21" customHeight="1" x14ac:dyDescent="0.2">
      <c r="A133" s="146" t="str">
        <f t="shared" si="13"/>
        <v>Citywalk Phase 5.02</v>
      </c>
      <c r="B133" s="147" t="str">
        <f t="shared" si="15"/>
        <v>Citywalk Phase 5.02 - Mechanical</v>
      </c>
      <c r="C133" s="147"/>
      <c r="D133" s="148" t="s">
        <v>82</v>
      </c>
      <c r="E133" s="148" t="s">
        <v>83</v>
      </c>
      <c r="F133" s="148" t="s">
        <v>84</v>
      </c>
      <c r="G133" s="148" t="s">
        <v>85</v>
      </c>
      <c r="H133" s="149" t="s">
        <v>106</v>
      </c>
      <c r="I133" s="148" t="s">
        <v>117</v>
      </c>
      <c r="J133" s="149">
        <v>2023</v>
      </c>
      <c r="K133" s="150" t="s">
        <v>87</v>
      </c>
      <c r="L133" s="149" t="s">
        <v>86</v>
      </c>
      <c r="M133" s="149" t="s">
        <v>104</v>
      </c>
      <c r="N133" s="149" t="s">
        <v>105</v>
      </c>
      <c r="O133" s="149" t="s">
        <v>123</v>
      </c>
      <c r="P133" s="149" t="s">
        <v>124</v>
      </c>
      <c r="Q133" s="151">
        <v>11393</v>
      </c>
      <c r="R133" s="151">
        <v>28819</v>
      </c>
      <c r="S133" s="151">
        <v>40212</v>
      </c>
      <c r="T133" s="148" t="s">
        <v>127</v>
      </c>
      <c r="U133" s="154">
        <v>5.3</v>
      </c>
      <c r="V133" s="148" t="s">
        <v>14</v>
      </c>
      <c r="W133" s="149" t="s">
        <v>11</v>
      </c>
      <c r="X133" s="151">
        <v>842782</v>
      </c>
      <c r="Y133" s="151">
        <v>2791282</v>
      </c>
      <c r="Z133" s="152">
        <f t="shared" si="14"/>
        <v>3634064</v>
      </c>
      <c r="AA133" s="153">
        <f t="shared" si="16"/>
        <v>73.973668041780044</v>
      </c>
      <c r="AB133" s="153">
        <f t="shared" si="17"/>
        <v>96.85561608660953</v>
      </c>
      <c r="AC133" s="153">
        <f t="shared" si="18"/>
        <v>90.372625087038699</v>
      </c>
      <c r="AD133" s="175" t="s">
        <v>157</v>
      </c>
    </row>
    <row r="134" spans="1:39" s="146" customFormat="1" ht="21" customHeight="1" x14ac:dyDescent="0.2">
      <c r="A134" s="146" t="str">
        <f t="shared" si="13"/>
        <v>Citywalk Phase 5.02</v>
      </c>
      <c r="B134" s="147" t="str">
        <f t="shared" si="15"/>
        <v>Citywalk Phase 5.02 - Mechanical</v>
      </c>
      <c r="C134" s="147"/>
      <c r="D134" s="148" t="s">
        <v>82</v>
      </c>
      <c r="E134" s="148" t="s">
        <v>83</v>
      </c>
      <c r="F134" s="148" t="s">
        <v>84</v>
      </c>
      <c r="G134" s="148" t="s">
        <v>85</v>
      </c>
      <c r="H134" s="149" t="s">
        <v>106</v>
      </c>
      <c r="I134" s="148" t="s">
        <v>117</v>
      </c>
      <c r="J134" s="149">
        <v>2023</v>
      </c>
      <c r="K134" s="150" t="s">
        <v>87</v>
      </c>
      <c r="L134" s="149" t="s">
        <v>86</v>
      </c>
      <c r="M134" s="149" t="s">
        <v>104</v>
      </c>
      <c r="N134" s="149" t="s">
        <v>105</v>
      </c>
      <c r="O134" s="149" t="s">
        <v>123</v>
      </c>
      <c r="P134" s="149" t="s">
        <v>124</v>
      </c>
      <c r="Q134" s="151">
        <v>11393</v>
      </c>
      <c r="R134" s="151">
        <v>28819</v>
      </c>
      <c r="S134" s="151">
        <v>40212</v>
      </c>
      <c r="T134" s="148" t="s">
        <v>127</v>
      </c>
      <c r="U134" s="154">
        <v>5.3</v>
      </c>
      <c r="V134" s="148" t="s">
        <v>15</v>
      </c>
      <c r="W134" s="149" t="s">
        <v>11</v>
      </c>
      <c r="X134" s="151">
        <v>52324</v>
      </c>
      <c r="Y134" s="151">
        <v>0</v>
      </c>
      <c r="Z134" s="152">
        <f t="shared" si="14"/>
        <v>52324</v>
      </c>
      <c r="AA134" s="153">
        <f t="shared" si="16"/>
        <v>4.5926446063372248</v>
      </c>
      <c r="AB134" s="153">
        <f t="shared" si="17"/>
        <v>0</v>
      </c>
      <c r="AC134" s="153">
        <f t="shared" si="18"/>
        <v>1.3012036208097086</v>
      </c>
      <c r="AD134" s="175" t="s">
        <v>157</v>
      </c>
    </row>
    <row r="135" spans="1:39" s="146" customFormat="1" ht="21" customHeight="1" x14ac:dyDescent="0.2">
      <c r="A135" s="146" t="str">
        <f t="shared" si="13"/>
        <v>Citywalk Phase 5.02</v>
      </c>
      <c r="B135" s="147" t="str">
        <f t="shared" si="15"/>
        <v>Citywalk Phase 5.02 - Mechanical</v>
      </c>
      <c r="C135" s="147"/>
      <c r="D135" s="148" t="s">
        <v>82</v>
      </c>
      <c r="E135" s="148" t="s">
        <v>83</v>
      </c>
      <c r="F135" s="148" t="s">
        <v>84</v>
      </c>
      <c r="G135" s="148" t="s">
        <v>85</v>
      </c>
      <c r="H135" s="149" t="s">
        <v>106</v>
      </c>
      <c r="I135" s="148" t="s">
        <v>117</v>
      </c>
      <c r="J135" s="149">
        <v>2023</v>
      </c>
      <c r="K135" s="150" t="s">
        <v>87</v>
      </c>
      <c r="L135" s="149" t="s">
        <v>86</v>
      </c>
      <c r="M135" s="149" t="s">
        <v>104</v>
      </c>
      <c r="N135" s="149" t="s">
        <v>105</v>
      </c>
      <c r="O135" s="149" t="s">
        <v>123</v>
      </c>
      <c r="P135" s="149" t="s">
        <v>124</v>
      </c>
      <c r="Q135" s="151">
        <v>11393</v>
      </c>
      <c r="R135" s="151">
        <v>28819</v>
      </c>
      <c r="S135" s="151">
        <v>40212</v>
      </c>
      <c r="T135" s="148" t="s">
        <v>127</v>
      </c>
      <c r="U135" s="154">
        <v>5.4</v>
      </c>
      <c r="V135" s="148" t="s">
        <v>16</v>
      </c>
      <c r="W135" s="149" t="s">
        <v>11</v>
      </c>
      <c r="X135" s="151">
        <v>154514</v>
      </c>
      <c r="Y135" s="151">
        <v>2534257</v>
      </c>
      <c r="Z135" s="152">
        <f t="shared" si="14"/>
        <v>2688771</v>
      </c>
      <c r="AA135" s="153">
        <f t="shared" si="16"/>
        <v>13.562187307996139</v>
      </c>
      <c r="AB135" s="153">
        <f t="shared" si="17"/>
        <v>87.937020715500196</v>
      </c>
      <c r="AC135" s="153">
        <f t="shared" si="18"/>
        <v>66.864891077290366</v>
      </c>
      <c r="AD135" s="175" t="s">
        <v>157</v>
      </c>
    </row>
    <row r="136" spans="1:39" s="146" customFormat="1" ht="21" customHeight="1" x14ac:dyDescent="0.2">
      <c r="A136" s="146" t="str">
        <f t="shared" si="13"/>
        <v>Citywalk Phase 5.02</v>
      </c>
      <c r="B136" s="147" t="str">
        <f t="shared" si="15"/>
        <v>Citywalk Phase 5.02 - Mechanical</v>
      </c>
      <c r="C136" s="147"/>
      <c r="D136" s="148" t="s">
        <v>82</v>
      </c>
      <c r="E136" s="148" t="s">
        <v>83</v>
      </c>
      <c r="F136" s="148" t="s">
        <v>84</v>
      </c>
      <c r="G136" s="148" t="s">
        <v>85</v>
      </c>
      <c r="H136" s="149" t="s">
        <v>106</v>
      </c>
      <c r="I136" s="148" t="s">
        <v>117</v>
      </c>
      <c r="J136" s="149">
        <v>2023</v>
      </c>
      <c r="K136" s="150" t="s">
        <v>87</v>
      </c>
      <c r="L136" s="149" t="s">
        <v>86</v>
      </c>
      <c r="M136" s="149" t="s">
        <v>104</v>
      </c>
      <c r="N136" s="149" t="s">
        <v>105</v>
      </c>
      <c r="O136" s="149" t="s">
        <v>123</v>
      </c>
      <c r="P136" s="149" t="s">
        <v>124</v>
      </c>
      <c r="Q136" s="151">
        <v>11393</v>
      </c>
      <c r="R136" s="151">
        <v>28819</v>
      </c>
      <c r="S136" s="151">
        <v>40212</v>
      </c>
      <c r="T136" s="148" t="s">
        <v>127</v>
      </c>
      <c r="U136" s="154">
        <v>5.4</v>
      </c>
      <c r="V136" s="148" t="s">
        <v>17</v>
      </c>
      <c r="W136" s="149" t="s">
        <v>11</v>
      </c>
      <c r="X136" s="151">
        <v>171225</v>
      </c>
      <c r="Y136" s="151">
        <v>813861</v>
      </c>
      <c r="Z136" s="152">
        <f t="shared" si="14"/>
        <v>985086</v>
      </c>
      <c r="AA136" s="153">
        <f t="shared" si="16"/>
        <v>15.028965154041956</v>
      </c>
      <c r="AB136" s="153">
        <f t="shared" si="17"/>
        <v>28.240431659668968</v>
      </c>
      <c r="AC136" s="153">
        <f t="shared" si="18"/>
        <v>24.49731423455685</v>
      </c>
      <c r="AD136" s="175" t="s">
        <v>157</v>
      </c>
    </row>
    <row r="137" spans="1:39" s="146" customFormat="1" ht="21" customHeight="1" x14ac:dyDescent="0.2">
      <c r="A137" s="146" t="str">
        <f t="shared" si="13"/>
        <v>Citywalk Phase 5.02</v>
      </c>
      <c r="B137" s="147" t="str">
        <f t="shared" si="15"/>
        <v>Citywalk Phase 5.02 - Mechanical</v>
      </c>
      <c r="C137" s="147"/>
      <c r="D137" s="148" t="s">
        <v>82</v>
      </c>
      <c r="E137" s="148" t="s">
        <v>83</v>
      </c>
      <c r="F137" s="148" t="s">
        <v>84</v>
      </c>
      <c r="G137" s="148" t="s">
        <v>85</v>
      </c>
      <c r="H137" s="149" t="s">
        <v>106</v>
      </c>
      <c r="I137" s="148" t="s">
        <v>117</v>
      </c>
      <c r="J137" s="149">
        <v>2023</v>
      </c>
      <c r="K137" s="150" t="s">
        <v>87</v>
      </c>
      <c r="L137" s="149" t="s">
        <v>86</v>
      </c>
      <c r="M137" s="149" t="s">
        <v>104</v>
      </c>
      <c r="N137" s="149" t="s">
        <v>105</v>
      </c>
      <c r="O137" s="149" t="s">
        <v>123</v>
      </c>
      <c r="P137" s="149" t="s">
        <v>124</v>
      </c>
      <c r="Q137" s="151">
        <v>11393</v>
      </c>
      <c r="R137" s="151">
        <v>28819</v>
      </c>
      <c r="S137" s="151">
        <v>40212</v>
      </c>
      <c r="T137" s="148" t="s">
        <v>127</v>
      </c>
      <c r="U137" s="154" t="s">
        <v>28</v>
      </c>
      <c r="V137" s="148" t="s">
        <v>18</v>
      </c>
      <c r="W137" s="149" t="s">
        <v>11</v>
      </c>
      <c r="X137" s="151">
        <v>1535311</v>
      </c>
      <c r="Y137" s="151">
        <v>2719380</v>
      </c>
      <c r="Z137" s="152">
        <f t="shared" si="14"/>
        <v>4254691</v>
      </c>
      <c r="AA137" s="153">
        <f t="shared" si="16"/>
        <v>134.75915035548144</v>
      </c>
      <c r="AB137" s="153">
        <f t="shared" si="17"/>
        <v>94.360664839168606</v>
      </c>
      <c r="AC137" s="153">
        <f t="shared" si="18"/>
        <v>105.80650054710037</v>
      </c>
      <c r="AD137" s="175" t="s">
        <v>157</v>
      </c>
    </row>
    <row r="138" spans="1:39" s="146" customFormat="1" ht="21" customHeight="1" x14ac:dyDescent="0.2">
      <c r="A138" s="146" t="str">
        <f t="shared" si="13"/>
        <v>Citywalk Phase 5.02</v>
      </c>
      <c r="B138" s="147" t="str">
        <f t="shared" si="15"/>
        <v>Citywalk Phase 5.02 - Mechanical</v>
      </c>
      <c r="C138" s="147"/>
      <c r="D138" s="148" t="s">
        <v>82</v>
      </c>
      <c r="E138" s="148" t="s">
        <v>83</v>
      </c>
      <c r="F138" s="148" t="s">
        <v>84</v>
      </c>
      <c r="G138" s="148" t="s">
        <v>85</v>
      </c>
      <c r="H138" s="149" t="s">
        <v>106</v>
      </c>
      <c r="I138" s="148" t="s">
        <v>117</v>
      </c>
      <c r="J138" s="149">
        <v>2023</v>
      </c>
      <c r="K138" s="150" t="s">
        <v>87</v>
      </c>
      <c r="L138" s="149" t="s">
        <v>86</v>
      </c>
      <c r="M138" s="149" t="s">
        <v>104</v>
      </c>
      <c r="N138" s="149" t="s">
        <v>105</v>
      </c>
      <c r="O138" s="149" t="s">
        <v>123</v>
      </c>
      <c r="P138" s="149" t="s">
        <v>124</v>
      </c>
      <c r="Q138" s="151">
        <v>11393</v>
      </c>
      <c r="R138" s="151">
        <v>28819</v>
      </c>
      <c r="S138" s="151">
        <v>40212</v>
      </c>
      <c r="T138" s="148" t="s">
        <v>127</v>
      </c>
      <c r="U138" s="154" t="s">
        <v>28</v>
      </c>
      <c r="V138" s="148" t="s">
        <v>19</v>
      </c>
      <c r="W138" s="149" t="s">
        <v>11</v>
      </c>
      <c r="X138" s="151">
        <v>727757</v>
      </c>
      <c r="Y138" s="151">
        <v>0</v>
      </c>
      <c r="Z138" s="152">
        <f t="shared" si="14"/>
        <v>727757</v>
      </c>
      <c r="AA138" s="153">
        <f t="shared" si="16"/>
        <v>63.877556394277185</v>
      </c>
      <c r="AB138" s="153">
        <f t="shared" si="17"/>
        <v>0</v>
      </c>
      <c r="AC138" s="153">
        <f t="shared" si="18"/>
        <v>18.098005570476474</v>
      </c>
      <c r="AD138" s="175" t="s">
        <v>157</v>
      </c>
    </row>
    <row r="139" spans="1:39" s="146" customFormat="1" ht="21" customHeight="1" x14ac:dyDescent="0.2">
      <c r="A139" s="146" t="str">
        <f t="shared" si="13"/>
        <v>Citywalk Phase 5.02</v>
      </c>
      <c r="B139" s="147" t="str">
        <f t="shared" si="15"/>
        <v>Citywalk Phase 5.02 - Mechanical</v>
      </c>
      <c r="C139" s="147"/>
      <c r="D139" s="148" t="s">
        <v>82</v>
      </c>
      <c r="E139" s="148" t="s">
        <v>83</v>
      </c>
      <c r="F139" s="148" t="s">
        <v>84</v>
      </c>
      <c r="G139" s="148" t="s">
        <v>85</v>
      </c>
      <c r="H139" s="149" t="s">
        <v>106</v>
      </c>
      <c r="I139" s="148" t="s">
        <v>117</v>
      </c>
      <c r="J139" s="149">
        <v>2023</v>
      </c>
      <c r="K139" s="150" t="s">
        <v>87</v>
      </c>
      <c r="L139" s="149" t="s">
        <v>86</v>
      </c>
      <c r="M139" s="149" t="s">
        <v>104</v>
      </c>
      <c r="N139" s="149" t="s">
        <v>105</v>
      </c>
      <c r="O139" s="149" t="s">
        <v>123</v>
      </c>
      <c r="P139" s="149" t="s">
        <v>124</v>
      </c>
      <c r="Q139" s="151">
        <v>11393</v>
      </c>
      <c r="R139" s="151">
        <v>28819</v>
      </c>
      <c r="S139" s="151">
        <v>40212</v>
      </c>
      <c r="T139" s="148" t="s">
        <v>127</v>
      </c>
      <c r="U139" s="154" t="s">
        <v>28</v>
      </c>
      <c r="V139" s="148" t="s">
        <v>20</v>
      </c>
      <c r="W139" s="149" t="s">
        <v>11</v>
      </c>
      <c r="X139" s="151">
        <v>946121</v>
      </c>
      <c r="Y139" s="151">
        <v>0</v>
      </c>
      <c r="Z139" s="152">
        <f t="shared" si="14"/>
        <v>946121</v>
      </c>
      <c r="AA139" s="153">
        <f t="shared" si="16"/>
        <v>83.044062143421399</v>
      </c>
      <c r="AB139" s="153">
        <f t="shared" si="17"/>
        <v>0</v>
      </c>
      <c r="AC139" s="153">
        <f t="shared" si="18"/>
        <v>23.528324878145828</v>
      </c>
      <c r="AD139" s="175" t="s">
        <v>157</v>
      </c>
    </row>
    <row r="140" spans="1:39" s="146" customFormat="1" ht="21" customHeight="1" x14ac:dyDescent="0.2">
      <c r="A140" s="146" t="str">
        <f t="shared" si="13"/>
        <v>Citywalk Phase 5.02</v>
      </c>
      <c r="B140" s="147" t="str">
        <f t="shared" si="15"/>
        <v>Citywalk Phase 5.02 - Mechanical</v>
      </c>
      <c r="C140" s="147"/>
      <c r="D140" s="148" t="s">
        <v>82</v>
      </c>
      <c r="E140" s="148" t="s">
        <v>83</v>
      </c>
      <c r="F140" s="148" t="s">
        <v>84</v>
      </c>
      <c r="G140" s="148" t="s">
        <v>85</v>
      </c>
      <c r="H140" s="149" t="s">
        <v>106</v>
      </c>
      <c r="I140" s="148" t="s">
        <v>117</v>
      </c>
      <c r="J140" s="149">
        <v>2023</v>
      </c>
      <c r="K140" s="150" t="s">
        <v>87</v>
      </c>
      <c r="L140" s="149" t="s">
        <v>86</v>
      </c>
      <c r="M140" s="149" t="s">
        <v>104</v>
      </c>
      <c r="N140" s="149" t="s">
        <v>105</v>
      </c>
      <c r="O140" s="149" t="s">
        <v>123</v>
      </c>
      <c r="P140" s="149" t="s">
        <v>124</v>
      </c>
      <c r="Q140" s="151">
        <v>11393</v>
      </c>
      <c r="R140" s="151">
        <v>28819</v>
      </c>
      <c r="S140" s="151">
        <v>40212</v>
      </c>
      <c r="T140" s="148" t="s">
        <v>127</v>
      </c>
      <c r="U140" s="154">
        <v>5.6</v>
      </c>
      <c r="V140" s="148" t="s">
        <v>21</v>
      </c>
      <c r="W140" s="149" t="s">
        <v>11</v>
      </c>
      <c r="X140" s="151">
        <v>146293</v>
      </c>
      <c r="Y140" s="151">
        <v>2068144</v>
      </c>
      <c r="Z140" s="152">
        <f t="shared" si="14"/>
        <v>2214437</v>
      </c>
      <c r="AA140" s="153">
        <f t="shared" si="16"/>
        <v>12.840603879575177</v>
      </c>
      <c r="AB140" s="153">
        <f t="shared" si="17"/>
        <v>71.763211770012845</v>
      </c>
      <c r="AC140" s="153">
        <f t="shared" si="18"/>
        <v>55.069058987366958</v>
      </c>
      <c r="AD140" s="175" t="s">
        <v>157</v>
      </c>
    </row>
    <row r="141" spans="1:39" s="146" customFormat="1" ht="21" customHeight="1" x14ac:dyDescent="0.2">
      <c r="A141" s="146" t="str">
        <f t="shared" si="13"/>
        <v>Citywalk Phase 5.02</v>
      </c>
      <c r="B141" s="147" t="str">
        <f t="shared" si="15"/>
        <v>Citywalk Phase 5.02 - Mechanical</v>
      </c>
      <c r="C141" s="147"/>
      <c r="D141" s="148" t="s">
        <v>82</v>
      </c>
      <c r="E141" s="148" t="s">
        <v>83</v>
      </c>
      <c r="F141" s="148" t="s">
        <v>84</v>
      </c>
      <c r="G141" s="148" t="s">
        <v>85</v>
      </c>
      <c r="H141" s="149" t="s">
        <v>106</v>
      </c>
      <c r="I141" s="148" t="s">
        <v>117</v>
      </c>
      <c r="J141" s="149">
        <v>2023</v>
      </c>
      <c r="K141" s="150" t="s">
        <v>87</v>
      </c>
      <c r="L141" s="149" t="s">
        <v>86</v>
      </c>
      <c r="M141" s="149" t="s">
        <v>104</v>
      </c>
      <c r="N141" s="149" t="s">
        <v>105</v>
      </c>
      <c r="O141" s="149" t="s">
        <v>123</v>
      </c>
      <c r="P141" s="149" t="s">
        <v>124</v>
      </c>
      <c r="Q141" s="151">
        <v>11393</v>
      </c>
      <c r="R141" s="151">
        <v>28819</v>
      </c>
      <c r="S141" s="151">
        <v>40212</v>
      </c>
      <c r="T141" s="148" t="s">
        <v>127</v>
      </c>
      <c r="U141" s="154">
        <v>5.6</v>
      </c>
      <c r="V141" s="148" t="s">
        <v>22</v>
      </c>
      <c r="W141" s="149" t="s">
        <v>11</v>
      </c>
      <c r="X141" s="151">
        <v>0</v>
      </c>
      <c r="Y141" s="151">
        <v>3201656</v>
      </c>
      <c r="Z141" s="152">
        <f t="shared" si="14"/>
        <v>3201656</v>
      </c>
      <c r="AA141" s="153">
        <f t="shared" si="16"/>
        <v>0</v>
      </c>
      <c r="AB141" s="153">
        <f t="shared" si="17"/>
        <v>111.09531906034213</v>
      </c>
      <c r="AC141" s="153">
        <f t="shared" si="18"/>
        <v>79.619417089426037</v>
      </c>
      <c r="AD141" s="175" t="s">
        <v>157</v>
      </c>
    </row>
    <row r="142" spans="1:39" s="146" customFormat="1" ht="21" customHeight="1" x14ac:dyDescent="0.2">
      <c r="A142" s="146" t="str">
        <f t="shared" si="13"/>
        <v>Citywalk Phase 5.02</v>
      </c>
      <c r="B142" s="147" t="str">
        <f t="shared" si="15"/>
        <v>Citywalk Phase 5.02 - Mechanical</v>
      </c>
      <c r="C142" s="147"/>
      <c r="D142" s="148" t="s">
        <v>82</v>
      </c>
      <c r="E142" s="148" t="s">
        <v>83</v>
      </c>
      <c r="F142" s="148" t="s">
        <v>84</v>
      </c>
      <c r="G142" s="148" t="s">
        <v>85</v>
      </c>
      <c r="H142" s="149" t="s">
        <v>106</v>
      </c>
      <c r="I142" s="148" t="s">
        <v>117</v>
      </c>
      <c r="J142" s="149">
        <v>2023</v>
      </c>
      <c r="K142" s="150" t="s">
        <v>87</v>
      </c>
      <c r="L142" s="149" t="s">
        <v>86</v>
      </c>
      <c r="M142" s="149" t="s">
        <v>104</v>
      </c>
      <c r="N142" s="149" t="s">
        <v>105</v>
      </c>
      <c r="O142" s="149" t="s">
        <v>123</v>
      </c>
      <c r="P142" s="149" t="s">
        <v>124</v>
      </c>
      <c r="Q142" s="151">
        <v>11393</v>
      </c>
      <c r="R142" s="151">
        <v>28819</v>
      </c>
      <c r="S142" s="151">
        <v>40212</v>
      </c>
      <c r="T142" s="148" t="s">
        <v>127</v>
      </c>
      <c r="U142" s="154">
        <v>5.6</v>
      </c>
      <c r="V142" s="148" t="s">
        <v>23</v>
      </c>
      <c r="W142" s="149" t="s">
        <v>11</v>
      </c>
      <c r="X142" s="151">
        <v>120442</v>
      </c>
      <c r="Y142" s="151">
        <v>2201447</v>
      </c>
      <c r="Z142" s="152">
        <f t="shared" si="14"/>
        <v>2321889</v>
      </c>
      <c r="AA142" s="153">
        <f t="shared" si="16"/>
        <v>10.571579039761257</v>
      </c>
      <c r="AB142" s="153">
        <f t="shared" si="17"/>
        <v>76.388736597383669</v>
      </c>
      <c r="AC142" s="153">
        <f t="shared" si="18"/>
        <v>57.741196657714113</v>
      </c>
      <c r="AD142" s="175" t="s">
        <v>157</v>
      </c>
    </row>
    <row r="143" spans="1:39" s="146" customFormat="1" ht="21" customHeight="1" x14ac:dyDescent="0.2">
      <c r="A143" s="146" t="str">
        <f t="shared" si="13"/>
        <v>Citywalk Phase 5.02</v>
      </c>
      <c r="B143" s="147" t="str">
        <f t="shared" si="15"/>
        <v>Citywalk Phase 5.02 - Mechanical</v>
      </c>
      <c r="C143" s="147"/>
      <c r="D143" s="148" t="s">
        <v>82</v>
      </c>
      <c r="E143" s="148" t="s">
        <v>83</v>
      </c>
      <c r="F143" s="148" t="s">
        <v>84</v>
      </c>
      <c r="G143" s="148" t="s">
        <v>85</v>
      </c>
      <c r="H143" s="149" t="s">
        <v>106</v>
      </c>
      <c r="I143" s="148" t="s">
        <v>117</v>
      </c>
      <c r="J143" s="149">
        <v>2023</v>
      </c>
      <c r="K143" s="150" t="s">
        <v>87</v>
      </c>
      <c r="L143" s="149" t="s">
        <v>86</v>
      </c>
      <c r="M143" s="149" t="s">
        <v>104</v>
      </c>
      <c r="N143" s="149" t="s">
        <v>105</v>
      </c>
      <c r="O143" s="149" t="s">
        <v>123</v>
      </c>
      <c r="P143" s="149" t="s">
        <v>124</v>
      </c>
      <c r="Q143" s="151">
        <v>11393</v>
      </c>
      <c r="R143" s="151">
        <v>28819</v>
      </c>
      <c r="S143" s="151">
        <v>40212</v>
      </c>
      <c r="T143" s="148" t="s">
        <v>127</v>
      </c>
      <c r="U143" s="154">
        <v>5.6</v>
      </c>
      <c r="V143" s="148" t="s">
        <v>24</v>
      </c>
      <c r="W143" s="149" t="s">
        <v>11</v>
      </c>
      <c r="X143" s="151">
        <v>209749</v>
      </c>
      <c r="Y143" s="151">
        <v>2822657</v>
      </c>
      <c r="Z143" s="152">
        <f t="shared" si="14"/>
        <v>3032406</v>
      </c>
      <c r="AA143" s="153">
        <f t="shared" si="16"/>
        <v>18.410339682261039</v>
      </c>
      <c r="AB143" s="153">
        <f t="shared" si="17"/>
        <v>97.944307574863799</v>
      </c>
      <c r="AC143" s="153">
        <f t="shared" si="18"/>
        <v>75.410474485228292</v>
      </c>
      <c r="AD143" s="175" t="s">
        <v>157</v>
      </c>
    </row>
    <row r="144" spans="1:39" s="146" customFormat="1" ht="21" customHeight="1" x14ac:dyDescent="0.2">
      <c r="A144" s="146" t="str">
        <f t="shared" si="13"/>
        <v>Citywalk Phase 5.02</v>
      </c>
      <c r="B144" s="147" t="str">
        <f t="shared" si="15"/>
        <v>Citywalk Phase 5.02 - Mechanical</v>
      </c>
      <c r="C144" s="147"/>
      <c r="D144" s="148" t="s">
        <v>82</v>
      </c>
      <c r="E144" s="148" t="s">
        <v>83</v>
      </c>
      <c r="F144" s="148" t="s">
        <v>84</v>
      </c>
      <c r="G144" s="148" t="s">
        <v>85</v>
      </c>
      <c r="H144" s="149" t="s">
        <v>106</v>
      </c>
      <c r="I144" s="148" t="s">
        <v>117</v>
      </c>
      <c r="J144" s="149">
        <v>2023</v>
      </c>
      <c r="K144" s="150" t="s">
        <v>87</v>
      </c>
      <c r="L144" s="149" t="s">
        <v>86</v>
      </c>
      <c r="M144" s="149" t="s">
        <v>104</v>
      </c>
      <c r="N144" s="149" t="s">
        <v>105</v>
      </c>
      <c r="O144" s="149" t="s">
        <v>123</v>
      </c>
      <c r="P144" s="149" t="s">
        <v>124</v>
      </c>
      <c r="Q144" s="151">
        <v>11393</v>
      </c>
      <c r="R144" s="151">
        <v>28819</v>
      </c>
      <c r="S144" s="151">
        <v>40212</v>
      </c>
      <c r="T144" s="148" t="s">
        <v>127</v>
      </c>
      <c r="U144" s="154">
        <v>5.6</v>
      </c>
      <c r="V144" s="148" t="s">
        <v>25</v>
      </c>
      <c r="W144" s="149" t="s">
        <v>11</v>
      </c>
      <c r="X144" s="151">
        <v>1382338</v>
      </c>
      <c r="Y144" s="151">
        <v>2536981</v>
      </c>
      <c r="Z144" s="152">
        <f t="shared" si="14"/>
        <v>3919319</v>
      </c>
      <c r="AA144" s="153">
        <f t="shared" si="16"/>
        <v>121.33222153954182</v>
      </c>
      <c r="AB144" s="153">
        <f t="shared" si="17"/>
        <v>88.031541691245366</v>
      </c>
      <c r="AC144" s="153">
        <f t="shared" si="18"/>
        <v>97.466403063762058</v>
      </c>
      <c r="AD144" s="175" t="s">
        <v>157</v>
      </c>
    </row>
    <row r="145" spans="1:30" s="146" customFormat="1" ht="21" customHeight="1" x14ac:dyDescent="0.2">
      <c r="A145" s="146" t="str">
        <f t="shared" si="13"/>
        <v>Citywalk Phase 5.02</v>
      </c>
      <c r="B145" s="147" t="str">
        <f t="shared" si="15"/>
        <v>Citywalk Phase 5.02 - Mechanical</v>
      </c>
      <c r="C145" s="147"/>
      <c r="D145" s="148" t="s">
        <v>82</v>
      </c>
      <c r="E145" s="148" t="s">
        <v>83</v>
      </c>
      <c r="F145" s="148" t="s">
        <v>84</v>
      </c>
      <c r="G145" s="148" t="s">
        <v>85</v>
      </c>
      <c r="H145" s="149" t="s">
        <v>106</v>
      </c>
      <c r="I145" s="148" t="s">
        <v>117</v>
      </c>
      <c r="J145" s="149">
        <v>2023</v>
      </c>
      <c r="K145" s="150" t="s">
        <v>87</v>
      </c>
      <c r="L145" s="149" t="s">
        <v>86</v>
      </c>
      <c r="M145" s="149" t="s">
        <v>104</v>
      </c>
      <c r="N145" s="149" t="s">
        <v>105</v>
      </c>
      <c r="O145" s="149" t="s">
        <v>123</v>
      </c>
      <c r="P145" s="149" t="s">
        <v>124</v>
      </c>
      <c r="Q145" s="151">
        <v>11393</v>
      </c>
      <c r="R145" s="151">
        <v>28819</v>
      </c>
      <c r="S145" s="151">
        <v>40212</v>
      </c>
      <c r="T145" s="148" t="s">
        <v>127</v>
      </c>
      <c r="U145" s="154">
        <v>5.6</v>
      </c>
      <c r="V145" s="148" t="s">
        <v>26</v>
      </c>
      <c r="W145" s="149" t="s">
        <v>11</v>
      </c>
      <c r="X145" s="151">
        <v>533523</v>
      </c>
      <c r="Y145" s="151">
        <v>1211470</v>
      </c>
      <c r="Z145" s="152">
        <f t="shared" si="14"/>
        <v>1744993</v>
      </c>
      <c r="AA145" s="153">
        <f t="shared" si="16"/>
        <v>46.829017817958395</v>
      </c>
      <c r="AB145" s="153">
        <f t="shared" si="17"/>
        <v>42.037197682084738</v>
      </c>
      <c r="AC145" s="153">
        <f t="shared" si="18"/>
        <v>43.39483238834179</v>
      </c>
      <c r="AD145" s="175" t="s">
        <v>157</v>
      </c>
    </row>
    <row r="146" spans="1:30" s="146" customFormat="1" ht="21" customHeight="1" x14ac:dyDescent="0.2">
      <c r="A146" s="146" t="str">
        <f t="shared" si="13"/>
        <v>Citywalk Phase 5.02</v>
      </c>
      <c r="B146" s="147" t="str">
        <f t="shared" si="15"/>
        <v>Citywalk Phase 5.02 - Mechanical</v>
      </c>
      <c r="C146" s="147"/>
      <c r="D146" s="148" t="s">
        <v>82</v>
      </c>
      <c r="E146" s="148" t="s">
        <v>83</v>
      </c>
      <c r="F146" s="148" t="s">
        <v>84</v>
      </c>
      <c r="G146" s="148" t="s">
        <v>85</v>
      </c>
      <c r="H146" s="149" t="s">
        <v>106</v>
      </c>
      <c r="I146" s="148" t="s">
        <v>117</v>
      </c>
      <c r="J146" s="149">
        <v>2023</v>
      </c>
      <c r="K146" s="150" t="s">
        <v>87</v>
      </c>
      <c r="L146" s="149" t="s">
        <v>86</v>
      </c>
      <c r="M146" s="149" t="s">
        <v>104</v>
      </c>
      <c r="N146" s="149" t="s">
        <v>105</v>
      </c>
      <c r="O146" s="149" t="s">
        <v>123</v>
      </c>
      <c r="P146" s="149" t="s">
        <v>124</v>
      </c>
      <c r="Q146" s="151">
        <v>11393</v>
      </c>
      <c r="R146" s="151">
        <v>28819</v>
      </c>
      <c r="S146" s="151">
        <v>40212</v>
      </c>
      <c r="T146" s="148" t="s">
        <v>127</v>
      </c>
      <c r="U146" s="154">
        <v>5.14</v>
      </c>
      <c r="V146" s="148" t="s">
        <v>27</v>
      </c>
      <c r="W146" s="149" t="s">
        <v>11</v>
      </c>
      <c r="X146" s="151">
        <v>302564</v>
      </c>
      <c r="Y146" s="151">
        <v>873594</v>
      </c>
      <c r="Z146" s="152">
        <f t="shared" si="14"/>
        <v>1176158</v>
      </c>
      <c r="AA146" s="153">
        <f t="shared" si="16"/>
        <v>26.557008689546212</v>
      </c>
      <c r="AB146" s="153">
        <f t="shared" si="17"/>
        <v>30.313126756653595</v>
      </c>
      <c r="AC146" s="153">
        <f t="shared" si="18"/>
        <v>29.248930667462449</v>
      </c>
      <c r="AD146" s="175" t="s">
        <v>157</v>
      </c>
    </row>
    <row r="147" spans="1:30" s="146" customFormat="1" ht="21" customHeight="1" x14ac:dyDescent="0.2">
      <c r="A147" s="146" t="str">
        <f t="shared" si="13"/>
        <v>Citywalk Phase 5.02</v>
      </c>
      <c r="B147" s="147" t="str">
        <f t="shared" si="15"/>
        <v>Citywalk Phase 5.02 - Electrical</v>
      </c>
      <c r="C147" s="147"/>
      <c r="D147" s="148" t="s">
        <v>82</v>
      </c>
      <c r="E147" s="148" t="s">
        <v>83</v>
      </c>
      <c r="F147" s="148" t="s">
        <v>84</v>
      </c>
      <c r="G147" s="148" t="s">
        <v>85</v>
      </c>
      <c r="H147" s="149" t="s">
        <v>106</v>
      </c>
      <c r="I147" s="148" t="s">
        <v>117</v>
      </c>
      <c r="J147" s="149">
        <v>2023</v>
      </c>
      <c r="K147" s="150" t="s">
        <v>87</v>
      </c>
      <c r="L147" s="149" t="s">
        <v>86</v>
      </c>
      <c r="M147" s="149" t="s">
        <v>104</v>
      </c>
      <c r="N147" s="149" t="s">
        <v>105</v>
      </c>
      <c r="O147" s="149" t="s">
        <v>123</v>
      </c>
      <c r="P147" s="149" t="s">
        <v>124</v>
      </c>
      <c r="Q147" s="151">
        <v>11393</v>
      </c>
      <c r="R147" s="151">
        <v>28819</v>
      </c>
      <c r="S147" s="151">
        <v>40212</v>
      </c>
      <c r="T147" s="148" t="s">
        <v>148</v>
      </c>
      <c r="U147" s="154">
        <v>5.8</v>
      </c>
      <c r="V147" s="148" t="s">
        <v>29</v>
      </c>
      <c r="W147" s="149" t="s">
        <v>11</v>
      </c>
      <c r="X147" s="151">
        <v>1170012</v>
      </c>
      <c r="Y147" s="151">
        <v>1551010</v>
      </c>
      <c r="Z147" s="152">
        <f t="shared" si="14"/>
        <v>2721022</v>
      </c>
      <c r="AA147" s="153">
        <f t="shared" si="16"/>
        <v>102.69569033617134</v>
      </c>
      <c r="AB147" s="153">
        <f t="shared" si="17"/>
        <v>53.819008293139944</v>
      </c>
      <c r="AC147" s="153">
        <f t="shared" si="18"/>
        <v>67.66691534865214</v>
      </c>
      <c r="AD147" s="175" t="s">
        <v>157</v>
      </c>
    </row>
    <row r="148" spans="1:30" s="146" customFormat="1" ht="21" customHeight="1" x14ac:dyDescent="0.2">
      <c r="A148" s="146" t="str">
        <f t="shared" si="13"/>
        <v>Citywalk Phase 5.02</v>
      </c>
      <c r="B148" s="147" t="str">
        <f t="shared" si="15"/>
        <v>Citywalk Phase 5.02 - Electrical</v>
      </c>
      <c r="C148" s="147"/>
      <c r="D148" s="148" t="s">
        <v>82</v>
      </c>
      <c r="E148" s="148" t="s">
        <v>83</v>
      </c>
      <c r="F148" s="148" t="s">
        <v>84</v>
      </c>
      <c r="G148" s="148" t="s">
        <v>85</v>
      </c>
      <c r="H148" s="149" t="s">
        <v>106</v>
      </c>
      <c r="I148" s="148" t="s">
        <v>117</v>
      </c>
      <c r="J148" s="149">
        <v>2023</v>
      </c>
      <c r="K148" s="150" t="s">
        <v>87</v>
      </c>
      <c r="L148" s="149" t="s">
        <v>86</v>
      </c>
      <c r="M148" s="149" t="s">
        <v>104</v>
      </c>
      <c r="N148" s="149" t="s">
        <v>105</v>
      </c>
      <c r="O148" s="149" t="s">
        <v>123</v>
      </c>
      <c r="P148" s="149" t="s">
        <v>124</v>
      </c>
      <c r="Q148" s="151">
        <v>11393</v>
      </c>
      <c r="R148" s="151">
        <v>28819</v>
      </c>
      <c r="S148" s="151">
        <v>40212</v>
      </c>
      <c r="T148" s="148" t="s">
        <v>148</v>
      </c>
      <c r="U148" s="154">
        <v>5.8</v>
      </c>
      <c r="V148" s="148" t="s">
        <v>55</v>
      </c>
      <c r="W148" s="149" t="s">
        <v>11</v>
      </c>
      <c r="X148" s="151">
        <v>0</v>
      </c>
      <c r="Y148" s="151">
        <v>2105456</v>
      </c>
      <c r="Z148" s="152">
        <f t="shared" si="14"/>
        <v>2105456</v>
      </c>
      <c r="AA148" s="153">
        <f t="shared" si="16"/>
        <v>0</v>
      </c>
      <c r="AB148" s="153">
        <f t="shared" si="17"/>
        <v>73.057913182275584</v>
      </c>
      <c r="AC148" s="153">
        <f t="shared" si="18"/>
        <v>52.358897841440367</v>
      </c>
      <c r="AD148" s="175" t="s">
        <v>157</v>
      </c>
    </row>
    <row r="149" spans="1:30" s="146" customFormat="1" ht="21" customHeight="1" x14ac:dyDescent="0.2">
      <c r="A149" s="146" t="str">
        <f t="shared" si="13"/>
        <v>Citywalk Phase 5.02</v>
      </c>
      <c r="B149" s="147" t="str">
        <f t="shared" si="15"/>
        <v>Citywalk Phase 5.02 - Electrical</v>
      </c>
      <c r="C149" s="147"/>
      <c r="D149" s="148" t="s">
        <v>82</v>
      </c>
      <c r="E149" s="148" t="s">
        <v>83</v>
      </c>
      <c r="F149" s="148" t="s">
        <v>84</v>
      </c>
      <c r="G149" s="148" t="s">
        <v>85</v>
      </c>
      <c r="H149" s="149" t="s">
        <v>106</v>
      </c>
      <c r="I149" s="148" t="s">
        <v>117</v>
      </c>
      <c r="J149" s="149">
        <v>2023</v>
      </c>
      <c r="K149" s="150" t="s">
        <v>87</v>
      </c>
      <c r="L149" s="149" t="s">
        <v>86</v>
      </c>
      <c r="M149" s="149" t="s">
        <v>104</v>
      </c>
      <c r="N149" s="149" t="s">
        <v>105</v>
      </c>
      <c r="O149" s="149" t="s">
        <v>123</v>
      </c>
      <c r="P149" s="149" t="s">
        <v>124</v>
      </c>
      <c r="Q149" s="151">
        <v>11393</v>
      </c>
      <c r="R149" s="151">
        <v>28819</v>
      </c>
      <c r="S149" s="151">
        <v>40212</v>
      </c>
      <c r="T149" s="148" t="s">
        <v>148</v>
      </c>
      <c r="U149" s="154">
        <v>5.8</v>
      </c>
      <c r="V149" s="148" t="s">
        <v>30</v>
      </c>
      <c r="W149" s="149" t="s">
        <v>11</v>
      </c>
      <c r="X149" s="151">
        <v>2876139</v>
      </c>
      <c r="Y149" s="151">
        <v>1108468</v>
      </c>
      <c r="Z149" s="152">
        <f t="shared" si="14"/>
        <v>3984607</v>
      </c>
      <c r="AA149" s="153">
        <f t="shared" si="16"/>
        <v>252.44790660932151</v>
      </c>
      <c r="AB149" s="153">
        <f t="shared" si="17"/>
        <v>38.463097262222838</v>
      </c>
      <c r="AC149" s="153">
        <f t="shared" si="18"/>
        <v>99.089998010544122</v>
      </c>
      <c r="AD149" s="175" t="s">
        <v>157</v>
      </c>
    </row>
    <row r="150" spans="1:30" s="146" customFormat="1" ht="21" customHeight="1" x14ac:dyDescent="0.2">
      <c r="A150" s="146" t="str">
        <f t="shared" si="13"/>
        <v>Citywalk Phase 5.02</v>
      </c>
      <c r="B150" s="147" t="str">
        <f t="shared" si="15"/>
        <v>Citywalk Phase 5.02 - Electrical</v>
      </c>
      <c r="C150" s="147"/>
      <c r="D150" s="148" t="s">
        <v>82</v>
      </c>
      <c r="E150" s="148" t="s">
        <v>83</v>
      </c>
      <c r="F150" s="148" t="s">
        <v>84</v>
      </c>
      <c r="G150" s="148" t="s">
        <v>85</v>
      </c>
      <c r="H150" s="149" t="s">
        <v>106</v>
      </c>
      <c r="I150" s="148" t="s">
        <v>117</v>
      </c>
      <c r="J150" s="149">
        <v>2023</v>
      </c>
      <c r="K150" s="150" t="s">
        <v>87</v>
      </c>
      <c r="L150" s="149" t="s">
        <v>86</v>
      </c>
      <c r="M150" s="149" t="s">
        <v>104</v>
      </c>
      <c r="N150" s="149" t="s">
        <v>105</v>
      </c>
      <c r="O150" s="149" t="s">
        <v>123</v>
      </c>
      <c r="P150" s="149" t="s">
        <v>124</v>
      </c>
      <c r="Q150" s="151">
        <v>11393</v>
      </c>
      <c r="R150" s="151">
        <v>28819</v>
      </c>
      <c r="S150" s="151">
        <v>40212</v>
      </c>
      <c r="T150" s="148" t="s">
        <v>148</v>
      </c>
      <c r="U150" s="154">
        <v>5.8</v>
      </c>
      <c r="V150" s="148" t="s">
        <v>31</v>
      </c>
      <c r="W150" s="149" t="s">
        <v>11</v>
      </c>
      <c r="X150" s="151">
        <v>128667</v>
      </c>
      <c r="Y150" s="151">
        <v>2514641</v>
      </c>
      <c r="Z150" s="152">
        <f t="shared" si="14"/>
        <v>2643308</v>
      </c>
      <c r="AA150" s="153">
        <f t="shared" si="16"/>
        <v>11.293513560958484</v>
      </c>
      <c r="AB150" s="153">
        <f t="shared" si="17"/>
        <v>87.25635865227801</v>
      </c>
      <c r="AC150" s="153">
        <f t="shared" si="18"/>
        <v>65.734308166716403</v>
      </c>
      <c r="AD150" s="175" t="s">
        <v>157</v>
      </c>
    </row>
    <row r="151" spans="1:30" s="146" customFormat="1" ht="21" customHeight="1" x14ac:dyDescent="0.2">
      <c r="A151" s="146" t="str">
        <f t="shared" si="13"/>
        <v>Citywalk Phase 5.02</v>
      </c>
      <c r="B151" s="147" t="str">
        <f t="shared" si="15"/>
        <v>Citywalk Phase 5.02 - Electrical</v>
      </c>
      <c r="C151" s="147"/>
      <c r="D151" s="148" t="s">
        <v>82</v>
      </c>
      <c r="E151" s="148" t="s">
        <v>83</v>
      </c>
      <c r="F151" s="148" t="s">
        <v>84</v>
      </c>
      <c r="G151" s="148" t="s">
        <v>85</v>
      </c>
      <c r="H151" s="149" t="s">
        <v>106</v>
      </c>
      <c r="I151" s="148" t="s">
        <v>117</v>
      </c>
      <c r="J151" s="149">
        <v>2023</v>
      </c>
      <c r="K151" s="150" t="s">
        <v>87</v>
      </c>
      <c r="L151" s="149" t="s">
        <v>86</v>
      </c>
      <c r="M151" s="149" t="s">
        <v>104</v>
      </c>
      <c r="N151" s="149" t="s">
        <v>105</v>
      </c>
      <c r="O151" s="149" t="s">
        <v>123</v>
      </c>
      <c r="P151" s="149" t="s">
        <v>124</v>
      </c>
      <c r="Q151" s="151">
        <v>11393</v>
      </c>
      <c r="R151" s="151">
        <v>28819</v>
      </c>
      <c r="S151" s="151">
        <v>40212</v>
      </c>
      <c r="T151" s="148" t="s">
        <v>148</v>
      </c>
      <c r="U151" s="154">
        <v>5.8</v>
      </c>
      <c r="V151" s="148" t="s">
        <v>32</v>
      </c>
      <c r="W151" s="149" t="s">
        <v>11</v>
      </c>
      <c r="X151" s="151">
        <v>117712</v>
      </c>
      <c r="Y151" s="151">
        <v>1409525</v>
      </c>
      <c r="Z151" s="152">
        <f t="shared" si="14"/>
        <v>1527237</v>
      </c>
      <c r="AA151" s="153">
        <f t="shared" si="16"/>
        <v>10.331958219959624</v>
      </c>
      <c r="AB151" s="153">
        <f t="shared" si="17"/>
        <v>48.909573545230579</v>
      </c>
      <c r="AC151" s="153">
        <f t="shared" si="18"/>
        <v>37.979632945389433</v>
      </c>
      <c r="AD151" s="175" t="s">
        <v>157</v>
      </c>
    </row>
    <row r="152" spans="1:30" s="146" customFormat="1" ht="21" customHeight="1" x14ac:dyDescent="0.2">
      <c r="A152" s="146" t="str">
        <f t="shared" si="13"/>
        <v>Citywalk Phase 5.02</v>
      </c>
      <c r="B152" s="147" t="str">
        <f t="shared" si="15"/>
        <v>Citywalk Phase 5.02 - Electrical</v>
      </c>
      <c r="C152" s="147"/>
      <c r="D152" s="148" t="s">
        <v>82</v>
      </c>
      <c r="E152" s="148" t="s">
        <v>83</v>
      </c>
      <c r="F152" s="148" t="s">
        <v>84</v>
      </c>
      <c r="G152" s="148" t="s">
        <v>85</v>
      </c>
      <c r="H152" s="149" t="s">
        <v>106</v>
      </c>
      <c r="I152" s="148" t="s">
        <v>117</v>
      </c>
      <c r="J152" s="149">
        <v>2023</v>
      </c>
      <c r="K152" s="150" t="s">
        <v>87</v>
      </c>
      <c r="L152" s="149" t="s">
        <v>86</v>
      </c>
      <c r="M152" s="149" t="s">
        <v>104</v>
      </c>
      <c r="N152" s="149" t="s">
        <v>105</v>
      </c>
      <c r="O152" s="149" t="s">
        <v>123</v>
      </c>
      <c r="P152" s="149" t="s">
        <v>124</v>
      </c>
      <c r="Q152" s="151">
        <v>11393</v>
      </c>
      <c r="R152" s="151">
        <v>28819</v>
      </c>
      <c r="S152" s="151">
        <v>40212</v>
      </c>
      <c r="T152" s="148" t="s">
        <v>148</v>
      </c>
      <c r="U152" s="154">
        <v>5.8</v>
      </c>
      <c r="V152" s="148" t="s">
        <v>33</v>
      </c>
      <c r="W152" s="149" t="s">
        <v>11</v>
      </c>
      <c r="X152" s="151">
        <v>275986</v>
      </c>
      <c r="Y152" s="151">
        <v>1851369</v>
      </c>
      <c r="Z152" s="152">
        <f t="shared" si="14"/>
        <v>2127355</v>
      </c>
      <c r="AA152" s="153">
        <f t="shared" si="16"/>
        <v>24.224172737645922</v>
      </c>
      <c r="AB152" s="153">
        <f t="shared" si="17"/>
        <v>64.241264443596236</v>
      </c>
      <c r="AC152" s="153">
        <f t="shared" si="18"/>
        <v>52.903486521436385</v>
      </c>
      <c r="AD152" s="175" t="s">
        <v>157</v>
      </c>
    </row>
    <row r="153" spans="1:30" s="146" customFormat="1" ht="21" customHeight="1" x14ac:dyDescent="0.2">
      <c r="A153" s="146" t="str">
        <f t="shared" si="13"/>
        <v>Citywalk Phase 5.02</v>
      </c>
      <c r="B153" s="147" t="str">
        <f t="shared" si="15"/>
        <v>Citywalk Phase 5.02 - Electrical</v>
      </c>
      <c r="C153" s="147"/>
      <c r="D153" s="148" t="s">
        <v>82</v>
      </c>
      <c r="E153" s="148" t="s">
        <v>83</v>
      </c>
      <c r="F153" s="148" t="s">
        <v>84</v>
      </c>
      <c r="G153" s="148" t="s">
        <v>85</v>
      </c>
      <c r="H153" s="149" t="s">
        <v>106</v>
      </c>
      <c r="I153" s="148" t="s">
        <v>117</v>
      </c>
      <c r="J153" s="149">
        <v>2023</v>
      </c>
      <c r="K153" s="150" t="s">
        <v>87</v>
      </c>
      <c r="L153" s="149" t="s">
        <v>86</v>
      </c>
      <c r="M153" s="149" t="s">
        <v>104</v>
      </c>
      <c r="N153" s="149" t="s">
        <v>105</v>
      </c>
      <c r="O153" s="149" t="s">
        <v>123</v>
      </c>
      <c r="P153" s="149" t="s">
        <v>124</v>
      </c>
      <c r="Q153" s="151">
        <v>11393</v>
      </c>
      <c r="R153" s="151">
        <v>28819</v>
      </c>
      <c r="S153" s="151">
        <v>40212</v>
      </c>
      <c r="T153" s="148" t="s">
        <v>148</v>
      </c>
      <c r="U153" s="154">
        <v>5.8</v>
      </c>
      <c r="V153" s="148" t="s">
        <v>34</v>
      </c>
      <c r="W153" s="149" t="s">
        <v>11</v>
      </c>
      <c r="X153" s="151">
        <v>66856</v>
      </c>
      <c r="Y153" s="151">
        <v>454571</v>
      </c>
      <c r="Z153" s="152">
        <f t="shared" si="14"/>
        <v>521427</v>
      </c>
      <c r="AA153" s="153">
        <f t="shared" si="16"/>
        <v>5.8681646625120685</v>
      </c>
      <c r="AB153" s="153">
        <f t="shared" si="17"/>
        <v>15.773309275130989</v>
      </c>
      <c r="AC153" s="153">
        <f t="shared" si="18"/>
        <v>12.966950164130111</v>
      </c>
      <c r="AD153" s="175" t="s">
        <v>157</v>
      </c>
    </row>
    <row r="154" spans="1:30" s="146" customFormat="1" ht="21" customHeight="1" x14ac:dyDescent="0.2">
      <c r="A154" s="146" t="str">
        <f t="shared" si="13"/>
        <v>Citywalk Phase 5.02</v>
      </c>
      <c r="B154" s="147" t="str">
        <f t="shared" si="15"/>
        <v>Citywalk Phase 5.02 - Electrical</v>
      </c>
      <c r="C154" s="147"/>
      <c r="D154" s="148" t="s">
        <v>82</v>
      </c>
      <c r="E154" s="148" t="s">
        <v>83</v>
      </c>
      <c r="F154" s="148" t="s">
        <v>84</v>
      </c>
      <c r="G154" s="148" t="s">
        <v>85</v>
      </c>
      <c r="H154" s="149" t="s">
        <v>106</v>
      </c>
      <c r="I154" s="148" t="s">
        <v>117</v>
      </c>
      <c r="J154" s="149">
        <v>2023</v>
      </c>
      <c r="K154" s="150" t="s">
        <v>87</v>
      </c>
      <c r="L154" s="149" t="s">
        <v>86</v>
      </c>
      <c r="M154" s="149" t="s">
        <v>104</v>
      </c>
      <c r="N154" s="149" t="s">
        <v>105</v>
      </c>
      <c r="O154" s="149" t="s">
        <v>123</v>
      </c>
      <c r="P154" s="149" t="s">
        <v>124</v>
      </c>
      <c r="Q154" s="151">
        <v>11393</v>
      </c>
      <c r="R154" s="151">
        <v>28819</v>
      </c>
      <c r="S154" s="151">
        <v>40212</v>
      </c>
      <c r="T154" s="148" t="s">
        <v>148</v>
      </c>
      <c r="U154" s="154">
        <v>5.8</v>
      </c>
      <c r="V154" s="148" t="s">
        <v>35</v>
      </c>
      <c r="W154" s="149" t="s">
        <v>11</v>
      </c>
      <c r="X154" s="151">
        <v>389424</v>
      </c>
      <c r="Y154" s="151">
        <v>1172128</v>
      </c>
      <c r="Z154" s="152">
        <f t="shared" si="14"/>
        <v>1561552</v>
      </c>
      <c r="AA154" s="153">
        <f t="shared" si="16"/>
        <v>34.180988326165192</v>
      </c>
      <c r="AB154" s="153">
        <f t="shared" si="17"/>
        <v>40.672056629307058</v>
      </c>
      <c r="AC154" s="153">
        <f t="shared" si="18"/>
        <v>38.832985178553663</v>
      </c>
      <c r="AD154" s="175" t="s">
        <v>157</v>
      </c>
    </row>
    <row r="155" spans="1:30" s="146" customFormat="1" ht="21" customHeight="1" x14ac:dyDescent="0.2">
      <c r="A155" s="146" t="str">
        <f t="shared" si="13"/>
        <v>Citywalk Phase 5.02</v>
      </c>
      <c r="B155" s="147" t="str">
        <f t="shared" si="15"/>
        <v>Citywalk Phase 5.02 - Electrical</v>
      </c>
      <c r="C155" s="147"/>
      <c r="D155" s="148" t="s">
        <v>82</v>
      </c>
      <c r="E155" s="148" t="s">
        <v>83</v>
      </c>
      <c r="F155" s="148" t="s">
        <v>84</v>
      </c>
      <c r="G155" s="148" t="s">
        <v>85</v>
      </c>
      <c r="H155" s="149" t="s">
        <v>106</v>
      </c>
      <c r="I155" s="148" t="s">
        <v>117</v>
      </c>
      <c r="J155" s="149">
        <v>2023</v>
      </c>
      <c r="K155" s="150" t="s">
        <v>87</v>
      </c>
      <c r="L155" s="149" t="s">
        <v>86</v>
      </c>
      <c r="M155" s="149" t="s">
        <v>104</v>
      </c>
      <c r="N155" s="149" t="s">
        <v>105</v>
      </c>
      <c r="O155" s="149" t="s">
        <v>123</v>
      </c>
      <c r="P155" s="149" t="s">
        <v>124</v>
      </c>
      <c r="Q155" s="151">
        <v>11393</v>
      </c>
      <c r="R155" s="151">
        <v>28819</v>
      </c>
      <c r="S155" s="151">
        <v>40212</v>
      </c>
      <c r="T155" s="148" t="s">
        <v>148</v>
      </c>
      <c r="U155" s="154">
        <v>5.8</v>
      </c>
      <c r="V155" s="148" t="s">
        <v>56</v>
      </c>
      <c r="W155" s="149" t="s">
        <v>11</v>
      </c>
      <c r="X155" s="151">
        <v>128038</v>
      </c>
      <c r="Y155" s="151">
        <v>1108297</v>
      </c>
      <c r="Z155" s="152">
        <f t="shared" si="14"/>
        <v>1236335</v>
      </c>
      <c r="AA155" s="153">
        <f t="shared" si="16"/>
        <v>11.238304221890635</v>
      </c>
      <c r="AB155" s="153">
        <f t="shared" si="17"/>
        <v>38.45716367674104</v>
      </c>
      <c r="AC155" s="153">
        <f t="shared" si="18"/>
        <v>30.745424251467224</v>
      </c>
      <c r="AD155" s="175" t="s">
        <v>157</v>
      </c>
    </row>
    <row r="156" spans="1:30" s="146" customFormat="1" ht="21" customHeight="1" x14ac:dyDescent="0.2">
      <c r="A156" s="146" t="str">
        <f t="shared" si="13"/>
        <v>Citywalk Phase 5.02</v>
      </c>
      <c r="B156" s="147" t="str">
        <f t="shared" si="15"/>
        <v>Citywalk Phase 5.02 - Electrical</v>
      </c>
      <c r="C156" s="147"/>
      <c r="D156" s="148" t="s">
        <v>82</v>
      </c>
      <c r="E156" s="148" t="s">
        <v>83</v>
      </c>
      <c r="F156" s="148" t="s">
        <v>84</v>
      </c>
      <c r="G156" s="148" t="s">
        <v>85</v>
      </c>
      <c r="H156" s="149" t="s">
        <v>106</v>
      </c>
      <c r="I156" s="148" t="s">
        <v>117</v>
      </c>
      <c r="J156" s="149">
        <v>2023</v>
      </c>
      <c r="K156" s="150" t="s">
        <v>87</v>
      </c>
      <c r="L156" s="149" t="s">
        <v>86</v>
      </c>
      <c r="M156" s="149" t="s">
        <v>104</v>
      </c>
      <c r="N156" s="149" t="s">
        <v>105</v>
      </c>
      <c r="O156" s="149" t="s">
        <v>123</v>
      </c>
      <c r="P156" s="149" t="s">
        <v>124</v>
      </c>
      <c r="Q156" s="151">
        <v>11393</v>
      </c>
      <c r="R156" s="151">
        <v>28819</v>
      </c>
      <c r="S156" s="151">
        <v>40212</v>
      </c>
      <c r="T156" s="148" t="s">
        <v>148</v>
      </c>
      <c r="U156" s="154">
        <v>5.8</v>
      </c>
      <c r="V156" s="148" t="s">
        <v>36</v>
      </c>
      <c r="W156" s="149" t="s">
        <v>11</v>
      </c>
      <c r="X156" s="151">
        <v>42620</v>
      </c>
      <c r="Y156" s="151">
        <v>204752</v>
      </c>
      <c r="Z156" s="152">
        <f t="shared" si="14"/>
        <v>247372</v>
      </c>
      <c r="AA156" s="153">
        <f t="shared" si="16"/>
        <v>3.7408935311155971</v>
      </c>
      <c r="AB156" s="153">
        <f t="shared" si="17"/>
        <v>7.1047572781845307</v>
      </c>
      <c r="AC156" s="153">
        <f t="shared" si="18"/>
        <v>6.1516960111409533</v>
      </c>
      <c r="AD156" s="175" t="s">
        <v>157</v>
      </c>
    </row>
    <row r="157" spans="1:30" s="146" customFormat="1" ht="21" customHeight="1" x14ac:dyDescent="0.2">
      <c r="A157" s="146" t="str">
        <f t="shared" si="13"/>
        <v>Citywalk Phase 5.02</v>
      </c>
      <c r="B157" s="147" t="str">
        <f t="shared" si="15"/>
        <v>Citywalk Phase 5.02 - Electrical</v>
      </c>
      <c r="C157" s="147"/>
      <c r="D157" s="148" t="s">
        <v>82</v>
      </c>
      <c r="E157" s="148" t="s">
        <v>83</v>
      </c>
      <c r="F157" s="148" t="s">
        <v>84</v>
      </c>
      <c r="G157" s="148" t="s">
        <v>85</v>
      </c>
      <c r="H157" s="149" t="s">
        <v>106</v>
      </c>
      <c r="I157" s="148" t="s">
        <v>117</v>
      </c>
      <c r="J157" s="149">
        <v>2023</v>
      </c>
      <c r="K157" s="150" t="s">
        <v>87</v>
      </c>
      <c r="L157" s="149" t="s">
        <v>86</v>
      </c>
      <c r="M157" s="149" t="s">
        <v>104</v>
      </c>
      <c r="N157" s="149" t="s">
        <v>105</v>
      </c>
      <c r="O157" s="149" t="s">
        <v>123</v>
      </c>
      <c r="P157" s="149" t="s">
        <v>124</v>
      </c>
      <c r="Q157" s="151">
        <v>11393</v>
      </c>
      <c r="R157" s="151">
        <v>28819</v>
      </c>
      <c r="S157" s="151">
        <v>40212</v>
      </c>
      <c r="T157" s="148" t="s">
        <v>148</v>
      </c>
      <c r="U157" s="154">
        <v>5.8</v>
      </c>
      <c r="V157" s="148" t="s">
        <v>57</v>
      </c>
      <c r="W157" s="149" t="s">
        <v>11</v>
      </c>
      <c r="X157" s="151">
        <v>0</v>
      </c>
      <c r="Y157" s="151">
        <v>124698</v>
      </c>
      <c r="Z157" s="152">
        <f t="shared" si="14"/>
        <v>124698</v>
      </c>
      <c r="AA157" s="153">
        <f t="shared" si="16"/>
        <v>0</v>
      </c>
      <c r="AB157" s="153">
        <f t="shared" si="17"/>
        <v>4.3269370901141606</v>
      </c>
      <c r="AC157" s="153">
        <f t="shared" si="18"/>
        <v>3.1010146225007462</v>
      </c>
      <c r="AD157" s="175" t="s">
        <v>157</v>
      </c>
    </row>
    <row r="158" spans="1:30" s="146" customFormat="1" ht="21" customHeight="1" x14ac:dyDescent="0.2">
      <c r="A158" s="146" t="str">
        <f t="shared" si="13"/>
        <v>Citywalk Phase 5.02</v>
      </c>
      <c r="B158" s="147" t="str">
        <f t="shared" si="15"/>
        <v>Citywalk Phase 5.02 - Electrical</v>
      </c>
      <c r="C158" s="147"/>
      <c r="D158" s="148" t="s">
        <v>82</v>
      </c>
      <c r="E158" s="148" t="s">
        <v>83</v>
      </c>
      <c r="F158" s="148" t="s">
        <v>84</v>
      </c>
      <c r="G158" s="148" t="s">
        <v>85</v>
      </c>
      <c r="H158" s="149" t="s">
        <v>106</v>
      </c>
      <c r="I158" s="148" t="s">
        <v>117</v>
      </c>
      <c r="J158" s="149">
        <v>2023</v>
      </c>
      <c r="K158" s="150" t="s">
        <v>87</v>
      </c>
      <c r="L158" s="149" t="s">
        <v>86</v>
      </c>
      <c r="M158" s="149" t="s">
        <v>104</v>
      </c>
      <c r="N158" s="149" t="s">
        <v>105</v>
      </c>
      <c r="O158" s="149" t="s">
        <v>123</v>
      </c>
      <c r="P158" s="149" t="s">
        <v>124</v>
      </c>
      <c r="Q158" s="151">
        <v>11393</v>
      </c>
      <c r="R158" s="151">
        <v>28819</v>
      </c>
      <c r="S158" s="151">
        <v>40212</v>
      </c>
      <c r="T158" s="148" t="s">
        <v>148</v>
      </c>
      <c r="U158" s="154">
        <v>5.8</v>
      </c>
      <c r="V158" s="148" t="s">
        <v>37</v>
      </c>
      <c r="W158" s="149" t="s">
        <v>11</v>
      </c>
      <c r="X158" s="151">
        <v>239568</v>
      </c>
      <c r="Y158" s="151">
        <v>617590</v>
      </c>
      <c r="Z158" s="152">
        <f t="shared" si="14"/>
        <v>857158</v>
      </c>
      <c r="AA158" s="153">
        <f t="shared" si="16"/>
        <v>21.027648556130959</v>
      </c>
      <c r="AB158" s="153">
        <f t="shared" si="17"/>
        <v>21.429959401783545</v>
      </c>
      <c r="AC158" s="153">
        <f t="shared" si="18"/>
        <v>21.31597533074704</v>
      </c>
      <c r="AD158" s="175" t="s">
        <v>157</v>
      </c>
    </row>
    <row r="159" spans="1:30" s="146" customFormat="1" ht="21" customHeight="1" x14ac:dyDescent="0.2">
      <c r="A159" s="146" t="str">
        <f t="shared" si="13"/>
        <v>Citywalk Phase 5.02</v>
      </c>
      <c r="B159" s="147" t="str">
        <f t="shared" si="15"/>
        <v>Citywalk Phase 5.02 - Electrical</v>
      </c>
      <c r="C159" s="147"/>
      <c r="D159" s="148" t="s">
        <v>82</v>
      </c>
      <c r="E159" s="148" t="s">
        <v>83</v>
      </c>
      <c r="F159" s="148" t="s">
        <v>84</v>
      </c>
      <c r="G159" s="148" t="s">
        <v>85</v>
      </c>
      <c r="H159" s="149" t="s">
        <v>106</v>
      </c>
      <c r="I159" s="148" t="s">
        <v>117</v>
      </c>
      <c r="J159" s="149">
        <v>2023</v>
      </c>
      <c r="K159" s="150" t="s">
        <v>87</v>
      </c>
      <c r="L159" s="149" t="s">
        <v>86</v>
      </c>
      <c r="M159" s="149" t="s">
        <v>104</v>
      </c>
      <c r="N159" s="149" t="s">
        <v>105</v>
      </c>
      <c r="O159" s="149" t="s">
        <v>123</v>
      </c>
      <c r="P159" s="149" t="s">
        <v>124</v>
      </c>
      <c r="Q159" s="151">
        <v>11393</v>
      </c>
      <c r="R159" s="151">
        <v>28819</v>
      </c>
      <c r="S159" s="151">
        <v>40212</v>
      </c>
      <c r="T159" s="148" t="s">
        <v>148</v>
      </c>
      <c r="U159" s="154">
        <v>5.8</v>
      </c>
      <c r="V159" s="148" t="s">
        <v>38</v>
      </c>
      <c r="W159" s="149" t="s">
        <v>11</v>
      </c>
      <c r="X159" s="151">
        <v>44800</v>
      </c>
      <c r="Y159" s="151">
        <v>26880</v>
      </c>
      <c r="Z159" s="152">
        <f t="shared" si="14"/>
        <v>71680</v>
      </c>
      <c r="AA159" s="153">
        <f t="shared" si="16"/>
        <v>3.9322390941806371</v>
      </c>
      <c r="AB159" s="153">
        <f t="shared" si="17"/>
        <v>0.93271799854262816</v>
      </c>
      <c r="AC159" s="153">
        <f t="shared" si="18"/>
        <v>1.7825524718989356</v>
      </c>
      <c r="AD159" s="175" t="s">
        <v>157</v>
      </c>
    </row>
    <row r="160" spans="1:30" s="146" customFormat="1" ht="21" customHeight="1" x14ac:dyDescent="0.2">
      <c r="A160" s="146" t="str">
        <f t="shared" si="13"/>
        <v>Citywalk Phase 5.02</v>
      </c>
      <c r="B160" s="147" t="str">
        <f t="shared" si="15"/>
        <v>Citywalk Phase 5.02 - Electrical</v>
      </c>
      <c r="C160" s="147"/>
      <c r="D160" s="148" t="s">
        <v>82</v>
      </c>
      <c r="E160" s="148" t="s">
        <v>83</v>
      </c>
      <c r="F160" s="148" t="s">
        <v>84</v>
      </c>
      <c r="G160" s="148" t="s">
        <v>85</v>
      </c>
      <c r="H160" s="149" t="s">
        <v>106</v>
      </c>
      <c r="I160" s="148" t="s">
        <v>117</v>
      </c>
      <c r="J160" s="149">
        <v>2023</v>
      </c>
      <c r="K160" s="150" t="s">
        <v>87</v>
      </c>
      <c r="L160" s="149" t="s">
        <v>86</v>
      </c>
      <c r="M160" s="149" t="s">
        <v>104</v>
      </c>
      <c r="N160" s="149" t="s">
        <v>105</v>
      </c>
      <c r="O160" s="149" t="s">
        <v>123</v>
      </c>
      <c r="P160" s="149" t="s">
        <v>124</v>
      </c>
      <c r="Q160" s="151">
        <v>11393</v>
      </c>
      <c r="R160" s="151">
        <v>28819</v>
      </c>
      <c r="S160" s="151">
        <v>40212</v>
      </c>
      <c r="T160" s="148" t="s">
        <v>148</v>
      </c>
      <c r="U160" s="154">
        <v>5.8</v>
      </c>
      <c r="V160" s="148" t="s">
        <v>5</v>
      </c>
      <c r="W160" s="149" t="s">
        <v>11</v>
      </c>
      <c r="X160" s="151">
        <v>189228</v>
      </c>
      <c r="Y160" s="151">
        <v>158825</v>
      </c>
      <c r="Z160" s="152">
        <f t="shared" si="14"/>
        <v>348053</v>
      </c>
      <c r="AA160" s="153">
        <f t="shared" si="16"/>
        <v>16.609145966821732</v>
      </c>
      <c r="AB160" s="153">
        <f t="shared" si="17"/>
        <v>5.5111211353620879</v>
      </c>
      <c r="AC160" s="153">
        <f t="shared" si="18"/>
        <v>8.6554511091216551</v>
      </c>
      <c r="AD160" s="175" t="s">
        <v>157</v>
      </c>
    </row>
    <row r="161" spans="1:30" s="146" customFormat="1" ht="21" customHeight="1" x14ac:dyDescent="0.2">
      <c r="A161" s="146" t="str">
        <f t="shared" si="13"/>
        <v>Citywalk Phase 5.02</v>
      </c>
      <c r="B161" s="147" t="str">
        <f t="shared" si="15"/>
        <v>Citywalk Phase 5.02 - Electrical</v>
      </c>
      <c r="C161" s="147"/>
      <c r="D161" s="148" t="s">
        <v>82</v>
      </c>
      <c r="E161" s="148" t="s">
        <v>83</v>
      </c>
      <c r="F161" s="148" t="s">
        <v>84</v>
      </c>
      <c r="G161" s="148" t="s">
        <v>85</v>
      </c>
      <c r="H161" s="149" t="s">
        <v>106</v>
      </c>
      <c r="I161" s="148" t="s">
        <v>117</v>
      </c>
      <c r="J161" s="149">
        <v>2023</v>
      </c>
      <c r="K161" s="150" t="s">
        <v>87</v>
      </c>
      <c r="L161" s="149" t="s">
        <v>86</v>
      </c>
      <c r="M161" s="149" t="s">
        <v>104</v>
      </c>
      <c r="N161" s="149" t="s">
        <v>105</v>
      </c>
      <c r="O161" s="149" t="s">
        <v>123</v>
      </c>
      <c r="P161" s="149" t="s">
        <v>124</v>
      </c>
      <c r="Q161" s="151">
        <v>11393</v>
      </c>
      <c r="R161" s="151">
        <v>28819</v>
      </c>
      <c r="S161" s="151">
        <v>40212</v>
      </c>
      <c r="T161" s="148" t="s">
        <v>148</v>
      </c>
      <c r="U161" s="154" t="s">
        <v>52</v>
      </c>
      <c r="V161" s="148" t="s">
        <v>39</v>
      </c>
      <c r="W161" s="149" t="s">
        <v>11</v>
      </c>
      <c r="X161" s="151">
        <v>96940</v>
      </c>
      <c r="Y161" s="151">
        <v>1358808</v>
      </c>
      <c r="Z161" s="152">
        <f t="shared" si="14"/>
        <v>1455748</v>
      </c>
      <c r="AA161" s="153">
        <f t="shared" si="16"/>
        <v>8.5087334328096205</v>
      </c>
      <c r="AB161" s="153">
        <f t="shared" si="17"/>
        <v>47.149727610257123</v>
      </c>
      <c r="AC161" s="153">
        <f t="shared" si="18"/>
        <v>36.20183029941311</v>
      </c>
      <c r="AD161" s="175" t="s">
        <v>157</v>
      </c>
    </row>
    <row r="162" spans="1:30" s="146" customFormat="1" ht="21" customHeight="1" x14ac:dyDescent="0.2">
      <c r="A162" s="146" t="str">
        <f t="shared" si="13"/>
        <v>Citywalk Phase 5.02</v>
      </c>
      <c r="B162" s="147" t="str">
        <f t="shared" si="15"/>
        <v>Citywalk Phase 5.02 - Electrical</v>
      </c>
      <c r="C162" s="147"/>
      <c r="D162" s="148" t="s">
        <v>82</v>
      </c>
      <c r="E162" s="148" t="s">
        <v>83</v>
      </c>
      <c r="F162" s="148" t="s">
        <v>84</v>
      </c>
      <c r="G162" s="148" t="s">
        <v>85</v>
      </c>
      <c r="H162" s="149" t="s">
        <v>106</v>
      </c>
      <c r="I162" s="148" t="s">
        <v>117</v>
      </c>
      <c r="J162" s="149">
        <v>2023</v>
      </c>
      <c r="K162" s="150" t="s">
        <v>87</v>
      </c>
      <c r="L162" s="149" t="s">
        <v>86</v>
      </c>
      <c r="M162" s="149" t="s">
        <v>104</v>
      </c>
      <c r="N162" s="149" t="s">
        <v>105</v>
      </c>
      <c r="O162" s="149" t="s">
        <v>123</v>
      </c>
      <c r="P162" s="149" t="s">
        <v>124</v>
      </c>
      <c r="Q162" s="151">
        <v>11393</v>
      </c>
      <c r="R162" s="151">
        <v>28819</v>
      </c>
      <c r="S162" s="151">
        <v>40212</v>
      </c>
      <c r="T162" s="148" t="s">
        <v>148</v>
      </c>
      <c r="U162" s="154" t="s">
        <v>52</v>
      </c>
      <c r="V162" s="148" t="s">
        <v>40</v>
      </c>
      <c r="W162" s="149" t="s">
        <v>11</v>
      </c>
      <c r="X162" s="151">
        <v>61639</v>
      </c>
      <c r="Y162" s="151">
        <v>36682</v>
      </c>
      <c r="Z162" s="152">
        <f t="shared" si="14"/>
        <v>98321</v>
      </c>
      <c r="AA162" s="153">
        <f t="shared" si="16"/>
        <v>5.4102519090669707</v>
      </c>
      <c r="AB162" s="153">
        <f t="shared" si="17"/>
        <v>1.2728408341719004</v>
      </c>
      <c r="AC162" s="153">
        <f t="shared" si="18"/>
        <v>2.4450661494081367</v>
      </c>
      <c r="AD162" s="175" t="s">
        <v>157</v>
      </c>
    </row>
    <row r="163" spans="1:30" s="146" customFormat="1" ht="21" customHeight="1" x14ac:dyDescent="0.2">
      <c r="A163" s="146" t="str">
        <f t="shared" si="13"/>
        <v>Citywalk Phase 5.02</v>
      </c>
      <c r="B163" s="147" t="str">
        <f t="shared" si="15"/>
        <v>Citywalk Phase 5.02 - Electrical</v>
      </c>
      <c r="C163" s="147"/>
      <c r="D163" s="148" t="s">
        <v>82</v>
      </c>
      <c r="E163" s="148" t="s">
        <v>83</v>
      </c>
      <c r="F163" s="148" t="s">
        <v>84</v>
      </c>
      <c r="G163" s="148" t="s">
        <v>85</v>
      </c>
      <c r="H163" s="149" t="s">
        <v>106</v>
      </c>
      <c r="I163" s="148" t="s">
        <v>117</v>
      </c>
      <c r="J163" s="149">
        <v>2023</v>
      </c>
      <c r="K163" s="150" t="s">
        <v>87</v>
      </c>
      <c r="L163" s="149" t="s">
        <v>86</v>
      </c>
      <c r="M163" s="149" t="s">
        <v>104</v>
      </c>
      <c r="N163" s="149" t="s">
        <v>105</v>
      </c>
      <c r="O163" s="149" t="s">
        <v>123</v>
      </c>
      <c r="P163" s="149" t="s">
        <v>124</v>
      </c>
      <c r="Q163" s="151">
        <v>11393</v>
      </c>
      <c r="R163" s="151">
        <v>28819</v>
      </c>
      <c r="S163" s="151">
        <v>40212</v>
      </c>
      <c r="T163" s="148" t="s">
        <v>148</v>
      </c>
      <c r="U163" s="154">
        <v>5.12</v>
      </c>
      <c r="V163" s="148" t="s">
        <v>41</v>
      </c>
      <c r="W163" s="149" t="s">
        <v>11</v>
      </c>
      <c r="X163" s="151">
        <v>166635</v>
      </c>
      <c r="Y163" s="151">
        <v>2106874</v>
      </c>
      <c r="Z163" s="152">
        <f t="shared" si="14"/>
        <v>2273509</v>
      </c>
      <c r="AA163" s="153">
        <f t="shared" si="16"/>
        <v>14.626086193276574</v>
      </c>
      <c r="AB163" s="153">
        <f t="shared" si="17"/>
        <v>73.107116832645133</v>
      </c>
      <c r="AC163" s="153">
        <f t="shared" si="18"/>
        <v>56.538073211976524</v>
      </c>
      <c r="AD163" s="175" t="s">
        <v>157</v>
      </c>
    </row>
    <row r="164" spans="1:30" s="146" customFormat="1" ht="21" customHeight="1" x14ac:dyDescent="0.2">
      <c r="A164" s="146" t="str">
        <f t="shared" si="13"/>
        <v>Citywalk Phase 5.02</v>
      </c>
      <c r="B164" s="147" t="str">
        <f t="shared" si="15"/>
        <v>Citywalk Phase 5.02 - Electrical</v>
      </c>
      <c r="C164" s="147"/>
      <c r="D164" s="148" t="s">
        <v>82</v>
      </c>
      <c r="E164" s="148" t="s">
        <v>83</v>
      </c>
      <c r="F164" s="148" t="s">
        <v>84</v>
      </c>
      <c r="G164" s="148" t="s">
        <v>85</v>
      </c>
      <c r="H164" s="149" t="s">
        <v>106</v>
      </c>
      <c r="I164" s="148" t="s">
        <v>117</v>
      </c>
      <c r="J164" s="149">
        <v>2023</v>
      </c>
      <c r="K164" s="150" t="s">
        <v>87</v>
      </c>
      <c r="L164" s="149" t="s">
        <v>86</v>
      </c>
      <c r="M164" s="149" t="s">
        <v>104</v>
      </c>
      <c r="N164" s="149" t="s">
        <v>105</v>
      </c>
      <c r="O164" s="149" t="s">
        <v>123</v>
      </c>
      <c r="P164" s="149" t="s">
        <v>124</v>
      </c>
      <c r="Q164" s="151">
        <v>11393</v>
      </c>
      <c r="R164" s="151">
        <v>28819</v>
      </c>
      <c r="S164" s="151">
        <v>40212</v>
      </c>
      <c r="T164" s="148" t="s">
        <v>148</v>
      </c>
      <c r="U164" s="154">
        <v>5.12</v>
      </c>
      <c r="V164" s="148" t="s">
        <v>42</v>
      </c>
      <c r="W164" s="149" t="s">
        <v>11</v>
      </c>
      <c r="X164" s="151">
        <v>172362</v>
      </c>
      <c r="Y164" s="151">
        <v>623452</v>
      </c>
      <c r="Z164" s="152">
        <f t="shared" si="14"/>
        <v>795814</v>
      </c>
      <c r="AA164" s="153">
        <f t="shared" si="16"/>
        <v>15.128763275695603</v>
      </c>
      <c r="AB164" s="153">
        <f t="shared" si="17"/>
        <v>21.633366876019291</v>
      </c>
      <c r="AC164" s="153">
        <f t="shared" si="18"/>
        <v>19.790460559037104</v>
      </c>
      <c r="AD164" s="175" t="s">
        <v>157</v>
      </c>
    </row>
    <row r="165" spans="1:30" s="146" customFormat="1" ht="21" customHeight="1" x14ac:dyDescent="0.2">
      <c r="A165" s="146" t="str">
        <f t="shared" si="13"/>
        <v>Citywalk Phase 5.02</v>
      </c>
      <c r="B165" s="147" t="str">
        <f t="shared" si="15"/>
        <v>Citywalk Phase 5.02 - Electrical</v>
      </c>
      <c r="C165" s="147"/>
      <c r="D165" s="148" t="s">
        <v>82</v>
      </c>
      <c r="E165" s="148" t="s">
        <v>83</v>
      </c>
      <c r="F165" s="148" t="s">
        <v>84</v>
      </c>
      <c r="G165" s="148" t="s">
        <v>85</v>
      </c>
      <c r="H165" s="149" t="s">
        <v>106</v>
      </c>
      <c r="I165" s="148" t="s">
        <v>117</v>
      </c>
      <c r="J165" s="149">
        <v>2023</v>
      </c>
      <c r="K165" s="150" t="s">
        <v>87</v>
      </c>
      <c r="L165" s="149" t="s">
        <v>86</v>
      </c>
      <c r="M165" s="149" t="s">
        <v>104</v>
      </c>
      <c r="N165" s="149" t="s">
        <v>105</v>
      </c>
      <c r="O165" s="149" t="s">
        <v>123</v>
      </c>
      <c r="P165" s="149" t="s">
        <v>124</v>
      </c>
      <c r="Q165" s="151">
        <v>11393</v>
      </c>
      <c r="R165" s="151">
        <v>28819</v>
      </c>
      <c r="S165" s="151">
        <v>40212</v>
      </c>
      <c r="T165" s="148" t="s">
        <v>148</v>
      </c>
      <c r="U165" s="154">
        <v>5.12</v>
      </c>
      <c r="V165" s="148" t="s">
        <v>60</v>
      </c>
      <c r="W165" s="149" t="s">
        <v>11</v>
      </c>
      <c r="X165" s="151">
        <v>0</v>
      </c>
      <c r="Y165" s="151">
        <v>0</v>
      </c>
      <c r="Z165" s="152">
        <f t="shared" si="14"/>
        <v>0</v>
      </c>
      <c r="AA165" s="153">
        <f t="shared" si="16"/>
        <v>0</v>
      </c>
      <c r="AB165" s="153">
        <f t="shared" si="17"/>
        <v>0</v>
      </c>
      <c r="AC165" s="153">
        <f t="shared" si="18"/>
        <v>0</v>
      </c>
      <c r="AD165" s="175" t="s">
        <v>157</v>
      </c>
    </row>
    <row r="166" spans="1:30" s="146" customFormat="1" ht="21" customHeight="1" x14ac:dyDescent="0.2">
      <c r="A166" s="146" t="str">
        <f t="shared" si="13"/>
        <v>Citywalk Phase 5.02</v>
      </c>
      <c r="B166" s="147" t="str">
        <f t="shared" si="15"/>
        <v>Citywalk Phase 5.02 - Electrical</v>
      </c>
      <c r="C166" s="147"/>
      <c r="D166" s="148" t="s">
        <v>82</v>
      </c>
      <c r="E166" s="148" t="s">
        <v>83</v>
      </c>
      <c r="F166" s="148" t="s">
        <v>84</v>
      </c>
      <c r="G166" s="148" t="s">
        <v>85</v>
      </c>
      <c r="H166" s="149" t="s">
        <v>106</v>
      </c>
      <c r="I166" s="148" t="s">
        <v>117</v>
      </c>
      <c r="J166" s="149">
        <v>2023</v>
      </c>
      <c r="K166" s="150" t="s">
        <v>87</v>
      </c>
      <c r="L166" s="149" t="s">
        <v>86</v>
      </c>
      <c r="M166" s="149" t="s">
        <v>104</v>
      </c>
      <c r="N166" s="149" t="s">
        <v>105</v>
      </c>
      <c r="O166" s="149" t="s">
        <v>123</v>
      </c>
      <c r="P166" s="149" t="s">
        <v>124</v>
      </c>
      <c r="Q166" s="151">
        <v>11393</v>
      </c>
      <c r="R166" s="151">
        <v>28819</v>
      </c>
      <c r="S166" s="151">
        <v>40212</v>
      </c>
      <c r="T166" s="148" t="s">
        <v>148</v>
      </c>
      <c r="U166" s="154">
        <v>5.12</v>
      </c>
      <c r="V166" s="148" t="s">
        <v>43</v>
      </c>
      <c r="W166" s="149" t="s">
        <v>11</v>
      </c>
      <c r="X166" s="151">
        <v>29886</v>
      </c>
      <c r="Y166" s="151">
        <v>86666</v>
      </c>
      <c r="Z166" s="152">
        <f t="shared" si="14"/>
        <v>116552</v>
      </c>
      <c r="AA166" s="153">
        <f t="shared" si="16"/>
        <v>2.6231896778723778</v>
      </c>
      <c r="AB166" s="153">
        <f t="shared" si="17"/>
        <v>3.0072521600333113</v>
      </c>
      <c r="AC166" s="153">
        <f t="shared" si="18"/>
        <v>2.8984382771312047</v>
      </c>
      <c r="AD166" s="175" t="s">
        <v>157</v>
      </c>
    </row>
    <row r="167" spans="1:30" s="146" customFormat="1" ht="21" customHeight="1" x14ac:dyDescent="0.2">
      <c r="A167" s="146" t="str">
        <f t="shared" si="13"/>
        <v>Citywalk Phase 5.02</v>
      </c>
      <c r="B167" s="147" t="str">
        <f t="shared" si="15"/>
        <v>Citywalk Phase 5.02 - Electrical</v>
      </c>
      <c r="C167" s="147"/>
      <c r="D167" s="148" t="s">
        <v>82</v>
      </c>
      <c r="E167" s="148" t="s">
        <v>83</v>
      </c>
      <c r="F167" s="148" t="s">
        <v>84</v>
      </c>
      <c r="G167" s="148" t="s">
        <v>85</v>
      </c>
      <c r="H167" s="149" t="s">
        <v>106</v>
      </c>
      <c r="I167" s="148" t="s">
        <v>117</v>
      </c>
      <c r="J167" s="149">
        <v>2023</v>
      </c>
      <c r="K167" s="150" t="s">
        <v>87</v>
      </c>
      <c r="L167" s="149" t="s">
        <v>86</v>
      </c>
      <c r="M167" s="149" t="s">
        <v>104</v>
      </c>
      <c r="N167" s="149" t="s">
        <v>105</v>
      </c>
      <c r="O167" s="149" t="s">
        <v>123</v>
      </c>
      <c r="P167" s="149" t="s">
        <v>124</v>
      </c>
      <c r="Q167" s="151">
        <v>11393</v>
      </c>
      <c r="R167" s="151">
        <v>28819</v>
      </c>
      <c r="S167" s="151">
        <v>40212</v>
      </c>
      <c r="T167" s="148" t="s">
        <v>148</v>
      </c>
      <c r="U167" s="154">
        <v>5.12</v>
      </c>
      <c r="V167" s="148" t="s">
        <v>44</v>
      </c>
      <c r="W167" s="149" t="s">
        <v>11</v>
      </c>
      <c r="X167" s="151">
        <v>553702</v>
      </c>
      <c r="Y167" s="151">
        <v>825232</v>
      </c>
      <c r="Z167" s="152">
        <f t="shared" si="14"/>
        <v>1378934</v>
      </c>
      <c r="AA167" s="153">
        <f t="shared" si="16"/>
        <v>48.600193101026946</v>
      </c>
      <c r="AB167" s="153">
        <f t="shared" si="17"/>
        <v>28.634997744543529</v>
      </c>
      <c r="AC167" s="153">
        <f t="shared" si="18"/>
        <v>34.291604496170301</v>
      </c>
      <c r="AD167" s="175" t="s">
        <v>157</v>
      </c>
    </row>
    <row r="168" spans="1:30" s="146" customFormat="1" ht="21" customHeight="1" x14ac:dyDescent="0.2">
      <c r="A168" s="146" t="str">
        <f t="shared" si="13"/>
        <v>Citywalk Phase 5.02</v>
      </c>
      <c r="B168" s="147" t="str">
        <f t="shared" si="15"/>
        <v>Citywalk Phase 5.02 - Electrical</v>
      </c>
      <c r="C168" s="147"/>
      <c r="D168" s="148" t="s">
        <v>82</v>
      </c>
      <c r="E168" s="148" t="s">
        <v>83</v>
      </c>
      <c r="F168" s="148" t="s">
        <v>84</v>
      </c>
      <c r="G168" s="148" t="s">
        <v>85</v>
      </c>
      <c r="H168" s="149" t="s">
        <v>106</v>
      </c>
      <c r="I168" s="148" t="s">
        <v>117</v>
      </c>
      <c r="J168" s="149">
        <v>2023</v>
      </c>
      <c r="K168" s="150" t="s">
        <v>87</v>
      </c>
      <c r="L168" s="149" t="s">
        <v>86</v>
      </c>
      <c r="M168" s="149" t="s">
        <v>104</v>
      </c>
      <c r="N168" s="149" t="s">
        <v>105</v>
      </c>
      <c r="O168" s="149" t="s">
        <v>123</v>
      </c>
      <c r="P168" s="149" t="s">
        <v>124</v>
      </c>
      <c r="Q168" s="151">
        <v>11393</v>
      </c>
      <c r="R168" s="151">
        <v>28819</v>
      </c>
      <c r="S168" s="151">
        <v>40212</v>
      </c>
      <c r="T168" s="148" t="s">
        <v>148</v>
      </c>
      <c r="U168" s="154">
        <v>5.12</v>
      </c>
      <c r="V168" s="148" t="s">
        <v>45</v>
      </c>
      <c r="W168" s="149" t="s">
        <v>11</v>
      </c>
      <c r="X168" s="151">
        <v>58642</v>
      </c>
      <c r="Y168" s="151">
        <v>606610</v>
      </c>
      <c r="Z168" s="152">
        <f t="shared" si="14"/>
        <v>665252</v>
      </c>
      <c r="AA168" s="153">
        <f t="shared" si="16"/>
        <v>5.1471956464495747</v>
      </c>
      <c r="AB168" s="153">
        <f t="shared" si="17"/>
        <v>21.048960755057429</v>
      </c>
      <c r="AC168" s="153">
        <f t="shared" si="18"/>
        <v>16.543618820252661</v>
      </c>
      <c r="AD168" s="175" t="s">
        <v>157</v>
      </c>
    </row>
    <row r="169" spans="1:30" s="146" customFormat="1" ht="21" customHeight="1" x14ac:dyDescent="0.2">
      <c r="A169" s="146" t="str">
        <f t="shared" si="13"/>
        <v>Citywalk Phase 5.02</v>
      </c>
      <c r="B169" s="147" t="str">
        <f t="shared" si="15"/>
        <v>Citywalk Phase 5.02 - Electrical</v>
      </c>
      <c r="C169" s="147"/>
      <c r="D169" s="148" t="s">
        <v>82</v>
      </c>
      <c r="E169" s="148" t="s">
        <v>83</v>
      </c>
      <c r="F169" s="148" t="s">
        <v>84</v>
      </c>
      <c r="G169" s="148" t="s">
        <v>85</v>
      </c>
      <c r="H169" s="149" t="s">
        <v>106</v>
      </c>
      <c r="I169" s="148" t="s">
        <v>117</v>
      </c>
      <c r="J169" s="149">
        <v>2023</v>
      </c>
      <c r="K169" s="150" t="s">
        <v>87</v>
      </c>
      <c r="L169" s="149" t="s">
        <v>86</v>
      </c>
      <c r="M169" s="149" t="s">
        <v>104</v>
      </c>
      <c r="N169" s="149" t="s">
        <v>105</v>
      </c>
      <c r="O169" s="149" t="s">
        <v>123</v>
      </c>
      <c r="P169" s="149" t="s">
        <v>124</v>
      </c>
      <c r="Q169" s="151">
        <v>11393</v>
      </c>
      <c r="R169" s="151">
        <v>28819</v>
      </c>
      <c r="S169" s="151">
        <v>40212</v>
      </c>
      <c r="T169" s="148" t="s">
        <v>148</v>
      </c>
      <c r="U169" s="154">
        <v>5.12</v>
      </c>
      <c r="V169" s="148" t="s">
        <v>46</v>
      </c>
      <c r="W169" s="149" t="s">
        <v>11</v>
      </c>
      <c r="X169" s="151">
        <v>73635</v>
      </c>
      <c r="Y169" s="151">
        <v>10000</v>
      </c>
      <c r="Z169" s="152">
        <f t="shared" si="14"/>
        <v>83635</v>
      </c>
      <c r="AA169" s="153">
        <f t="shared" si="16"/>
        <v>6.4631791450890894</v>
      </c>
      <c r="AB169" s="153">
        <f t="shared" si="17"/>
        <v>0.34699330302925152</v>
      </c>
      <c r="AC169" s="153">
        <f t="shared" si="18"/>
        <v>2.0798517855366558</v>
      </c>
      <c r="AD169" s="175" t="s">
        <v>157</v>
      </c>
    </row>
    <row r="170" spans="1:30" s="146" customFormat="1" ht="21" customHeight="1" x14ac:dyDescent="0.2">
      <c r="A170" s="146" t="str">
        <f t="shared" si="13"/>
        <v>Citywalk Phase 5.02</v>
      </c>
      <c r="B170" s="147" t="str">
        <f t="shared" si="15"/>
        <v>Citywalk Phase 5.02 - Electrical</v>
      </c>
      <c r="C170" s="147"/>
      <c r="D170" s="148" t="s">
        <v>82</v>
      </c>
      <c r="E170" s="148" t="s">
        <v>83</v>
      </c>
      <c r="F170" s="148" t="s">
        <v>84</v>
      </c>
      <c r="G170" s="148" t="s">
        <v>85</v>
      </c>
      <c r="H170" s="149" t="s">
        <v>106</v>
      </c>
      <c r="I170" s="148" t="s">
        <v>117</v>
      </c>
      <c r="J170" s="149">
        <v>2023</v>
      </c>
      <c r="K170" s="150" t="s">
        <v>87</v>
      </c>
      <c r="L170" s="149" t="s">
        <v>86</v>
      </c>
      <c r="M170" s="149" t="s">
        <v>104</v>
      </c>
      <c r="N170" s="149" t="s">
        <v>105</v>
      </c>
      <c r="O170" s="149" t="s">
        <v>123</v>
      </c>
      <c r="P170" s="149" t="s">
        <v>124</v>
      </c>
      <c r="Q170" s="151">
        <v>11393</v>
      </c>
      <c r="R170" s="151">
        <v>28819</v>
      </c>
      <c r="S170" s="151">
        <v>40212</v>
      </c>
      <c r="T170" s="148" t="s">
        <v>148</v>
      </c>
      <c r="U170" s="154">
        <v>5.12</v>
      </c>
      <c r="V170" s="148" t="s">
        <v>47</v>
      </c>
      <c r="W170" s="149" t="s">
        <v>11</v>
      </c>
      <c r="X170" s="151">
        <v>183792</v>
      </c>
      <c r="Y170" s="151">
        <v>80159</v>
      </c>
      <c r="Z170" s="152">
        <f t="shared" si="14"/>
        <v>263951</v>
      </c>
      <c r="AA170" s="153">
        <f t="shared" si="16"/>
        <v>16.132010883876063</v>
      </c>
      <c r="AB170" s="153">
        <f t="shared" si="17"/>
        <v>2.7814636177521774</v>
      </c>
      <c r="AC170" s="153">
        <f t="shared" si="18"/>
        <v>6.5639858748632252</v>
      </c>
      <c r="AD170" s="175" t="s">
        <v>157</v>
      </c>
    </row>
    <row r="171" spans="1:30" s="146" customFormat="1" ht="21" customHeight="1" x14ac:dyDescent="0.2">
      <c r="A171" s="146" t="str">
        <f t="shared" si="13"/>
        <v>Citywalk Phase 5.02</v>
      </c>
      <c r="B171" s="147" t="str">
        <f t="shared" si="15"/>
        <v>Citywalk Phase 5.02 - Electrical</v>
      </c>
      <c r="C171" s="147"/>
      <c r="D171" s="148" t="s">
        <v>82</v>
      </c>
      <c r="E171" s="148" t="s">
        <v>83</v>
      </c>
      <c r="F171" s="148" t="s">
        <v>84</v>
      </c>
      <c r="G171" s="148" t="s">
        <v>85</v>
      </c>
      <c r="H171" s="149" t="s">
        <v>106</v>
      </c>
      <c r="I171" s="148" t="s">
        <v>117</v>
      </c>
      <c r="J171" s="149">
        <v>2023</v>
      </c>
      <c r="K171" s="150" t="s">
        <v>87</v>
      </c>
      <c r="L171" s="149" t="s">
        <v>86</v>
      </c>
      <c r="M171" s="149" t="s">
        <v>104</v>
      </c>
      <c r="N171" s="149" t="s">
        <v>105</v>
      </c>
      <c r="O171" s="149" t="s">
        <v>123</v>
      </c>
      <c r="P171" s="149" t="s">
        <v>124</v>
      </c>
      <c r="Q171" s="151">
        <v>11393</v>
      </c>
      <c r="R171" s="151">
        <v>28819</v>
      </c>
      <c r="S171" s="151">
        <v>40212</v>
      </c>
      <c r="T171" s="148" t="s">
        <v>148</v>
      </c>
      <c r="U171" s="154">
        <v>5.12</v>
      </c>
      <c r="V171" s="148" t="s">
        <v>48</v>
      </c>
      <c r="W171" s="149" t="s">
        <v>11</v>
      </c>
      <c r="X171" s="151">
        <v>0</v>
      </c>
      <c r="Y171" s="151">
        <v>204736</v>
      </c>
      <c r="Z171" s="152">
        <f t="shared" si="14"/>
        <v>204736</v>
      </c>
      <c r="AA171" s="153">
        <f t="shared" si="16"/>
        <v>0</v>
      </c>
      <c r="AB171" s="153">
        <f t="shared" si="17"/>
        <v>7.104202088899684</v>
      </c>
      <c r="AC171" s="153">
        <f t="shared" si="18"/>
        <v>5.0914154978613348</v>
      </c>
      <c r="AD171" s="175" t="s">
        <v>157</v>
      </c>
    </row>
    <row r="172" spans="1:30" s="146" customFormat="1" ht="21" customHeight="1" x14ac:dyDescent="0.2">
      <c r="A172" s="146" t="str">
        <f t="shared" si="13"/>
        <v>Citywalk Phase 5.02</v>
      </c>
      <c r="B172" s="147" t="str">
        <f t="shared" si="15"/>
        <v>Citywalk Phase 5.02 - Electrical</v>
      </c>
      <c r="C172" s="147"/>
      <c r="D172" s="148" t="s">
        <v>82</v>
      </c>
      <c r="E172" s="148" t="s">
        <v>83</v>
      </c>
      <c r="F172" s="148" t="s">
        <v>84</v>
      </c>
      <c r="G172" s="148" t="s">
        <v>85</v>
      </c>
      <c r="H172" s="149" t="s">
        <v>106</v>
      </c>
      <c r="I172" s="148" t="s">
        <v>117</v>
      </c>
      <c r="J172" s="149">
        <v>2023</v>
      </c>
      <c r="K172" s="150" t="s">
        <v>87</v>
      </c>
      <c r="L172" s="149" t="s">
        <v>86</v>
      </c>
      <c r="M172" s="149" t="s">
        <v>104</v>
      </c>
      <c r="N172" s="149" t="s">
        <v>105</v>
      </c>
      <c r="O172" s="149" t="s">
        <v>123</v>
      </c>
      <c r="P172" s="149" t="s">
        <v>124</v>
      </c>
      <c r="Q172" s="151">
        <v>11393</v>
      </c>
      <c r="R172" s="151">
        <v>28819</v>
      </c>
      <c r="S172" s="151">
        <v>40212</v>
      </c>
      <c r="T172" s="148" t="s">
        <v>148</v>
      </c>
      <c r="U172" s="154">
        <v>5.12</v>
      </c>
      <c r="V172" s="148" t="s">
        <v>49</v>
      </c>
      <c r="W172" s="149" t="s">
        <v>11</v>
      </c>
      <c r="X172" s="151">
        <v>0</v>
      </c>
      <c r="Y172" s="151">
        <v>5648</v>
      </c>
      <c r="Z172" s="152">
        <f t="shared" si="14"/>
        <v>5648</v>
      </c>
      <c r="AA172" s="153">
        <f t="shared" si="16"/>
        <v>0</v>
      </c>
      <c r="AB172" s="153">
        <f t="shared" si="17"/>
        <v>0.19598181755092126</v>
      </c>
      <c r="AC172" s="153">
        <f t="shared" si="18"/>
        <v>0.14045558539739381</v>
      </c>
      <c r="AD172" s="175" t="s">
        <v>157</v>
      </c>
    </row>
    <row r="173" spans="1:30" s="146" customFormat="1" ht="21" customHeight="1" x14ac:dyDescent="0.2">
      <c r="A173" s="146" t="str">
        <f t="shared" si="13"/>
        <v>Citywalk Phase 5.02</v>
      </c>
      <c r="B173" s="147" t="str">
        <f t="shared" si="15"/>
        <v>Citywalk Phase 5.02 - Electrical</v>
      </c>
      <c r="C173" s="147"/>
      <c r="D173" s="148" t="s">
        <v>82</v>
      </c>
      <c r="E173" s="148" t="s">
        <v>83</v>
      </c>
      <c r="F173" s="148" t="s">
        <v>84</v>
      </c>
      <c r="G173" s="148" t="s">
        <v>85</v>
      </c>
      <c r="H173" s="149" t="s">
        <v>106</v>
      </c>
      <c r="I173" s="148" t="s">
        <v>117</v>
      </c>
      <c r="J173" s="149">
        <v>2023</v>
      </c>
      <c r="K173" s="150" t="s">
        <v>87</v>
      </c>
      <c r="L173" s="149" t="s">
        <v>86</v>
      </c>
      <c r="M173" s="149" t="s">
        <v>104</v>
      </c>
      <c r="N173" s="149" t="s">
        <v>105</v>
      </c>
      <c r="O173" s="149" t="s">
        <v>123</v>
      </c>
      <c r="P173" s="149" t="s">
        <v>124</v>
      </c>
      <c r="Q173" s="151">
        <v>11393</v>
      </c>
      <c r="R173" s="151">
        <v>28819</v>
      </c>
      <c r="S173" s="151">
        <v>40212</v>
      </c>
      <c r="T173" s="148" t="s">
        <v>148</v>
      </c>
      <c r="U173" s="154">
        <v>5.12</v>
      </c>
      <c r="V173" s="148" t="s">
        <v>50</v>
      </c>
      <c r="W173" s="149" t="s">
        <v>11</v>
      </c>
      <c r="X173" s="151">
        <v>39133</v>
      </c>
      <c r="Y173" s="151">
        <v>13660</v>
      </c>
      <c r="Z173" s="152">
        <f t="shared" si="14"/>
        <v>52793</v>
      </c>
      <c r="AA173" s="153">
        <f t="shared" si="16"/>
        <v>3.4348284034056</v>
      </c>
      <c r="AB173" s="153">
        <f t="shared" si="17"/>
        <v>0.47399285193795759</v>
      </c>
      <c r="AC173" s="153">
        <f t="shared" si="18"/>
        <v>1.3128668059285786</v>
      </c>
      <c r="AD173" s="175" t="s">
        <v>157</v>
      </c>
    </row>
    <row r="174" spans="1:30" s="146" customFormat="1" ht="21" customHeight="1" x14ac:dyDescent="0.2">
      <c r="A174" s="146" t="str">
        <f t="shared" si="13"/>
        <v>Citywalk Phase 5.02</v>
      </c>
      <c r="B174" s="147" t="str">
        <f t="shared" si="15"/>
        <v>Citywalk Phase 5.02 - Electrical</v>
      </c>
      <c r="C174" s="147"/>
      <c r="D174" s="148" t="s">
        <v>82</v>
      </c>
      <c r="E174" s="148" t="s">
        <v>83</v>
      </c>
      <c r="F174" s="148" t="s">
        <v>84</v>
      </c>
      <c r="G174" s="148" t="s">
        <v>85</v>
      </c>
      <c r="H174" s="149" t="s">
        <v>106</v>
      </c>
      <c r="I174" s="148" t="s">
        <v>117</v>
      </c>
      <c r="J174" s="149">
        <v>2023</v>
      </c>
      <c r="K174" s="150" t="s">
        <v>87</v>
      </c>
      <c r="L174" s="149" t="s">
        <v>86</v>
      </c>
      <c r="M174" s="149" t="s">
        <v>104</v>
      </c>
      <c r="N174" s="149" t="s">
        <v>105</v>
      </c>
      <c r="O174" s="149" t="s">
        <v>123</v>
      </c>
      <c r="P174" s="149" t="s">
        <v>124</v>
      </c>
      <c r="Q174" s="151">
        <v>11393</v>
      </c>
      <c r="R174" s="151">
        <v>28819</v>
      </c>
      <c r="S174" s="151">
        <v>40212</v>
      </c>
      <c r="T174" s="148" t="s">
        <v>148</v>
      </c>
      <c r="U174" s="154">
        <v>5.12</v>
      </c>
      <c r="V174" s="148" t="s">
        <v>51</v>
      </c>
      <c r="W174" s="149" t="s">
        <v>11</v>
      </c>
      <c r="X174" s="151">
        <v>140000</v>
      </c>
      <c r="Y174" s="151">
        <v>504000</v>
      </c>
      <c r="Z174" s="152">
        <f t="shared" si="14"/>
        <v>644000</v>
      </c>
      <c r="AA174" s="153">
        <f t="shared" si="16"/>
        <v>12.288247169314491</v>
      </c>
      <c r="AB174" s="153">
        <f t="shared" si="17"/>
        <v>17.488462472674279</v>
      </c>
      <c r="AC174" s="153">
        <f t="shared" si="18"/>
        <v>16.015119864717001</v>
      </c>
      <c r="AD174" s="175" t="s">
        <v>157</v>
      </c>
    </row>
    <row r="175" spans="1:30" s="146" customFormat="1" ht="21" customHeight="1" x14ac:dyDescent="0.2">
      <c r="A175" s="146" t="str">
        <f t="shared" si="13"/>
        <v>Citywalk Phase 5.02</v>
      </c>
      <c r="B175" s="147" t="str">
        <f t="shared" si="15"/>
        <v>Citywalk Phase 5.02 - Electrical</v>
      </c>
      <c r="C175" s="147"/>
      <c r="D175" s="148" t="s">
        <v>82</v>
      </c>
      <c r="E175" s="148" t="s">
        <v>83</v>
      </c>
      <c r="F175" s="148" t="s">
        <v>84</v>
      </c>
      <c r="G175" s="148" t="s">
        <v>85</v>
      </c>
      <c r="H175" s="149" t="s">
        <v>106</v>
      </c>
      <c r="I175" s="148" t="s">
        <v>117</v>
      </c>
      <c r="J175" s="149">
        <v>2023</v>
      </c>
      <c r="K175" s="150" t="s">
        <v>87</v>
      </c>
      <c r="L175" s="149" t="s">
        <v>86</v>
      </c>
      <c r="M175" s="149" t="s">
        <v>104</v>
      </c>
      <c r="N175" s="149" t="s">
        <v>105</v>
      </c>
      <c r="O175" s="149" t="s">
        <v>123</v>
      </c>
      <c r="P175" s="149" t="s">
        <v>124</v>
      </c>
      <c r="Q175" s="151">
        <v>11393</v>
      </c>
      <c r="R175" s="151">
        <v>28819</v>
      </c>
      <c r="S175" s="151">
        <v>40212</v>
      </c>
      <c r="T175" s="148" t="s">
        <v>148</v>
      </c>
      <c r="U175" s="155" t="s">
        <v>53</v>
      </c>
      <c r="V175" s="148" t="s">
        <v>27</v>
      </c>
      <c r="W175" s="149" t="s">
        <v>11</v>
      </c>
      <c r="X175" s="151">
        <v>177213</v>
      </c>
      <c r="Y175" s="151">
        <v>627482</v>
      </c>
      <c r="Z175" s="152">
        <f t="shared" si="14"/>
        <v>804695</v>
      </c>
      <c r="AA175" s="153">
        <f t="shared" si="16"/>
        <v>15.554551040112349</v>
      </c>
      <c r="AB175" s="153">
        <f t="shared" si="17"/>
        <v>21.773205177140081</v>
      </c>
      <c r="AC175" s="153">
        <f t="shared" si="18"/>
        <v>20.011315030339201</v>
      </c>
      <c r="AD175" s="175" t="s">
        <v>157</v>
      </c>
    </row>
    <row r="176" spans="1:30" s="124" customFormat="1" ht="21" customHeight="1" x14ac:dyDescent="0.2">
      <c r="A176" s="124" t="str">
        <f t="shared" si="13"/>
        <v>Citywalk Phase 5.07</v>
      </c>
      <c r="B176" s="120" t="str">
        <f t="shared" si="15"/>
        <v>Citywalk Phase 5.07 - Mechanical</v>
      </c>
      <c r="C176" s="120"/>
      <c r="D176" s="121" t="s">
        <v>82</v>
      </c>
      <c r="E176" s="121" t="s">
        <v>83</v>
      </c>
      <c r="F176" s="121" t="s">
        <v>84</v>
      </c>
      <c r="G176" s="121" t="s">
        <v>85</v>
      </c>
      <c r="H176" s="122" t="s">
        <v>109</v>
      </c>
      <c r="I176" s="121" t="s">
        <v>118</v>
      </c>
      <c r="J176" s="122">
        <v>2023</v>
      </c>
      <c r="K176" s="123" t="s">
        <v>87</v>
      </c>
      <c r="L176" s="122" t="s">
        <v>86</v>
      </c>
      <c r="M176" s="122" t="s">
        <v>104</v>
      </c>
      <c r="N176" s="122" t="s">
        <v>105</v>
      </c>
      <c r="O176" s="122" t="s">
        <v>123</v>
      </c>
      <c r="P176" s="122" t="s">
        <v>124</v>
      </c>
      <c r="Q176" s="112">
        <v>11393</v>
      </c>
      <c r="R176" s="112">
        <v>28819</v>
      </c>
      <c r="S176" s="112">
        <v>40212</v>
      </c>
      <c r="T176" s="121" t="s">
        <v>127</v>
      </c>
      <c r="U176" s="141">
        <v>5.3</v>
      </c>
      <c r="V176" s="121" t="s">
        <v>14</v>
      </c>
      <c r="W176" s="122" t="s">
        <v>11</v>
      </c>
      <c r="X176" s="112">
        <v>870920</v>
      </c>
      <c r="Y176" s="112">
        <v>2762730</v>
      </c>
      <c r="Z176" s="139">
        <f t="shared" si="14"/>
        <v>3633650</v>
      </c>
      <c r="AA176" s="140">
        <f t="shared" si="16"/>
        <v>76.443430176424116</v>
      </c>
      <c r="AB176" s="140">
        <f t="shared" si="17"/>
        <v>95.864880807800404</v>
      </c>
      <c r="AC176" s="140">
        <f t="shared" si="18"/>
        <v>90.362329652839946</v>
      </c>
      <c r="AD176" s="176" t="s">
        <v>157</v>
      </c>
    </row>
    <row r="177" spans="1:30" s="124" customFormat="1" ht="21" customHeight="1" x14ac:dyDescent="0.2">
      <c r="A177" s="124" t="str">
        <f t="shared" si="13"/>
        <v>Citywalk Phase 5.07</v>
      </c>
      <c r="B177" s="120" t="str">
        <f t="shared" si="15"/>
        <v>Citywalk Phase 5.07 - Mechanical</v>
      </c>
      <c r="C177" s="120"/>
      <c r="D177" s="121" t="s">
        <v>82</v>
      </c>
      <c r="E177" s="121" t="s">
        <v>83</v>
      </c>
      <c r="F177" s="121" t="s">
        <v>84</v>
      </c>
      <c r="G177" s="121" t="s">
        <v>85</v>
      </c>
      <c r="H177" s="122" t="s">
        <v>109</v>
      </c>
      <c r="I177" s="121" t="s">
        <v>118</v>
      </c>
      <c r="J177" s="122">
        <v>2023</v>
      </c>
      <c r="K177" s="123" t="s">
        <v>87</v>
      </c>
      <c r="L177" s="122" t="s">
        <v>86</v>
      </c>
      <c r="M177" s="122" t="s">
        <v>104</v>
      </c>
      <c r="N177" s="122" t="s">
        <v>105</v>
      </c>
      <c r="O177" s="122" t="s">
        <v>123</v>
      </c>
      <c r="P177" s="122" t="s">
        <v>124</v>
      </c>
      <c r="Q177" s="112">
        <v>11393</v>
      </c>
      <c r="R177" s="112">
        <v>28819</v>
      </c>
      <c r="S177" s="112">
        <v>40212</v>
      </c>
      <c r="T177" s="121" t="s">
        <v>127</v>
      </c>
      <c r="U177" s="141">
        <v>5.3</v>
      </c>
      <c r="V177" s="121" t="s">
        <v>15</v>
      </c>
      <c r="W177" s="122" t="s">
        <v>11</v>
      </c>
      <c r="X177" s="112">
        <v>52558</v>
      </c>
      <c r="Y177" s="112">
        <v>0</v>
      </c>
      <c r="Z177" s="139">
        <f t="shared" si="14"/>
        <v>52558</v>
      </c>
      <c r="AA177" s="140">
        <f t="shared" si="16"/>
        <v>4.613183533748793</v>
      </c>
      <c r="AB177" s="140">
        <f t="shared" si="17"/>
        <v>0</v>
      </c>
      <c r="AC177" s="140">
        <f t="shared" si="18"/>
        <v>1.3070227792698697</v>
      </c>
      <c r="AD177" s="176" t="s">
        <v>157</v>
      </c>
    </row>
    <row r="178" spans="1:30" s="124" customFormat="1" ht="21" customHeight="1" x14ac:dyDescent="0.2">
      <c r="A178" s="124" t="str">
        <f t="shared" si="13"/>
        <v>Citywalk Phase 5.07</v>
      </c>
      <c r="B178" s="120" t="str">
        <f t="shared" si="15"/>
        <v>Citywalk Phase 5.07 - Mechanical</v>
      </c>
      <c r="C178" s="120"/>
      <c r="D178" s="121" t="s">
        <v>82</v>
      </c>
      <c r="E178" s="121" t="s">
        <v>83</v>
      </c>
      <c r="F178" s="121" t="s">
        <v>84</v>
      </c>
      <c r="G178" s="121" t="s">
        <v>85</v>
      </c>
      <c r="H178" s="122" t="s">
        <v>109</v>
      </c>
      <c r="I178" s="121" t="s">
        <v>118</v>
      </c>
      <c r="J178" s="122">
        <v>2023</v>
      </c>
      <c r="K178" s="123" t="s">
        <v>87</v>
      </c>
      <c r="L178" s="122" t="s">
        <v>86</v>
      </c>
      <c r="M178" s="122" t="s">
        <v>104</v>
      </c>
      <c r="N178" s="122" t="s">
        <v>105</v>
      </c>
      <c r="O178" s="122" t="s">
        <v>123</v>
      </c>
      <c r="P178" s="122" t="s">
        <v>124</v>
      </c>
      <c r="Q178" s="112">
        <v>11393</v>
      </c>
      <c r="R178" s="112">
        <v>28819</v>
      </c>
      <c r="S178" s="112">
        <v>40212</v>
      </c>
      <c r="T178" s="121" t="s">
        <v>127</v>
      </c>
      <c r="U178" s="141">
        <v>5.4</v>
      </c>
      <c r="V178" s="121" t="s">
        <v>16</v>
      </c>
      <c r="W178" s="122" t="s">
        <v>11</v>
      </c>
      <c r="X178" s="112">
        <v>154620</v>
      </c>
      <c r="Y178" s="112">
        <v>2569847</v>
      </c>
      <c r="Z178" s="139">
        <f t="shared" si="14"/>
        <v>2724467</v>
      </c>
      <c r="AA178" s="140">
        <f t="shared" si="16"/>
        <v>13.57149126656719</v>
      </c>
      <c r="AB178" s="140">
        <f t="shared" si="17"/>
        <v>89.171969880981294</v>
      </c>
      <c r="AC178" s="140">
        <f t="shared" si="18"/>
        <v>67.752586292648957</v>
      </c>
      <c r="AD178" s="176" t="s">
        <v>157</v>
      </c>
    </row>
    <row r="179" spans="1:30" s="124" customFormat="1" ht="21" customHeight="1" x14ac:dyDescent="0.2">
      <c r="A179" s="124" t="str">
        <f t="shared" si="13"/>
        <v>Citywalk Phase 5.07</v>
      </c>
      <c r="B179" s="120" t="str">
        <f t="shared" si="15"/>
        <v>Citywalk Phase 5.07 - Mechanical</v>
      </c>
      <c r="C179" s="120"/>
      <c r="D179" s="121" t="s">
        <v>82</v>
      </c>
      <c r="E179" s="121" t="s">
        <v>83</v>
      </c>
      <c r="F179" s="121" t="s">
        <v>84</v>
      </c>
      <c r="G179" s="121" t="s">
        <v>85</v>
      </c>
      <c r="H179" s="122" t="s">
        <v>109</v>
      </c>
      <c r="I179" s="121" t="s">
        <v>118</v>
      </c>
      <c r="J179" s="122">
        <v>2023</v>
      </c>
      <c r="K179" s="123" t="s">
        <v>87</v>
      </c>
      <c r="L179" s="122" t="s">
        <v>86</v>
      </c>
      <c r="M179" s="122" t="s">
        <v>104</v>
      </c>
      <c r="N179" s="122" t="s">
        <v>105</v>
      </c>
      <c r="O179" s="122" t="s">
        <v>123</v>
      </c>
      <c r="P179" s="122" t="s">
        <v>124</v>
      </c>
      <c r="Q179" s="112">
        <v>11393</v>
      </c>
      <c r="R179" s="112">
        <v>28819</v>
      </c>
      <c r="S179" s="112">
        <v>40212</v>
      </c>
      <c r="T179" s="121" t="s">
        <v>127</v>
      </c>
      <c r="U179" s="141">
        <v>5.4</v>
      </c>
      <c r="V179" s="121" t="s">
        <v>17</v>
      </c>
      <c r="W179" s="122" t="s">
        <v>11</v>
      </c>
      <c r="X179" s="112">
        <v>172414</v>
      </c>
      <c r="Y179" s="112">
        <v>817619</v>
      </c>
      <c r="Z179" s="139">
        <f t="shared" si="14"/>
        <v>990033</v>
      </c>
      <c r="AA179" s="140">
        <f t="shared" si="16"/>
        <v>15.133327481787063</v>
      </c>
      <c r="AB179" s="140">
        <f t="shared" si="17"/>
        <v>28.37083174294736</v>
      </c>
      <c r="AC179" s="140">
        <f t="shared" si="18"/>
        <v>24.620337212772306</v>
      </c>
      <c r="AD179" s="176" t="s">
        <v>157</v>
      </c>
    </row>
    <row r="180" spans="1:30" s="124" customFormat="1" ht="21" customHeight="1" x14ac:dyDescent="0.2">
      <c r="A180" s="124" t="str">
        <f t="shared" si="13"/>
        <v>Citywalk Phase 5.07</v>
      </c>
      <c r="B180" s="120" t="str">
        <f t="shared" si="15"/>
        <v>Citywalk Phase 5.07 - Mechanical</v>
      </c>
      <c r="C180" s="120"/>
      <c r="D180" s="121" t="s">
        <v>82</v>
      </c>
      <c r="E180" s="121" t="s">
        <v>83</v>
      </c>
      <c r="F180" s="121" t="s">
        <v>84</v>
      </c>
      <c r="G180" s="121" t="s">
        <v>85</v>
      </c>
      <c r="H180" s="122" t="s">
        <v>109</v>
      </c>
      <c r="I180" s="121" t="s">
        <v>118</v>
      </c>
      <c r="J180" s="122">
        <v>2023</v>
      </c>
      <c r="K180" s="123" t="s">
        <v>87</v>
      </c>
      <c r="L180" s="122" t="s">
        <v>86</v>
      </c>
      <c r="M180" s="122" t="s">
        <v>104</v>
      </c>
      <c r="N180" s="122" t="s">
        <v>105</v>
      </c>
      <c r="O180" s="122" t="s">
        <v>123</v>
      </c>
      <c r="P180" s="122" t="s">
        <v>124</v>
      </c>
      <c r="Q180" s="112">
        <v>11393</v>
      </c>
      <c r="R180" s="112">
        <v>28819</v>
      </c>
      <c r="S180" s="112">
        <v>40212</v>
      </c>
      <c r="T180" s="121" t="s">
        <v>127</v>
      </c>
      <c r="U180" s="141" t="s">
        <v>28</v>
      </c>
      <c r="V180" s="121" t="s">
        <v>18</v>
      </c>
      <c r="W180" s="122" t="s">
        <v>11</v>
      </c>
      <c r="X180" s="112">
        <v>1535489</v>
      </c>
      <c r="Y180" s="112">
        <v>2706443</v>
      </c>
      <c r="Z180" s="139">
        <f t="shared" si="14"/>
        <v>4241932</v>
      </c>
      <c r="AA180" s="140">
        <f t="shared" si="16"/>
        <v>134.77477398402527</v>
      </c>
      <c r="AB180" s="140">
        <f t="shared" si="17"/>
        <v>93.911759603039656</v>
      </c>
      <c r="AC180" s="140">
        <f t="shared" si="18"/>
        <v>105.4892072018303</v>
      </c>
      <c r="AD180" s="176" t="s">
        <v>157</v>
      </c>
    </row>
    <row r="181" spans="1:30" s="124" customFormat="1" ht="21" customHeight="1" x14ac:dyDescent="0.2">
      <c r="A181" s="124" t="str">
        <f t="shared" si="13"/>
        <v>Citywalk Phase 5.07</v>
      </c>
      <c r="B181" s="120" t="str">
        <f t="shared" si="15"/>
        <v>Citywalk Phase 5.07 - Mechanical</v>
      </c>
      <c r="C181" s="120"/>
      <c r="D181" s="121" t="s">
        <v>82</v>
      </c>
      <c r="E181" s="121" t="s">
        <v>83</v>
      </c>
      <c r="F181" s="121" t="s">
        <v>84</v>
      </c>
      <c r="G181" s="121" t="s">
        <v>85</v>
      </c>
      <c r="H181" s="122" t="s">
        <v>109</v>
      </c>
      <c r="I181" s="121" t="s">
        <v>118</v>
      </c>
      <c r="J181" s="122">
        <v>2023</v>
      </c>
      <c r="K181" s="123" t="s">
        <v>87</v>
      </c>
      <c r="L181" s="122" t="s">
        <v>86</v>
      </c>
      <c r="M181" s="122" t="s">
        <v>104</v>
      </c>
      <c r="N181" s="122" t="s">
        <v>105</v>
      </c>
      <c r="O181" s="122" t="s">
        <v>123</v>
      </c>
      <c r="P181" s="122" t="s">
        <v>124</v>
      </c>
      <c r="Q181" s="112">
        <v>11393</v>
      </c>
      <c r="R181" s="112">
        <v>28819</v>
      </c>
      <c r="S181" s="112">
        <v>40212</v>
      </c>
      <c r="T181" s="121" t="s">
        <v>127</v>
      </c>
      <c r="U181" s="141" t="s">
        <v>28</v>
      </c>
      <c r="V181" s="121" t="s">
        <v>19</v>
      </c>
      <c r="W181" s="122" t="s">
        <v>11</v>
      </c>
      <c r="X181" s="112">
        <v>723498</v>
      </c>
      <c r="Y181" s="112">
        <v>0</v>
      </c>
      <c r="Z181" s="139">
        <f t="shared" si="14"/>
        <v>723498</v>
      </c>
      <c r="AA181" s="140">
        <f t="shared" si="16"/>
        <v>63.503730360747831</v>
      </c>
      <c r="AB181" s="140">
        <f t="shared" si="17"/>
        <v>0</v>
      </c>
      <c r="AC181" s="140">
        <f t="shared" si="18"/>
        <v>17.992091912861831</v>
      </c>
      <c r="AD181" s="176" t="s">
        <v>157</v>
      </c>
    </row>
    <row r="182" spans="1:30" s="124" customFormat="1" ht="21" customHeight="1" x14ac:dyDescent="0.2">
      <c r="A182" s="124" t="str">
        <f t="shared" si="13"/>
        <v>Citywalk Phase 5.07</v>
      </c>
      <c r="B182" s="120" t="str">
        <f t="shared" si="15"/>
        <v>Citywalk Phase 5.07 - Mechanical</v>
      </c>
      <c r="C182" s="120"/>
      <c r="D182" s="121" t="s">
        <v>82</v>
      </c>
      <c r="E182" s="121" t="s">
        <v>83</v>
      </c>
      <c r="F182" s="121" t="s">
        <v>84</v>
      </c>
      <c r="G182" s="121" t="s">
        <v>85</v>
      </c>
      <c r="H182" s="122" t="s">
        <v>109</v>
      </c>
      <c r="I182" s="121" t="s">
        <v>118</v>
      </c>
      <c r="J182" s="122">
        <v>2023</v>
      </c>
      <c r="K182" s="123" t="s">
        <v>87</v>
      </c>
      <c r="L182" s="122" t="s">
        <v>86</v>
      </c>
      <c r="M182" s="122" t="s">
        <v>104</v>
      </c>
      <c r="N182" s="122" t="s">
        <v>105</v>
      </c>
      <c r="O182" s="122" t="s">
        <v>123</v>
      </c>
      <c r="P182" s="122" t="s">
        <v>124</v>
      </c>
      <c r="Q182" s="112">
        <v>11393</v>
      </c>
      <c r="R182" s="112">
        <v>28819</v>
      </c>
      <c r="S182" s="112">
        <v>40212</v>
      </c>
      <c r="T182" s="121" t="s">
        <v>127</v>
      </c>
      <c r="U182" s="141" t="s">
        <v>28</v>
      </c>
      <c r="V182" s="121" t="s">
        <v>20</v>
      </c>
      <c r="W182" s="122" t="s">
        <v>11</v>
      </c>
      <c r="X182" s="112">
        <v>950344</v>
      </c>
      <c r="Y182" s="112">
        <v>0</v>
      </c>
      <c r="Z182" s="139">
        <f t="shared" si="14"/>
        <v>950344</v>
      </c>
      <c r="AA182" s="140">
        <f t="shared" si="16"/>
        <v>83.414728341964363</v>
      </c>
      <c r="AB182" s="140">
        <f t="shared" si="17"/>
        <v>0</v>
      </c>
      <c r="AC182" s="140">
        <f t="shared" si="18"/>
        <v>23.633343280612753</v>
      </c>
      <c r="AD182" s="176" t="s">
        <v>157</v>
      </c>
    </row>
    <row r="183" spans="1:30" s="124" customFormat="1" ht="21" customHeight="1" x14ac:dyDescent="0.2">
      <c r="A183" s="124" t="str">
        <f t="shared" si="13"/>
        <v>Citywalk Phase 5.07</v>
      </c>
      <c r="B183" s="120" t="str">
        <f t="shared" si="15"/>
        <v>Citywalk Phase 5.07 - Mechanical</v>
      </c>
      <c r="C183" s="120"/>
      <c r="D183" s="121" t="s">
        <v>82</v>
      </c>
      <c r="E183" s="121" t="s">
        <v>83</v>
      </c>
      <c r="F183" s="121" t="s">
        <v>84</v>
      </c>
      <c r="G183" s="121" t="s">
        <v>85</v>
      </c>
      <c r="H183" s="122" t="s">
        <v>109</v>
      </c>
      <c r="I183" s="121" t="s">
        <v>118</v>
      </c>
      <c r="J183" s="122">
        <v>2023</v>
      </c>
      <c r="K183" s="123" t="s">
        <v>87</v>
      </c>
      <c r="L183" s="122" t="s">
        <v>86</v>
      </c>
      <c r="M183" s="122" t="s">
        <v>104</v>
      </c>
      <c r="N183" s="122" t="s">
        <v>105</v>
      </c>
      <c r="O183" s="122" t="s">
        <v>123</v>
      </c>
      <c r="P183" s="122" t="s">
        <v>124</v>
      </c>
      <c r="Q183" s="112">
        <v>11393</v>
      </c>
      <c r="R183" s="112">
        <v>28819</v>
      </c>
      <c r="S183" s="112">
        <v>40212</v>
      </c>
      <c r="T183" s="121" t="s">
        <v>127</v>
      </c>
      <c r="U183" s="141">
        <v>5.6</v>
      </c>
      <c r="V183" s="121" t="s">
        <v>21</v>
      </c>
      <c r="W183" s="122" t="s">
        <v>11</v>
      </c>
      <c r="X183" s="112">
        <v>147598</v>
      </c>
      <c r="Y183" s="112">
        <v>2085549</v>
      </c>
      <c r="Z183" s="139">
        <f t="shared" si="14"/>
        <v>2233147</v>
      </c>
      <c r="AA183" s="140">
        <f t="shared" si="16"/>
        <v>12.955147897832003</v>
      </c>
      <c r="AB183" s="140">
        <f t="shared" si="17"/>
        <v>72.367153613935244</v>
      </c>
      <c r="AC183" s="140">
        <f t="shared" si="18"/>
        <v>55.534342982194367</v>
      </c>
      <c r="AD183" s="176" t="s">
        <v>157</v>
      </c>
    </row>
    <row r="184" spans="1:30" s="124" customFormat="1" ht="21" customHeight="1" x14ac:dyDescent="0.2">
      <c r="A184" s="124" t="str">
        <f t="shared" si="13"/>
        <v>Citywalk Phase 5.07</v>
      </c>
      <c r="B184" s="120" t="str">
        <f t="shared" si="15"/>
        <v>Citywalk Phase 5.07 - Mechanical</v>
      </c>
      <c r="C184" s="120"/>
      <c r="D184" s="121" t="s">
        <v>82</v>
      </c>
      <c r="E184" s="121" t="s">
        <v>83</v>
      </c>
      <c r="F184" s="121" t="s">
        <v>84</v>
      </c>
      <c r="G184" s="121" t="s">
        <v>85</v>
      </c>
      <c r="H184" s="122" t="s">
        <v>109</v>
      </c>
      <c r="I184" s="121" t="s">
        <v>118</v>
      </c>
      <c r="J184" s="122">
        <v>2023</v>
      </c>
      <c r="K184" s="123" t="s">
        <v>87</v>
      </c>
      <c r="L184" s="122" t="s">
        <v>86</v>
      </c>
      <c r="M184" s="122" t="s">
        <v>104</v>
      </c>
      <c r="N184" s="122" t="s">
        <v>105</v>
      </c>
      <c r="O184" s="122" t="s">
        <v>123</v>
      </c>
      <c r="P184" s="122" t="s">
        <v>124</v>
      </c>
      <c r="Q184" s="112">
        <v>11393</v>
      </c>
      <c r="R184" s="112">
        <v>28819</v>
      </c>
      <c r="S184" s="112">
        <v>40212</v>
      </c>
      <c r="T184" s="121" t="s">
        <v>127</v>
      </c>
      <c r="U184" s="141">
        <v>5.6</v>
      </c>
      <c r="V184" s="121" t="s">
        <v>22</v>
      </c>
      <c r="W184" s="122" t="s">
        <v>11</v>
      </c>
      <c r="X184" s="112">
        <v>0</v>
      </c>
      <c r="Y184" s="112">
        <v>3215951</v>
      </c>
      <c r="Z184" s="139">
        <f t="shared" si="14"/>
        <v>3215951</v>
      </c>
      <c r="AA184" s="140">
        <f t="shared" si="16"/>
        <v>0</v>
      </c>
      <c r="AB184" s="140">
        <f t="shared" si="17"/>
        <v>111.59134598702245</v>
      </c>
      <c r="AC184" s="140">
        <f t="shared" si="18"/>
        <v>79.974907987665375</v>
      </c>
      <c r="AD184" s="176" t="s">
        <v>157</v>
      </c>
    </row>
    <row r="185" spans="1:30" s="124" customFormat="1" ht="21" customHeight="1" x14ac:dyDescent="0.2">
      <c r="A185" s="124" t="str">
        <f t="shared" si="13"/>
        <v>Citywalk Phase 5.07</v>
      </c>
      <c r="B185" s="120" t="str">
        <f t="shared" si="15"/>
        <v>Citywalk Phase 5.07 - Mechanical</v>
      </c>
      <c r="C185" s="120"/>
      <c r="D185" s="121" t="s">
        <v>82</v>
      </c>
      <c r="E185" s="121" t="s">
        <v>83</v>
      </c>
      <c r="F185" s="121" t="s">
        <v>84</v>
      </c>
      <c r="G185" s="121" t="s">
        <v>85</v>
      </c>
      <c r="H185" s="122" t="s">
        <v>109</v>
      </c>
      <c r="I185" s="121" t="s">
        <v>118</v>
      </c>
      <c r="J185" s="122">
        <v>2023</v>
      </c>
      <c r="K185" s="123" t="s">
        <v>87</v>
      </c>
      <c r="L185" s="122" t="s">
        <v>86</v>
      </c>
      <c r="M185" s="122" t="s">
        <v>104</v>
      </c>
      <c r="N185" s="122" t="s">
        <v>105</v>
      </c>
      <c r="O185" s="122" t="s">
        <v>123</v>
      </c>
      <c r="P185" s="122" t="s">
        <v>124</v>
      </c>
      <c r="Q185" s="112">
        <v>11393</v>
      </c>
      <c r="R185" s="112">
        <v>28819</v>
      </c>
      <c r="S185" s="112">
        <v>40212</v>
      </c>
      <c r="T185" s="121" t="s">
        <v>127</v>
      </c>
      <c r="U185" s="141">
        <v>5.6</v>
      </c>
      <c r="V185" s="121" t="s">
        <v>23</v>
      </c>
      <c r="W185" s="122" t="s">
        <v>11</v>
      </c>
      <c r="X185" s="112">
        <v>120765</v>
      </c>
      <c r="Y185" s="112">
        <v>2206559</v>
      </c>
      <c r="Z185" s="139">
        <f t="shared" si="14"/>
        <v>2327324</v>
      </c>
      <c r="AA185" s="140">
        <f t="shared" si="16"/>
        <v>10.599929781444747</v>
      </c>
      <c r="AB185" s="140">
        <f t="shared" si="17"/>
        <v>76.566119573892223</v>
      </c>
      <c r="AC185" s="140">
        <f t="shared" si="18"/>
        <v>57.876355316820849</v>
      </c>
      <c r="AD185" s="176" t="s">
        <v>157</v>
      </c>
    </row>
    <row r="186" spans="1:30" s="124" customFormat="1" ht="21" customHeight="1" x14ac:dyDescent="0.2">
      <c r="A186" s="124" t="str">
        <f t="shared" si="13"/>
        <v>Citywalk Phase 5.07</v>
      </c>
      <c r="B186" s="120" t="str">
        <f t="shared" si="15"/>
        <v>Citywalk Phase 5.07 - Mechanical</v>
      </c>
      <c r="C186" s="120"/>
      <c r="D186" s="121" t="s">
        <v>82</v>
      </c>
      <c r="E186" s="121" t="s">
        <v>83</v>
      </c>
      <c r="F186" s="121" t="s">
        <v>84</v>
      </c>
      <c r="G186" s="121" t="s">
        <v>85</v>
      </c>
      <c r="H186" s="122" t="s">
        <v>109</v>
      </c>
      <c r="I186" s="121" t="s">
        <v>118</v>
      </c>
      <c r="J186" s="122">
        <v>2023</v>
      </c>
      <c r="K186" s="123" t="s">
        <v>87</v>
      </c>
      <c r="L186" s="122" t="s">
        <v>86</v>
      </c>
      <c r="M186" s="122" t="s">
        <v>104</v>
      </c>
      <c r="N186" s="122" t="s">
        <v>105</v>
      </c>
      <c r="O186" s="122" t="s">
        <v>123</v>
      </c>
      <c r="P186" s="122" t="s">
        <v>124</v>
      </c>
      <c r="Q186" s="112">
        <v>11393</v>
      </c>
      <c r="R186" s="112">
        <v>28819</v>
      </c>
      <c r="S186" s="112">
        <v>40212</v>
      </c>
      <c r="T186" s="121" t="s">
        <v>127</v>
      </c>
      <c r="U186" s="141">
        <v>5.6</v>
      </c>
      <c r="V186" s="121" t="s">
        <v>24</v>
      </c>
      <c r="W186" s="122" t="s">
        <v>11</v>
      </c>
      <c r="X186" s="112">
        <v>210692</v>
      </c>
      <c r="Y186" s="112">
        <v>2834934</v>
      </c>
      <c r="Z186" s="139">
        <f t="shared" si="14"/>
        <v>3045626</v>
      </c>
      <c r="AA186" s="140">
        <f t="shared" si="16"/>
        <v>18.493109804265778</v>
      </c>
      <c r="AB186" s="140">
        <f t="shared" si="17"/>
        <v>98.370311252992821</v>
      </c>
      <c r="AC186" s="140">
        <f t="shared" si="18"/>
        <v>75.739232070028848</v>
      </c>
      <c r="AD186" s="176" t="s">
        <v>157</v>
      </c>
    </row>
    <row r="187" spans="1:30" s="124" customFormat="1" ht="21" customHeight="1" x14ac:dyDescent="0.2">
      <c r="A187" s="124" t="str">
        <f t="shared" si="13"/>
        <v>Citywalk Phase 5.07</v>
      </c>
      <c r="B187" s="120" t="str">
        <f t="shared" si="15"/>
        <v>Citywalk Phase 5.07 - Mechanical</v>
      </c>
      <c r="C187" s="120"/>
      <c r="D187" s="121" t="s">
        <v>82</v>
      </c>
      <c r="E187" s="121" t="s">
        <v>83</v>
      </c>
      <c r="F187" s="121" t="s">
        <v>84</v>
      </c>
      <c r="G187" s="121" t="s">
        <v>85</v>
      </c>
      <c r="H187" s="122" t="s">
        <v>109</v>
      </c>
      <c r="I187" s="121" t="s">
        <v>118</v>
      </c>
      <c r="J187" s="122">
        <v>2023</v>
      </c>
      <c r="K187" s="123" t="s">
        <v>87</v>
      </c>
      <c r="L187" s="122" t="s">
        <v>86</v>
      </c>
      <c r="M187" s="122" t="s">
        <v>104</v>
      </c>
      <c r="N187" s="122" t="s">
        <v>105</v>
      </c>
      <c r="O187" s="122" t="s">
        <v>123</v>
      </c>
      <c r="P187" s="122" t="s">
        <v>124</v>
      </c>
      <c r="Q187" s="112">
        <v>11393</v>
      </c>
      <c r="R187" s="112">
        <v>28819</v>
      </c>
      <c r="S187" s="112">
        <v>40212</v>
      </c>
      <c r="T187" s="121" t="s">
        <v>127</v>
      </c>
      <c r="U187" s="141">
        <v>5.6</v>
      </c>
      <c r="V187" s="121" t="s">
        <v>25</v>
      </c>
      <c r="W187" s="122" t="s">
        <v>11</v>
      </c>
      <c r="X187" s="112">
        <v>1387663</v>
      </c>
      <c r="Y187" s="112">
        <v>2541952</v>
      </c>
      <c r="Z187" s="139">
        <f t="shared" si="14"/>
        <v>3929615</v>
      </c>
      <c r="AA187" s="140">
        <f t="shared" si="16"/>
        <v>121.79961379794611</v>
      </c>
      <c r="AB187" s="140">
        <f t="shared" si="17"/>
        <v>88.204032062181199</v>
      </c>
      <c r="AC187" s="140">
        <f t="shared" si="18"/>
        <v>97.722446036009146</v>
      </c>
      <c r="AD187" s="176" t="s">
        <v>157</v>
      </c>
    </row>
    <row r="188" spans="1:30" s="124" customFormat="1" ht="21" customHeight="1" x14ac:dyDescent="0.2">
      <c r="A188" s="124" t="str">
        <f t="shared" ref="A188:A248" si="19">I188</f>
        <v>Citywalk Phase 5.07</v>
      </c>
      <c r="B188" s="120" t="str">
        <f t="shared" si="15"/>
        <v>Citywalk Phase 5.07 - Mechanical</v>
      </c>
      <c r="C188" s="120"/>
      <c r="D188" s="121" t="s">
        <v>82</v>
      </c>
      <c r="E188" s="121" t="s">
        <v>83</v>
      </c>
      <c r="F188" s="121" t="s">
        <v>84</v>
      </c>
      <c r="G188" s="121" t="s">
        <v>85</v>
      </c>
      <c r="H188" s="122" t="s">
        <v>109</v>
      </c>
      <c r="I188" s="121" t="s">
        <v>118</v>
      </c>
      <c r="J188" s="122">
        <v>2023</v>
      </c>
      <c r="K188" s="123" t="s">
        <v>87</v>
      </c>
      <c r="L188" s="122" t="s">
        <v>86</v>
      </c>
      <c r="M188" s="122" t="s">
        <v>104</v>
      </c>
      <c r="N188" s="122" t="s">
        <v>105</v>
      </c>
      <c r="O188" s="122" t="s">
        <v>123</v>
      </c>
      <c r="P188" s="122" t="s">
        <v>124</v>
      </c>
      <c r="Q188" s="112">
        <v>11393</v>
      </c>
      <c r="R188" s="112">
        <v>28819</v>
      </c>
      <c r="S188" s="112">
        <v>40212</v>
      </c>
      <c r="T188" s="121" t="s">
        <v>127</v>
      </c>
      <c r="U188" s="141">
        <v>5.6</v>
      </c>
      <c r="V188" s="121" t="s">
        <v>26</v>
      </c>
      <c r="W188" s="122" t="s">
        <v>11</v>
      </c>
      <c r="X188" s="112">
        <v>490639</v>
      </c>
      <c r="Y188" s="112">
        <v>1117273</v>
      </c>
      <c r="Z188" s="139">
        <f t="shared" ref="Z188:Z248" si="20">SUM(X188:Y188)</f>
        <v>1607912</v>
      </c>
      <c r="AA188" s="140">
        <f t="shared" si="16"/>
        <v>43.064952163609235</v>
      </c>
      <c r="AB188" s="140">
        <f t="shared" si="17"/>
        <v>38.768624865540097</v>
      </c>
      <c r="AC188" s="140">
        <f t="shared" si="18"/>
        <v>39.985874863224907</v>
      </c>
      <c r="AD188" s="176" t="s">
        <v>157</v>
      </c>
    </row>
    <row r="189" spans="1:30" s="124" customFormat="1" ht="21" customHeight="1" x14ac:dyDescent="0.2">
      <c r="A189" s="124" t="str">
        <f t="shared" si="19"/>
        <v>Citywalk Phase 5.07</v>
      </c>
      <c r="B189" s="120" t="str">
        <f t="shared" ref="B189:B249" si="21">CONCATENATE(I189, " - ",T189)</f>
        <v>Citywalk Phase 5.07 - Mechanical</v>
      </c>
      <c r="C189" s="120"/>
      <c r="D189" s="121" t="s">
        <v>82</v>
      </c>
      <c r="E189" s="121" t="s">
        <v>83</v>
      </c>
      <c r="F189" s="121" t="s">
        <v>84</v>
      </c>
      <c r="G189" s="121" t="s">
        <v>85</v>
      </c>
      <c r="H189" s="122" t="s">
        <v>109</v>
      </c>
      <c r="I189" s="121" t="s">
        <v>118</v>
      </c>
      <c r="J189" s="122">
        <v>2023</v>
      </c>
      <c r="K189" s="123" t="s">
        <v>87</v>
      </c>
      <c r="L189" s="122" t="s">
        <v>86</v>
      </c>
      <c r="M189" s="122" t="s">
        <v>104</v>
      </c>
      <c r="N189" s="122" t="s">
        <v>105</v>
      </c>
      <c r="O189" s="122" t="s">
        <v>123</v>
      </c>
      <c r="P189" s="122" t="s">
        <v>124</v>
      </c>
      <c r="Q189" s="112">
        <v>11393</v>
      </c>
      <c r="R189" s="112">
        <v>28819</v>
      </c>
      <c r="S189" s="112">
        <v>40212</v>
      </c>
      <c r="T189" s="121" t="s">
        <v>127</v>
      </c>
      <c r="U189" s="141">
        <v>5.14</v>
      </c>
      <c r="V189" s="121" t="s">
        <v>27</v>
      </c>
      <c r="W189" s="122" t="s">
        <v>11</v>
      </c>
      <c r="X189" s="112">
        <v>227257</v>
      </c>
      <c r="Y189" s="112">
        <v>666906</v>
      </c>
      <c r="Z189" s="139">
        <f t="shared" si="20"/>
        <v>894163</v>
      </c>
      <c r="AA189" s="140">
        <f t="shared" si="16"/>
        <v>19.947072763977882</v>
      </c>
      <c r="AB189" s="140">
        <f t="shared" si="17"/>
        <v>23.141191575002601</v>
      </c>
      <c r="AC189" s="140">
        <f t="shared" si="18"/>
        <v>22.236223018004576</v>
      </c>
      <c r="AD189" s="176" t="s">
        <v>157</v>
      </c>
    </row>
    <row r="190" spans="1:30" s="124" customFormat="1" ht="21" customHeight="1" x14ac:dyDescent="0.2">
      <c r="A190" s="124" t="str">
        <f t="shared" si="19"/>
        <v>Citywalk Phase 5.07</v>
      </c>
      <c r="B190" s="120" t="str">
        <f t="shared" si="21"/>
        <v>Citywalk Phase 5.07 - Electrical</v>
      </c>
      <c r="C190" s="120"/>
      <c r="D190" s="121" t="s">
        <v>82</v>
      </c>
      <c r="E190" s="121" t="s">
        <v>83</v>
      </c>
      <c r="F190" s="121" t="s">
        <v>84</v>
      </c>
      <c r="G190" s="121" t="s">
        <v>85</v>
      </c>
      <c r="H190" s="122" t="s">
        <v>109</v>
      </c>
      <c r="I190" s="121" t="s">
        <v>118</v>
      </c>
      <c r="J190" s="122">
        <v>2023</v>
      </c>
      <c r="K190" s="123" t="s">
        <v>87</v>
      </c>
      <c r="L190" s="122" t="s">
        <v>86</v>
      </c>
      <c r="M190" s="122" t="s">
        <v>104</v>
      </c>
      <c r="N190" s="122" t="s">
        <v>105</v>
      </c>
      <c r="O190" s="122" t="s">
        <v>123</v>
      </c>
      <c r="P190" s="122" t="s">
        <v>124</v>
      </c>
      <c r="Q190" s="112">
        <v>11393</v>
      </c>
      <c r="R190" s="112">
        <v>28819</v>
      </c>
      <c r="S190" s="112">
        <v>40212</v>
      </c>
      <c r="T190" s="121" t="s">
        <v>148</v>
      </c>
      <c r="U190" s="141">
        <v>5.8</v>
      </c>
      <c r="V190" s="121" t="s">
        <v>29</v>
      </c>
      <c r="W190" s="122" t="s">
        <v>11</v>
      </c>
      <c r="X190" s="112">
        <v>1175929</v>
      </c>
      <c r="Y190" s="112">
        <v>1559405</v>
      </c>
      <c r="Z190" s="139">
        <f t="shared" si="20"/>
        <v>2735334</v>
      </c>
      <c r="AA190" s="140">
        <f t="shared" si="16"/>
        <v>103.215044325463</v>
      </c>
      <c r="AB190" s="140">
        <f t="shared" si="17"/>
        <v>54.110309171033002</v>
      </c>
      <c r="AC190" s="140">
        <f t="shared" si="18"/>
        <v>68.02282900626679</v>
      </c>
      <c r="AD190" s="176" t="s">
        <v>157</v>
      </c>
    </row>
    <row r="191" spans="1:30" s="124" customFormat="1" ht="21" customHeight="1" x14ac:dyDescent="0.2">
      <c r="A191" s="124" t="str">
        <f t="shared" si="19"/>
        <v>Citywalk Phase 5.07</v>
      </c>
      <c r="B191" s="120" t="str">
        <f t="shared" si="21"/>
        <v>Citywalk Phase 5.07 - Electrical</v>
      </c>
      <c r="C191" s="120"/>
      <c r="D191" s="121" t="s">
        <v>82</v>
      </c>
      <c r="E191" s="121" t="s">
        <v>83</v>
      </c>
      <c r="F191" s="121" t="s">
        <v>84</v>
      </c>
      <c r="G191" s="121" t="s">
        <v>85</v>
      </c>
      <c r="H191" s="122" t="s">
        <v>109</v>
      </c>
      <c r="I191" s="121" t="s">
        <v>118</v>
      </c>
      <c r="J191" s="122">
        <v>2023</v>
      </c>
      <c r="K191" s="123" t="s">
        <v>87</v>
      </c>
      <c r="L191" s="122" t="s">
        <v>86</v>
      </c>
      <c r="M191" s="122" t="s">
        <v>104</v>
      </c>
      <c r="N191" s="122" t="s">
        <v>105</v>
      </c>
      <c r="O191" s="122" t="s">
        <v>123</v>
      </c>
      <c r="P191" s="122" t="s">
        <v>124</v>
      </c>
      <c r="Q191" s="112">
        <v>11393</v>
      </c>
      <c r="R191" s="112">
        <v>28819</v>
      </c>
      <c r="S191" s="112">
        <v>40212</v>
      </c>
      <c r="T191" s="121" t="s">
        <v>148</v>
      </c>
      <c r="U191" s="141">
        <v>5.8</v>
      </c>
      <c r="V191" s="121" t="s">
        <v>55</v>
      </c>
      <c r="W191" s="122" t="s">
        <v>11</v>
      </c>
      <c r="X191" s="112">
        <v>0</v>
      </c>
      <c r="Y191" s="112">
        <v>2115066</v>
      </c>
      <c r="Z191" s="139">
        <f t="shared" si="20"/>
        <v>2115066</v>
      </c>
      <c r="AA191" s="140">
        <f t="shared" si="16"/>
        <v>0</v>
      </c>
      <c r="AB191" s="140">
        <f t="shared" si="17"/>
        <v>73.391373746486693</v>
      </c>
      <c r="AC191" s="140">
        <f t="shared" si="18"/>
        <v>52.59788122948374</v>
      </c>
      <c r="AD191" s="176" t="s">
        <v>157</v>
      </c>
    </row>
    <row r="192" spans="1:30" s="124" customFormat="1" ht="21" customHeight="1" x14ac:dyDescent="0.2">
      <c r="A192" s="124" t="str">
        <f t="shared" si="19"/>
        <v>Citywalk Phase 5.07</v>
      </c>
      <c r="B192" s="120" t="str">
        <f t="shared" si="21"/>
        <v>Citywalk Phase 5.07 - Electrical</v>
      </c>
      <c r="C192" s="120"/>
      <c r="D192" s="121" t="s">
        <v>82</v>
      </c>
      <c r="E192" s="121" t="s">
        <v>83</v>
      </c>
      <c r="F192" s="121" t="s">
        <v>84</v>
      </c>
      <c r="G192" s="121" t="s">
        <v>85</v>
      </c>
      <c r="H192" s="122" t="s">
        <v>109</v>
      </c>
      <c r="I192" s="121" t="s">
        <v>118</v>
      </c>
      <c r="J192" s="122">
        <v>2023</v>
      </c>
      <c r="K192" s="123" t="s">
        <v>87</v>
      </c>
      <c r="L192" s="122" t="s">
        <v>86</v>
      </c>
      <c r="M192" s="122" t="s">
        <v>104</v>
      </c>
      <c r="N192" s="122" t="s">
        <v>105</v>
      </c>
      <c r="O192" s="122" t="s">
        <v>123</v>
      </c>
      <c r="P192" s="122" t="s">
        <v>124</v>
      </c>
      <c r="Q192" s="112">
        <v>11393</v>
      </c>
      <c r="R192" s="112">
        <v>28819</v>
      </c>
      <c r="S192" s="112">
        <v>40212</v>
      </c>
      <c r="T192" s="121" t="s">
        <v>148</v>
      </c>
      <c r="U192" s="141">
        <v>5.8</v>
      </c>
      <c r="V192" s="121" t="s">
        <v>30</v>
      </c>
      <c r="W192" s="122" t="s">
        <v>11</v>
      </c>
      <c r="X192" s="112">
        <v>2787739</v>
      </c>
      <c r="Y192" s="112">
        <v>1113621</v>
      </c>
      <c r="Z192" s="139">
        <f t="shared" si="20"/>
        <v>3901360</v>
      </c>
      <c r="AA192" s="140">
        <f t="shared" si="16"/>
        <v>244.68875625384007</v>
      </c>
      <c r="AB192" s="140">
        <f t="shared" si="17"/>
        <v>38.64190291127381</v>
      </c>
      <c r="AC192" s="140">
        <f t="shared" si="18"/>
        <v>97.01979508604397</v>
      </c>
      <c r="AD192" s="176" t="s">
        <v>157</v>
      </c>
    </row>
    <row r="193" spans="1:30" s="124" customFormat="1" ht="21" customHeight="1" x14ac:dyDescent="0.2">
      <c r="A193" s="124" t="str">
        <f t="shared" si="19"/>
        <v>Citywalk Phase 5.07</v>
      </c>
      <c r="B193" s="120" t="str">
        <f t="shared" si="21"/>
        <v>Citywalk Phase 5.07 - Electrical</v>
      </c>
      <c r="C193" s="120"/>
      <c r="D193" s="121" t="s">
        <v>82</v>
      </c>
      <c r="E193" s="121" t="s">
        <v>83</v>
      </c>
      <c r="F193" s="121" t="s">
        <v>84</v>
      </c>
      <c r="G193" s="121" t="s">
        <v>85</v>
      </c>
      <c r="H193" s="122" t="s">
        <v>109</v>
      </c>
      <c r="I193" s="121" t="s">
        <v>118</v>
      </c>
      <c r="J193" s="122">
        <v>2023</v>
      </c>
      <c r="K193" s="123" t="s">
        <v>87</v>
      </c>
      <c r="L193" s="122" t="s">
        <v>86</v>
      </c>
      <c r="M193" s="122" t="s">
        <v>104</v>
      </c>
      <c r="N193" s="122" t="s">
        <v>105</v>
      </c>
      <c r="O193" s="122" t="s">
        <v>123</v>
      </c>
      <c r="P193" s="122" t="s">
        <v>124</v>
      </c>
      <c r="Q193" s="112">
        <v>11393</v>
      </c>
      <c r="R193" s="112">
        <v>28819</v>
      </c>
      <c r="S193" s="112">
        <v>40212</v>
      </c>
      <c r="T193" s="121" t="s">
        <v>148</v>
      </c>
      <c r="U193" s="141">
        <v>5.8</v>
      </c>
      <c r="V193" s="121" t="s">
        <v>31</v>
      </c>
      <c r="W193" s="122" t="s">
        <v>11</v>
      </c>
      <c r="X193" s="112">
        <v>129389</v>
      </c>
      <c r="Y193" s="112">
        <v>2571586</v>
      </c>
      <c r="Z193" s="139">
        <f t="shared" si="20"/>
        <v>2700975</v>
      </c>
      <c r="AA193" s="140">
        <f t="shared" si="16"/>
        <v>11.356885807074519</v>
      </c>
      <c r="AB193" s="140">
        <f t="shared" si="17"/>
        <v>89.232312016378089</v>
      </c>
      <c r="AC193" s="140">
        <f t="shared" si="18"/>
        <v>67.168382572366454</v>
      </c>
      <c r="AD193" s="176" t="s">
        <v>157</v>
      </c>
    </row>
    <row r="194" spans="1:30" s="124" customFormat="1" ht="21" customHeight="1" x14ac:dyDescent="0.2">
      <c r="A194" s="124" t="str">
        <f t="shared" si="19"/>
        <v>Citywalk Phase 5.07</v>
      </c>
      <c r="B194" s="120" t="str">
        <f t="shared" si="21"/>
        <v>Citywalk Phase 5.07 - Electrical</v>
      </c>
      <c r="C194" s="120"/>
      <c r="D194" s="121" t="s">
        <v>82</v>
      </c>
      <c r="E194" s="121" t="s">
        <v>83</v>
      </c>
      <c r="F194" s="121" t="s">
        <v>84</v>
      </c>
      <c r="G194" s="121" t="s">
        <v>85</v>
      </c>
      <c r="H194" s="122" t="s">
        <v>109</v>
      </c>
      <c r="I194" s="121" t="s">
        <v>118</v>
      </c>
      <c r="J194" s="122">
        <v>2023</v>
      </c>
      <c r="K194" s="123" t="s">
        <v>87</v>
      </c>
      <c r="L194" s="122" t="s">
        <v>86</v>
      </c>
      <c r="M194" s="122" t="s">
        <v>104</v>
      </c>
      <c r="N194" s="122" t="s">
        <v>105</v>
      </c>
      <c r="O194" s="122" t="s">
        <v>123</v>
      </c>
      <c r="P194" s="122" t="s">
        <v>124</v>
      </c>
      <c r="Q194" s="112">
        <v>11393</v>
      </c>
      <c r="R194" s="112">
        <v>28819</v>
      </c>
      <c r="S194" s="112">
        <v>40212</v>
      </c>
      <c r="T194" s="121" t="s">
        <v>148</v>
      </c>
      <c r="U194" s="141">
        <v>5.8</v>
      </c>
      <c r="V194" s="121" t="s">
        <v>32</v>
      </c>
      <c r="W194" s="122" t="s">
        <v>11</v>
      </c>
      <c r="X194" s="112">
        <v>118492</v>
      </c>
      <c r="Y194" s="112">
        <v>1426083</v>
      </c>
      <c r="Z194" s="139">
        <f t="shared" si="20"/>
        <v>1544575</v>
      </c>
      <c r="AA194" s="140">
        <f t="shared" si="16"/>
        <v>10.400421311331518</v>
      </c>
      <c r="AB194" s="140">
        <f t="shared" si="17"/>
        <v>49.484125056386411</v>
      </c>
      <c r="AC194" s="140">
        <f t="shared" si="18"/>
        <v>38.410797771809413</v>
      </c>
      <c r="AD194" s="176" t="s">
        <v>157</v>
      </c>
    </row>
    <row r="195" spans="1:30" s="124" customFormat="1" ht="21" customHeight="1" x14ac:dyDescent="0.2">
      <c r="A195" s="124" t="str">
        <f t="shared" si="19"/>
        <v>Citywalk Phase 5.07</v>
      </c>
      <c r="B195" s="120" t="str">
        <f t="shared" si="21"/>
        <v>Citywalk Phase 5.07 - Electrical</v>
      </c>
      <c r="C195" s="120"/>
      <c r="D195" s="121" t="s">
        <v>82</v>
      </c>
      <c r="E195" s="121" t="s">
        <v>83</v>
      </c>
      <c r="F195" s="121" t="s">
        <v>84</v>
      </c>
      <c r="G195" s="121" t="s">
        <v>85</v>
      </c>
      <c r="H195" s="122" t="s">
        <v>109</v>
      </c>
      <c r="I195" s="121" t="s">
        <v>118</v>
      </c>
      <c r="J195" s="122">
        <v>2023</v>
      </c>
      <c r="K195" s="123" t="s">
        <v>87</v>
      </c>
      <c r="L195" s="122" t="s">
        <v>86</v>
      </c>
      <c r="M195" s="122" t="s">
        <v>104</v>
      </c>
      <c r="N195" s="122" t="s">
        <v>105</v>
      </c>
      <c r="O195" s="122" t="s">
        <v>123</v>
      </c>
      <c r="P195" s="122" t="s">
        <v>124</v>
      </c>
      <c r="Q195" s="112">
        <v>11393</v>
      </c>
      <c r="R195" s="112">
        <v>28819</v>
      </c>
      <c r="S195" s="112">
        <v>40212</v>
      </c>
      <c r="T195" s="121" t="s">
        <v>148</v>
      </c>
      <c r="U195" s="141">
        <v>5.8</v>
      </c>
      <c r="V195" s="121" t="s">
        <v>33</v>
      </c>
      <c r="W195" s="122" t="s">
        <v>11</v>
      </c>
      <c r="X195" s="112">
        <v>277052</v>
      </c>
      <c r="Y195" s="112">
        <v>1867578</v>
      </c>
      <c r="Z195" s="139">
        <f t="shared" si="20"/>
        <v>2144630</v>
      </c>
      <c r="AA195" s="140">
        <f t="shared" si="16"/>
        <v>24.317738962520846</v>
      </c>
      <c r="AB195" s="140">
        <f t="shared" si="17"/>
        <v>64.803705888476358</v>
      </c>
      <c r="AC195" s="140">
        <f t="shared" si="18"/>
        <v>53.333084651347853</v>
      </c>
      <c r="AD195" s="176" t="s">
        <v>157</v>
      </c>
    </row>
    <row r="196" spans="1:30" s="124" customFormat="1" ht="21" customHeight="1" x14ac:dyDescent="0.2">
      <c r="A196" s="124" t="str">
        <f t="shared" si="19"/>
        <v>Citywalk Phase 5.07</v>
      </c>
      <c r="B196" s="120" t="str">
        <f t="shared" si="21"/>
        <v>Citywalk Phase 5.07 - Electrical</v>
      </c>
      <c r="C196" s="120"/>
      <c r="D196" s="121" t="s">
        <v>82</v>
      </c>
      <c r="E196" s="121" t="s">
        <v>83</v>
      </c>
      <c r="F196" s="121" t="s">
        <v>84</v>
      </c>
      <c r="G196" s="121" t="s">
        <v>85</v>
      </c>
      <c r="H196" s="122" t="s">
        <v>109</v>
      </c>
      <c r="I196" s="121" t="s">
        <v>118</v>
      </c>
      <c r="J196" s="122">
        <v>2023</v>
      </c>
      <c r="K196" s="123" t="s">
        <v>87</v>
      </c>
      <c r="L196" s="122" t="s">
        <v>86</v>
      </c>
      <c r="M196" s="122" t="s">
        <v>104</v>
      </c>
      <c r="N196" s="122" t="s">
        <v>105</v>
      </c>
      <c r="O196" s="122" t="s">
        <v>123</v>
      </c>
      <c r="P196" s="122" t="s">
        <v>124</v>
      </c>
      <c r="Q196" s="112">
        <v>11393</v>
      </c>
      <c r="R196" s="112">
        <v>28819</v>
      </c>
      <c r="S196" s="112">
        <v>40212</v>
      </c>
      <c r="T196" s="121" t="s">
        <v>148</v>
      </c>
      <c r="U196" s="141">
        <v>5.8</v>
      </c>
      <c r="V196" s="121" t="s">
        <v>34</v>
      </c>
      <c r="W196" s="122" t="s">
        <v>11</v>
      </c>
      <c r="X196" s="112">
        <v>67100</v>
      </c>
      <c r="Y196" s="112">
        <v>456670</v>
      </c>
      <c r="Z196" s="139">
        <f t="shared" si="20"/>
        <v>523770</v>
      </c>
      <c r="AA196" s="140">
        <f t="shared" ref="AA196:AA259" si="22">X196/Q196</f>
        <v>5.8895813218643029</v>
      </c>
      <c r="AB196" s="140">
        <f t="shared" ref="AB196:AB259" si="23">Y196/R196</f>
        <v>15.84614316943683</v>
      </c>
      <c r="AC196" s="140">
        <f t="shared" ref="AC196:AC259" si="24">Z196/S196</f>
        <v>13.025216353327364</v>
      </c>
      <c r="AD196" s="176" t="s">
        <v>157</v>
      </c>
    </row>
    <row r="197" spans="1:30" s="124" customFormat="1" ht="21" customHeight="1" x14ac:dyDescent="0.2">
      <c r="A197" s="124" t="str">
        <f t="shared" si="19"/>
        <v>Citywalk Phase 5.07</v>
      </c>
      <c r="B197" s="120" t="str">
        <f t="shared" si="21"/>
        <v>Citywalk Phase 5.07 - Electrical</v>
      </c>
      <c r="C197" s="120"/>
      <c r="D197" s="121" t="s">
        <v>82</v>
      </c>
      <c r="E197" s="121" t="s">
        <v>83</v>
      </c>
      <c r="F197" s="121" t="s">
        <v>84</v>
      </c>
      <c r="G197" s="121" t="s">
        <v>85</v>
      </c>
      <c r="H197" s="122" t="s">
        <v>109</v>
      </c>
      <c r="I197" s="121" t="s">
        <v>118</v>
      </c>
      <c r="J197" s="122">
        <v>2023</v>
      </c>
      <c r="K197" s="123" t="s">
        <v>87</v>
      </c>
      <c r="L197" s="122" t="s">
        <v>86</v>
      </c>
      <c r="M197" s="122" t="s">
        <v>104</v>
      </c>
      <c r="N197" s="122" t="s">
        <v>105</v>
      </c>
      <c r="O197" s="122" t="s">
        <v>123</v>
      </c>
      <c r="P197" s="122" t="s">
        <v>124</v>
      </c>
      <c r="Q197" s="112">
        <v>11393</v>
      </c>
      <c r="R197" s="112">
        <v>28819</v>
      </c>
      <c r="S197" s="112">
        <v>40212</v>
      </c>
      <c r="T197" s="121" t="s">
        <v>148</v>
      </c>
      <c r="U197" s="141">
        <v>5.8</v>
      </c>
      <c r="V197" s="121" t="s">
        <v>35</v>
      </c>
      <c r="W197" s="122" t="s">
        <v>11</v>
      </c>
      <c r="X197" s="112">
        <v>391132</v>
      </c>
      <c r="Y197" s="112">
        <v>1177156</v>
      </c>
      <c r="Z197" s="139">
        <f t="shared" si="20"/>
        <v>1568288</v>
      </c>
      <c r="AA197" s="140">
        <f t="shared" si="22"/>
        <v>34.330904941630827</v>
      </c>
      <c r="AB197" s="140">
        <f t="shared" si="23"/>
        <v>40.846524862070162</v>
      </c>
      <c r="AC197" s="140">
        <f t="shared" si="24"/>
        <v>39.00049736397095</v>
      </c>
      <c r="AD197" s="176" t="s">
        <v>157</v>
      </c>
    </row>
    <row r="198" spans="1:30" s="124" customFormat="1" ht="21" customHeight="1" x14ac:dyDescent="0.2">
      <c r="A198" s="124" t="str">
        <f t="shared" si="19"/>
        <v>Citywalk Phase 5.07</v>
      </c>
      <c r="B198" s="120" t="str">
        <f t="shared" si="21"/>
        <v>Citywalk Phase 5.07 - Electrical</v>
      </c>
      <c r="C198" s="120"/>
      <c r="D198" s="121" t="s">
        <v>82</v>
      </c>
      <c r="E198" s="121" t="s">
        <v>83</v>
      </c>
      <c r="F198" s="121" t="s">
        <v>84</v>
      </c>
      <c r="G198" s="121" t="s">
        <v>85</v>
      </c>
      <c r="H198" s="122" t="s">
        <v>109</v>
      </c>
      <c r="I198" s="121" t="s">
        <v>118</v>
      </c>
      <c r="J198" s="122">
        <v>2023</v>
      </c>
      <c r="K198" s="123" t="s">
        <v>87</v>
      </c>
      <c r="L198" s="122" t="s">
        <v>86</v>
      </c>
      <c r="M198" s="122" t="s">
        <v>104</v>
      </c>
      <c r="N198" s="122" t="s">
        <v>105</v>
      </c>
      <c r="O198" s="122" t="s">
        <v>123</v>
      </c>
      <c r="P198" s="122" t="s">
        <v>124</v>
      </c>
      <c r="Q198" s="112">
        <v>11393</v>
      </c>
      <c r="R198" s="112">
        <v>28819</v>
      </c>
      <c r="S198" s="112">
        <v>40212</v>
      </c>
      <c r="T198" s="121" t="s">
        <v>148</v>
      </c>
      <c r="U198" s="141">
        <v>5.8</v>
      </c>
      <c r="V198" s="121" t="s">
        <v>56</v>
      </c>
      <c r="W198" s="122" t="s">
        <v>11</v>
      </c>
      <c r="X198" s="112">
        <v>128597</v>
      </c>
      <c r="Y198" s="112">
        <v>1112841</v>
      </c>
      <c r="Z198" s="139">
        <f t="shared" si="20"/>
        <v>1241438</v>
      </c>
      <c r="AA198" s="140">
        <f t="shared" si="22"/>
        <v>11.287369437373826</v>
      </c>
      <c r="AB198" s="140">
        <f t="shared" si="23"/>
        <v>38.614837433637533</v>
      </c>
      <c r="AC198" s="140">
        <f t="shared" si="24"/>
        <v>30.872326668656122</v>
      </c>
      <c r="AD198" s="176" t="s">
        <v>157</v>
      </c>
    </row>
    <row r="199" spans="1:30" s="124" customFormat="1" ht="21" customHeight="1" x14ac:dyDescent="0.2">
      <c r="A199" s="124" t="str">
        <f t="shared" si="19"/>
        <v>Citywalk Phase 5.07</v>
      </c>
      <c r="B199" s="120" t="str">
        <f t="shared" si="21"/>
        <v>Citywalk Phase 5.07 - Electrical</v>
      </c>
      <c r="C199" s="120"/>
      <c r="D199" s="121" t="s">
        <v>82</v>
      </c>
      <c r="E199" s="121" t="s">
        <v>83</v>
      </c>
      <c r="F199" s="121" t="s">
        <v>84</v>
      </c>
      <c r="G199" s="121" t="s">
        <v>85</v>
      </c>
      <c r="H199" s="122" t="s">
        <v>109</v>
      </c>
      <c r="I199" s="121" t="s">
        <v>118</v>
      </c>
      <c r="J199" s="122">
        <v>2023</v>
      </c>
      <c r="K199" s="123" t="s">
        <v>87</v>
      </c>
      <c r="L199" s="122" t="s">
        <v>86</v>
      </c>
      <c r="M199" s="122" t="s">
        <v>104</v>
      </c>
      <c r="N199" s="122" t="s">
        <v>105</v>
      </c>
      <c r="O199" s="122" t="s">
        <v>123</v>
      </c>
      <c r="P199" s="122" t="s">
        <v>124</v>
      </c>
      <c r="Q199" s="112">
        <v>11393</v>
      </c>
      <c r="R199" s="112">
        <v>28819</v>
      </c>
      <c r="S199" s="112">
        <v>40212</v>
      </c>
      <c r="T199" s="121" t="s">
        <v>148</v>
      </c>
      <c r="U199" s="141">
        <v>5.8</v>
      </c>
      <c r="V199" s="121" t="s">
        <v>36</v>
      </c>
      <c r="W199" s="122" t="s">
        <v>11</v>
      </c>
      <c r="X199" s="112">
        <v>42811</v>
      </c>
      <c r="Y199" s="112">
        <v>205668</v>
      </c>
      <c r="Z199" s="139">
        <f t="shared" si="20"/>
        <v>248479</v>
      </c>
      <c r="AA199" s="140">
        <f t="shared" si="22"/>
        <v>3.7576582111823051</v>
      </c>
      <c r="AB199" s="140">
        <f t="shared" si="23"/>
        <v>7.1365418647420107</v>
      </c>
      <c r="AC199" s="140">
        <f t="shared" si="24"/>
        <v>6.179225106933254</v>
      </c>
      <c r="AD199" s="176" t="s">
        <v>157</v>
      </c>
    </row>
    <row r="200" spans="1:30" s="124" customFormat="1" ht="21" customHeight="1" x14ac:dyDescent="0.2">
      <c r="A200" s="124" t="str">
        <f t="shared" si="19"/>
        <v>Citywalk Phase 5.07</v>
      </c>
      <c r="B200" s="120" t="str">
        <f t="shared" si="21"/>
        <v>Citywalk Phase 5.07 - Electrical</v>
      </c>
      <c r="C200" s="120"/>
      <c r="D200" s="121" t="s">
        <v>82</v>
      </c>
      <c r="E200" s="121" t="s">
        <v>83</v>
      </c>
      <c r="F200" s="121" t="s">
        <v>84</v>
      </c>
      <c r="G200" s="121" t="s">
        <v>85</v>
      </c>
      <c r="H200" s="122" t="s">
        <v>109</v>
      </c>
      <c r="I200" s="121" t="s">
        <v>118</v>
      </c>
      <c r="J200" s="122">
        <v>2023</v>
      </c>
      <c r="K200" s="123" t="s">
        <v>87</v>
      </c>
      <c r="L200" s="122" t="s">
        <v>86</v>
      </c>
      <c r="M200" s="122" t="s">
        <v>104</v>
      </c>
      <c r="N200" s="122" t="s">
        <v>105</v>
      </c>
      <c r="O200" s="122" t="s">
        <v>123</v>
      </c>
      <c r="P200" s="122" t="s">
        <v>124</v>
      </c>
      <c r="Q200" s="112">
        <v>11393</v>
      </c>
      <c r="R200" s="112">
        <v>28819</v>
      </c>
      <c r="S200" s="112">
        <v>40212</v>
      </c>
      <c r="T200" s="121" t="s">
        <v>148</v>
      </c>
      <c r="U200" s="141">
        <v>5.8</v>
      </c>
      <c r="V200" s="121" t="s">
        <v>57</v>
      </c>
      <c r="W200" s="122" t="s">
        <v>11</v>
      </c>
      <c r="X200" s="112">
        <v>0</v>
      </c>
      <c r="Y200" s="112">
        <v>125253</v>
      </c>
      <c r="Z200" s="139">
        <f t="shared" si="20"/>
        <v>125253</v>
      </c>
      <c r="AA200" s="140">
        <f t="shared" si="22"/>
        <v>0</v>
      </c>
      <c r="AB200" s="140">
        <f t="shared" si="23"/>
        <v>4.3461952184322845</v>
      </c>
      <c r="AC200" s="140">
        <f t="shared" si="24"/>
        <v>3.1148164726947178</v>
      </c>
      <c r="AD200" s="176" t="s">
        <v>157</v>
      </c>
    </row>
    <row r="201" spans="1:30" s="124" customFormat="1" ht="21" customHeight="1" x14ac:dyDescent="0.2">
      <c r="A201" s="124" t="str">
        <f t="shared" si="19"/>
        <v>Citywalk Phase 5.07</v>
      </c>
      <c r="B201" s="120" t="str">
        <f t="shared" si="21"/>
        <v>Citywalk Phase 5.07 - Electrical</v>
      </c>
      <c r="C201" s="120"/>
      <c r="D201" s="121" t="s">
        <v>82</v>
      </c>
      <c r="E201" s="121" t="s">
        <v>83</v>
      </c>
      <c r="F201" s="121" t="s">
        <v>84</v>
      </c>
      <c r="G201" s="121" t="s">
        <v>85</v>
      </c>
      <c r="H201" s="122" t="s">
        <v>109</v>
      </c>
      <c r="I201" s="121" t="s">
        <v>118</v>
      </c>
      <c r="J201" s="122">
        <v>2023</v>
      </c>
      <c r="K201" s="123" t="s">
        <v>87</v>
      </c>
      <c r="L201" s="122" t="s">
        <v>86</v>
      </c>
      <c r="M201" s="122" t="s">
        <v>104</v>
      </c>
      <c r="N201" s="122" t="s">
        <v>105</v>
      </c>
      <c r="O201" s="122" t="s">
        <v>123</v>
      </c>
      <c r="P201" s="122" t="s">
        <v>124</v>
      </c>
      <c r="Q201" s="112">
        <v>11393</v>
      </c>
      <c r="R201" s="112">
        <v>28819</v>
      </c>
      <c r="S201" s="112">
        <v>40212</v>
      </c>
      <c r="T201" s="121" t="s">
        <v>148</v>
      </c>
      <c r="U201" s="141">
        <v>5.8</v>
      </c>
      <c r="V201" s="121" t="s">
        <v>37</v>
      </c>
      <c r="W201" s="122" t="s">
        <v>11</v>
      </c>
      <c r="X201" s="112">
        <v>240868</v>
      </c>
      <c r="Y201" s="112">
        <v>620858</v>
      </c>
      <c r="Z201" s="139">
        <f t="shared" si="20"/>
        <v>861726</v>
      </c>
      <c r="AA201" s="140">
        <f t="shared" si="22"/>
        <v>21.14175370841745</v>
      </c>
      <c r="AB201" s="140">
        <f t="shared" si="23"/>
        <v>21.543356813213506</v>
      </c>
      <c r="AC201" s="140">
        <f t="shared" si="24"/>
        <v>21.429573261712921</v>
      </c>
      <c r="AD201" s="176" t="s">
        <v>157</v>
      </c>
    </row>
    <row r="202" spans="1:30" s="124" customFormat="1" ht="21" customHeight="1" x14ac:dyDescent="0.2">
      <c r="A202" s="124" t="str">
        <f t="shared" si="19"/>
        <v>Citywalk Phase 5.07</v>
      </c>
      <c r="B202" s="120" t="str">
        <f t="shared" si="21"/>
        <v>Citywalk Phase 5.07 - Electrical</v>
      </c>
      <c r="C202" s="120"/>
      <c r="D202" s="121" t="s">
        <v>82</v>
      </c>
      <c r="E202" s="121" t="s">
        <v>83</v>
      </c>
      <c r="F202" s="121" t="s">
        <v>84</v>
      </c>
      <c r="G202" s="121" t="s">
        <v>85</v>
      </c>
      <c r="H202" s="122" t="s">
        <v>109</v>
      </c>
      <c r="I202" s="121" t="s">
        <v>118</v>
      </c>
      <c r="J202" s="122">
        <v>2023</v>
      </c>
      <c r="K202" s="123" t="s">
        <v>87</v>
      </c>
      <c r="L202" s="122" t="s">
        <v>86</v>
      </c>
      <c r="M202" s="122" t="s">
        <v>104</v>
      </c>
      <c r="N202" s="122" t="s">
        <v>105</v>
      </c>
      <c r="O202" s="122" t="s">
        <v>123</v>
      </c>
      <c r="P202" s="122" t="s">
        <v>124</v>
      </c>
      <c r="Q202" s="112">
        <v>11393</v>
      </c>
      <c r="R202" s="112">
        <v>28819</v>
      </c>
      <c r="S202" s="112">
        <v>40212</v>
      </c>
      <c r="T202" s="121" t="s">
        <v>148</v>
      </c>
      <c r="U202" s="141">
        <v>5.8</v>
      </c>
      <c r="V202" s="121" t="s">
        <v>38</v>
      </c>
      <c r="W202" s="122" t="s">
        <v>11</v>
      </c>
      <c r="X202" s="112">
        <v>45000</v>
      </c>
      <c r="Y202" s="112">
        <v>27000</v>
      </c>
      <c r="Z202" s="139">
        <f t="shared" si="20"/>
        <v>72000</v>
      </c>
      <c r="AA202" s="140">
        <f t="shared" si="22"/>
        <v>3.9497937329939434</v>
      </c>
      <c r="AB202" s="140">
        <f t="shared" si="23"/>
        <v>0.93688191817897915</v>
      </c>
      <c r="AC202" s="140">
        <f t="shared" si="24"/>
        <v>1.7905102954341987</v>
      </c>
      <c r="AD202" s="176" t="s">
        <v>157</v>
      </c>
    </row>
    <row r="203" spans="1:30" s="124" customFormat="1" ht="21" customHeight="1" x14ac:dyDescent="0.2">
      <c r="A203" s="124" t="str">
        <f t="shared" si="19"/>
        <v>Citywalk Phase 5.07</v>
      </c>
      <c r="B203" s="120" t="str">
        <f t="shared" si="21"/>
        <v>Citywalk Phase 5.07 - Electrical</v>
      </c>
      <c r="C203" s="120"/>
      <c r="D203" s="121" t="s">
        <v>82</v>
      </c>
      <c r="E203" s="121" t="s">
        <v>83</v>
      </c>
      <c r="F203" s="121" t="s">
        <v>84</v>
      </c>
      <c r="G203" s="121" t="s">
        <v>85</v>
      </c>
      <c r="H203" s="122" t="s">
        <v>109</v>
      </c>
      <c r="I203" s="121" t="s">
        <v>118</v>
      </c>
      <c r="J203" s="122">
        <v>2023</v>
      </c>
      <c r="K203" s="123" t="s">
        <v>87</v>
      </c>
      <c r="L203" s="122" t="s">
        <v>86</v>
      </c>
      <c r="M203" s="122" t="s">
        <v>104</v>
      </c>
      <c r="N203" s="122" t="s">
        <v>105</v>
      </c>
      <c r="O203" s="122" t="s">
        <v>123</v>
      </c>
      <c r="P203" s="122" t="s">
        <v>124</v>
      </c>
      <c r="Q203" s="112">
        <v>11393</v>
      </c>
      <c r="R203" s="112">
        <v>28819</v>
      </c>
      <c r="S203" s="112">
        <v>40212</v>
      </c>
      <c r="T203" s="121" t="s">
        <v>148</v>
      </c>
      <c r="U203" s="141">
        <v>5.8</v>
      </c>
      <c r="V203" s="121" t="s">
        <v>5</v>
      </c>
      <c r="W203" s="122" t="s">
        <v>11</v>
      </c>
      <c r="X203" s="112">
        <v>189977</v>
      </c>
      <c r="Y203" s="112">
        <v>158902</v>
      </c>
      <c r="Z203" s="139">
        <f t="shared" si="20"/>
        <v>348879</v>
      </c>
      <c r="AA203" s="140">
        <f t="shared" si="22"/>
        <v>16.674888089177564</v>
      </c>
      <c r="AB203" s="140">
        <f t="shared" si="23"/>
        <v>5.5137929837954127</v>
      </c>
      <c r="AC203" s="140">
        <f t="shared" si="24"/>
        <v>8.6759922411220529</v>
      </c>
      <c r="AD203" s="176" t="s">
        <v>157</v>
      </c>
    </row>
    <row r="204" spans="1:30" s="124" customFormat="1" ht="21" customHeight="1" x14ac:dyDescent="0.2">
      <c r="A204" s="124" t="str">
        <f t="shared" si="19"/>
        <v>Citywalk Phase 5.07</v>
      </c>
      <c r="B204" s="120" t="str">
        <f t="shared" si="21"/>
        <v>Citywalk Phase 5.07 - Electrical</v>
      </c>
      <c r="C204" s="120"/>
      <c r="D204" s="121" t="s">
        <v>82</v>
      </c>
      <c r="E204" s="121" t="s">
        <v>83</v>
      </c>
      <c r="F204" s="121" t="s">
        <v>84</v>
      </c>
      <c r="G204" s="121" t="s">
        <v>85</v>
      </c>
      <c r="H204" s="122" t="s">
        <v>109</v>
      </c>
      <c r="I204" s="121" t="s">
        <v>118</v>
      </c>
      <c r="J204" s="122">
        <v>2023</v>
      </c>
      <c r="K204" s="123" t="s">
        <v>87</v>
      </c>
      <c r="L204" s="122" t="s">
        <v>86</v>
      </c>
      <c r="M204" s="122" t="s">
        <v>104</v>
      </c>
      <c r="N204" s="122" t="s">
        <v>105</v>
      </c>
      <c r="O204" s="122" t="s">
        <v>123</v>
      </c>
      <c r="P204" s="122" t="s">
        <v>124</v>
      </c>
      <c r="Q204" s="112">
        <v>11393</v>
      </c>
      <c r="R204" s="112">
        <v>28819</v>
      </c>
      <c r="S204" s="112">
        <v>40212</v>
      </c>
      <c r="T204" s="121" t="s">
        <v>148</v>
      </c>
      <c r="U204" s="141" t="s">
        <v>52</v>
      </c>
      <c r="V204" s="121" t="s">
        <v>39</v>
      </c>
      <c r="W204" s="122" t="s">
        <v>11</v>
      </c>
      <c r="X204" s="112">
        <v>97428</v>
      </c>
      <c r="Y204" s="112">
        <v>1364852</v>
      </c>
      <c r="Z204" s="139">
        <f t="shared" si="20"/>
        <v>1462280</v>
      </c>
      <c r="AA204" s="140">
        <f t="shared" si="22"/>
        <v>8.5515667515140876</v>
      </c>
      <c r="AB204" s="140">
        <f t="shared" si="23"/>
        <v>47.359450362608001</v>
      </c>
      <c r="AC204" s="140">
        <f t="shared" si="24"/>
        <v>36.364269372326667</v>
      </c>
      <c r="AD204" s="176" t="s">
        <v>157</v>
      </c>
    </row>
    <row r="205" spans="1:30" s="124" customFormat="1" ht="21" customHeight="1" x14ac:dyDescent="0.2">
      <c r="A205" s="124" t="str">
        <f t="shared" si="19"/>
        <v>Citywalk Phase 5.07</v>
      </c>
      <c r="B205" s="120" t="str">
        <f t="shared" si="21"/>
        <v>Citywalk Phase 5.07 - Electrical</v>
      </c>
      <c r="C205" s="120"/>
      <c r="D205" s="121" t="s">
        <v>82</v>
      </c>
      <c r="E205" s="121" t="s">
        <v>83</v>
      </c>
      <c r="F205" s="121" t="s">
        <v>84</v>
      </c>
      <c r="G205" s="121" t="s">
        <v>85</v>
      </c>
      <c r="H205" s="122" t="s">
        <v>109</v>
      </c>
      <c r="I205" s="121" t="s">
        <v>118</v>
      </c>
      <c r="J205" s="122">
        <v>2023</v>
      </c>
      <c r="K205" s="123" t="s">
        <v>87</v>
      </c>
      <c r="L205" s="122" t="s">
        <v>86</v>
      </c>
      <c r="M205" s="122" t="s">
        <v>104</v>
      </c>
      <c r="N205" s="122" t="s">
        <v>105</v>
      </c>
      <c r="O205" s="122" t="s">
        <v>123</v>
      </c>
      <c r="P205" s="122" t="s">
        <v>124</v>
      </c>
      <c r="Q205" s="112">
        <v>11393</v>
      </c>
      <c r="R205" s="112">
        <v>28819</v>
      </c>
      <c r="S205" s="112">
        <v>40212</v>
      </c>
      <c r="T205" s="121" t="s">
        <v>148</v>
      </c>
      <c r="U205" s="141" t="s">
        <v>52</v>
      </c>
      <c r="V205" s="121" t="s">
        <v>40</v>
      </c>
      <c r="W205" s="122" t="s">
        <v>11</v>
      </c>
      <c r="X205" s="112">
        <v>61918</v>
      </c>
      <c r="Y205" s="112">
        <v>36846</v>
      </c>
      <c r="Z205" s="139">
        <f t="shared" si="20"/>
        <v>98764</v>
      </c>
      <c r="AA205" s="140">
        <f t="shared" si="22"/>
        <v>5.4347406302115333</v>
      </c>
      <c r="AB205" s="140">
        <f t="shared" si="23"/>
        <v>1.2785315243415802</v>
      </c>
      <c r="AC205" s="140">
        <f t="shared" si="24"/>
        <v>2.4560827613647667</v>
      </c>
      <c r="AD205" s="176" t="s">
        <v>157</v>
      </c>
    </row>
    <row r="206" spans="1:30" s="124" customFormat="1" ht="21" customHeight="1" x14ac:dyDescent="0.2">
      <c r="A206" s="124" t="str">
        <f t="shared" si="19"/>
        <v>Citywalk Phase 5.07</v>
      </c>
      <c r="B206" s="120" t="str">
        <f t="shared" si="21"/>
        <v>Citywalk Phase 5.07 - Electrical</v>
      </c>
      <c r="C206" s="120"/>
      <c r="D206" s="121" t="s">
        <v>82</v>
      </c>
      <c r="E206" s="121" t="s">
        <v>83</v>
      </c>
      <c r="F206" s="121" t="s">
        <v>84</v>
      </c>
      <c r="G206" s="121" t="s">
        <v>85</v>
      </c>
      <c r="H206" s="122" t="s">
        <v>109</v>
      </c>
      <c r="I206" s="121" t="s">
        <v>118</v>
      </c>
      <c r="J206" s="122">
        <v>2023</v>
      </c>
      <c r="K206" s="123" t="s">
        <v>87</v>
      </c>
      <c r="L206" s="122" t="s">
        <v>86</v>
      </c>
      <c r="M206" s="122" t="s">
        <v>104</v>
      </c>
      <c r="N206" s="122" t="s">
        <v>105</v>
      </c>
      <c r="O206" s="122" t="s">
        <v>123</v>
      </c>
      <c r="P206" s="122" t="s">
        <v>124</v>
      </c>
      <c r="Q206" s="112">
        <v>11393</v>
      </c>
      <c r="R206" s="112">
        <v>28819</v>
      </c>
      <c r="S206" s="112">
        <v>40212</v>
      </c>
      <c r="T206" s="121" t="s">
        <v>148</v>
      </c>
      <c r="U206" s="141">
        <v>5.12</v>
      </c>
      <c r="V206" s="121" t="s">
        <v>41</v>
      </c>
      <c r="W206" s="122" t="s">
        <v>11</v>
      </c>
      <c r="X206" s="112">
        <v>164978</v>
      </c>
      <c r="Y206" s="112">
        <v>2111836</v>
      </c>
      <c r="Z206" s="139">
        <f t="shared" si="20"/>
        <v>2276814</v>
      </c>
      <c r="AA206" s="140">
        <f t="shared" si="22"/>
        <v>14.48064601070833</v>
      </c>
      <c r="AB206" s="140">
        <f t="shared" si="23"/>
        <v>73.27929490960824</v>
      </c>
      <c r="AC206" s="140">
        <f t="shared" si="24"/>
        <v>56.620262608176667</v>
      </c>
      <c r="AD206" s="176" t="s">
        <v>157</v>
      </c>
    </row>
    <row r="207" spans="1:30" s="124" customFormat="1" ht="21" customHeight="1" x14ac:dyDescent="0.2">
      <c r="A207" s="124" t="str">
        <f t="shared" si="19"/>
        <v>Citywalk Phase 5.07</v>
      </c>
      <c r="B207" s="120" t="str">
        <f t="shared" si="21"/>
        <v>Citywalk Phase 5.07 - Electrical</v>
      </c>
      <c r="C207" s="120"/>
      <c r="D207" s="121" t="s">
        <v>82</v>
      </c>
      <c r="E207" s="121" t="s">
        <v>83</v>
      </c>
      <c r="F207" s="121" t="s">
        <v>84</v>
      </c>
      <c r="G207" s="121" t="s">
        <v>85</v>
      </c>
      <c r="H207" s="122" t="s">
        <v>109</v>
      </c>
      <c r="I207" s="121" t="s">
        <v>118</v>
      </c>
      <c r="J207" s="122">
        <v>2023</v>
      </c>
      <c r="K207" s="123" t="s">
        <v>87</v>
      </c>
      <c r="L207" s="122" t="s">
        <v>86</v>
      </c>
      <c r="M207" s="122" t="s">
        <v>104</v>
      </c>
      <c r="N207" s="122" t="s">
        <v>105</v>
      </c>
      <c r="O207" s="122" t="s">
        <v>123</v>
      </c>
      <c r="P207" s="122" t="s">
        <v>124</v>
      </c>
      <c r="Q207" s="112">
        <v>11393</v>
      </c>
      <c r="R207" s="112">
        <v>28819</v>
      </c>
      <c r="S207" s="112">
        <v>40212</v>
      </c>
      <c r="T207" s="121" t="s">
        <v>148</v>
      </c>
      <c r="U207" s="141">
        <v>5.12</v>
      </c>
      <c r="V207" s="121" t="s">
        <v>42</v>
      </c>
      <c r="W207" s="122" t="s">
        <v>11</v>
      </c>
      <c r="X207" s="112">
        <v>173132</v>
      </c>
      <c r="Y207" s="112">
        <v>626267</v>
      </c>
      <c r="Z207" s="139">
        <f t="shared" si="20"/>
        <v>799399</v>
      </c>
      <c r="AA207" s="140">
        <f t="shared" si="22"/>
        <v>15.196348635126832</v>
      </c>
      <c r="AB207" s="140">
        <f t="shared" si="23"/>
        <v>21.731045490822027</v>
      </c>
      <c r="AC207" s="140">
        <f t="shared" si="24"/>
        <v>19.879613050830599</v>
      </c>
      <c r="AD207" s="176" t="s">
        <v>157</v>
      </c>
    </row>
    <row r="208" spans="1:30" s="124" customFormat="1" ht="21" customHeight="1" x14ac:dyDescent="0.2">
      <c r="A208" s="124" t="str">
        <f t="shared" si="19"/>
        <v>Citywalk Phase 5.07</v>
      </c>
      <c r="B208" s="120" t="str">
        <f t="shared" si="21"/>
        <v>Citywalk Phase 5.07 - Electrical</v>
      </c>
      <c r="C208" s="120"/>
      <c r="D208" s="121" t="s">
        <v>82</v>
      </c>
      <c r="E208" s="121" t="s">
        <v>83</v>
      </c>
      <c r="F208" s="121" t="s">
        <v>84</v>
      </c>
      <c r="G208" s="121" t="s">
        <v>85</v>
      </c>
      <c r="H208" s="122" t="s">
        <v>109</v>
      </c>
      <c r="I208" s="121" t="s">
        <v>118</v>
      </c>
      <c r="J208" s="122">
        <v>2023</v>
      </c>
      <c r="K208" s="123" t="s">
        <v>87</v>
      </c>
      <c r="L208" s="122" t="s">
        <v>86</v>
      </c>
      <c r="M208" s="122" t="s">
        <v>104</v>
      </c>
      <c r="N208" s="122" t="s">
        <v>105</v>
      </c>
      <c r="O208" s="122" t="s">
        <v>123</v>
      </c>
      <c r="P208" s="122" t="s">
        <v>124</v>
      </c>
      <c r="Q208" s="112">
        <v>11393</v>
      </c>
      <c r="R208" s="112">
        <v>28819</v>
      </c>
      <c r="S208" s="112">
        <v>40212</v>
      </c>
      <c r="T208" s="121" t="s">
        <v>148</v>
      </c>
      <c r="U208" s="141">
        <v>5.12</v>
      </c>
      <c r="V208" s="121" t="s">
        <v>60</v>
      </c>
      <c r="W208" s="122" t="s">
        <v>11</v>
      </c>
      <c r="X208" s="112">
        <v>0</v>
      </c>
      <c r="Y208" s="112">
        <v>0</v>
      </c>
      <c r="Z208" s="139">
        <f t="shared" si="20"/>
        <v>0</v>
      </c>
      <c r="AA208" s="140">
        <f t="shared" si="22"/>
        <v>0</v>
      </c>
      <c r="AB208" s="140">
        <f t="shared" si="23"/>
        <v>0</v>
      </c>
      <c r="AC208" s="140">
        <f t="shared" si="24"/>
        <v>0</v>
      </c>
      <c r="AD208" s="176" t="s">
        <v>157</v>
      </c>
    </row>
    <row r="209" spans="1:30" s="124" customFormat="1" ht="21" customHeight="1" x14ac:dyDescent="0.2">
      <c r="A209" s="124" t="str">
        <f t="shared" si="19"/>
        <v>Citywalk Phase 5.07</v>
      </c>
      <c r="B209" s="120" t="str">
        <f t="shared" si="21"/>
        <v>Citywalk Phase 5.07 - Electrical</v>
      </c>
      <c r="C209" s="120"/>
      <c r="D209" s="121" t="s">
        <v>82</v>
      </c>
      <c r="E209" s="121" t="s">
        <v>83</v>
      </c>
      <c r="F209" s="121" t="s">
        <v>84</v>
      </c>
      <c r="G209" s="121" t="s">
        <v>85</v>
      </c>
      <c r="H209" s="122" t="s">
        <v>109</v>
      </c>
      <c r="I209" s="121" t="s">
        <v>118</v>
      </c>
      <c r="J209" s="122">
        <v>2023</v>
      </c>
      <c r="K209" s="123" t="s">
        <v>87</v>
      </c>
      <c r="L209" s="122" t="s">
        <v>86</v>
      </c>
      <c r="M209" s="122" t="s">
        <v>104</v>
      </c>
      <c r="N209" s="122" t="s">
        <v>105</v>
      </c>
      <c r="O209" s="122" t="s">
        <v>123</v>
      </c>
      <c r="P209" s="122" t="s">
        <v>124</v>
      </c>
      <c r="Q209" s="112">
        <v>11393</v>
      </c>
      <c r="R209" s="112">
        <v>28819</v>
      </c>
      <c r="S209" s="112">
        <v>40212</v>
      </c>
      <c r="T209" s="121" t="s">
        <v>148</v>
      </c>
      <c r="U209" s="141">
        <v>5.12</v>
      </c>
      <c r="V209" s="121" t="s">
        <v>43</v>
      </c>
      <c r="W209" s="122" t="s">
        <v>11</v>
      </c>
      <c r="X209" s="112">
        <v>33867</v>
      </c>
      <c r="Y209" s="112">
        <v>87050</v>
      </c>
      <c r="Z209" s="139">
        <f t="shared" si="20"/>
        <v>120917</v>
      </c>
      <c r="AA209" s="140">
        <f t="shared" si="22"/>
        <v>2.9726147634512419</v>
      </c>
      <c r="AB209" s="140">
        <f t="shared" si="23"/>
        <v>3.0205767028696346</v>
      </c>
      <c r="AC209" s="140">
        <f t="shared" si="24"/>
        <v>3.0069879637919028</v>
      </c>
      <c r="AD209" s="176" t="s">
        <v>157</v>
      </c>
    </row>
    <row r="210" spans="1:30" s="124" customFormat="1" ht="21" customHeight="1" x14ac:dyDescent="0.2">
      <c r="A210" s="124" t="str">
        <f t="shared" si="19"/>
        <v>Citywalk Phase 5.07</v>
      </c>
      <c r="B210" s="120" t="str">
        <f t="shared" si="21"/>
        <v>Citywalk Phase 5.07 - Electrical</v>
      </c>
      <c r="C210" s="120"/>
      <c r="D210" s="121" t="s">
        <v>82</v>
      </c>
      <c r="E210" s="121" t="s">
        <v>83</v>
      </c>
      <c r="F210" s="121" t="s">
        <v>84</v>
      </c>
      <c r="G210" s="121" t="s">
        <v>85</v>
      </c>
      <c r="H210" s="122" t="s">
        <v>109</v>
      </c>
      <c r="I210" s="121" t="s">
        <v>118</v>
      </c>
      <c r="J210" s="122">
        <v>2023</v>
      </c>
      <c r="K210" s="123" t="s">
        <v>87</v>
      </c>
      <c r="L210" s="122" t="s">
        <v>86</v>
      </c>
      <c r="M210" s="122" t="s">
        <v>104</v>
      </c>
      <c r="N210" s="122" t="s">
        <v>105</v>
      </c>
      <c r="O210" s="122" t="s">
        <v>123</v>
      </c>
      <c r="P210" s="122" t="s">
        <v>124</v>
      </c>
      <c r="Q210" s="112">
        <v>11393</v>
      </c>
      <c r="R210" s="112">
        <v>28819</v>
      </c>
      <c r="S210" s="112">
        <v>40212</v>
      </c>
      <c r="T210" s="121" t="s">
        <v>148</v>
      </c>
      <c r="U210" s="141">
        <v>5.12</v>
      </c>
      <c r="V210" s="121" t="s">
        <v>44</v>
      </c>
      <c r="W210" s="122" t="s">
        <v>11</v>
      </c>
      <c r="X210" s="112">
        <v>522254</v>
      </c>
      <c r="Y210" s="112">
        <v>828895</v>
      </c>
      <c r="Z210" s="139">
        <f t="shared" si="20"/>
        <v>1351149</v>
      </c>
      <c r="AA210" s="140">
        <f t="shared" si="22"/>
        <v>45.839901694022643</v>
      </c>
      <c r="AB210" s="140">
        <f t="shared" si="23"/>
        <v>28.762101391443146</v>
      </c>
      <c r="AC210" s="140">
        <f t="shared" si="24"/>
        <v>33.600641599522532</v>
      </c>
      <c r="AD210" s="176" t="s">
        <v>157</v>
      </c>
    </row>
    <row r="211" spans="1:30" s="124" customFormat="1" ht="21" customHeight="1" x14ac:dyDescent="0.2">
      <c r="A211" s="124" t="str">
        <f t="shared" si="19"/>
        <v>Citywalk Phase 5.07</v>
      </c>
      <c r="B211" s="120" t="str">
        <f t="shared" si="21"/>
        <v>Citywalk Phase 5.07 - Electrical</v>
      </c>
      <c r="C211" s="120"/>
      <c r="D211" s="121" t="s">
        <v>82</v>
      </c>
      <c r="E211" s="121" t="s">
        <v>83</v>
      </c>
      <c r="F211" s="121" t="s">
        <v>84</v>
      </c>
      <c r="G211" s="121" t="s">
        <v>85</v>
      </c>
      <c r="H211" s="122" t="s">
        <v>109</v>
      </c>
      <c r="I211" s="121" t="s">
        <v>118</v>
      </c>
      <c r="J211" s="122">
        <v>2023</v>
      </c>
      <c r="K211" s="123" t="s">
        <v>87</v>
      </c>
      <c r="L211" s="122" t="s">
        <v>86</v>
      </c>
      <c r="M211" s="122" t="s">
        <v>104</v>
      </c>
      <c r="N211" s="122" t="s">
        <v>105</v>
      </c>
      <c r="O211" s="122" t="s">
        <v>123</v>
      </c>
      <c r="P211" s="122" t="s">
        <v>124</v>
      </c>
      <c r="Q211" s="112">
        <v>11393</v>
      </c>
      <c r="R211" s="112">
        <v>28819</v>
      </c>
      <c r="S211" s="112">
        <v>40212</v>
      </c>
      <c r="T211" s="121" t="s">
        <v>148</v>
      </c>
      <c r="U211" s="141">
        <v>5.12</v>
      </c>
      <c r="V211" s="121" t="s">
        <v>45</v>
      </c>
      <c r="W211" s="122" t="s">
        <v>11</v>
      </c>
      <c r="X211" s="112">
        <v>57777</v>
      </c>
      <c r="Y211" s="112">
        <v>652830</v>
      </c>
      <c r="Z211" s="139">
        <f t="shared" si="20"/>
        <v>710607</v>
      </c>
      <c r="AA211" s="140">
        <f t="shared" si="22"/>
        <v>5.0712718335820242</v>
      </c>
      <c r="AB211" s="140">
        <f t="shared" si="23"/>
        <v>22.652763801658629</v>
      </c>
      <c r="AC211" s="140">
        <f t="shared" si="24"/>
        <v>17.671515965383467</v>
      </c>
      <c r="AD211" s="176" t="s">
        <v>157</v>
      </c>
    </row>
    <row r="212" spans="1:30" s="124" customFormat="1" ht="21" customHeight="1" x14ac:dyDescent="0.2">
      <c r="A212" s="124" t="str">
        <f t="shared" si="19"/>
        <v>Citywalk Phase 5.07</v>
      </c>
      <c r="B212" s="120" t="str">
        <f t="shared" si="21"/>
        <v>Citywalk Phase 5.07 - Electrical</v>
      </c>
      <c r="C212" s="120"/>
      <c r="D212" s="121" t="s">
        <v>82</v>
      </c>
      <c r="E212" s="121" t="s">
        <v>83</v>
      </c>
      <c r="F212" s="121" t="s">
        <v>84</v>
      </c>
      <c r="G212" s="121" t="s">
        <v>85</v>
      </c>
      <c r="H212" s="122" t="s">
        <v>109</v>
      </c>
      <c r="I212" s="121" t="s">
        <v>118</v>
      </c>
      <c r="J212" s="122">
        <v>2023</v>
      </c>
      <c r="K212" s="123" t="s">
        <v>87</v>
      </c>
      <c r="L212" s="122" t="s">
        <v>86</v>
      </c>
      <c r="M212" s="122" t="s">
        <v>104</v>
      </c>
      <c r="N212" s="122" t="s">
        <v>105</v>
      </c>
      <c r="O212" s="122" t="s">
        <v>123</v>
      </c>
      <c r="P212" s="122" t="s">
        <v>124</v>
      </c>
      <c r="Q212" s="112">
        <v>11393</v>
      </c>
      <c r="R212" s="112">
        <v>28819</v>
      </c>
      <c r="S212" s="112">
        <v>40212</v>
      </c>
      <c r="T212" s="121" t="s">
        <v>148</v>
      </c>
      <c r="U212" s="141">
        <v>5.12</v>
      </c>
      <c r="V212" s="121" t="s">
        <v>46</v>
      </c>
      <c r="W212" s="122" t="s">
        <v>11</v>
      </c>
      <c r="X212" s="112">
        <v>77399</v>
      </c>
      <c r="Y212" s="112">
        <v>10044</v>
      </c>
      <c r="Z212" s="139">
        <f t="shared" si="20"/>
        <v>87443</v>
      </c>
      <c r="AA212" s="140">
        <f t="shared" si="22"/>
        <v>6.7935574475555169</v>
      </c>
      <c r="AB212" s="140">
        <f t="shared" si="23"/>
        <v>0.34852007356258025</v>
      </c>
      <c r="AC212" s="140">
        <f t="shared" si="24"/>
        <v>2.1745498856062868</v>
      </c>
      <c r="AD212" s="176" t="s">
        <v>157</v>
      </c>
    </row>
    <row r="213" spans="1:30" s="124" customFormat="1" ht="21" customHeight="1" x14ac:dyDescent="0.2">
      <c r="A213" s="124" t="str">
        <f t="shared" si="19"/>
        <v>Citywalk Phase 5.07</v>
      </c>
      <c r="B213" s="120" t="str">
        <f t="shared" si="21"/>
        <v>Citywalk Phase 5.07 - Electrical</v>
      </c>
      <c r="C213" s="120"/>
      <c r="D213" s="121" t="s">
        <v>82</v>
      </c>
      <c r="E213" s="121" t="s">
        <v>83</v>
      </c>
      <c r="F213" s="121" t="s">
        <v>84</v>
      </c>
      <c r="G213" s="121" t="s">
        <v>85</v>
      </c>
      <c r="H213" s="122" t="s">
        <v>109</v>
      </c>
      <c r="I213" s="121" t="s">
        <v>118</v>
      </c>
      <c r="J213" s="122">
        <v>2023</v>
      </c>
      <c r="K213" s="123" t="s">
        <v>87</v>
      </c>
      <c r="L213" s="122" t="s">
        <v>86</v>
      </c>
      <c r="M213" s="122" t="s">
        <v>104</v>
      </c>
      <c r="N213" s="122" t="s">
        <v>105</v>
      </c>
      <c r="O213" s="122" t="s">
        <v>123</v>
      </c>
      <c r="P213" s="122" t="s">
        <v>124</v>
      </c>
      <c r="Q213" s="112">
        <v>11393</v>
      </c>
      <c r="R213" s="112">
        <v>28819</v>
      </c>
      <c r="S213" s="112">
        <v>40212</v>
      </c>
      <c r="T213" s="121" t="s">
        <v>148</v>
      </c>
      <c r="U213" s="141">
        <v>5.12</v>
      </c>
      <c r="V213" s="121" t="s">
        <v>47</v>
      </c>
      <c r="W213" s="122" t="s">
        <v>11</v>
      </c>
      <c r="X213" s="112">
        <v>220284</v>
      </c>
      <c r="Y213" s="112">
        <v>79276</v>
      </c>
      <c r="Z213" s="139">
        <f t="shared" si="20"/>
        <v>299560</v>
      </c>
      <c r="AA213" s="140">
        <f t="shared" si="22"/>
        <v>19.335030281751951</v>
      </c>
      <c r="AB213" s="140">
        <f t="shared" si="23"/>
        <v>2.7508241090946943</v>
      </c>
      <c r="AC213" s="140">
        <f t="shared" si="24"/>
        <v>7.4495175569481749</v>
      </c>
      <c r="AD213" s="176" t="s">
        <v>157</v>
      </c>
    </row>
    <row r="214" spans="1:30" s="124" customFormat="1" ht="21" customHeight="1" x14ac:dyDescent="0.2">
      <c r="A214" s="124" t="str">
        <f t="shared" si="19"/>
        <v>Citywalk Phase 5.07</v>
      </c>
      <c r="B214" s="120" t="str">
        <f t="shared" si="21"/>
        <v>Citywalk Phase 5.07 - Electrical</v>
      </c>
      <c r="C214" s="120"/>
      <c r="D214" s="121" t="s">
        <v>82</v>
      </c>
      <c r="E214" s="121" t="s">
        <v>83</v>
      </c>
      <c r="F214" s="121" t="s">
        <v>84</v>
      </c>
      <c r="G214" s="121" t="s">
        <v>85</v>
      </c>
      <c r="H214" s="122" t="s">
        <v>109</v>
      </c>
      <c r="I214" s="121" t="s">
        <v>118</v>
      </c>
      <c r="J214" s="122">
        <v>2023</v>
      </c>
      <c r="K214" s="123" t="s">
        <v>87</v>
      </c>
      <c r="L214" s="122" t="s">
        <v>86</v>
      </c>
      <c r="M214" s="122" t="s">
        <v>104</v>
      </c>
      <c r="N214" s="122" t="s">
        <v>105</v>
      </c>
      <c r="O214" s="122" t="s">
        <v>123</v>
      </c>
      <c r="P214" s="122" t="s">
        <v>124</v>
      </c>
      <c r="Q214" s="112">
        <v>11393</v>
      </c>
      <c r="R214" s="112">
        <v>28819</v>
      </c>
      <c r="S214" s="112">
        <v>40212</v>
      </c>
      <c r="T214" s="121" t="s">
        <v>148</v>
      </c>
      <c r="U214" s="141">
        <v>5.12</v>
      </c>
      <c r="V214" s="121" t="s">
        <v>48</v>
      </c>
      <c r="W214" s="122" t="s">
        <v>11</v>
      </c>
      <c r="X214" s="112">
        <v>0</v>
      </c>
      <c r="Y214" s="112">
        <v>198363</v>
      </c>
      <c r="Z214" s="139">
        <f t="shared" si="20"/>
        <v>198363</v>
      </c>
      <c r="AA214" s="140">
        <f t="shared" si="22"/>
        <v>0</v>
      </c>
      <c r="AB214" s="140">
        <f t="shared" si="23"/>
        <v>6.8830632568791419</v>
      </c>
      <c r="AC214" s="140">
        <f t="shared" si="24"/>
        <v>4.9329304685168607</v>
      </c>
      <c r="AD214" s="176" t="s">
        <v>157</v>
      </c>
    </row>
    <row r="215" spans="1:30" s="124" customFormat="1" ht="21" customHeight="1" x14ac:dyDescent="0.2">
      <c r="A215" s="124" t="str">
        <f t="shared" si="19"/>
        <v>Citywalk Phase 5.07</v>
      </c>
      <c r="B215" s="120" t="str">
        <f t="shared" si="21"/>
        <v>Citywalk Phase 5.07 - Electrical</v>
      </c>
      <c r="C215" s="120"/>
      <c r="D215" s="121" t="s">
        <v>82</v>
      </c>
      <c r="E215" s="121" t="s">
        <v>83</v>
      </c>
      <c r="F215" s="121" t="s">
        <v>84</v>
      </c>
      <c r="G215" s="121" t="s">
        <v>85</v>
      </c>
      <c r="H215" s="122" t="s">
        <v>109</v>
      </c>
      <c r="I215" s="121" t="s">
        <v>118</v>
      </c>
      <c r="J215" s="122">
        <v>2023</v>
      </c>
      <c r="K215" s="123" t="s">
        <v>87</v>
      </c>
      <c r="L215" s="122" t="s">
        <v>86</v>
      </c>
      <c r="M215" s="122" t="s">
        <v>104</v>
      </c>
      <c r="N215" s="122" t="s">
        <v>105</v>
      </c>
      <c r="O215" s="122" t="s">
        <v>123</v>
      </c>
      <c r="P215" s="122" t="s">
        <v>124</v>
      </c>
      <c r="Q215" s="112">
        <v>11393</v>
      </c>
      <c r="R215" s="112">
        <v>28819</v>
      </c>
      <c r="S215" s="112">
        <v>40212</v>
      </c>
      <c r="T215" s="121" t="s">
        <v>148</v>
      </c>
      <c r="U215" s="141">
        <v>5.12</v>
      </c>
      <c r="V215" s="121" t="s">
        <v>49</v>
      </c>
      <c r="W215" s="122" t="s">
        <v>11</v>
      </c>
      <c r="X215" s="112">
        <v>11362</v>
      </c>
      <c r="Y215" s="112">
        <v>5673</v>
      </c>
      <c r="Z215" s="139">
        <f t="shared" si="20"/>
        <v>17035</v>
      </c>
      <c r="AA215" s="140">
        <f t="shared" si="22"/>
        <v>0.99727903098393755</v>
      </c>
      <c r="AB215" s="140">
        <f t="shared" si="23"/>
        <v>0.19684930080849439</v>
      </c>
      <c r="AC215" s="140">
        <f t="shared" si="24"/>
        <v>0.42362976226002186</v>
      </c>
      <c r="AD215" s="176" t="s">
        <v>157</v>
      </c>
    </row>
    <row r="216" spans="1:30" s="124" customFormat="1" ht="21" customHeight="1" x14ac:dyDescent="0.2">
      <c r="A216" s="124" t="str">
        <f t="shared" si="19"/>
        <v>Citywalk Phase 5.07</v>
      </c>
      <c r="B216" s="120" t="str">
        <f t="shared" si="21"/>
        <v>Citywalk Phase 5.07 - Electrical</v>
      </c>
      <c r="C216" s="120"/>
      <c r="D216" s="121" t="s">
        <v>82</v>
      </c>
      <c r="E216" s="121" t="s">
        <v>83</v>
      </c>
      <c r="F216" s="121" t="s">
        <v>84</v>
      </c>
      <c r="G216" s="121" t="s">
        <v>85</v>
      </c>
      <c r="H216" s="122" t="s">
        <v>109</v>
      </c>
      <c r="I216" s="121" t="s">
        <v>118</v>
      </c>
      <c r="J216" s="122">
        <v>2023</v>
      </c>
      <c r="K216" s="123" t="s">
        <v>87</v>
      </c>
      <c r="L216" s="122" t="s">
        <v>86</v>
      </c>
      <c r="M216" s="122" t="s">
        <v>104</v>
      </c>
      <c r="N216" s="122" t="s">
        <v>105</v>
      </c>
      <c r="O216" s="122" t="s">
        <v>123</v>
      </c>
      <c r="P216" s="122" t="s">
        <v>124</v>
      </c>
      <c r="Q216" s="112">
        <v>11393</v>
      </c>
      <c r="R216" s="112">
        <v>28819</v>
      </c>
      <c r="S216" s="112">
        <v>40212</v>
      </c>
      <c r="T216" s="121" t="s">
        <v>148</v>
      </c>
      <c r="U216" s="141">
        <v>5.12</v>
      </c>
      <c r="V216" s="121" t="s">
        <v>50</v>
      </c>
      <c r="W216" s="122" t="s">
        <v>11</v>
      </c>
      <c r="X216" s="112">
        <v>39308</v>
      </c>
      <c r="Y216" s="112">
        <v>13724</v>
      </c>
      <c r="Z216" s="139">
        <f t="shared" si="20"/>
        <v>53032</v>
      </c>
      <c r="AA216" s="140">
        <f t="shared" si="22"/>
        <v>3.4501887123672432</v>
      </c>
      <c r="AB216" s="140">
        <f t="shared" si="23"/>
        <v>0.47621360907734483</v>
      </c>
      <c r="AC216" s="140">
        <f t="shared" si="24"/>
        <v>1.3188103053814781</v>
      </c>
      <c r="AD216" s="176" t="s">
        <v>157</v>
      </c>
    </row>
    <row r="217" spans="1:30" s="124" customFormat="1" ht="21" customHeight="1" x14ac:dyDescent="0.2">
      <c r="A217" s="124" t="str">
        <f t="shared" si="19"/>
        <v>Citywalk Phase 5.07</v>
      </c>
      <c r="B217" s="120" t="str">
        <f t="shared" si="21"/>
        <v>Citywalk Phase 5.07 - Electrical</v>
      </c>
      <c r="C217" s="120"/>
      <c r="D217" s="121" t="s">
        <v>82</v>
      </c>
      <c r="E217" s="121" t="s">
        <v>83</v>
      </c>
      <c r="F217" s="121" t="s">
        <v>84</v>
      </c>
      <c r="G217" s="121" t="s">
        <v>85</v>
      </c>
      <c r="H217" s="122" t="s">
        <v>109</v>
      </c>
      <c r="I217" s="121" t="s">
        <v>118</v>
      </c>
      <c r="J217" s="122">
        <v>2023</v>
      </c>
      <c r="K217" s="123" t="s">
        <v>87</v>
      </c>
      <c r="L217" s="122" t="s">
        <v>86</v>
      </c>
      <c r="M217" s="122" t="s">
        <v>104</v>
      </c>
      <c r="N217" s="122" t="s">
        <v>105</v>
      </c>
      <c r="O217" s="122" t="s">
        <v>123</v>
      </c>
      <c r="P217" s="122" t="s">
        <v>124</v>
      </c>
      <c r="Q217" s="112">
        <v>11393</v>
      </c>
      <c r="R217" s="112">
        <v>28819</v>
      </c>
      <c r="S217" s="112">
        <v>40212</v>
      </c>
      <c r="T217" s="121" t="s">
        <v>148</v>
      </c>
      <c r="U217" s="141">
        <v>5.12</v>
      </c>
      <c r="V217" s="121" t="s">
        <v>51</v>
      </c>
      <c r="W217" s="122" t="s">
        <v>11</v>
      </c>
      <c r="X217" s="112">
        <v>140625</v>
      </c>
      <c r="Y217" s="112">
        <v>506250</v>
      </c>
      <c r="Z217" s="139">
        <f t="shared" si="20"/>
        <v>646875</v>
      </c>
      <c r="AA217" s="140">
        <f t="shared" si="22"/>
        <v>12.343105415606074</v>
      </c>
      <c r="AB217" s="140">
        <f t="shared" si="23"/>
        <v>17.566535965855859</v>
      </c>
      <c r="AC217" s="140">
        <f t="shared" si="24"/>
        <v>16.08661593554163</v>
      </c>
      <c r="AD217" s="176" t="s">
        <v>157</v>
      </c>
    </row>
    <row r="218" spans="1:30" s="124" customFormat="1" ht="21" customHeight="1" x14ac:dyDescent="0.2">
      <c r="A218" s="124" t="str">
        <f t="shared" si="19"/>
        <v>Citywalk Phase 5.07</v>
      </c>
      <c r="B218" s="120" t="str">
        <f t="shared" si="21"/>
        <v>Citywalk Phase 5.07 - Electrical</v>
      </c>
      <c r="C218" s="120"/>
      <c r="D218" s="121" t="s">
        <v>82</v>
      </c>
      <c r="E218" s="121" t="s">
        <v>83</v>
      </c>
      <c r="F218" s="121" t="s">
        <v>84</v>
      </c>
      <c r="G218" s="121" t="s">
        <v>85</v>
      </c>
      <c r="H218" s="122" t="s">
        <v>109</v>
      </c>
      <c r="I218" s="121" t="s">
        <v>118</v>
      </c>
      <c r="J218" s="122">
        <v>2023</v>
      </c>
      <c r="K218" s="123" t="s">
        <v>87</v>
      </c>
      <c r="L218" s="122" t="s">
        <v>86</v>
      </c>
      <c r="M218" s="122" t="s">
        <v>104</v>
      </c>
      <c r="N218" s="122" t="s">
        <v>105</v>
      </c>
      <c r="O218" s="122" t="s">
        <v>123</v>
      </c>
      <c r="P218" s="122" t="s">
        <v>124</v>
      </c>
      <c r="Q218" s="112">
        <v>11393</v>
      </c>
      <c r="R218" s="112">
        <v>28819</v>
      </c>
      <c r="S218" s="112">
        <v>40212</v>
      </c>
      <c r="T218" s="121" t="s">
        <v>148</v>
      </c>
      <c r="U218" s="142" t="s">
        <v>53</v>
      </c>
      <c r="V218" s="121" t="s">
        <v>27</v>
      </c>
      <c r="W218" s="122" t="s">
        <v>11</v>
      </c>
      <c r="X218" s="112">
        <v>211508</v>
      </c>
      <c r="Y218" s="112">
        <v>487364</v>
      </c>
      <c r="Z218" s="139">
        <f t="shared" si="20"/>
        <v>698872</v>
      </c>
      <c r="AA218" s="140">
        <f t="shared" si="22"/>
        <v>18.564732730624069</v>
      </c>
      <c r="AB218" s="140">
        <f t="shared" si="23"/>
        <v>16.911204413754813</v>
      </c>
      <c r="AC218" s="140">
        <f t="shared" si="24"/>
        <v>17.379687655426242</v>
      </c>
      <c r="AD218" s="176" t="s">
        <v>157</v>
      </c>
    </row>
    <row r="219" spans="1:30" s="146" customFormat="1" ht="21" customHeight="1" x14ac:dyDescent="0.2">
      <c r="A219" s="146" t="str">
        <f t="shared" si="19"/>
        <v>Citywalk Phase 5.06</v>
      </c>
      <c r="B219" s="147" t="str">
        <f t="shared" si="21"/>
        <v>Citywalk Phase 5.06 - Mechanical</v>
      </c>
      <c r="C219" s="147"/>
      <c r="D219" s="148" t="s">
        <v>82</v>
      </c>
      <c r="E219" s="148" t="s">
        <v>83</v>
      </c>
      <c r="F219" s="148" t="s">
        <v>84</v>
      </c>
      <c r="G219" s="148" t="s">
        <v>85</v>
      </c>
      <c r="H219" s="149" t="s">
        <v>108</v>
      </c>
      <c r="I219" s="148" t="s">
        <v>119</v>
      </c>
      <c r="J219" s="149">
        <v>2024</v>
      </c>
      <c r="K219" s="150" t="s">
        <v>90</v>
      </c>
      <c r="L219" s="149" t="s">
        <v>86</v>
      </c>
      <c r="M219" s="149" t="s">
        <v>104</v>
      </c>
      <c r="N219" s="149" t="s">
        <v>105</v>
      </c>
      <c r="O219" s="149" t="s">
        <v>123</v>
      </c>
      <c r="P219" s="149" t="s">
        <v>124</v>
      </c>
      <c r="Q219" s="151">
        <v>12032</v>
      </c>
      <c r="R219" s="151">
        <v>28341</v>
      </c>
      <c r="S219" s="151">
        <v>40373</v>
      </c>
      <c r="T219" s="148" t="s">
        <v>127</v>
      </c>
      <c r="U219" s="154">
        <v>5.3</v>
      </c>
      <c r="V219" s="148" t="s">
        <v>14</v>
      </c>
      <c r="W219" s="149" t="s">
        <v>11</v>
      </c>
      <c r="X219" s="151">
        <v>1535857</v>
      </c>
      <c r="Y219" s="151">
        <v>3015462</v>
      </c>
      <c r="Z219" s="152">
        <f t="shared" si="20"/>
        <v>4551319</v>
      </c>
      <c r="AA219" s="153">
        <f t="shared" si="22"/>
        <v>127.64768949468085</v>
      </c>
      <c r="AB219" s="153">
        <f t="shared" si="23"/>
        <v>106.39928019477082</v>
      </c>
      <c r="AC219" s="153">
        <f t="shared" si="24"/>
        <v>112.7317514180269</v>
      </c>
      <c r="AD219" s="175" t="s">
        <v>157</v>
      </c>
    </row>
    <row r="220" spans="1:30" s="146" customFormat="1" ht="21" customHeight="1" x14ac:dyDescent="0.2">
      <c r="A220" s="146" t="str">
        <f t="shared" si="19"/>
        <v>Citywalk Phase 5.06</v>
      </c>
      <c r="B220" s="147" t="str">
        <f t="shared" si="21"/>
        <v>Citywalk Phase 5.06 - Mechanical</v>
      </c>
      <c r="C220" s="147"/>
      <c r="D220" s="148" t="s">
        <v>82</v>
      </c>
      <c r="E220" s="148" t="s">
        <v>83</v>
      </c>
      <c r="F220" s="148" t="s">
        <v>84</v>
      </c>
      <c r="G220" s="148" t="s">
        <v>85</v>
      </c>
      <c r="H220" s="149" t="s">
        <v>108</v>
      </c>
      <c r="I220" s="148" t="s">
        <v>119</v>
      </c>
      <c r="J220" s="149">
        <v>2024</v>
      </c>
      <c r="K220" s="150" t="s">
        <v>90</v>
      </c>
      <c r="L220" s="149" t="s">
        <v>86</v>
      </c>
      <c r="M220" s="149" t="s">
        <v>104</v>
      </c>
      <c r="N220" s="149" t="s">
        <v>105</v>
      </c>
      <c r="O220" s="149" t="s">
        <v>123</v>
      </c>
      <c r="P220" s="149" t="s">
        <v>124</v>
      </c>
      <c r="Q220" s="151">
        <v>12032</v>
      </c>
      <c r="R220" s="151">
        <v>28341</v>
      </c>
      <c r="S220" s="151">
        <v>40373</v>
      </c>
      <c r="T220" s="148" t="s">
        <v>127</v>
      </c>
      <c r="U220" s="154">
        <v>5.3</v>
      </c>
      <c r="V220" s="148" t="s">
        <v>15</v>
      </c>
      <c r="W220" s="149" t="s">
        <v>11</v>
      </c>
      <c r="X220" s="151">
        <v>62555</v>
      </c>
      <c r="Y220" s="151">
        <v>0</v>
      </c>
      <c r="Z220" s="152">
        <f t="shared" si="20"/>
        <v>62555</v>
      </c>
      <c r="AA220" s="153">
        <f t="shared" si="22"/>
        <v>5.1990525265957448</v>
      </c>
      <c r="AB220" s="153">
        <f t="shared" si="23"/>
        <v>0</v>
      </c>
      <c r="AC220" s="153">
        <f t="shared" si="24"/>
        <v>1.5494265969831322</v>
      </c>
      <c r="AD220" s="175" t="s">
        <v>157</v>
      </c>
    </row>
    <row r="221" spans="1:30" s="146" customFormat="1" ht="21" customHeight="1" x14ac:dyDescent="0.2">
      <c r="A221" s="146" t="str">
        <f t="shared" si="19"/>
        <v>Citywalk Phase 5.06</v>
      </c>
      <c r="B221" s="147" t="str">
        <f t="shared" si="21"/>
        <v>Citywalk Phase 5.06 - Mechanical</v>
      </c>
      <c r="C221" s="147"/>
      <c r="D221" s="148" t="s">
        <v>82</v>
      </c>
      <c r="E221" s="148" t="s">
        <v>83</v>
      </c>
      <c r="F221" s="148" t="s">
        <v>84</v>
      </c>
      <c r="G221" s="148" t="s">
        <v>85</v>
      </c>
      <c r="H221" s="149" t="s">
        <v>108</v>
      </c>
      <c r="I221" s="148" t="s">
        <v>119</v>
      </c>
      <c r="J221" s="149">
        <v>2024</v>
      </c>
      <c r="K221" s="150" t="s">
        <v>90</v>
      </c>
      <c r="L221" s="149" t="s">
        <v>86</v>
      </c>
      <c r="M221" s="149" t="s">
        <v>104</v>
      </c>
      <c r="N221" s="149" t="s">
        <v>105</v>
      </c>
      <c r="O221" s="149" t="s">
        <v>123</v>
      </c>
      <c r="P221" s="149" t="s">
        <v>124</v>
      </c>
      <c r="Q221" s="151">
        <v>12032</v>
      </c>
      <c r="R221" s="151">
        <v>28341</v>
      </c>
      <c r="S221" s="151">
        <v>40373</v>
      </c>
      <c r="T221" s="148" t="s">
        <v>127</v>
      </c>
      <c r="U221" s="154">
        <v>5.4</v>
      </c>
      <c r="V221" s="148" t="s">
        <v>16</v>
      </c>
      <c r="W221" s="149" t="s">
        <v>11</v>
      </c>
      <c r="X221" s="151">
        <v>182376</v>
      </c>
      <c r="Y221" s="151">
        <v>3280664</v>
      </c>
      <c r="Z221" s="152">
        <f t="shared" si="20"/>
        <v>3463040</v>
      </c>
      <c r="AA221" s="153">
        <f t="shared" si="22"/>
        <v>15.157579787234043</v>
      </c>
      <c r="AB221" s="153">
        <f t="shared" si="23"/>
        <v>115.75681874316362</v>
      </c>
      <c r="AC221" s="153">
        <f t="shared" si="24"/>
        <v>85.776137517647939</v>
      </c>
      <c r="AD221" s="175" t="s">
        <v>157</v>
      </c>
    </row>
    <row r="222" spans="1:30" s="146" customFormat="1" ht="21" customHeight="1" x14ac:dyDescent="0.2">
      <c r="A222" s="146" t="str">
        <f t="shared" si="19"/>
        <v>Citywalk Phase 5.06</v>
      </c>
      <c r="B222" s="147" t="str">
        <f t="shared" si="21"/>
        <v>Citywalk Phase 5.06 - Mechanical</v>
      </c>
      <c r="C222" s="147"/>
      <c r="D222" s="148" t="s">
        <v>82</v>
      </c>
      <c r="E222" s="148" t="s">
        <v>83</v>
      </c>
      <c r="F222" s="148" t="s">
        <v>84</v>
      </c>
      <c r="G222" s="148" t="s">
        <v>85</v>
      </c>
      <c r="H222" s="149" t="s">
        <v>108</v>
      </c>
      <c r="I222" s="148" t="s">
        <v>119</v>
      </c>
      <c r="J222" s="149">
        <v>2024</v>
      </c>
      <c r="K222" s="150" t="s">
        <v>90</v>
      </c>
      <c r="L222" s="149" t="s">
        <v>86</v>
      </c>
      <c r="M222" s="149" t="s">
        <v>104</v>
      </c>
      <c r="N222" s="149" t="s">
        <v>105</v>
      </c>
      <c r="O222" s="149" t="s">
        <v>123</v>
      </c>
      <c r="P222" s="149" t="s">
        <v>124</v>
      </c>
      <c r="Q222" s="151">
        <v>12032</v>
      </c>
      <c r="R222" s="151">
        <v>28341</v>
      </c>
      <c r="S222" s="151">
        <v>40373</v>
      </c>
      <c r="T222" s="148" t="s">
        <v>127</v>
      </c>
      <c r="U222" s="154">
        <v>5.4</v>
      </c>
      <c r="V222" s="148" t="s">
        <v>17</v>
      </c>
      <c r="W222" s="149" t="s">
        <v>11</v>
      </c>
      <c r="X222" s="151">
        <v>44208</v>
      </c>
      <c r="Y222" s="151">
        <v>469861</v>
      </c>
      <c r="Z222" s="152">
        <f t="shared" si="20"/>
        <v>514069</v>
      </c>
      <c r="AA222" s="153">
        <f t="shared" si="22"/>
        <v>3.6742021276595747</v>
      </c>
      <c r="AB222" s="153">
        <f t="shared" si="23"/>
        <v>16.578843371793514</v>
      </c>
      <c r="AC222" s="153">
        <f t="shared" si="24"/>
        <v>12.732989869467218</v>
      </c>
      <c r="AD222" s="175" t="s">
        <v>157</v>
      </c>
    </row>
    <row r="223" spans="1:30" s="146" customFormat="1" ht="21" customHeight="1" x14ac:dyDescent="0.2">
      <c r="A223" s="146" t="str">
        <f t="shared" si="19"/>
        <v>Citywalk Phase 5.06</v>
      </c>
      <c r="B223" s="147" t="str">
        <f t="shared" si="21"/>
        <v>Citywalk Phase 5.06 - Mechanical</v>
      </c>
      <c r="C223" s="147"/>
      <c r="D223" s="148" t="s">
        <v>82</v>
      </c>
      <c r="E223" s="148" t="s">
        <v>83</v>
      </c>
      <c r="F223" s="148" t="s">
        <v>84</v>
      </c>
      <c r="G223" s="148" t="s">
        <v>85</v>
      </c>
      <c r="H223" s="149" t="s">
        <v>108</v>
      </c>
      <c r="I223" s="148" t="s">
        <v>119</v>
      </c>
      <c r="J223" s="149">
        <v>2024</v>
      </c>
      <c r="K223" s="150" t="s">
        <v>90</v>
      </c>
      <c r="L223" s="149" t="s">
        <v>86</v>
      </c>
      <c r="M223" s="149" t="s">
        <v>104</v>
      </c>
      <c r="N223" s="149" t="s">
        <v>105</v>
      </c>
      <c r="O223" s="149" t="s">
        <v>123</v>
      </c>
      <c r="P223" s="149" t="s">
        <v>124</v>
      </c>
      <c r="Q223" s="151">
        <v>12032</v>
      </c>
      <c r="R223" s="151">
        <v>28341</v>
      </c>
      <c r="S223" s="151">
        <v>40373</v>
      </c>
      <c r="T223" s="148" t="s">
        <v>127</v>
      </c>
      <c r="U223" s="154" t="s">
        <v>28</v>
      </c>
      <c r="V223" s="148" t="s">
        <v>18</v>
      </c>
      <c r="W223" s="149" t="s">
        <v>11</v>
      </c>
      <c r="X223" s="151">
        <v>1864782</v>
      </c>
      <c r="Y223" s="151">
        <v>3673522</v>
      </c>
      <c r="Z223" s="152">
        <f t="shared" si="20"/>
        <v>5538304</v>
      </c>
      <c r="AA223" s="153">
        <f t="shared" si="22"/>
        <v>154.98520611702128</v>
      </c>
      <c r="AB223" s="153">
        <f t="shared" si="23"/>
        <v>129.61864436681839</v>
      </c>
      <c r="AC223" s="153">
        <f t="shared" si="24"/>
        <v>137.17841131449237</v>
      </c>
      <c r="AD223" s="175" t="s">
        <v>157</v>
      </c>
    </row>
    <row r="224" spans="1:30" s="146" customFormat="1" ht="21" customHeight="1" x14ac:dyDescent="0.2">
      <c r="A224" s="146" t="str">
        <f t="shared" si="19"/>
        <v>Citywalk Phase 5.06</v>
      </c>
      <c r="B224" s="147" t="str">
        <f t="shared" si="21"/>
        <v>Citywalk Phase 5.06 - Mechanical</v>
      </c>
      <c r="C224" s="147"/>
      <c r="D224" s="148" t="s">
        <v>82</v>
      </c>
      <c r="E224" s="148" t="s">
        <v>83</v>
      </c>
      <c r="F224" s="148" t="s">
        <v>84</v>
      </c>
      <c r="G224" s="148" t="s">
        <v>85</v>
      </c>
      <c r="H224" s="149" t="s">
        <v>108</v>
      </c>
      <c r="I224" s="148" t="s">
        <v>119</v>
      </c>
      <c r="J224" s="149">
        <v>2024</v>
      </c>
      <c r="K224" s="150" t="s">
        <v>90</v>
      </c>
      <c r="L224" s="149" t="s">
        <v>86</v>
      </c>
      <c r="M224" s="149" t="s">
        <v>104</v>
      </c>
      <c r="N224" s="149" t="s">
        <v>105</v>
      </c>
      <c r="O224" s="149" t="s">
        <v>123</v>
      </c>
      <c r="P224" s="149" t="s">
        <v>124</v>
      </c>
      <c r="Q224" s="151">
        <v>12032</v>
      </c>
      <c r="R224" s="151">
        <v>28341</v>
      </c>
      <c r="S224" s="151">
        <v>40373</v>
      </c>
      <c r="T224" s="148" t="s">
        <v>127</v>
      </c>
      <c r="U224" s="154" t="s">
        <v>28</v>
      </c>
      <c r="V224" s="148" t="s">
        <v>19</v>
      </c>
      <c r="W224" s="149" t="s">
        <v>11</v>
      </c>
      <c r="X224" s="151">
        <v>202270</v>
      </c>
      <c r="Y224" s="151">
        <v>0</v>
      </c>
      <c r="Z224" s="152">
        <f t="shared" si="20"/>
        <v>202270</v>
      </c>
      <c r="AA224" s="153">
        <f t="shared" si="22"/>
        <v>16.811003989361701</v>
      </c>
      <c r="AB224" s="153">
        <f t="shared" si="23"/>
        <v>0</v>
      </c>
      <c r="AC224" s="153">
        <f t="shared" si="24"/>
        <v>5.0100314566665842</v>
      </c>
      <c r="AD224" s="175" t="s">
        <v>157</v>
      </c>
    </row>
    <row r="225" spans="1:30" s="146" customFormat="1" ht="21" customHeight="1" x14ac:dyDescent="0.2">
      <c r="A225" s="146" t="str">
        <f t="shared" si="19"/>
        <v>Citywalk Phase 5.06</v>
      </c>
      <c r="B225" s="147" t="str">
        <f t="shared" si="21"/>
        <v>Citywalk Phase 5.06 - Mechanical</v>
      </c>
      <c r="C225" s="147"/>
      <c r="D225" s="148" t="s">
        <v>82</v>
      </c>
      <c r="E225" s="148" t="s">
        <v>83</v>
      </c>
      <c r="F225" s="148" t="s">
        <v>84</v>
      </c>
      <c r="G225" s="148" t="s">
        <v>85</v>
      </c>
      <c r="H225" s="149" t="s">
        <v>108</v>
      </c>
      <c r="I225" s="148" t="s">
        <v>119</v>
      </c>
      <c r="J225" s="149">
        <v>2024</v>
      </c>
      <c r="K225" s="150" t="s">
        <v>90</v>
      </c>
      <c r="L225" s="149" t="s">
        <v>86</v>
      </c>
      <c r="M225" s="149" t="s">
        <v>104</v>
      </c>
      <c r="N225" s="149" t="s">
        <v>105</v>
      </c>
      <c r="O225" s="149" t="s">
        <v>123</v>
      </c>
      <c r="P225" s="149" t="s">
        <v>124</v>
      </c>
      <c r="Q225" s="151">
        <v>12032</v>
      </c>
      <c r="R225" s="151">
        <v>28341</v>
      </c>
      <c r="S225" s="151">
        <v>40373</v>
      </c>
      <c r="T225" s="148" t="s">
        <v>127</v>
      </c>
      <c r="U225" s="154" t="s">
        <v>28</v>
      </c>
      <c r="V225" s="148" t="s">
        <v>20</v>
      </c>
      <c r="W225" s="149" t="s">
        <v>11</v>
      </c>
      <c r="X225" s="151">
        <v>263891</v>
      </c>
      <c r="Y225" s="151">
        <v>27302</v>
      </c>
      <c r="Z225" s="152">
        <f t="shared" si="20"/>
        <v>291193</v>
      </c>
      <c r="AA225" s="153">
        <f t="shared" si="22"/>
        <v>21.932430186170212</v>
      </c>
      <c r="AB225" s="153">
        <f t="shared" si="23"/>
        <v>0.96333933171024311</v>
      </c>
      <c r="AC225" s="153">
        <f t="shared" si="24"/>
        <v>7.2125678052163575</v>
      </c>
      <c r="AD225" s="175" t="s">
        <v>157</v>
      </c>
    </row>
    <row r="226" spans="1:30" s="146" customFormat="1" ht="21" customHeight="1" x14ac:dyDescent="0.2">
      <c r="A226" s="146" t="str">
        <f t="shared" si="19"/>
        <v>Citywalk Phase 5.06</v>
      </c>
      <c r="B226" s="147" t="str">
        <f t="shared" si="21"/>
        <v>Citywalk Phase 5.06 - Mechanical</v>
      </c>
      <c r="C226" s="147"/>
      <c r="D226" s="148" t="s">
        <v>82</v>
      </c>
      <c r="E226" s="148" t="s">
        <v>83</v>
      </c>
      <c r="F226" s="148" t="s">
        <v>84</v>
      </c>
      <c r="G226" s="148" t="s">
        <v>85</v>
      </c>
      <c r="H226" s="149" t="s">
        <v>108</v>
      </c>
      <c r="I226" s="148" t="s">
        <v>119</v>
      </c>
      <c r="J226" s="149">
        <v>2024</v>
      </c>
      <c r="K226" s="150" t="s">
        <v>90</v>
      </c>
      <c r="L226" s="149" t="s">
        <v>86</v>
      </c>
      <c r="M226" s="149" t="s">
        <v>104</v>
      </c>
      <c r="N226" s="149" t="s">
        <v>105</v>
      </c>
      <c r="O226" s="149" t="s">
        <v>123</v>
      </c>
      <c r="P226" s="149" t="s">
        <v>124</v>
      </c>
      <c r="Q226" s="151">
        <v>12032</v>
      </c>
      <c r="R226" s="151">
        <v>28341</v>
      </c>
      <c r="S226" s="151">
        <v>40373</v>
      </c>
      <c r="T226" s="148" t="s">
        <v>127</v>
      </c>
      <c r="U226" s="154">
        <v>5.6</v>
      </c>
      <c r="V226" s="148" t="s">
        <v>21</v>
      </c>
      <c r="W226" s="149" t="s">
        <v>11</v>
      </c>
      <c r="X226" s="151">
        <v>334968</v>
      </c>
      <c r="Y226" s="151">
        <v>4181441</v>
      </c>
      <c r="Z226" s="152">
        <f t="shared" si="20"/>
        <v>4516409</v>
      </c>
      <c r="AA226" s="153">
        <f t="shared" si="22"/>
        <v>27.839760638297872</v>
      </c>
      <c r="AB226" s="153">
        <f t="shared" si="23"/>
        <v>147.54034790586076</v>
      </c>
      <c r="AC226" s="153">
        <f t="shared" si="24"/>
        <v>111.86706462239616</v>
      </c>
      <c r="AD226" s="175" t="s">
        <v>157</v>
      </c>
    </row>
    <row r="227" spans="1:30" s="146" customFormat="1" ht="21" customHeight="1" x14ac:dyDescent="0.2">
      <c r="A227" s="146" t="str">
        <f t="shared" si="19"/>
        <v>Citywalk Phase 5.06</v>
      </c>
      <c r="B227" s="147" t="str">
        <f t="shared" si="21"/>
        <v>Citywalk Phase 5.06 - Mechanical</v>
      </c>
      <c r="C227" s="147"/>
      <c r="D227" s="148" t="s">
        <v>82</v>
      </c>
      <c r="E227" s="148" t="s">
        <v>83</v>
      </c>
      <c r="F227" s="148" t="s">
        <v>84</v>
      </c>
      <c r="G227" s="148" t="s">
        <v>85</v>
      </c>
      <c r="H227" s="149" t="s">
        <v>108</v>
      </c>
      <c r="I227" s="148" t="s">
        <v>119</v>
      </c>
      <c r="J227" s="149">
        <v>2024</v>
      </c>
      <c r="K227" s="150" t="s">
        <v>90</v>
      </c>
      <c r="L227" s="149" t="s">
        <v>86</v>
      </c>
      <c r="M227" s="149" t="s">
        <v>104</v>
      </c>
      <c r="N227" s="149" t="s">
        <v>105</v>
      </c>
      <c r="O227" s="149" t="s">
        <v>123</v>
      </c>
      <c r="P227" s="149" t="s">
        <v>124</v>
      </c>
      <c r="Q227" s="151">
        <v>12032</v>
      </c>
      <c r="R227" s="151">
        <v>28341</v>
      </c>
      <c r="S227" s="151">
        <v>40373</v>
      </c>
      <c r="T227" s="148" t="s">
        <v>127</v>
      </c>
      <c r="U227" s="154">
        <v>5.6</v>
      </c>
      <c r="V227" s="148" t="s">
        <v>22</v>
      </c>
      <c r="W227" s="149" t="s">
        <v>11</v>
      </c>
      <c r="X227" s="151">
        <v>0</v>
      </c>
      <c r="Y227" s="151">
        <v>1437247</v>
      </c>
      <c r="Z227" s="152">
        <f t="shared" si="20"/>
        <v>1437247</v>
      </c>
      <c r="AA227" s="153">
        <f t="shared" si="22"/>
        <v>0</v>
      </c>
      <c r="AB227" s="153">
        <f t="shared" si="23"/>
        <v>50.712642461451608</v>
      </c>
      <c r="AC227" s="153">
        <f t="shared" si="24"/>
        <v>35.599212344883959</v>
      </c>
      <c r="AD227" s="175" t="s">
        <v>157</v>
      </c>
    </row>
    <row r="228" spans="1:30" s="146" customFormat="1" ht="21" customHeight="1" x14ac:dyDescent="0.2">
      <c r="A228" s="146" t="str">
        <f t="shared" si="19"/>
        <v>Citywalk Phase 5.06</v>
      </c>
      <c r="B228" s="147" t="str">
        <f t="shared" si="21"/>
        <v>Citywalk Phase 5.06 - Mechanical</v>
      </c>
      <c r="C228" s="147"/>
      <c r="D228" s="148" t="s">
        <v>82</v>
      </c>
      <c r="E228" s="148" t="s">
        <v>83</v>
      </c>
      <c r="F228" s="148" t="s">
        <v>84</v>
      </c>
      <c r="G228" s="148" t="s">
        <v>85</v>
      </c>
      <c r="H228" s="149" t="s">
        <v>108</v>
      </c>
      <c r="I228" s="148" t="s">
        <v>119</v>
      </c>
      <c r="J228" s="149">
        <v>2024</v>
      </c>
      <c r="K228" s="150" t="s">
        <v>90</v>
      </c>
      <c r="L228" s="149" t="s">
        <v>86</v>
      </c>
      <c r="M228" s="149" t="s">
        <v>104</v>
      </c>
      <c r="N228" s="149" t="s">
        <v>105</v>
      </c>
      <c r="O228" s="149" t="s">
        <v>123</v>
      </c>
      <c r="P228" s="149" t="s">
        <v>124</v>
      </c>
      <c r="Q228" s="151">
        <v>12032</v>
      </c>
      <c r="R228" s="151">
        <v>28341</v>
      </c>
      <c r="S228" s="151">
        <v>40373</v>
      </c>
      <c r="T228" s="148" t="s">
        <v>127</v>
      </c>
      <c r="U228" s="154">
        <v>5.6</v>
      </c>
      <c r="V228" s="148" t="s">
        <v>23</v>
      </c>
      <c r="W228" s="149" t="s">
        <v>11</v>
      </c>
      <c r="X228" s="151">
        <v>174552</v>
      </c>
      <c r="Y228" s="151">
        <v>3168255</v>
      </c>
      <c r="Z228" s="152">
        <f t="shared" si="20"/>
        <v>3342807</v>
      </c>
      <c r="AA228" s="153">
        <f t="shared" si="22"/>
        <v>14.507313829787234</v>
      </c>
      <c r="AB228" s="153">
        <f t="shared" si="23"/>
        <v>111.79051550756854</v>
      </c>
      <c r="AC228" s="153">
        <f t="shared" si="24"/>
        <v>82.798082877170387</v>
      </c>
      <c r="AD228" s="175" t="s">
        <v>157</v>
      </c>
    </row>
    <row r="229" spans="1:30" s="146" customFormat="1" ht="21" customHeight="1" x14ac:dyDescent="0.2">
      <c r="A229" s="146" t="str">
        <f t="shared" si="19"/>
        <v>Citywalk Phase 5.06</v>
      </c>
      <c r="B229" s="147" t="str">
        <f t="shared" si="21"/>
        <v>Citywalk Phase 5.06 - Mechanical</v>
      </c>
      <c r="C229" s="147"/>
      <c r="D229" s="148" t="s">
        <v>82</v>
      </c>
      <c r="E229" s="148" t="s">
        <v>83</v>
      </c>
      <c r="F229" s="148" t="s">
        <v>84</v>
      </c>
      <c r="G229" s="148" t="s">
        <v>85</v>
      </c>
      <c r="H229" s="149" t="s">
        <v>108</v>
      </c>
      <c r="I229" s="148" t="s">
        <v>119</v>
      </c>
      <c r="J229" s="149">
        <v>2024</v>
      </c>
      <c r="K229" s="150" t="s">
        <v>90</v>
      </c>
      <c r="L229" s="149" t="s">
        <v>86</v>
      </c>
      <c r="M229" s="149" t="s">
        <v>104</v>
      </c>
      <c r="N229" s="149" t="s">
        <v>105</v>
      </c>
      <c r="O229" s="149" t="s">
        <v>123</v>
      </c>
      <c r="P229" s="149" t="s">
        <v>124</v>
      </c>
      <c r="Q229" s="151">
        <v>12032</v>
      </c>
      <c r="R229" s="151">
        <v>28341</v>
      </c>
      <c r="S229" s="151">
        <v>40373</v>
      </c>
      <c r="T229" s="148" t="s">
        <v>127</v>
      </c>
      <c r="U229" s="154">
        <v>5.6</v>
      </c>
      <c r="V229" s="148" t="s">
        <v>24</v>
      </c>
      <c r="W229" s="149" t="s">
        <v>11</v>
      </c>
      <c r="X229" s="151">
        <v>323602</v>
      </c>
      <c r="Y229" s="151">
        <v>3487781</v>
      </c>
      <c r="Z229" s="152">
        <f t="shared" si="20"/>
        <v>3811383</v>
      </c>
      <c r="AA229" s="153">
        <f t="shared" si="22"/>
        <v>26.895113031914892</v>
      </c>
      <c r="AB229" s="153">
        <f t="shared" si="23"/>
        <v>123.06485303976571</v>
      </c>
      <c r="AC229" s="153">
        <f t="shared" si="24"/>
        <v>94.40425531914893</v>
      </c>
      <c r="AD229" s="175" t="s">
        <v>157</v>
      </c>
    </row>
    <row r="230" spans="1:30" s="146" customFormat="1" ht="21" customHeight="1" x14ac:dyDescent="0.2">
      <c r="A230" s="146" t="str">
        <f t="shared" si="19"/>
        <v>Citywalk Phase 5.06</v>
      </c>
      <c r="B230" s="147" t="str">
        <f t="shared" si="21"/>
        <v>Citywalk Phase 5.06 - Mechanical</v>
      </c>
      <c r="C230" s="147"/>
      <c r="D230" s="148" t="s">
        <v>82</v>
      </c>
      <c r="E230" s="148" t="s">
        <v>83</v>
      </c>
      <c r="F230" s="148" t="s">
        <v>84</v>
      </c>
      <c r="G230" s="148" t="s">
        <v>85</v>
      </c>
      <c r="H230" s="149" t="s">
        <v>108</v>
      </c>
      <c r="I230" s="148" t="s">
        <v>119</v>
      </c>
      <c r="J230" s="149">
        <v>2024</v>
      </c>
      <c r="K230" s="150" t="s">
        <v>90</v>
      </c>
      <c r="L230" s="149" t="s">
        <v>86</v>
      </c>
      <c r="M230" s="149" t="s">
        <v>104</v>
      </c>
      <c r="N230" s="149" t="s">
        <v>105</v>
      </c>
      <c r="O230" s="149" t="s">
        <v>123</v>
      </c>
      <c r="P230" s="149" t="s">
        <v>124</v>
      </c>
      <c r="Q230" s="151">
        <v>12032</v>
      </c>
      <c r="R230" s="151">
        <v>28341</v>
      </c>
      <c r="S230" s="151">
        <v>40373</v>
      </c>
      <c r="T230" s="148" t="s">
        <v>127</v>
      </c>
      <c r="U230" s="154">
        <v>5.6</v>
      </c>
      <c r="V230" s="148" t="s">
        <v>25</v>
      </c>
      <c r="W230" s="149" t="s">
        <v>11</v>
      </c>
      <c r="X230" s="151">
        <v>3639083</v>
      </c>
      <c r="Y230" s="151">
        <v>3574417</v>
      </c>
      <c r="Z230" s="152">
        <f t="shared" si="20"/>
        <v>7213500</v>
      </c>
      <c r="AA230" s="153">
        <f t="shared" si="22"/>
        <v>302.45038231382978</v>
      </c>
      <c r="AB230" s="153">
        <f t="shared" si="23"/>
        <v>126.12176705126848</v>
      </c>
      <c r="AC230" s="153">
        <f t="shared" si="24"/>
        <v>178.67138929482576</v>
      </c>
      <c r="AD230" s="175" t="s">
        <v>157</v>
      </c>
    </row>
    <row r="231" spans="1:30" s="146" customFormat="1" ht="21" customHeight="1" x14ac:dyDescent="0.2">
      <c r="A231" s="146" t="str">
        <f t="shared" si="19"/>
        <v>Citywalk Phase 5.06</v>
      </c>
      <c r="B231" s="147" t="str">
        <f t="shared" si="21"/>
        <v>Citywalk Phase 5.06 - Mechanical</v>
      </c>
      <c r="C231" s="147"/>
      <c r="D231" s="148" t="s">
        <v>82</v>
      </c>
      <c r="E231" s="148" t="s">
        <v>83</v>
      </c>
      <c r="F231" s="148" t="s">
        <v>84</v>
      </c>
      <c r="G231" s="148" t="s">
        <v>85</v>
      </c>
      <c r="H231" s="149" t="s">
        <v>108</v>
      </c>
      <c r="I231" s="148" t="s">
        <v>119</v>
      </c>
      <c r="J231" s="149">
        <v>2024</v>
      </c>
      <c r="K231" s="150" t="s">
        <v>90</v>
      </c>
      <c r="L231" s="149" t="s">
        <v>86</v>
      </c>
      <c r="M231" s="149" t="s">
        <v>104</v>
      </c>
      <c r="N231" s="149" t="s">
        <v>105</v>
      </c>
      <c r="O231" s="149" t="s">
        <v>123</v>
      </c>
      <c r="P231" s="149" t="s">
        <v>124</v>
      </c>
      <c r="Q231" s="151">
        <v>12032</v>
      </c>
      <c r="R231" s="151">
        <v>28341</v>
      </c>
      <c r="S231" s="151">
        <v>40373</v>
      </c>
      <c r="T231" s="148" t="s">
        <v>127</v>
      </c>
      <c r="U231" s="154">
        <v>5.6</v>
      </c>
      <c r="V231" s="148" t="s">
        <v>26</v>
      </c>
      <c r="W231" s="149" t="s">
        <v>11</v>
      </c>
      <c r="X231" s="151">
        <v>162604</v>
      </c>
      <c r="Y231" s="151">
        <v>668453</v>
      </c>
      <c r="Z231" s="152">
        <f t="shared" si="20"/>
        <v>831057</v>
      </c>
      <c r="AA231" s="153">
        <f t="shared" si="22"/>
        <v>13.514295212765957</v>
      </c>
      <c r="AB231" s="153">
        <f t="shared" si="23"/>
        <v>23.586076708655305</v>
      </c>
      <c r="AC231" s="153">
        <f t="shared" si="24"/>
        <v>20.584474772744162</v>
      </c>
      <c r="AD231" s="175" t="s">
        <v>157</v>
      </c>
    </row>
    <row r="232" spans="1:30" s="146" customFormat="1" ht="21" customHeight="1" x14ac:dyDescent="0.2">
      <c r="A232" s="146" t="str">
        <f t="shared" si="19"/>
        <v>Citywalk Phase 5.06</v>
      </c>
      <c r="B232" s="147" t="str">
        <f t="shared" si="21"/>
        <v>Citywalk Phase 5.06 - Mechanical</v>
      </c>
      <c r="C232" s="147"/>
      <c r="D232" s="148" t="s">
        <v>82</v>
      </c>
      <c r="E232" s="148" t="s">
        <v>83</v>
      </c>
      <c r="F232" s="148" t="s">
        <v>84</v>
      </c>
      <c r="G232" s="148" t="s">
        <v>85</v>
      </c>
      <c r="H232" s="149" t="s">
        <v>108</v>
      </c>
      <c r="I232" s="148" t="s">
        <v>119</v>
      </c>
      <c r="J232" s="149">
        <v>2024</v>
      </c>
      <c r="K232" s="150" t="s">
        <v>90</v>
      </c>
      <c r="L232" s="149" t="s">
        <v>86</v>
      </c>
      <c r="M232" s="149" t="s">
        <v>104</v>
      </c>
      <c r="N232" s="149" t="s">
        <v>105</v>
      </c>
      <c r="O232" s="149" t="s">
        <v>123</v>
      </c>
      <c r="P232" s="149" t="s">
        <v>124</v>
      </c>
      <c r="Q232" s="151">
        <v>12032</v>
      </c>
      <c r="R232" s="151">
        <v>28341</v>
      </c>
      <c r="S232" s="151">
        <v>40373</v>
      </c>
      <c r="T232" s="148" t="s">
        <v>127</v>
      </c>
      <c r="U232" s="154">
        <v>5.14</v>
      </c>
      <c r="V232" s="148" t="s">
        <v>27</v>
      </c>
      <c r="W232" s="149" t="s">
        <v>11</v>
      </c>
      <c r="X232" s="151">
        <v>231085</v>
      </c>
      <c r="Y232" s="151">
        <v>739145</v>
      </c>
      <c r="Z232" s="152">
        <f t="shared" si="20"/>
        <v>970230</v>
      </c>
      <c r="AA232" s="153">
        <f t="shared" si="22"/>
        <v>19.205867686170212</v>
      </c>
      <c r="AB232" s="153">
        <f t="shared" si="23"/>
        <v>26.080413535161075</v>
      </c>
      <c r="AC232" s="153">
        <f t="shared" si="24"/>
        <v>24.031654818814555</v>
      </c>
      <c r="AD232" s="175" t="s">
        <v>157</v>
      </c>
    </row>
    <row r="233" spans="1:30" s="146" customFormat="1" ht="21" customHeight="1" x14ac:dyDescent="0.2">
      <c r="A233" s="146" t="str">
        <f t="shared" si="19"/>
        <v>Citywalk Phase 5.06</v>
      </c>
      <c r="B233" s="147" t="str">
        <f t="shared" si="21"/>
        <v>Citywalk Phase 5.06 - Electrical</v>
      </c>
      <c r="C233" s="147"/>
      <c r="D233" s="148" t="s">
        <v>82</v>
      </c>
      <c r="E233" s="148" t="s">
        <v>83</v>
      </c>
      <c r="F233" s="148" t="s">
        <v>84</v>
      </c>
      <c r="G233" s="148" t="s">
        <v>85</v>
      </c>
      <c r="H233" s="149" t="s">
        <v>108</v>
      </c>
      <c r="I233" s="148" t="s">
        <v>119</v>
      </c>
      <c r="J233" s="149">
        <v>2024</v>
      </c>
      <c r="K233" s="150" t="s">
        <v>90</v>
      </c>
      <c r="L233" s="149" t="s">
        <v>86</v>
      </c>
      <c r="M233" s="149" t="s">
        <v>104</v>
      </c>
      <c r="N233" s="149" t="s">
        <v>105</v>
      </c>
      <c r="O233" s="149" t="s">
        <v>123</v>
      </c>
      <c r="P233" s="149" t="s">
        <v>124</v>
      </c>
      <c r="Q233" s="151">
        <v>12032</v>
      </c>
      <c r="R233" s="151">
        <v>28341</v>
      </c>
      <c r="S233" s="151">
        <v>40373</v>
      </c>
      <c r="T233" s="148" t="s">
        <v>148</v>
      </c>
      <c r="U233" s="154">
        <v>5.8</v>
      </c>
      <c r="V233" s="148" t="s">
        <v>29</v>
      </c>
      <c r="W233" s="149" t="s">
        <v>11</v>
      </c>
      <c r="X233" s="151">
        <v>1935419</v>
      </c>
      <c r="Y233" s="151">
        <v>3020328</v>
      </c>
      <c r="Z233" s="152">
        <f t="shared" si="20"/>
        <v>4955747</v>
      </c>
      <c r="AA233" s="153">
        <f t="shared" si="22"/>
        <v>160.85596742021278</v>
      </c>
      <c r="AB233" s="153">
        <f t="shared" si="23"/>
        <v>106.57097491267069</v>
      </c>
      <c r="AC233" s="153">
        <f t="shared" si="24"/>
        <v>122.74904020013375</v>
      </c>
      <c r="AD233" s="175" t="s">
        <v>157</v>
      </c>
    </row>
    <row r="234" spans="1:30" s="146" customFormat="1" ht="21" customHeight="1" x14ac:dyDescent="0.2">
      <c r="A234" s="146" t="str">
        <f t="shared" si="19"/>
        <v>Citywalk Phase 5.06</v>
      </c>
      <c r="B234" s="147" t="str">
        <f t="shared" si="21"/>
        <v>Citywalk Phase 5.06 - Electrical</v>
      </c>
      <c r="C234" s="147"/>
      <c r="D234" s="148" t="s">
        <v>82</v>
      </c>
      <c r="E234" s="148" t="s">
        <v>83</v>
      </c>
      <c r="F234" s="148" t="s">
        <v>84</v>
      </c>
      <c r="G234" s="148" t="s">
        <v>85</v>
      </c>
      <c r="H234" s="149" t="s">
        <v>108</v>
      </c>
      <c r="I234" s="148" t="s">
        <v>119</v>
      </c>
      <c r="J234" s="149">
        <v>2024</v>
      </c>
      <c r="K234" s="150" t="s">
        <v>90</v>
      </c>
      <c r="L234" s="149" t="s">
        <v>86</v>
      </c>
      <c r="M234" s="149" t="s">
        <v>104</v>
      </c>
      <c r="N234" s="149" t="s">
        <v>105</v>
      </c>
      <c r="O234" s="149" t="s">
        <v>123</v>
      </c>
      <c r="P234" s="149" t="s">
        <v>124</v>
      </c>
      <c r="Q234" s="151">
        <v>12032</v>
      </c>
      <c r="R234" s="151">
        <v>28341</v>
      </c>
      <c r="S234" s="151">
        <v>40373</v>
      </c>
      <c r="T234" s="148" t="s">
        <v>148</v>
      </c>
      <c r="U234" s="154">
        <v>5.8</v>
      </c>
      <c r="V234" s="148" t="s">
        <v>55</v>
      </c>
      <c r="W234" s="149" t="s">
        <v>11</v>
      </c>
      <c r="X234" s="151">
        <v>0</v>
      </c>
      <c r="Y234" s="151">
        <v>4188732</v>
      </c>
      <c r="Z234" s="152">
        <f t="shared" si="20"/>
        <v>4188732</v>
      </c>
      <c r="AA234" s="153">
        <f t="shared" si="22"/>
        <v>0</v>
      </c>
      <c r="AB234" s="153">
        <f t="shared" si="23"/>
        <v>147.7976077061501</v>
      </c>
      <c r="AC234" s="153">
        <f t="shared" si="24"/>
        <v>103.75082357020781</v>
      </c>
      <c r="AD234" s="175" t="s">
        <v>157</v>
      </c>
    </row>
    <row r="235" spans="1:30" s="146" customFormat="1" ht="21" customHeight="1" x14ac:dyDescent="0.2">
      <c r="A235" s="146" t="str">
        <f t="shared" si="19"/>
        <v>Citywalk Phase 5.06</v>
      </c>
      <c r="B235" s="147" t="str">
        <f t="shared" si="21"/>
        <v>Citywalk Phase 5.06 - Electrical</v>
      </c>
      <c r="C235" s="147"/>
      <c r="D235" s="148" t="s">
        <v>82</v>
      </c>
      <c r="E235" s="148" t="s">
        <v>83</v>
      </c>
      <c r="F235" s="148" t="s">
        <v>84</v>
      </c>
      <c r="G235" s="148" t="s">
        <v>85</v>
      </c>
      <c r="H235" s="149" t="s">
        <v>108</v>
      </c>
      <c r="I235" s="148" t="s">
        <v>119</v>
      </c>
      <c r="J235" s="149">
        <v>2024</v>
      </c>
      <c r="K235" s="150" t="s">
        <v>90</v>
      </c>
      <c r="L235" s="149" t="s">
        <v>86</v>
      </c>
      <c r="M235" s="149" t="s">
        <v>104</v>
      </c>
      <c r="N235" s="149" t="s">
        <v>105</v>
      </c>
      <c r="O235" s="149" t="s">
        <v>123</v>
      </c>
      <c r="P235" s="149" t="s">
        <v>124</v>
      </c>
      <c r="Q235" s="151">
        <v>12032</v>
      </c>
      <c r="R235" s="151">
        <v>28341</v>
      </c>
      <c r="S235" s="151">
        <v>40373</v>
      </c>
      <c r="T235" s="148" t="s">
        <v>148</v>
      </c>
      <c r="U235" s="154">
        <v>5.8</v>
      </c>
      <c r="V235" s="148" t="s">
        <v>30</v>
      </c>
      <c r="W235" s="149" t="s">
        <v>11</v>
      </c>
      <c r="X235" s="151">
        <v>2855697</v>
      </c>
      <c r="Y235" s="151">
        <v>1906316</v>
      </c>
      <c r="Z235" s="152">
        <f t="shared" si="20"/>
        <v>4762013</v>
      </c>
      <c r="AA235" s="153">
        <f t="shared" si="22"/>
        <v>237.34183843085106</v>
      </c>
      <c r="AB235" s="153">
        <f t="shared" si="23"/>
        <v>67.263540453759575</v>
      </c>
      <c r="AC235" s="153">
        <f t="shared" si="24"/>
        <v>117.95043717335844</v>
      </c>
      <c r="AD235" s="175" t="s">
        <v>157</v>
      </c>
    </row>
    <row r="236" spans="1:30" s="146" customFormat="1" ht="21" customHeight="1" x14ac:dyDescent="0.2">
      <c r="A236" s="146" t="str">
        <f t="shared" si="19"/>
        <v>Citywalk Phase 5.06</v>
      </c>
      <c r="B236" s="147" t="str">
        <f t="shared" si="21"/>
        <v>Citywalk Phase 5.06 - Electrical</v>
      </c>
      <c r="C236" s="147"/>
      <c r="D236" s="148" t="s">
        <v>82</v>
      </c>
      <c r="E236" s="148" t="s">
        <v>83</v>
      </c>
      <c r="F236" s="148" t="s">
        <v>84</v>
      </c>
      <c r="G236" s="148" t="s">
        <v>85</v>
      </c>
      <c r="H236" s="149" t="s">
        <v>108</v>
      </c>
      <c r="I236" s="148" t="s">
        <v>119</v>
      </c>
      <c r="J236" s="149">
        <v>2024</v>
      </c>
      <c r="K236" s="150" t="s">
        <v>90</v>
      </c>
      <c r="L236" s="149" t="s">
        <v>86</v>
      </c>
      <c r="M236" s="149" t="s">
        <v>104</v>
      </c>
      <c r="N236" s="149" t="s">
        <v>105</v>
      </c>
      <c r="O236" s="149" t="s">
        <v>123</v>
      </c>
      <c r="P236" s="149" t="s">
        <v>124</v>
      </c>
      <c r="Q236" s="151">
        <v>12032</v>
      </c>
      <c r="R236" s="151">
        <v>28341</v>
      </c>
      <c r="S236" s="151">
        <v>40373</v>
      </c>
      <c r="T236" s="148" t="s">
        <v>148</v>
      </c>
      <c r="U236" s="154">
        <v>5.8</v>
      </c>
      <c r="V236" s="148" t="s">
        <v>31</v>
      </c>
      <c r="W236" s="149" t="s">
        <v>11</v>
      </c>
      <c r="X236" s="151">
        <v>104004</v>
      </c>
      <c r="Y236" s="151">
        <v>2741294</v>
      </c>
      <c r="Z236" s="152">
        <f t="shared" si="20"/>
        <v>2845298</v>
      </c>
      <c r="AA236" s="153">
        <f t="shared" si="22"/>
        <v>8.6439494680851059</v>
      </c>
      <c r="AB236" s="153">
        <f t="shared" si="23"/>
        <v>96.725380191242365</v>
      </c>
      <c r="AC236" s="153">
        <f t="shared" si="24"/>
        <v>70.475268124736829</v>
      </c>
      <c r="AD236" s="175" t="s">
        <v>157</v>
      </c>
    </row>
    <row r="237" spans="1:30" s="146" customFormat="1" ht="21" customHeight="1" x14ac:dyDescent="0.2">
      <c r="A237" s="146" t="str">
        <f t="shared" si="19"/>
        <v>Citywalk Phase 5.06</v>
      </c>
      <c r="B237" s="147" t="str">
        <f t="shared" si="21"/>
        <v>Citywalk Phase 5.06 - Electrical</v>
      </c>
      <c r="C237" s="147"/>
      <c r="D237" s="148" t="s">
        <v>82</v>
      </c>
      <c r="E237" s="148" t="s">
        <v>83</v>
      </c>
      <c r="F237" s="148" t="s">
        <v>84</v>
      </c>
      <c r="G237" s="148" t="s">
        <v>85</v>
      </c>
      <c r="H237" s="149" t="s">
        <v>108</v>
      </c>
      <c r="I237" s="148" t="s">
        <v>119</v>
      </c>
      <c r="J237" s="149">
        <v>2024</v>
      </c>
      <c r="K237" s="150" t="s">
        <v>90</v>
      </c>
      <c r="L237" s="149" t="s">
        <v>86</v>
      </c>
      <c r="M237" s="149" t="s">
        <v>104</v>
      </c>
      <c r="N237" s="149" t="s">
        <v>105</v>
      </c>
      <c r="O237" s="149" t="s">
        <v>123</v>
      </c>
      <c r="P237" s="149" t="s">
        <v>124</v>
      </c>
      <c r="Q237" s="151">
        <v>12032</v>
      </c>
      <c r="R237" s="151">
        <v>28341</v>
      </c>
      <c r="S237" s="151">
        <v>40373</v>
      </c>
      <c r="T237" s="148" t="s">
        <v>148</v>
      </c>
      <c r="U237" s="154">
        <v>5.8</v>
      </c>
      <c r="V237" s="148" t="s">
        <v>32</v>
      </c>
      <c r="W237" s="149" t="s">
        <v>11</v>
      </c>
      <c r="X237" s="151">
        <v>252810</v>
      </c>
      <c r="Y237" s="151">
        <v>4190564</v>
      </c>
      <c r="Z237" s="152">
        <f t="shared" si="20"/>
        <v>4443374</v>
      </c>
      <c r="AA237" s="153">
        <f t="shared" si="22"/>
        <v>21.011469414893618</v>
      </c>
      <c r="AB237" s="153">
        <f t="shared" si="23"/>
        <v>147.86224903849546</v>
      </c>
      <c r="AC237" s="153">
        <f t="shared" si="24"/>
        <v>110.05805860352216</v>
      </c>
      <c r="AD237" s="175" t="s">
        <v>157</v>
      </c>
    </row>
    <row r="238" spans="1:30" s="146" customFormat="1" ht="21" customHeight="1" x14ac:dyDescent="0.2">
      <c r="A238" s="146" t="str">
        <f t="shared" si="19"/>
        <v>Citywalk Phase 5.06</v>
      </c>
      <c r="B238" s="147" t="str">
        <f t="shared" si="21"/>
        <v>Citywalk Phase 5.06 - Electrical</v>
      </c>
      <c r="C238" s="147"/>
      <c r="D238" s="148" t="s">
        <v>82</v>
      </c>
      <c r="E238" s="148" t="s">
        <v>83</v>
      </c>
      <c r="F238" s="148" t="s">
        <v>84</v>
      </c>
      <c r="G238" s="148" t="s">
        <v>85</v>
      </c>
      <c r="H238" s="149" t="s">
        <v>108</v>
      </c>
      <c r="I238" s="148" t="s">
        <v>119</v>
      </c>
      <c r="J238" s="149">
        <v>2024</v>
      </c>
      <c r="K238" s="150" t="s">
        <v>90</v>
      </c>
      <c r="L238" s="149" t="s">
        <v>86</v>
      </c>
      <c r="M238" s="149" t="s">
        <v>104</v>
      </c>
      <c r="N238" s="149" t="s">
        <v>105</v>
      </c>
      <c r="O238" s="149" t="s">
        <v>123</v>
      </c>
      <c r="P238" s="149" t="s">
        <v>124</v>
      </c>
      <c r="Q238" s="151">
        <v>12032</v>
      </c>
      <c r="R238" s="151">
        <v>28341</v>
      </c>
      <c r="S238" s="151">
        <v>40373</v>
      </c>
      <c r="T238" s="148" t="s">
        <v>148</v>
      </c>
      <c r="U238" s="154">
        <v>5.8</v>
      </c>
      <c r="V238" s="148" t="s">
        <v>33</v>
      </c>
      <c r="W238" s="149" t="s">
        <v>11</v>
      </c>
      <c r="X238" s="151">
        <v>253359</v>
      </c>
      <c r="Y238" s="151">
        <v>2179989</v>
      </c>
      <c r="Z238" s="152">
        <f t="shared" si="20"/>
        <v>2433348</v>
      </c>
      <c r="AA238" s="153">
        <f t="shared" si="22"/>
        <v>21.057097739361701</v>
      </c>
      <c r="AB238" s="153">
        <f t="shared" si="23"/>
        <v>76.919974595109565</v>
      </c>
      <c r="AC238" s="153">
        <f t="shared" si="24"/>
        <v>60.271666707948384</v>
      </c>
      <c r="AD238" s="175" t="s">
        <v>157</v>
      </c>
    </row>
    <row r="239" spans="1:30" s="146" customFormat="1" ht="21" customHeight="1" x14ac:dyDescent="0.2">
      <c r="A239" s="146" t="str">
        <f t="shared" si="19"/>
        <v>Citywalk Phase 5.06</v>
      </c>
      <c r="B239" s="147" t="str">
        <f t="shared" si="21"/>
        <v>Citywalk Phase 5.06 - Electrical</v>
      </c>
      <c r="C239" s="147"/>
      <c r="D239" s="148" t="s">
        <v>82</v>
      </c>
      <c r="E239" s="148" t="s">
        <v>83</v>
      </c>
      <c r="F239" s="148" t="s">
        <v>84</v>
      </c>
      <c r="G239" s="148" t="s">
        <v>85</v>
      </c>
      <c r="H239" s="149" t="s">
        <v>108</v>
      </c>
      <c r="I239" s="148" t="s">
        <v>119</v>
      </c>
      <c r="J239" s="149">
        <v>2024</v>
      </c>
      <c r="K239" s="150" t="s">
        <v>90</v>
      </c>
      <c r="L239" s="149" t="s">
        <v>86</v>
      </c>
      <c r="M239" s="149" t="s">
        <v>104</v>
      </c>
      <c r="N239" s="149" t="s">
        <v>105</v>
      </c>
      <c r="O239" s="149" t="s">
        <v>123</v>
      </c>
      <c r="P239" s="149" t="s">
        <v>124</v>
      </c>
      <c r="Q239" s="151">
        <v>12032</v>
      </c>
      <c r="R239" s="151">
        <v>28341</v>
      </c>
      <c r="S239" s="151">
        <v>40373</v>
      </c>
      <c r="T239" s="148" t="s">
        <v>148</v>
      </c>
      <c r="U239" s="154">
        <v>5.8</v>
      </c>
      <c r="V239" s="148" t="s">
        <v>34</v>
      </c>
      <c r="W239" s="149" t="s">
        <v>11</v>
      </c>
      <c r="X239" s="151">
        <v>80179</v>
      </c>
      <c r="Y239" s="151">
        <v>387694</v>
      </c>
      <c r="Z239" s="152">
        <f t="shared" si="20"/>
        <v>467873</v>
      </c>
      <c r="AA239" s="153">
        <f t="shared" si="22"/>
        <v>6.6638131648936172</v>
      </c>
      <c r="AB239" s="153">
        <f t="shared" si="23"/>
        <v>13.679616103877775</v>
      </c>
      <c r="AC239" s="153">
        <f t="shared" si="24"/>
        <v>11.588759814727664</v>
      </c>
      <c r="AD239" s="175" t="s">
        <v>157</v>
      </c>
    </row>
    <row r="240" spans="1:30" s="146" customFormat="1" ht="21" customHeight="1" x14ac:dyDescent="0.2">
      <c r="A240" s="146" t="str">
        <f t="shared" si="19"/>
        <v>Citywalk Phase 5.06</v>
      </c>
      <c r="B240" s="147" t="str">
        <f t="shared" si="21"/>
        <v>Citywalk Phase 5.06 - Electrical</v>
      </c>
      <c r="C240" s="147"/>
      <c r="D240" s="148" t="s">
        <v>82</v>
      </c>
      <c r="E240" s="148" t="s">
        <v>83</v>
      </c>
      <c r="F240" s="148" t="s">
        <v>84</v>
      </c>
      <c r="G240" s="148" t="s">
        <v>85</v>
      </c>
      <c r="H240" s="149" t="s">
        <v>108</v>
      </c>
      <c r="I240" s="148" t="s">
        <v>119</v>
      </c>
      <c r="J240" s="149">
        <v>2024</v>
      </c>
      <c r="K240" s="150" t="s">
        <v>90</v>
      </c>
      <c r="L240" s="149" t="s">
        <v>86</v>
      </c>
      <c r="M240" s="149" t="s">
        <v>104</v>
      </c>
      <c r="N240" s="149" t="s">
        <v>105</v>
      </c>
      <c r="O240" s="149" t="s">
        <v>123</v>
      </c>
      <c r="P240" s="149" t="s">
        <v>124</v>
      </c>
      <c r="Q240" s="151">
        <v>12032</v>
      </c>
      <c r="R240" s="151">
        <v>28341</v>
      </c>
      <c r="S240" s="151">
        <v>40373</v>
      </c>
      <c r="T240" s="148" t="s">
        <v>148</v>
      </c>
      <c r="U240" s="154">
        <v>5.8</v>
      </c>
      <c r="V240" s="148" t="s">
        <v>35</v>
      </c>
      <c r="W240" s="149" t="s">
        <v>11</v>
      </c>
      <c r="X240" s="151">
        <v>563814</v>
      </c>
      <c r="Y240" s="151">
        <v>1056598</v>
      </c>
      <c r="Z240" s="152">
        <f t="shared" si="20"/>
        <v>1620412</v>
      </c>
      <c r="AA240" s="153">
        <f t="shared" si="22"/>
        <v>46.859541223404257</v>
      </c>
      <c r="AB240" s="153">
        <f t="shared" si="23"/>
        <v>37.281606153629021</v>
      </c>
      <c r="AC240" s="153">
        <f t="shared" si="24"/>
        <v>40.136031506204638</v>
      </c>
      <c r="AD240" s="175" t="s">
        <v>157</v>
      </c>
    </row>
    <row r="241" spans="1:30" s="146" customFormat="1" ht="21" customHeight="1" x14ac:dyDescent="0.2">
      <c r="A241" s="146" t="str">
        <f t="shared" si="19"/>
        <v>Citywalk Phase 5.06</v>
      </c>
      <c r="B241" s="147" t="str">
        <f t="shared" si="21"/>
        <v>Citywalk Phase 5.06 - Electrical</v>
      </c>
      <c r="C241" s="147"/>
      <c r="D241" s="148" t="s">
        <v>82</v>
      </c>
      <c r="E241" s="148" t="s">
        <v>83</v>
      </c>
      <c r="F241" s="148" t="s">
        <v>84</v>
      </c>
      <c r="G241" s="148" t="s">
        <v>85</v>
      </c>
      <c r="H241" s="149" t="s">
        <v>108</v>
      </c>
      <c r="I241" s="148" t="s">
        <v>119</v>
      </c>
      <c r="J241" s="149">
        <v>2024</v>
      </c>
      <c r="K241" s="150" t="s">
        <v>90</v>
      </c>
      <c r="L241" s="149" t="s">
        <v>86</v>
      </c>
      <c r="M241" s="149" t="s">
        <v>104</v>
      </c>
      <c r="N241" s="149" t="s">
        <v>105</v>
      </c>
      <c r="O241" s="149" t="s">
        <v>123</v>
      </c>
      <c r="P241" s="149" t="s">
        <v>124</v>
      </c>
      <c r="Q241" s="151">
        <v>12032</v>
      </c>
      <c r="R241" s="151">
        <v>28341</v>
      </c>
      <c r="S241" s="151">
        <v>40373</v>
      </c>
      <c r="T241" s="148" t="s">
        <v>148</v>
      </c>
      <c r="U241" s="154">
        <v>5.8</v>
      </c>
      <c r="V241" s="148" t="s">
        <v>56</v>
      </c>
      <c r="W241" s="149" t="s">
        <v>11</v>
      </c>
      <c r="X241" s="151">
        <v>98912</v>
      </c>
      <c r="Y241" s="151">
        <v>557323</v>
      </c>
      <c r="Z241" s="152">
        <f t="shared" si="20"/>
        <v>656235</v>
      </c>
      <c r="AA241" s="153">
        <f t="shared" si="22"/>
        <v>8.2207446808510642</v>
      </c>
      <c r="AB241" s="153">
        <f t="shared" si="23"/>
        <v>19.664902438163789</v>
      </c>
      <c r="AC241" s="153">
        <f t="shared" si="24"/>
        <v>16.25430361875511</v>
      </c>
      <c r="AD241" s="175" t="s">
        <v>157</v>
      </c>
    </row>
    <row r="242" spans="1:30" s="146" customFormat="1" ht="21" customHeight="1" x14ac:dyDescent="0.2">
      <c r="A242" s="146" t="str">
        <f t="shared" si="19"/>
        <v>Citywalk Phase 5.06</v>
      </c>
      <c r="B242" s="147" t="str">
        <f t="shared" si="21"/>
        <v>Citywalk Phase 5.06 - Electrical</v>
      </c>
      <c r="C242" s="147"/>
      <c r="D242" s="148" t="s">
        <v>82</v>
      </c>
      <c r="E242" s="148" t="s">
        <v>83</v>
      </c>
      <c r="F242" s="148" t="s">
        <v>84</v>
      </c>
      <c r="G242" s="148" t="s">
        <v>85</v>
      </c>
      <c r="H242" s="149" t="s">
        <v>108</v>
      </c>
      <c r="I242" s="148" t="s">
        <v>119</v>
      </c>
      <c r="J242" s="149">
        <v>2024</v>
      </c>
      <c r="K242" s="150" t="s">
        <v>90</v>
      </c>
      <c r="L242" s="149" t="s">
        <v>86</v>
      </c>
      <c r="M242" s="149" t="s">
        <v>104</v>
      </c>
      <c r="N242" s="149" t="s">
        <v>105</v>
      </c>
      <c r="O242" s="149" t="s">
        <v>123</v>
      </c>
      <c r="P242" s="149" t="s">
        <v>124</v>
      </c>
      <c r="Q242" s="151">
        <v>12032</v>
      </c>
      <c r="R242" s="151">
        <v>28341</v>
      </c>
      <c r="S242" s="151">
        <v>40373</v>
      </c>
      <c r="T242" s="148" t="s">
        <v>148</v>
      </c>
      <c r="U242" s="154">
        <v>5.8</v>
      </c>
      <c r="V242" s="148" t="s">
        <v>36</v>
      </c>
      <c r="W242" s="149" t="s">
        <v>11</v>
      </c>
      <c r="X242" s="151">
        <v>20227</v>
      </c>
      <c r="Y242" s="151">
        <v>35625</v>
      </c>
      <c r="Z242" s="152">
        <f t="shared" si="20"/>
        <v>55852</v>
      </c>
      <c r="AA242" s="153">
        <f t="shared" si="22"/>
        <v>1.6811003989361701</v>
      </c>
      <c r="AB242" s="153">
        <f t="shared" si="23"/>
        <v>1.2570128082989309</v>
      </c>
      <c r="AC242" s="153">
        <f t="shared" si="24"/>
        <v>1.3833997968939638</v>
      </c>
      <c r="AD242" s="175" t="s">
        <v>157</v>
      </c>
    </row>
    <row r="243" spans="1:30" s="146" customFormat="1" ht="21" customHeight="1" x14ac:dyDescent="0.2">
      <c r="A243" s="146" t="str">
        <f t="shared" si="19"/>
        <v>Citywalk Phase 5.06</v>
      </c>
      <c r="B243" s="147" t="str">
        <f t="shared" si="21"/>
        <v>Citywalk Phase 5.06 - Electrical</v>
      </c>
      <c r="C243" s="147"/>
      <c r="D243" s="148" t="s">
        <v>82</v>
      </c>
      <c r="E243" s="148" t="s">
        <v>83</v>
      </c>
      <c r="F243" s="148" t="s">
        <v>84</v>
      </c>
      <c r="G243" s="148" t="s">
        <v>85</v>
      </c>
      <c r="H243" s="149" t="s">
        <v>108</v>
      </c>
      <c r="I243" s="148" t="s">
        <v>119</v>
      </c>
      <c r="J243" s="149">
        <v>2024</v>
      </c>
      <c r="K243" s="150" t="s">
        <v>90</v>
      </c>
      <c r="L243" s="149" t="s">
        <v>86</v>
      </c>
      <c r="M243" s="149" t="s">
        <v>104</v>
      </c>
      <c r="N243" s="149" t="s">
        <v>105</v>
      </c>
      <c r="O243" s="149" t="s">
        <v>123</v>
      </c>
      <c r="P243" s="149" t="s">
        <v>124</v>
      </c>
      <c r="Q243" s="151">
        <v>12032</v>
      </c>
      <c r="R243" s="151">
        <v>28341</v>
      </c>
      <c r="S243" s="151">
        <v>40373</v>
      </c>
      <c r="T243" s="148" t="s">
        <v>148</v>
      </c>
      <c r="U243" s="154">
        <v>5.8</v>
      </c>
      <c r="V243" s="148" t="s">
        <v>57</v>
      </c>
      <c r="W243" s="149" t="s">
        <v>11</v>
      </c>
      <c r="X243" s="151">
        <v>0</v>
      </c>
      <c r="Y243" s="151">
        <v>8883</v>
      </c>
      <c r="Z243" s="152">
        <f t="shared" si="20"/>
        <v>8883</v>
      </c>
      <c r="AA243" s="153">
        <f t="shared" si="22"/>
        <v>0</v>
      </c>
      <c r="AB243" s="153">
        <f t="shared" si="23"/>
        <v>0.31343283582089554</v>
      </c>
      <c r="AC243" s="153">
        <f t="shared" si="24"/>
        <v>0.22002328288707801</v>
      </c>
      <c r="AD243" s="175" t="s">
        <v>157</v>
      </c>
    </row>
    <row r="244" spans="1:30" s="146" customFormat="1" ht="21" customHeight="1" x14ac:dyDescent="0.2">
      <c r="A244" s="146" t="str">
        <f t="shared" si="19"/>
        <v>Citywalk Phase 5.06</v>
      </c>
      <c r="B244" s="147" t="str">
        <f t="shared" si="21"/>
        <v>Citywalk Phase 5.06 - Electrical</v>
      </c>
      <c r="C244" s="147"/>
      <c r="D244" s="148" t="s">
        <v>82</v>
      </c>
      <c r="E244" s="148" t="s">
        <v>83</v>
      </c>
      <c r="F244" s="148" t="s">
        <v>84</v>
      </c>
      <c r="G244" s="148" t="s">
        <v>85</v>
      </c>
      <c r="H244" s="149" t="s">
        <v>108</v>
      </c>
      <c r="I244" s="148" t="s">
        <v>119</v>
      </c>
      <c r="J244" s="149">
        <v>2024</v>
      </c>
      <c r="K244" s="150" t="s">
        <v>90</v>
      </c>
      <c r="L244" s="149" t="s">
        <v>86</v>
      </c>
      <c r="M244" s="149" t="s">
        <v>104</v>
      </c>
      <c r="N244" s="149" t="s">
        <v>105</v>
      </c>
      <c r="O244" s="149" t="s">
        <v>123</v>
      </c>
      <c r="P244" s="149" t="s">
        <v>124</v>
      </c>
      <c r="Q244" s="151">
        <v>12032</v>
      </c>
      <c r="R244" s="151">
        <v>28341</v>
      </c>
      <c r="S244" s="151">
        <v>40373</v>
      </c>
      <c r="T244" s="148" t="s">
        <v>148</v>
      </c>
      <c r="U244" s="154">
        <v>5.8</v>
      </c>
      <c r="V244" s="148" t="s">
        <v>37</v>
      </c>
      <c r="W244" s="149" t="s">
        <v>11</v>
      </c>
      <c r="X244" s="151">
        <v>248332</v>
      </c>
      <c r="Y244" s="151">
        <v>438413</v>
      </c>
      <c r="Z244" s="152">
        <f t="shared" si="20"/>
        <v>686745</v>
      </c>
      <c r="AA244" s="153">
        <f t="shared" si="22"/>
        <v>20.639295212765958</v>
      </c>
      <c r="AB244" s="153">
        <f t="shared" si="23"/>
        <v>15.46921421262482</v>
      </c>
      <c r="AC244" s="153">
        <f t="shared" si="24"/>
        <v>17.010006687637777</v>
      </c>
      <c r="AD244" s="175" t="s">
        <v>157</v>
      </c>
    </row>
    <row r="245" spans="1:30" s="146" customFormat="1" ht="21" customHeight="1" x14ac:dyDescent="0.2">
      <c r="A245" s="146" t="str">
        <f t="shared" si="19"/>
        <v>Citywalk Phase 5.06</v>
      </c>
      <c r="B245" s="147" t="str">
        <f t="shared" si="21"/>
        <v>Citywalk Phase 5.06 - Electrical</v>
      </c>
      <c r="C245" s="147"/>
      <c r="D245" s="148" t="s">
        <v>82</v>
      </c>
      <c r="E245" s="148" t="s">
        <v>83</v>
      </c>
      <c r="F245" s="148" t="s">
        <v>84</v>
      </c>
      <c r="G245" s="148" t="s">
        <v>85</v>
      </c>
      <c r="H245" s="149" t="s">
        <v>108</v>
      </c>
      <c r="I245" s="148" t="s">
        <v>119</v>
      </c>
      <c r="J245" s="149">
        <v>2024</v>
      </c>
      <c r="K245" s="150" t="s">
        <v>90</v>
      </c>
      <c r="L245" s="149" t="s">
        <v>86</v>
      </c>
      <c r="M245" s="149" t="s">
        <v>104</v>
      </c>
      <c r="N245" s="149" t="s">
        <v>105</v>
      </c>
      <c r="O245" s="149" t="s">
        <v>123</v>
      </c>
      <c r="P245" s="149" t="s">
        <v>124</v>
      </c>
      <c r="Q245" s="151">
        <v>12032</v>
      </c>
      <c r="R245" s="151">
        <v>28341</v>
      </c>
      <c r="S245" s="151">
        <v>40373</v>
      </c>
      <c r="T245" s="148" t="s">
        <v>148</v>
      </c>
      <c r="U245" s="154">
        <v>5.8</v>
      </c>
      <c r="V245" s="148" t="s">
        <v>38</v>
      </c>
      <c r="W245" s="149" t="s">
        <v>11</v>
      </c>
      <c r="X245" s="151">
        <v>39550</v>
      </c>
      <c r="Y245" s="151">
        <v>2260</v>
      </c>
      <c r="Z245" s="152">
        <f t="shared" si="20"/>
        <v>41810</v>
      </c>
      <c r="AA245" s="153">
        <f t="shared" si="22"/>
        <v>3.2870678191489362</v>
      </c>
      <c r="AB245" s="153">
        <f t="shared" si="23"/>
        <v>7.9743128329981303E-2</v>
      </c>
      <c r="AC245" s="153">
        <f t="shared" si="24"/>
        <v>1.0355930943947689</v>
      </c>
      <c r="AD245" s="175" t="s">
        <v>157</v>
      </c>
    </row>
    <row r="246" spans="1:30" s="146" customFormat="1" ht="21" customHeight="1" x14ac:dyDescent="0.2">
      <c r="A246" s="146" t="str">
        <f t="shared" si="19"/>
        <v>Citywalk Phase 5.06</v>
      </c>
      <c r="B246" s="147" t="str">
        <f t="shared" si="21"/>
        <v>Citywalk Phase 5.06 - Electrical</v>
      </c>
      <c r="C246" s="147"/>
      <c r="D246" s="148" t="s">
        <v>82</v>
      </c>
      <c r="E246" s="148" t="s">
        <v>83</v>
      </c>
      <c r="F246" s="148" t="s">
        <v>84</v>
      </c>
      <c r="G246" s="148" t="s">
        <v>85</v>
      </c>
      <c r="H246" s="149" t="s">
        <v>108</v>
      </c>
      <c r="I246" s="148" t="s">
        <v>119</v>
      </c>
      <c r="J246" s="149">
        <v>2024</v>
      </c>
      <c r="K246" s="150" t="s">
        <v>90</v>
      </c>
      <c r="L246" s="149" t="s">
        <v>86</v>
      </c>
      <c r="M246" s="149" t="s">
        <v>104</v>
      </c>
      <c r="N246" s="149" t="s">
        <v>105</v>
      </c>
      <c r="O246" s="149" t="s">
        <v>123</v>
      </c>
      <c r="P246" s="149" t="s">
        <v>124</v>
      </c>
      <c r="Q246" s="151">
        <v>12032</v>
      </c>
      <c r="R246" s="151">
        <v>28341</v>
      </c>
      <c r="S246" s="151">
        <v>40373</v>
      </c>
      <c r="T246" s="148" t="s">
        <v>148</v>
      </c>
      <c r="U246" s="154">
        <v>5.8</v>
      </c>
      <c r="V246" s="148" t="s">
        <v>5</v>
      </c>
      <c r="W246" s="149" t="s">
        <v>11</v>
      </c>
      <c r="X246" s="151">
        <v>114403</v>
      </c>
      <c r="Y246" s="151">
        <v>149986</v>
      </c>
      <c r="Z246" s="152">
        <f t="shared" si="20"/>
        <v>264389</v>
      </c>
      <c r="AA246" s="153">
        <f t="shared" si="22"/>
        <v>9.5082280585106389</v>
      </c>
      <c r="AB246" s="153">
        <f t="shared" si="23"/>
        <v>5.2921915246462721</v>
      </c>
      <c r="AC246" s="153">
        <f t="shared" si="24"/>
        <v>6.5486587570901342</v>
      </c>
      <c r="AD246" s="175" t="s">
        <v>157</v>
      </c>
    </row>
    <row r="247" spans="1:30" s="146" customFormat="1" ht="21" customHeight="1" x14ac:dyDescent="0.2">
      <c r="A247" s="146" t="str">
        <f t="shared" si="19"/>
        <v>Citywalk Phase 5.06</v>
      </c>
      <c r="B247" s="147" t="str">
        <f t="shared" si="21"/>
        <v>Citywalk Phase 5.06 - Electrical</v>
      </c>
      <c r="C247" s="147"/>
      <c r="D247" s="148" t="s">
        <v>82</v>
      </c>
      <c r="E247" s="148" t="s">
        <v>83</v>
      </c>
      <c r="F247" s="148" t="s">
        <v>84</v>
      </c>
      <c r="G247" s="148" t="s">
        <v>85</v>
      </c>
      <c r="H247" s="149" t="s">
        <v>108</v>
      </c>
      <c r="I247" s="148" t="s">
        <v>119</v>
      </c>
      <c r="J247" s="149">
        <v>2024</v>
      </c>
      <c r="K247" s="150" t="s">
        <v>90</v>
      </c>
      <c r="L247" s="149" t="s">
        <v>86</v>
      </c>
      <c r="M247" s="149" t="s">
        <v>104</v>
      </c>
      <c r="N247" s="149" t="s">
        <v>105</v>
      </c>
      <c r="O247" s="149" t="s">
        <v>123</v>
      </c>
      <c r="P247" s="149" t="s">
        <v>124</v>
      </c>
      <c r="Q247" s="151">
        <v>12032</v>
      </c>
      <c r="R247" s="151">
        <v>28341</v>
      </c>
      <c r="S247" s="151">
        <v>40373</v>
      </c>
      <c r="T247" s="148" t="s">
        <v>148</v>
      </c>
      <c r="U247" s="154" t="s">
        <v>52</v>
      </c>
      <c r="V247" s="148" t="s">
        <v>39</v>
      </c>
      <c r="W247" s="149" t="s">
        <v>11</v>
      </c>
      <c r="X247" s="151">
        <v>110413</v>
      </c>
      <c r="Y247" s="151">
        <v>1217767</v>
      </c>
      <c r="Z247" s="152">
        <f t="shared" si="20"/>
        <v>1328180</v>
      </c>
      <c r="AA247" s="153">
        <f t="shared" si="22"/>
        <v>9.176612367021276</v>
      </c>
      <c r="AB247" s="153">
        <f t="shared" si="23"/>
        <v>42.968385025228464</v>
      </c>
      <c r="AC247" s="153">
        <f t="shared" si="24"/>
        <v>32.897728680058457</v>
      </c>
      <c r="AD247" s="175" t="s">
        <v>157</v>
      </c>
    </row>
    <row r="248" spans="1:30" s="146" customFormat="1" ht="21" customHeight="1" x14ac:dyDescent="0.2">
      <c r="A248" s="146" t="str">
        <f t="shared" si="19"/>
        <v>Citywalk Phase 5.06</v>
      </c>
      <c r="B248" s="147" t="str">
        <f t="shared" si="21"/>
        <v>Citywalk Phase 5.06 - Electrical</v>
      </c>
      <c r="C248" s="147"/>
      <c r="D248" s="148" t="s">
        <v>82</v>
      </c>
      <c r="E248" s="148" t="s">
        <v>83</v>
      </c>
      <c r="F248" s="148" t="s">
        <v>84</v>
      </c>
      <c r="G248" s="148" t="s">
        <v>85</v>
      </c>
      <c r="H248" s="149" t="s">
        <v>108</v>
      </c>
      <c r="I248" s="148" t="s">
        <v>119</v>
      </c>
      <c r="J248" s="149">
        <v>2024</v>
      </c>
      <c r="K248" s="150" t="s">
        <v>90</v>
      </c>
      <c r="L248" s="149" t="s">
        <v>86</v>
      </c>
      <c r="M248" s="149" t="s">
        <v>104</v>
      </c>
      <c r="N248" s="149" t="s">
        <v>105</v>
      </c>
      <c r="O248" s="149" t="s">
        <v>123</v>
      </c>
      <c r="P248" s="149" t="s">
        <v>124</v>
      </c>
      <c r="Q248" s="151">
        <v>12032</v>
      </c>
      <c r="R248" s="151">
        <v>28341</v>
      </c>
      <c r="S248" s="151">
        <v>40373</v>
      </c>
      <c r="T248" s="148" t="s">
        <v>148</v>
      </c>
      <c r="U248" s="154" t="s">
        <v>52</v>
      </c>
      <c r="V248" s="148" t="s">
        <v>40</v>
      </c>
      <c r="W248" s="149" t="s">
        <v>11</v>
      </c>
      <c r="X248" s="151">
        <v>64975</v>
      </c>
      <c r="Y248" s="151">
        <v>7910</v>
      </c>
      <c r="Z248" s="152">
        <f t="shared" si="20"/>
        <v>72885</v>
      </c>
      <c r="AA248" s="153">
        <f t="shared" si="22"/>
        <v>5.4001828457446805</v>
      </c>
      <c r="AB248" s="153">
        <f t="shared" si="23"/>
        <v>0.27910094915493455</v>
      </c>
      <c r="AC248" s="153">
        <f t="shared" si="24"/>
        <v>1.8052906645530429</v>
      </c>
      <c r="AD248" s="175" t="s">
        <v>157</v>
      </c>
    </row>
    <row r="249" spans="1:30" s="146" customFormat="1" ht="21" customHeight="1" x14ac:dyDescent="0.2">
      <c r="A249" s="146" t="str">
        <f t="shared" ref="A249:A309" si="25">I249</f>
        <v>Citywalk Phase 5.06</v>
      </c>
      <c r="B249" s="147" t="str">
        <f t="shared" si="21"/>
        <v>Citywalk Phase 5.06 - Electrical</v>
      </c>
      <c r="C249" s="147"/>
      <c r="D249" s="148" t="s">
        <v>82</v>
      </c>
      <c r="E249" s="148" t="s">
        <v>83</v>
      </c>
      <c r="F249" s="148" t="s">
        <v>84</v>
      </c>
      <c r="G249" s="148" t="s">
        <v>85</v>
      </c>
      <c r="H249" s="149" t="s">
        <v>108</v>
      </c>
      <c r="I249" s="148" t="s">
        <v>119</v>
      </c>
      <c r="J249" s="149">
        <v>2024</v>
      </c>
      <c r="K249" s="150" t="s">
        <v>90</v>
      </c>
      <c r="L249" s="149" t="s">
        <v>86</v>
      </c>
      <c r="M249" s="149" t="s">
        <v>104</v>
      </c>
      <c r="N249" s="149" t="s">
        <v>105</v>
      </c>
      <c r="O249" s="149" t="s">
        <v>123</v>
      </c>
      <c r="P249" s="149" t="s">
        <v>124</v>
      </c>
      <c r="Q249" s="151">
        <v>12032</v>
      </c>
      <c r="R249" s="151">
        <v>28341</v>
      </c>
      <c r="S249" s="151">
        <v>40373</v>
      </c>
      <c r="T249" s="148" t="s">
        <v>148</v>
      </c>
      <c r="U249" s="154">
        <v>5.12</v>
      </c>
      <c r="V249" s="148" t="s">
        <v>41</v>
      </c>
      <c r="W249" s="149" t="s">
        <v>11</v>
      </c>
      <c r="X249" s="151">
        <v>127584</v>
      </c>
      <c r="Y249" s="151">
        <v>981145</v>
      </c>
      <c r="Z249" s="152">
        <f t="shared" ref="Z249:Z309" si="26">SUM(X249:Y249)</f>
        <v>1108729</v>
      </c>
      <c r="AA249" s="153">
        <f t="shared" si="22"/>
        <v>10.603723404255319</v>
      </c>
      <c r="AB249" s="153">
        <f t="shared" si="23"/>
        <v>34.619279489079425</v>
      </c>
      <c r="AC249" s="153">
        <f t="shared" si="24"/>
        <v>27.462140539469448</v>
      </c>
      <c r="AD249" s="175" t="s">
        <v>157</v>
      </c>
    </row>
    <row r="250" spans="1:30" s="146" customFormat="1" ht="21" customHeight="1" x14ac:dyDescent="0.2">
      <c r="A250" s="146" t="str">
        <f t="shared" si="25"/>
        <v>Citywalk Phase 5.06</v>
      </c>
      <c r="B250" s="147" t="str">
        <f t="shared" ref="B250:B310" si="27">CONCATENATE(I250, " - ",T250)</f>
        <v>Citywalk Phase 5.06 - Electrical</v>
      </c>
      <c r="C250" s="147"/>
      <c r="D250" s="148" t="s">
        <v>82</v>
      </c>
      <c r="E250" s="148" t="s">
        <v>83</v>
      </c>
      <c r="F250" s="148" t="s">
        <v>84</v>
      </c>
      <c r="G250" s="148" t="s">
        <v>85</v>
      </c>
      <c r="H250" s="149" t="s">
        <v>108</v>
      </c>
      <c r="I250" s="148" t="s">
        <v>119</v>
      </c>
      <c r="J250" s="149">
        <v>2024</v>
      </c>
      <c r="K250" s="150" t="s">
        <v>90</v>
      </c>
      <c r="L250" s="149" t="s">
        <v>86</v>
      </c>
      <c r="M250" s="149" t="s">
        <v>104</v>
      </c>
      <c r="N250" s="149" t="s">
        <v>105</v>
      </c>
      <c r="O250" s="149" t="s">
        <v>123</v>
      </c>
      <c r="P250" s="149" t="s">
        <v>124</v>
      </c>
      <c r="Q250" s="151">
        <v>12032</v>
      </c>
      <c r="R250" s="151">
        <v>28341</v>
      </c>
      <c r="S250" s="151">
        <v>40373</v>
      </c>
      <c r="T250" s="148" t="s">
        <v>148</v>
      </c>
      <c r="U250" s="154">
        <v>5.12</v>
      </c>
      <c r="V250" s="148" t="s">
        <v>42</v>
      </c>
      <c r="W250" s="149" t="s">
        <v>11</v>
      </c>
      <c r="X250" s="151">
        <v>23505</v>
      </c>
      <c r="Y250" s="151">
        <v>63909</v>
      </c>
      <c r="Z250" s="152">
        <f t="shared" si="26"/>
        <v>87414</v>
      </c>
      <c r="AA250" s="153">
        <f t="shared" si="22"/>
        <v>1.9535405585106382</v>
      </c>
      <c r="AB250" s="153">
        <f t="shared" si="23"/>
        <v>2.2550015878056526</v>
      </c>
      <c r="AC250" s="153">
        <f t="shared" si="24"/>
        <v>2.1651598840809454</v>
      </c>
      <c r="AD250" s="175" t="s">
        <v>157</v>
      </c>
    </row>
    <row r="251" spans="1:30" s="146" customFormat="1" ht="21" customHeight="1" x14ac:dyDescent="0.2">
      <c r="A251" s="146" t="str">
        <f t="shared" si="25"/>
        <v>Citywalk Phase 5.06</v>
      </c>
      <c r="B251" s="147" t="str">
        <f t="shared" si="27"/>
        <v>Citywalk Phase 5.06 - Electrical</v>
      </c>
      <c r="C251" s="147"/>
      <c r="D251" s="148" t="s">
        <v>82</v>
      </c>
      <c r="E251" s="148" t="s">
        <v>83</v>
      </c>
      <c r="F251" s="148" t="s">
        <v>84</v>
      </c>
      <c r="G251" s="148" t="s">
        <v>85</v>
      </c>
      <c r="H251" s="149" t="s">
        <v>108</v>
      </c>
      <c r="I251" s="148" t="s">
        <v>119</v>
      </c>
      <c r="J251" s="149">
        <v>2024</v>
      </c>
      <c r="K251" s="150" t="s">
        <v>90</v>
      </c>
      <c r="L251" s="149" t="s">
        <v>86</v>
      </c>
      <c r="M251" s="149" t="s">
        <v>104</v>
      </c>
      <c r="N251" s="149" t="s">
        <v>105</v>
      </c>
      <c r="O251" s="149" t="s">
        <v>123</v>
      </c>
      <c r="P251" s="149" t="s">
        <v>124</v>
      </c>
      <c r="Q251" s="151">
        <v>12032</v>
      </c>
      <c r="R251" s="151">
        <v>28341</v>
      </c>
      <c r="S251" s="151">
        <v>40373</v>
      </c>
      <c r="T251" s="148" t="s">
        <v>148</v>
      </c>
      <c r="U251" s="154">
        <v>5.12</v>
      </c>
      <c r="V251" s="148" t="s">
        <v>60</v>
      </c>
      <c r="W251" s="149" t="s">
        <v>11</v>
      </c>
      <c r="X251" s="151">
        <v>22774</v>
      </c>
      <c r="Y251" s="151">
        <v>0</v>
      </c>
      <c r="Z251" s="152">
        <f t="shared" si="26"/>
        <v>22774</v>
      </c>
      <c r="AA251" s="153">
        <f t="shared" si="22"/>
        <v>1.8927859042553192</v>
      </c>
      <c r="AB251" s="153">
        <f t="shared" si="23"/>
        <v>0</v>
      </c>
      <c r="AC251" s="153">
        <f t="shared" si="24"/>
        <v>0.56408986203650957</v>
      </c>
      <c r="AD251" s="175" t="s">
        <v>157</v>
      </c>
    </row>
    <row r="252" spans="1:30" s="146" customFormat="1" ht="21" customHeight="1" x14ac:dyDescent="0.2">
      <c r="A252" s="146" t="str">
        <f t="shared" si="25"/>
        <v>Citywalk Phase 5.06</v>
      </c>
      <c r="B252" s="147" t="str">
        <f t="shared" si="27"/>
        <v>Citywalk Phase 5.06 - Electrical</v>
      </c>
      <c r="C252" s="147"/>
      <c r="D252" s="148" t="s">
        <v>82</v>
      </c>
      <c r="E252" s="148" t="s">
        <v>83</v>
      </c>
      <c r="F252" s="148" t="s">
        <v>84</v>
      </c>
      <c r="G252" s="148" t="s">
        <v>85</v>
      </c>
      <c r="H252" s="149" t="s">
        <v>108</v>
      </c>
      <c r="I252" s="148" t="s">
        <v>119</v>
      </c>
      <c r="J252" s="149">
        <v>2024</v>
      </c>
      <c r="K252" s="150" t="s">
        <v>90</v>
      </c>
      <c r="L252" s="149" t="s">
        <v>86</v>
      </c>
      <c r="M252" s="149" t="s">
        <v>104</v>
      </c>
      <c r="N252" s="149" t="s">
        <v>105</v>
      </c>
      <c r="O252" s="149" t="s">
        <v>123</v>
      </c>
      <c r="P252" s="149" t="s">
        <v>124</v>
      </c>
      <c r="Q252" s="151">
        <v>12032</v>
      </c>
      <c r="R252" s="151">
        <v>28341</v>
      </c>
      <c r="S252" s="151">
        <v>40373</v>
      </c>
      <c r="T252" s="148" t="s">
        <v>148</v>
      </c>
      <c r="U252" s="154">
        <v>5.12</v>
      </c>
      <c r="V252" s="148" t="s">
        <v>43</v>
      </c>
      <c r="W252" s="149" t="s">
        <v>11</v>
      </c>
      <c r="X252" s="151">
        <v>10680</v>
      </c>
      <c r="Y252" s="151">
        <v>0</v>
      </c>
      <c r="Z252" s="152">
        <f t="shared" si="26"/>
        <v>10680</v>
      </c>
      <c r="AA252" s="153">
        <f t="shared" si="22"/>
        <v>0.8876329787234043</v>
      </c>
      <c r="AB252" s="153">
        <f t="shared" si="23"/>
        <v>0</v>
      </c>
      <c r="AC252" s="153">
        <f t="shared" si="24"/>
        <v>0.26453322765214377</v>
      </c>
      <c r="AD252" s="175" t="s">
        <v>157</v>
      </c>
    </row>
    <row r="253" spans="1:30" s="146" customFormat="1" ht="21" customHeight="1" x14ac:dyDescent="0.2">
      <c r="A253" s="146" t="str">
        <f t="shared" si="25"/>
        <v>Citywalk Phase 5.06</v>
      </c>
      <c r="B253" s="147" t="str">
        <f t="shared" si="27"/>
        <v>Citywalk Phase 5.06 - Electrical</v>
      </c>
      <c r="C253" s="147"/>
      <c r="D253" s="148" t="s">
        <v>82</v>
      </c>
      <c r="E253" s="148" t="s">
        <v>83</v>
      </c>
      <c r="F253" s="148" t="s">
        <v>84</v>
      </c>
      <c r="G253" s="148" t="s">
        <v>85</v>
      </c>
      <c r="H253" s="149" t="s">
        <v>108</v>
      </c>
      <c r="I253" s="148" t="s">
        <v>119</v>
      </c>
      <c r="J253" s="149">
        <v>2024</v>
      </c>
      <c r="K253" s="150" t="s">
        <v>90</v>
      </c>
      <c r="L253" s="149" t="s">
        <v>86</v>
      </c>
      <c r="M253" s="149" t="s">
        <v>104</v>
      </c>
      <c r="N253" s="149" t="s">
        <v>105</v>
      </c>
      <c r="O253" s="149" t="s">
        <v>123</v>
      </c>
      <c r="P253" s="149" t="s">
        <v>124</v>
      </c>
      <c r="Q253" s="151">
        <v>12032</v>
      </c>
      <c r="R253" s="151">
        <v>28341</v>
      </c>
      <c r="S253" s="151">
        <v>40373</v>
      </c>
      <c r="T253" s="148" t="s">
        <v>148</v>
      </c>
      <c r="U253" s="154">
        <v>5.12</v>
      </c>
      <c r="V253" s="148" t="s">
        <v>44</v>
      </c>
      <c r="W253" s="149" t="s">
        <v>11</v>
      </c>
      <c r="X253" s="151">
        <v>496452</v>
      </c>
      <c r="Y253" s="151">
        <v>86949</v>
      </c>
      <c r="Z253" s="152">
        <f t="shared" si="26"/>
        <v>583401</v>
      </c>
      <c r="AA253" s="153">
        <f t="shared" si="22"/>
        <v>41.260970744680854</v>
      </c>
      <c r="AB253" s="153">
        <f t="shared" si="23"/>
        <v>3.0679580819307715</v>
      </c>
      <c r="AC253" s="153">
        <f t="shared" si="24"/>
        <v>14.450276174671192</v>
      </c>
      <c r="AD253" s="175" t="s">
        <v>157</v>
      </c>
    </row>
    <row r="254" spans="1:30" s="146" customFormat="1" ht="21" customHeight="1" x14ac:dyDescent="0.2">
      <c r="A254" s="146" t="str">
        <f t="shared" si="25"/>
        <v>Citywalk Phase 5.06</v>
      </c>
      <c r="B254" s="147" t="str">
        <f t="shared" si="27"/>
        <v>Citywalk Phase 5.06 - Electrical</v>
      </c>
      <c r="C254" s="147"/>
      <c r="D254" s="148" t="s">
        <v>82</v>
      </c>
      <c r="E254" s="148" t="s">
        <v>83</v>
      </c>
      <c r="F254" s="148" t="s">
        <v>84</v>
      </c>
      <c r="G254" s="148" t="s">
        <v>85</v>
      </c>
      <c r="H254" s="149" t="s">
        <v>108</v>
      </c>
      <c r="I254" s="148" t="s">
        <v>119</v>
      </c>
      <c r="J254" s="149">
        <v>2024</v>
      </c>
      <c r="K254" s="150" t="s">
        <v>90</v>
      </c>
      <c r="L254" s="149" t="s">
        <v>86</v>
      </c>
      <c r="M254" s="149" t="s">
        <v>104</v>
      </c>
      <c r="N254" s="149" t="s">
        <v>105</v>
      </c>
      <c r="O254" s="149" t="s">
        <v>123</v>
      </c>
      <c r="P254" s="149" t="s">
        <v>124</v>
      </c>
      <c r="Q254" s="151">
        <v>12032</v>
      </c>
      <c r="R254" s="151">
        <v>28341</v>
      </c>
      <c r="S254" s="151">
        <v>40373</v>
      </c>
      <c r="T254" s="148" t="s">
        <v>148</v>
      </c>
      <c r="U254" s="154">
        <v>5.12</v>
      </c>
      <c r="V254" s="148" t="s">
        <v>45</v>
      </c>
      <c r="W254" s="149" t="s">
        <v>11</v>
      </c>
      <c r="X254" s="151">
        <v>75710</v>
      </c>
      <c r="Y254" s="151">
        <v>707585</v>
      </c>
      <c r="Z254" s="152">
        <f t="shared" si="26"/>
        <v>783295</v>
      </c>
      <c r="AA254" s="153">
        <f t="shared" si="22"/>
        <v>6.2923869680851068</v>
      </c>
      <c r="AB254" s="153">
        <f t="shared" si="23"/>
        <v>24.966832504145938</v>
      </c>
      <c r="AC254" s="153">
        <f t="shared" si="24"/>
        <v>19.401456418893815</v>
      </c>
      <c r="AD254" s="175" t="s">
        <v>157</v>
      </c>
    </row>
    <row r="255" spans="1:30" s="146" customFormat="1" ht="21" customHeight="1" x14ac:dyDescent="0.2">
      <c r="A255" s="146" t="str">
        <f t="shared" si="25"/>
        <v>Citywalk Phase 5.06</v>
      </c>
      <c r="B255" s="147" t="str">
        <f t="shared" si="27"/>
        <v>Citywalk Phase 5.06 - Electrical</v>
      </c>
      <c r="C255" s="147"/>
      <c r="D255" s="148" t="s">
        <v>82</v>
      </c>
      <c r="E255" s="148" t="s">
        <v>83</v>
      </c>
      <c r="F255" s="148" t="s">
        <v>84</v>
      </c>
      <c r="G255" s="148" t="s">
        <v>85</v>
      </c>
      <c r="H255" s="149" t="s">
        <v>108</v>
      </c>
      <c r="I255" s="148" t="s">
        <v>119</v>
      </c>
      <c r="J255" s="149">
        <v>2024</v>
      </c>
      <c r="K255" s="150" t="s">
        <v>90</v>
      </c>
      <c r="L255" s="149" t="s">
        <v>86</v>
      </c>
      <c r="M255" s="149" t="s">
        <v>104</v>
      </c>
      <c r="N255" s="149" t="s">
        <v>105</v>
      </c>
      <c r="O255" s="149" t="s">
        <v>123</v>
      </c>
      <c r="P255" s="149" t="s">
        <v>124</v>
      </c>
      <c r="Q255" s="151">
        <v>12032</v>
      </c>
      <c r="R255" s="151">
        <v>28341</v>
      </c>
      <c r="S255" s="151">
        <v>40373</v>
      </c>
      <c r="T255" s="148" t="s">
        <v>148</v>
      </c>
      <c r="U255" s="154">
        <v>5.12</v>
      </c>
      <c r="V255" s="148" t="s">
        <v>46</v>
      </c>
      <c r="W255" s="149" t="s">
        <v>11</v>
      </c>
      <c r="X255" s="151">
        <v>138566</v>
      </c>
      <c r="Y255" s="151">
        <v>18645</v>
      </c>
      <c r="Z255" s="152">
        <f t="shared" si="26"/>
        <v>157211</v>
      </c>
      <c r="AA255" s="153">
        <f t="shared" si="22"/>
        <v>11.516456117021276</v>
      </c>
      <c r="AB255" s="153">
        <f t="shared" si="23"/>
        <v>0.65788080872234567</v>
      </c>
      <c r="AC255" s="153">
        <f t="shared" si="24"/>
        <v>3.8939637876798852</v>
      </c>
      <c r="AD255" s="175" t="s">
        <v>157</v>
      </c>
    </row>
    <row r="256" spans="1:30" s="146" customFormat="1" ht="21" customHeight="1" x14ac:dyDescent="0.2">
      <c r="A256" s="146" t="str">
        <f t="shared" si="25"/>
        <v>Citywalk Phase 5.06</v>
      </c>
      <c r="B256" s="147" t="str">
        <f t="shared" si="27"/>
        <v>Citywalk Phase 5.06 - Electrical</v>
      </c>
      <c r="C256" s="147"/>
      <c r="D256" s="148" t="s">
        <v>82</v>
      </c>
      <c r="E256" s="148" t="s">
        <v>83</v>
      </c>
      <c r="F256" s="148" t="s">
        <v>84</v>
      </c>
      <c r="G256" s="148" t="s">
        <v>85</v>
      </c>
      <c r="H256" s="149" t="s">
        <v>108</v>
      </c>
      <c r="I256" s="148" t="s">
        <v>119</v>
      </c>
      <c r="J256" s="149">
        <v>2024</v>
      </c>
      <c r="K256" s="150" t="s">
        <v>90</v>
      </c>
      <c r="L256" s="149" t="s">
        <v>86</v>
      </c>
      <c r="M256" s="149" t="s">
        <v>104</v>
      </c>
      <c r="N256" s="149" t="s">
        <v>105</v>
      </c>
      <c r="O256" s="149" t="s">
        <v>123</v>
      </c>
      <c r="P256" s="149" t="s">
        <v>124</v>
      </c>
      <c r="Q256" s="151">
        <v>12032</v>
      </c>
      <c r="R256" s="151">
        <v>28341</v>
      </c>
      <c r="S256" s="151">
        <v>40373</v>
      </c>
      <c r="T256" s="148" t="s">
        <v>148</v>
      </c>
      <c r="U256" s="154">
        <v>5.12</v>
      </c>
      <c r="V256" s="148" t="s">
        <v>47</v>
      </c>
      <c r="W256" s="149" t="s">
        <v>11</v>
      </c>
      <c r="X256" s="151">
        <v>77698</v>
      </c>
      <c r="Y256" s="151">
        <v>104456</v>
      </c>
      <c r="Z256" s="152">
        <f t="shared" si="26"/>
        <v>182154</v>
      </c>
      <c r="AA256" s="153">
        <f t="shared" si="22"/>
        <v>6.4576130319148932</v>
      </c>
      <c r="AB256" s="153">
        <f t="shared" si="23"/>
        <v>3.6856850499276668</v>
      </c>
      <c r="AC256" s="153">
        <f t="shared" si="24"/>
        <v>4.5117776731974342</v>
      </c>
      <c r="AD256" s="175" t="s">
        <v>157</v>
      </c>
    </row>
    <row r="257" spans="1:30" s="146" customFormat="1" ht="21" customHeight="1" x14ac:dyDescent="0.2">
      <c r="A257" s="146" t="str">
        <f t="shared" si="25"/>
        <v>Citywalk Phase 5.06</v>
      </c>
      <c r="B257" s="147" t="str">
        <f t="shared" si="27"/>
        <v>Citywalk Phase 5.06 - Electrical</v>
      </c>
      <c r="C257" s="147"/>
      <c r="D257" s="148" t="s">
        <v>82</v>
      </c>
      <c r="E257" s="148" t="s">
        <v>83</v>
      </c>
      <c r="F257" s="148" t="s">
        <v>84</v>
      </c>
      <c r="G257" s="148" t="s">
        <v>85</v>
      </c>
      <c r="H257" s="149" t="s">
        <v>108</v>
      </c>
      <c r="I257" s="148" t="s">
        <v>119</v>
      </c>
      <c r="J257" s="149">
        <v>2024</v>
      </c>
      <c r="K257" s="150" t="s">
        <v>90</v>
      </c>
      <c r="L257" s="149" t="s">
        <v>86</v>
      </c>
      <c r="M257" s="149" t="s">
        <v>104</v>
      </c>
      <c r="N257" s="149" t="s">
        <v>105</v>
      </c>
      <c r="O257" s="149" t="s">
        <v>123</v>
      </c>
      <c r="P257" s="149" t="s">
        <v>124</v>
      </c>
      <c r="Q257" s="151">
        <v>12032</v>
      </c>
      <c r="R257" s="151">
        <v>28341</v>
      </c>
      <c r="S257" s="151">
        <v>40373</v>
      </c>
      <c r="T257" s="148" t="s">
        <v>148</v>
      </c>
      <c r="U257" s="154">
        <v>5.12</v>
      </c>
      <c r="V257" s="148" t="s">
        <v>48</v>
      </c>
      <c r="W257" s="149" t="s">
        <v>11</v>
      </c>
      <c r="X257" s="151">
        <v>1922</v>
      </c>
      <c r="Y257" s="151">
        <v>50573</v>
      </c>
      <c r="Z257" s="152">
        <f t="shared" si="26"/>
        <v>52495</v>
      </c>
      <c r="AA257" s="153">
        <f t="shared" si="22"/>
        <v>0.15974069148936171</v>
      </c>
      <c r="AB257" s="153">
        <f t="shared" si="23"/>
        <v>1.784446561518648</v>
      </c>
      <c r="AC257" s="153">
        <f t="shared" si="24"/>
        <v>1.3002501671909446</v>
      </c>
      <c r="AD257" s="175" t="s">
        <v>157</v>
      </c>
    </row>
    <row r="258" spans="1:30" s="146" customFormat="1" ht="21" customHeight="1" x14ac:dyDescent="0.2">
      <c r="A258" s="146" t="str">
        <f t="shared" si="25"/>
        <v>Citywalk Phase 5.06</v>
      </c>
      <c r="B258" s="147" t="str">
        <f t="shared" si="27"/>
        <v>Citywalk Phase 5.06 - Electrical</v>
      </c>
      <c r="C258" s="147"/>
      <c r="D258" s="148" t="s">
        <v>82</v>
      </c>
      <c r="E258" s="148" t="s">
        <v>83</v>
      </c>
      <c r="F258" s="148" t="s">
        <v>84</v>
      </c>
      <c r="G258" s="148" t="s">
        <v>85</v>
      </c>
      <c r="H258" s="149" t="s">
        <v>108</v>
      </c>
      <c r="I258" s="148" t="s">
        <v>119</v>
      </c>
      <c r="J258" s="149">
        <v>2024</v>
      </c>
      <c r="K258" s="150" t="s">
        <v>90</v>
      </c>
      <c r="L258" s="149" t="s">
        <v>86</v>
      </c>
      <c r="M258" s="149" t="s">
        <v>104</v>
      </c>
      <c r="N258" s="149" t="s">
        <v>105</v>
      </c>
      <c r="O258" s="149" t="s">
        <v>123</v>
      </c>
      <c r="P258" s="149" t="s">
        <v>124</v>
      </c>
      <c r="Q258" s="151">
        <v>12032</v>
      </c>
      <c r="R258" s="151">
        <v>28341</v>
      </c>
      <c r="S258" s="151">
        <v>40373</v>
      </c>
      <c r="T258" s="148" t="s">
        <v>148</v>
      </c>
      <c r="U258" s="154">
        <v>5.12</v>
      </c>
      <c r="V258" s="148" t="s">
        <v>49</v>
      </c>
      <c r="W258" s="149" t="s">
        <v>11</v>
      </c>
      <c r="X258" s="151">
        <v>5032</v>
      </c>
      <c r="Y258" s="151">
        <v>0</v>
      </c>
      <c r="Z258" s="152">
        <f t="shared" si="26"/>
        <v>5032</v>
      </c>
      <c r="AA258" s="153">
        <f t="shared" si="22"/>
        <v>0.41821808510638298</v>
      </c>
      <c r="AB258" s="153">
        <f t="shared" si="23"/>
        <v>0</v>
      </c>
      <c r="AC258" s="153">
        <f t="shared" si="24"/>
        <v>0.12463775295370669</v>
      </c>
      <c r="AD258" s="175" t="s">
        <v>157</v>
      </c>
    </row>
    <row r="259" spans="1:30" s="146" customFormat="1" ht="21" customHeight="1" x14ac:dyDescent="0.2">
      <c r="A259" s="146" t="str">
        <f t="shared" si="25"/>
        <v>Citywalk Phase 5.06</v>
      </c>
      <c r="B259" s="147" t="str">
        <f t="shared" si="27"/>
        <v>Citywalk Phase 5.06 - Electrical</v>
      </c>
      <c r="C259" s="147"/>
      <c r="D259" s="148" t="s">
        <v>82</v>
      </c>
      <c r="E259" s="148" t="s">
        <v>83</v>
      </c>
      <c r="F259" s="148" t="s">
        <v>84</v>
      </c>
      <c r="G259" s="148" t="s">
        <v>85</v>
      </c>
      <c r="H259" s="149" t="s">
        <v>108</v>
      </c>
      <c r="I259" s="148" t="s">
        <v>119</v>
      </c>
      <c r="J259" s="149">
        <v>2024</v>
      </c>
      <c r="K259" s="150" t="s">
        <v>90</v>
      </c>
      <c r="L259" s="149" t="s">
        <v>86</v>
      </c>
      <c r="M259" s="149" t="s">
        <v>104</v>
      </c>
      <c r="N259" s="149" t="s">
        <v>105</v>
      </c>
      <c r="O259" s="149" t="s">
        <v>123</v>
      </c>
      <c r="P259" s="149" t="s">
        <v>124</v>
      </c>
      <c r="Q259" s="151">
        <v>12032</v>
      </c>
      <c r="R259" s="151">
        <v>28341</v>
      </c>
      <c r="S259" s="151">
        <v>40373</v>
      </c>
      <c r="T259" s="148" t="s">
        <v>148</v>
      </c>
      <c r="U259" s="154">
        <v>5.12</v>
      </c>
      <c r="V259" s="148" t="s">
        <v>50</v>
      </c>
      <c r="W259" s="149" t="s">
        <v>11</v>
      </c>
      <c r="X259" s="151">
        <v>23730</v>
      </c>
      <c r="Y259" s="151">
        <v>0</v>
      </c>
      <c r="Z259" s="152">
        <f t="shared" si="26"/>
        <v>23730</v>
      </c>
      <c r="AA259" s="153">
        <f t="shared" si="22"/>
        <v>1.9722406914893618</v>
      </c>
      <c r="AB259" s="153">
        <f t="shared" si="23"/>
        <v>0</v>
      </c>
      <c r="AC259" s="153">
        <f t="shared" si="24"/>
        <v>0.58776905357540932</v>
      </c>
      <c r="AD259" s="175" t="s">
        <v>157</v>
      </c>
    </row>
    <row r="260" spans="1:30" s="146" customFormat="1" ht="21" customHeight="1" x14ac:dyDescent="0.2">
      <c r="A260" s="146" t="str">
        <f t="shared" si="25"/>
        <v>Citywalk Phase 5.06</v>
      </c>
      <c r="B260" s="147" t="str">
        <f t="shared" si="27"/>
        <v>Citywalk Phase 5.06 - Electrical</v>
      </c>
      <c r="C260" s="147"/>
      <c r="D260" s="148" t="s">
        <v>82</v>
      </c>
      <c r="E260" s="148" t="s">
        <v>83</v>
      </c>
      <c r="F260" s="148" t="s">
        <v>84</v>
      </c>
      <c r="G260" s="148" t="s">
        <v>85</v>
      </c>
      <c r="H260" s="149" t="s">
        <v>108</v>
      </c>
      <c r="I260" s="148" t="s">
        <v>119</v>
      </c>
      <c r="J260" s="149">
        <v>2024</v>
      </c>
      <c r="K260" s="150" t="s">
        <v>90</v>
      </c>
      <c r="L260" s="149" t="s">
        <v>86</v>
      </c>
      <c r="M260" s="149" t="s">
        <v>104</v>
      </c>
      <c r="N260" s="149" t="s">
        <v>105</v>
      </c>
      <c r="O260" s="149" t="s">
        <v>123</v>
      </c>
      <c r="P260" s="149" t="s">
        <v>124</v>
      </c>
      <c r="Q260" s="151">
        <v>12032</v>
      </c>
      <c r="R260" s="151">
        <v>28341</v>
      </c>
      <c r="S260" s="151">
        <v>40373</v>
      </c>
      <c r="T260" s="148" t="s">
        <v>148</v>
      </c>
      <c r="U260" s="154">
        <v>5.12</v>
      </c>
      <c r="V260" s="148" t="s">
        <v>51</v>
      </c>
      <c r="W260" s="149" t="s">
        <v>11</v>
      </c>
      <c r="X260" s="151">
        <v>169500</v>
      </c>
      <c r="Y260" s="151">
        <v>395500</v>
      </c>
      <c r="Z260" s="152">
        <f t="shared" si="26"/>
        <v>565000</v>
      </c>
      <c r="AA260" s="153">
        <f t="shared" ref="AA260:AA323" si="28">X260/Q260</f>
        <v>14.087433510638299</v>
      </c>
      <c r="AB260" s="153">
        <f t="shared" ref="AB260:AB323" si="29">Y260/R260</f>
        <v>13.955047457746728</v>
      </c>
      <c r="AC260" s="153">
        <f t="shared" ref="AC260:AC323" si="30">Z260/S260</f>
        <v>13.994501275604984</v>
      </c>
      <c r="AD260" s="175" t="s">
        <v>157</v>
      </c>
    </row>
    <row r="261" spans="1:30" s="146" customFormat="1" ht="21" customHeight="1" x14ac:dyDescent="0.2">
      <c r="A261" s="146" t="str">
        <f t="shared" si="25"/>
        <v>Citywalk Phase 5.06</v>
      </c>
      <c r="B261" s="147" t="str">
        <f t="shared" si="27"/>
        <v>Citywalk Phase 5.06 - Electrical</v>
      </c>
      <c r="C261" s="147"/>
      <c r="D261" s="148" t="s">
        <v>82</v>
      </c>
      <c r="E261" s="148" t="s">
        <v>83</v>
      </c>
      <c r="F261" s="148" t="s">
        <v>84</v>
      </c>
      <c r="G261" s="148" t="s">
        <v>85</v>
      </c>
      <c r="H261" s="149" t="s">
        <v>108</v>
      </c>
      <c r="I261" s="148" t="s">
        <v>119</v>
      </c>
      <c r="J261" s="149">
        <v>2024</v>
      </c>
      <c r="K261" s="150" t="s">
        <v>90</v>
      </c>
      <c r="L261" s="149" t="s">
        <v>86</v>
      </c>
      <c r="M261" s="149" t="s">
        <v>104</v>
      </c>
      <c r="N261" s="149" t="s">
        <v>105</v>
      </c>
      <c r="O261" s="149" t="s">
        <v>123</v>
      </c>
      <c r="P261" s="149" t="s">
        <v>124</v>
      </c>
      <c r="Q261" s="151">
        <v>12032</v>
      </c>
      <c r="R261" s="151">
        <v>28341</v>
      </c>
      <c r="S261" s="151">
        <v>40373</v>
      </c>
      <c r="T261" s="148" t="s">
        <v>148</v>
      </c>
      <c r="U261" s="155" t="s">
        <v>53</v>
      </c>
      <c r="V261" s="148" t="s">
        <v>27</v>
      </c>
      <c r="W261" s="149" t="s">
        <v>11</v>
      </c>
      <c r="X261" s="151">
        <v>219220</v>
      </c>
      <c r="Y261" s="151">
        <v>431400</v>
      </c>
      <c r="Z261" s="152">
        <f t="shared" si="26"/>
        <v>650620</v>
      </c>
      <c r="AA261" s="153">
        <f t="shared" si="28"/>
        <v>18.219747340425531</v>
      </c>
      <c r="AB261" s="153">
        <f t="shared" si="29"/>
        <v>15.221763522811475</v>
      </c>
      <c r="AC261" s="153">
        <f t="shared" si="30"/>
        <v>16.115225522007282</v>
      </c>
      <c r="AD261" s="175" t="s">
        <v>157</v>
      </c>
    </row>
    <row r="262" spans="1:30" s="124" customFormat="1" ht="21" customHeight="1" x14ac:dyDescent="0.2">
      <c r="A262" s="124" t="str">
        <f t="shared" si="25"/>
        <v>Citywalk Phase 5.04</v>
      </c>
      <c r="B262" s="120" t="str">
        <f t="shared" si="27"/>
        <v>Citywalk Phase 5.04 - Mechanical</v>
      </c>
      <c r="C262" s="120"/>
      <c r="D262" s="121" t="s">
        <v>82</v>
      </c>
      <c r="E262" s="121" t="s">
        <v>83</v>
      </c>
      <c r="F262" s="121" t="s">
        <v>84</v>
      </c>
      <c r="G262" s="121" t="s">
        <v>85</v>
      </c>
      <c r="H262" s="122" t="s">
        <v>112</v>
      </c>
      <c r="I262" s="121" t="s">
        <v>120</v>
      </c>
      <c r="J262" s="122">
        <v>2024</v>
      </c>
      <c r="K262" s="123" t="s">
        <v>89</v>
      </c>
      <c r="L262" s="122" t="s">
        <v>86</v>
      </c>
      <c r="M262" s="122" t="s">
        <v>104</v>
      </c>
      <c r="N262" s="122" t="s">
        <v>105</v>
      </c>
      <c r="O262" s="122" t="s">
        <v>123</v>
      </c>
      <c r="P262" s="122" t="s">
        <v>124</v>
      </c>
      <c r="Q262" s="112">
        <v>11407</v>
      </c>
      <c r="R262" s="112">
        <v>24915</v>
      </c>
      <c r="S262" s="112">
        <v>36322</v>
      </c>
      <c r="T262" s="121" t="s">
        <v>127</v>
      </c>
      <c r="U262" s="141">
        <v>5.3</v>
      </c>
      <c r="V262" s="121" t="s">
        <v>14</v>
      </c>
      <c r="W262" s="122" t="s">
        <v>11</v>
      </c>
      <c r="X262" s="112">
        <v>882747</v>
      </c>
      <c r="Y262" s="112">
        <v>2887401</v>
      </c>
      <c r="Z262" s="139">
        <f t="shared" si="26"/>
        <v>3770148</v>
      </c>
      <c r="AA262" s="140">
        <f t="shared" si="28"/>
        <v>77.386429385465064</v>
      </c>
      <c r="AB262" s="140">
        <f t="shared" si="29"/>
        <v>115.89006622516557</v>
      </c>
      <c r="AC262" s="140">
        <f t="shared" si="30"/>
        <v>103.79791861681626</v>
      </c>
      <c r="AD262" s="176" t="s">
        <v>157</v>
      </c>
    </row>
    <row r="263" spans="1:30" s="124" customFormat="1" ht="21" customHeight="1" x14ac:dyDescent="0.2">
      <c r="A263" s="124" t="str">
        <f t="shared" si="25"/>
        <v>Citywalk Phase 5.04</v>
      </c>
      <c r="B263" s="120" t="str">
        <f t="shared" si="27"/>
        <v>Citywalk Phase 5.04 - Mechanical</v>
      </c>
      <c r="C263" s="120"/>
      <c r="D263" s="121" t="s">
        <v>82</v>
      </c>
      <c r="E263" s="121" t="s">
        <v>83</v>
      </c>
      <c r="F263" s="121" t="s">
        <v>84</v>
      </c>
      <c r="G263" s="121" t="s">
        <v>85</v>
      </c>
      <c r="H263" s="122" t="s">
        <v>112</v>
      </c>
      <c r="I263" s="121" t="s">
        <v>120</v>
      </c>
      <c r="J263" s="122">
        <v>2024</v>
      </c>
      <c r="K263" s="123" t="s">
        <v>89</v>
      </c>
      <c r="L263" s="122" t="s">
        <v>86</v>
      </c>
      <c r="M263" s="122" t="s">
        <v>104</v>
      </c>
      <c r="N263" s="122" t="s">
        <v>105</v>
      </c>
      <c r="O263" s="122" t="s">
        <v>123</v>
      </c>
      <c r="P263" s="122" t="s">
        <v>124</v>
      </c>
      <c r="Q263" s="112">
        <v>11407</v>
      </c>
      <c r="R263" s="112">
        <v>24915</v>
      </c>
      <c r="S263" s="112">
        <v>36322</v>
      </c>
      <c r="T263" s="121" t="s">
        <v>127</v>
      </c>
      <c r="U263" s="141">
        <v>5.3</v>
      </c>
      <c r="V263" s="121" t="s">
        <v>15</v>
      </c>
      <c r="W263" s="122" t="s">
        <v>11</v>
      </c>
      <c r="X263" s="112">
        <v>35454</v>
      </c>
      <c r="Y263" s="112">
        <v>0</v>
      </c>
      <c r="Z263" s="139">
        <f t="shared" si="26"/>
        <v>35454</v>
      </c>
      <c r="AA263" s="140">
        <f t="shared" si="28"/>
        <v>3.1080915227491892</v>
      </c>
      <c r="AB263" s="140">
        <f t="shared" si="29"/>
        <v>0</v>
      </c>
      <c r="AC263" s="140">
        <f t="shared" si="30"/>
        <v>0.9761026375199604</v>
      </c>
      <c r="AD263" s="176" t="s">
        <v>157</v>
      </c>
    </row>
    <row r="264" spans="1:30" s="124" customFormat="1" ht="21" customHeight="1" x14ac:dyDescent="0.2">
      <c r="A264" s="124" t="str">
        <f t="shared" si="25"/>
        <v>Citywalk Phase 5.04</v>
      </c>
      <c r="B264" s="120" t="str">
        <f t="shared" si="27"/>
        <v>Citywalk Phase 5.04 - Mechanical</v>
      </c>
      <c r="C264" s="120"/>
      <c r="D264" s="121" t="s">
        <v>82</v>
      </c>
      <c r="E264" s="121" t="s">
        <v>83</v>
      </c>
      <c r="F264" s="121" t="s">
        <v>84</v>
      </c>
      <c r="G264" s="121" t="s">
        <v>85</v>
      </c>
      <c r="H264" s="122" t="s">
        <v>112</v>
      </c>
      <c r="I264" s="121" t="s">
        <v>120</v>
      </c>
      <c r="J264" s="122">
        <v>2024</v>
      </c>
      <c r="K264" s="123" t="s">
        <v>89</v>
      </c>
      <c r="L264" s="122" t="s">
        <v>86</v>
      </c>
      <c r="M264" s="122" t="s">
        <v>104</v>
      </c>
      <c r="N264" s="122" t="s">
        <v>105</v>
      </c>
      <c r="O264" s="122" t="s">
        <v>123</v>
      </c>
      <c r="P264" s="122" t="s">
        <v>124</v>
      </c>
      <c r="Q264" s="112">
        <v>11407</v>
      </c>
      <c r="R264" s="112">
        <v>24915</v>
      </c>
      <c r="S264" s="112">
        <v>36322</v>
      </c>
      <c r="T264" s="121" t="s">
        <v>127</v>
      </c>
      <c r="U264" s="141">
        <v>5.4</v>
      </c>
      <c r="V264" s="121" t="s">
        <v>16</v>
      </c>
      <c r="W264" s="122" t="s">
        <v>11</v>
      </c>
      <c r="X264" s="112">
        <v>183101</v>
      </c>
      <c r="Y264" s="112">
        <v>3905883</v>
      </c>
      <c r="Z264" s="139">
        <f t="shared" si="26"/>
        <v>4088984</v>
      </c>
      <c r="AA264" s="140">
        <f t="shared" si="28"/>
        <v>16.051634960988867</v>
      </c>
      <c r="AB264" s="140">
        <f t="shared" si="29"/>
        <v>156.76833232992175</v>
      </c>
      <c r="AC264" s="140">
        <f t="shared" si="30"/>
        <v>112.57595947359727</v>
      </c>
      <c r="AD264" s="176" t="s">
        <v>157</v>
      </c>
    </row>
    <row r="265" spans="1:30" s="124" customFormat="1" ht="21" customHeight="1" x14ac:dyDescent="0.2">
      <c r="A265" s="124" t="str">
        <f t="shared" si="25"/>
        <v>Citywalk Phase 5.04</v>
      </c>
      <c r="B265" s="120" t="str">
        <f t="shared" si="27"/>
        <v>Citywalk Phase 5.04 - Mechanical</v>
      </c>
      <c r="C265" s="120"/>
      <c r="D265" s="121" t="s">
        <v>82</v>
      </c>
      <c r="E265" s="121" t="s">
        <v>83</v>
      </c>
      <c r="F265" s="121" t="s">
        <v>84</v>
      </c>
      <c r="G265" s="121" t="s">
        <v>85</v>
      </c>
      <c r="H265" s="122" t="s">
        <v>112</v>
      </c>
      <c r="I265" s="121" t="s">
        <v>120</v>
      </c>
      <c r="J265" s="122">
        <v>2024</v>
      </c>
      <c r="K265" s="123" t="s">
        <v>89</v>
      </c>
      <c r="L265" s="122" t="s">
        <v>86</v>
      </c>
      <c r="M265" s="122" t="s">
        <v>104</v>
      </c>
      <c r="N265" s="122" t="s">
        <v>105</v>
      </c>
      <c r="O265" s="122" t="s">
        <v>123</v>
      </c>
      <c r="P265" s="122" t="s">
        <v>124</v>
      </c>
      <c r="Q265" s="112">
        <v>11407</v>
      </c>
      <c r="R265" s="112">
        <v>24915</v>
      </c>
      <c r="S265" s="112">
        <v>36322</v>
      </c>
      <c r="T265" s="121" t="s">
        <v>127</v>
      </c>
      <c r="U265" s="141">
        <v>5.4</v>
      </c>
      <c r="V265" s="121" t="s">
        <v>17</v>
      </c>
      <c r="W265" s="122" t="s">
        <v>11</v>
      </c>
      <c r="X265" s="112">
        <v>68025</v>
      </c>
      <c r="Y265" s="112">
        <v>512041</v>
      </c>
      <c r="Z265" s="139">
        <f t="shared" si="26"/>
        <v>580066</v>
      </c>
      <c r="AA265" s="140">
        <f t="shared" si="28"/>
        <v>5.9634434996055052</v>
      </c>
      <c r="AB265" s="140">
        <f t="shared" si="29"/>
        <v>20.551515151515151</v>
      </c>
      <c r="AC265" s="140">
        <f t="shared" si="30"/>
        <v>15.970100765376356</v>
      </c>
      <c r="AD265" s="176" t="s">
        <v>157</v>
      </c>
    </row>
    <row r="266" spans="1:30" s="124" customFormat="1" ht="21" customHeight="1" x14ac:dyDescent="0.2">
      <c r="A266" s="124" t="str">
        <f t="shared" si="25"/>
        <v>Citywalk Phase 5.04</v>
      </c>
      <c r="B266" s="120" t="str">
        <f t="shared" si="27"/>
        <v>Citywalk Phase 5.04 - Mechanical</v>
      </c>
      <c r="C266" s="120"/>
      <c r="D266" s="121" t="s">
        <v>82</v>
      </c>
      <c r="E266" s="121" t="s">
        <v>83</v>
      </c>
      <c r="F266" s="121" t="s">
        <v>84</v>
      </c>
      <c r="G266" s="121" t="s">
        <v>85</v>
      </c>
      <c r="H266" s="122" t="s">
        <v>112</v>
      </c>
      <c r="I266" s="121" t="s">
        <v>120</v>
      </c>
      <c r="J266" s="122">
        <v>2024</v>
      </c>
      <c r="K266" s="123" t="s">
        <v>89</v>
      </c>
      <c r="L266" s="122" t="s">
        <v>86</v>
      </c>
      <c r="M266" s="122" t="s">
        <v>104</v>
      </c>
      <c r="N266" s="122" t="s">
        <v>105</v>
      </c>
      <c r="O266" s="122" t="s">
        <v>123</v>
      </c>
      <c r="P266" s="122" t="s">
        <v>124</v>
      </c>
      <c r="Q266" s="112">
        <v>11407</v>
      </c>
      <c r="R266" s="112">
        <v>24915</v>
      </c>
      <c r="S266" s="112">
        <v>36322</v>
      </c>
      <c r="T266" s="121" t="s">
        <v>127</v>
      </c>
      <c r="U266" s="141" t="s">
        <v>28</v>
      </c>
      <c r="V266" s="121" t="s">
        <v>18</v>
      </c>
      <c r="W266" s="122" t="s">
        <v>11</v>
      </c>
      <c r="X266" s="112">
        <v>726930</v>
      </c>
      <c r="Y266" s="112">
        <v>1571678</v>
      </c>
      <c r="Z266" s="139">
        <f t="shared" si="26"/>
        <v>2298608</v>
      </c>
      <c r="AA266" s="140">
        <f t="shared" si="28"/>
        <v>63.726659068992724</v>
      </c>
      <c r="AB266" s="140">
        <f t="shared" si="29"/>
        <v>63.081597431266303</v>
      </c>
      <c r="AC266" s="140">
        <f t="shared" si="30"/>
        <v>63.284180386542594</v>
      </c>
      <c r="AD266" s="176" t="s">
        <v>157</v>
      </c>
    </row>
    <row r="267" spans="1:30" s="124" customFormat="1" ht="21" customHeight="1" x14ac:dyDescent="0.2">
      <c r="A267" s="124" t="str">
        <f t="shared" si="25"/>
        <v>Citywalk Phase 5.04</v>
      </c>
      <c r="B267" s="120" t="str">
        <f t="shared" si="27"/>
        <v>Citywalk Phase 5.04 - Mechanical</v>
      </c>
      <c r="C267" s="120"/>
      <c r="D267" s="121" t="s">
        <v>82</v>
      </c>
      <c r="E267" s="121" t="s">
        <v>83</v>
      </c>
      <c r="F267" s="121" t="s">
        <v>84</v>
      </c>
      <c r="G267" s="121" t="s">
        <v>85</v>
      </c>
      <c r="H267" s="122" t="s">
        <v>112</v>
      </c>
      <c r="I267" s="121" t="s">
        <v>120</v>
      </c>
      <c r="J267" s="122">
        <v>2024</v>
      </c>
      <c r="K267" s="123" t="s">
        <v>89</v>
      </c>
      <c r="L267" s="122" t="s">
        <v>86</v>
      </c>
      <c r="M267" s="122" t="s">
        <v>104</v>
      </c>
      <c r="N267" s="122" t="s">
        <v>105</v>
      </c>
      <c r="O267" s="122" t="s">
        <v>123</v>
      </c>
      <c r="P267" s="122" t="s">
        <v>124</v>
      </c>
      <c r="Q267" s="112">
        <v>11407</v>
      </c>
      <c r="R267" s="112">
        <v>24915</v>
      </c>
      <c r="S267" s="112">
        <v>36322</v>
      </c>
      <c r="T267" s="121" t="s">
        <v>127</v>
      </c>
      <c r="U267" s="141" t="s">
        <v>28</v>
      </c>
      <c r="V267" s="121" t="s">
        <v>19</v>
      </c>
      <c r="W267" s="122" t="s">
        <v>11</v>
      </c>
      <c r="X267" s="112">
        <v>246600</v>
      </c>
      <c r="Y267" s="112">
        <v>0</v>
      </c>
      <c r="Z267" s="139">
        <f t="shared" si="26"/>
        <v>246600</v>
      </c>
      <c r="AA267" s="140">
        <f t="shared" si="28"/>
        <v>21.61830454983782</v>
      </c>
      <c r="AB267" s="140">
        <f t="shared" si="29"/>
        <v>0</v>
      </c>
      <c r="AC267" s="140">
        <f t="shared" si="30"/>
        <v>6.7892737184075767</v>
      </c>
      <c r="AD267" s="176" t="s">
        <v>157</v>
      </c>
    </row>
    <row r="268" spans="1:30" s="124" customFormat="1" ht="21" customHeight="1" x14ac:dyDescent="0.2">
      <c r="A268" s="124" t="str">
        <f t="shared" si="25"/>
        <v>Citywalk Phase 5.04</v>
      </c>
      <c r="B268" s="120" t="str">
        <f t="shared" si="27"/>
        <v>Citywalk Phase 5.04 - Mechanical</v>
      </c>
      <c r="C268" s="120"/>
      <c r="D268" s="121" t="s">
        <v>82</v>
      </c>
      <c r="E268" s="121" t="s">
        <v>83</v>
      </c>
      <c r="F268" s="121" t="s">
        <v>84</v>
      </c>
      <c r="G268" s="121" t="s">
        <v>85</v>
      </c>
      <c r="H268" s="122" t="s">
        <v>112</v>
      </c>
      <c r="I268" s="121" t="s">
        <v>120</v>
      </c>
      <c r="J268" s="122">
        <v>2024</v>
      </c>
      <c r="K268" s="123" t="s">
        <v>89</v>
      </c>
      <c r="L268" s="122" t="s">
        <v>86</v>
      </c>
      <c r="M268" s="122" t="s">
        <v>104</v>
      </c>
      <c r="N268" s="122" t="s">
        <v>105</v>
      </c>
      <c r="O268" s="122" t="s">
        <v>123</v>
      </c>
      <c r="P268" s="122" t="s">
        <v>124</v>
      </c>
      <c r="Q268" s="112">
        <v>11407</v>
      </c>
      <c r="R268" s="112">
        <v>24915</v>
      </c>
      <c r="S268" s="112">
        <v>36322</v>
      </c>
      <c r="T268" s="121" t="s">
        <v>127</v>
      </c>
      <c r="U268" s="141" t="s">
        <v>28</v>
      </c>
      <c r="V268" s="121" t="s">
        <v>20</v>
      </c>
      <c r="W268" s="122" t="s">
        <v>11</v>
      </c>
      <c r="X268" s="112">
        <v>638172</v>
      </c>
      <c r="Y268" s="112">
        <v>38500</v>
      </c>
      <c r="Z268" s="139">
        <f t="shared" si="26"/>
        <v>676672</v>
      </c>
      <c r="AA268" s="140">
        <f t="shared" si="28"/>
        <v>55.945647409485403</v>
      </c>
      <c r="AB268" s="140">
        <f t="shared" si="29"/>
        <v>1.5452538631346577</v>
      </c>
      <c r="AC268" s="140">
        <f t="shared" si="30"/>
        <v>18.629811133748142</v>
      </c>
      <c r="AD268" s="176" t="s">
        <v>157</v>
      </c>
    </row>
    <row r="269" spans="1:30" s="124" customFormat="1" ht="21" customHeight="1" x14ac:dyDescent="0.2">
      <c r="A269" s="124" t="str">
        <f t="shared" si="25"/>
        <v>Citywalk Phase 5.04</v>
      </c>
      <c r="B269" s="120" t="str">
        <f t="shared" si="27"/>
        <v>Citywalk Phase 5.04 - Mechanical</v>
      </c>
      <c r="C269" s="120"/>
      <c r="D269" s="121" t="s">
        <v>82</v>
      </c>
      <c r="E269" s="121" t="s">
        <v>83</v>
      </c>
      <c r="F269" s="121" t="s">
        <v>84</v>
      </c>
      <c r="G269" s="121" t="s">
        <v>85</v>
      </c>
      <c r="H269" s="122" t="s">
        <v>112</v>
      </c>
      <c r="I269" s="121" t="s">
        <v>120</v>
      </c>
      <c r="J269" s="122">
        <v>2024</v>
      </c>
      <c r="K269" s="123" t="s">
        <v>89</v>
      </c>
      <c r="L269" s="122" t="s">
        <v>86</v>
      </c>
      <c r="M269" s="122" t="s">
        <v>104</v>
      </c>
      <c r="N269" s="122" t="s">
        <v>105</v>
      </c>
      <c r="O269" s="122" t="s">
        <v>123</v>
      </c>
      <c r="P269" s="122" t="s">
        <v>124</v>
      </c>
      <c r="Q269" s="112">
        <v>11407</v>
      </c>
      <c r="R269" s="112">
        <v>24915</v>
      </c>
      <c r="S269" s="112">
        <v>36322</v>
      </c>
      <c r="T269" s="121" t="s">
        <v>127</v>
      </c>
      <c r="U269" s="141">
        <v>5.6</v>
      </c>
      <c r="V269" s="121" t="s">
        <v>21</v>
      </c>
      <c r="W269" s="122" t="s">
        <v>11</v>
      </c>
      <c r="X269" s="112">
        <v>208454</v>
      </c>
      <c r="Y269" s="112">
        <v>4043469</v>
      </c>
      <c r="Z269" s="139">
        <f t="shared" si="26"/>
        <v>4251923</v>
      </c>
      <c r="AA269" s="140">
        <f t="shared" si="28"/>
        <v>18.274217585692995</v>
      </c>
      <c r="AB269" s="140">
        <f t="shared" si="29"/>
        <v>162.29054786273329</v>
      </c>
      <c r="AC269" s="140">
        <f t="shared" si="30"/>
        <v>117.06191839656407</v>
      </c>
      <c r="AD269" s="176" t="s">
        <v>157</v>
      </c>
    </row>
    <row r="270" spans="1:30" s="124" customFormat="1" ht="21" customHeight="1" x14ac:dyDescent="0.2">
      <c r="A270" s="124" t="str">
        <f t="shared" si="25"/>
        <v>Citywalk Phase 5.04</v>
      </c>
      <c r="B270" s="120" t="str">
        <f t="shared" si="27"/>
        <v>Citywalk Phase 5.04 - Mechanical</v>
      </c>
      <c r="C270" s="120"/>
      <c r="D270" s="121" t="s">
        <v>82</v>
      </c>
      <c r="E270" s="121" t="s">
        <v>83</v>
      </c>
      <c r="F270" s="121" t="s">
        <v>84</v>
      </c>
      <c r="G270" s="121" t="s">
        <v>85</v>
      </c>
      <c r="H270" s="122" t="s">
        <v>112</v>
      </c>
      <c r="I270" s="121" t="s">
        <v>120</v>
      </c>
      <c r="J270" s="122">
        <v>2024</v>
      </c>
      <c r="K270" s="123" t="s">
        <v>89</v>
      </c>
      <c r="L270" s="122" t="s">
        <v>86</v>
      </c>
      <c r="M270" s="122" t="s">
        <v>104</v>
      </c>
      <c r="N270" s="122" t="s">
        <v>105</v>
      </c>
      <c r="O270" s="122" t="s">
        <v>123</v>
      </c>
      <c r="P270" s="122" t="s">
        <v>124</v>
      </c>
      <c r="Q270" s="112">
        <v>11407</v>
      </c>
      <c r="R270" s="112">
        <v>24915</v>
      </c>
      <c r="S270" s="112">
        <v>36322</v>
      </c>
      <c r="T270" s="121" t="s">
        <v>127</v>
      </c>
      <c r="U270" s="141">
        <v>5.6</v>
      </c>
      <c r="V270" s="121" t="s">
        <v>22</v>
      </c>
      <c r="W270" s="122" t="s">
        <v>11</v>
      </c>
      <c r="X270" s="112">
        <v>0</v>
      </c>
      <c r="Y270" s="112">
        <v>3462334</v>
      </c>
      <c r="Z270" s="139">
        <f t="shared" si="26"/>
        <v>3462334</v>
      </c>
      <c r="AA270" s="140">
        <f t="shared" si="28"/>
        <v>0</v>
      </c>
      <c r="AB270" s="140">
        <f t="shared" si="29"/>
        <v>138.96584386915512</v>
      </c>
      <c r="AC270" s="140">
        <f t="shared" si="30"/>
        <v>95.323330213093996</v>
      </c>
      <c r="AD270" s="176" t="s">
        <v>157</v>
      </c>
    </row>
    <row r="271" spans="1:30" s="124" customFormat="1" ht="21" customHeight="1" x14ac:dyDescent="0.2">
      <c r="A271" s="124" t="str">
        <f t="shared" si="25"/>
        <v>Citywalk Phase 5.04</v>
      </c>
      <c r="B271" s="120" t="str">
        <f t="shared" si="27"/>
        <v>Citywalk Phase 5.04 - Mechanical</v>
      </c>
      <c r="C271" s="120"/>
      <c r="D271" s="121" t="s">
        <v>82</v>
      </c>
      <c r="E271" s="121" t="s">
        <v>83</v>
      </c>
      <c r="F271" s="121" t="s">
        <v>84</v>
      </c>
      <c r="G271" s="121" t="s">
        <v>85</v>
      </c>
      <c r="H271" s="122" t="s">
        <v>112</v>
      </c>
      <c r="I271" s="121" t="s">
        <v>120</v>
      </c>
      <c r="J271" s="122">
        <v>2024</v>
      </c>
      <c r="K271" s="123" t="s">
        <v>89</v>
      </c>
      <c r="L271" s="122" t="s">
        <v>86</v>
      </c>
      <c r="M271" s="122" t="s">
        <v>104</v>
      </c>
      <c r="N271" s="122" t="s">
        <v>105</v>
      </c>
      <c r="O271" s="122" t="s">
        <v>123</v>
      </c>
      <c r="P271" s="122" t="s">
        <v>124</v>
      </c>
      <c r="Q271" s="112">
        <v>11407</v>
      </c>
      <c r="R271" s="112">
        <v>24915</v>
      </c>
      <c r="S271" s="112">
        <v>36322</v>
      </c>
      <c r="T271" s="121" t="s">
        <v>127</v>
      </c>
      <c r="U271" s="141">
        <v>5.6</v>
      </c>
      <c r="V271" s="121" t="s">
        <v>23</v>
      </c>
      <c r="W271" s="122" t="s">
        <v>11</v>
      </c>
      <c r="X271" s="112">
        <v>288282</v>
      </c>
      <c r="Y271" s="112">
        <v>4741847</v>
      </c>
      <c r="Z271" s="139">
        <f t="shared" si="26"/>
        <v>5030129</v>
      </c>
      <c r="AA271" s="140">
        <f t="shared" si="28"/>
        <v>25.272376610852984</v>
      </c>
      <c r="AB271" s="140">
        <f t="shared" si="29"/>
        <v>190.32097130242826</v>
      </c>
      <c r="AC271" s="140">
        <f t="shared" si="30"/>
        <v>138.48711524695776</v>
      </c>
      <c r="AD271" s="176" t="s">
        <v>157</v>
      </c>
    </row>
    <row r="272" spans="1:30" s="124" customFormat="1" ht="21" customHeight="1" x14ac:dyDescent="0.2">
      <c r="A272" s="124" t="str">
        <f t="shared" si="25"/>
        <v>Citywalk Phase 5.04</v>
      </c>
      <c r="B272" s="120" t="str">
        <f t="shared" si="27"/>
        <v>Citywalk Phase 5.04 - Mechanical</v>
      </c>
      <c r="C272" s="120"/>
      <c r="D272" s="121" t="s">
        <v>82</v>
      </c>
      <c r="E272" s="121" t="s">
        <v>83</v>
      </c>
      <c r="F272" s="121" t="s">
        <v>84</v>
      </c>
      <c r="G272" s="121" t="s">
        <v>85</v>
      </c>
      <c r="H272" s="122" t="s">
        <v>112</v>
      </c>
      <c r="I272" s="121" t="s">
        <v>120</v>
      </c>
      <c r="J272" s="122">
        <v>2024</v>
      </c>
      <c r="K272" s="123" t="s">
        <v>89</v>
      </c>
      <c r="L272" s="122" t="s">
        <v>86</v>
      </c>
      <c r="M272" s="122" t="s">
        <v>104</v>
      </c>
      <c r="N272" s="122" t="s">
        <v>105</v>
      </c>
      <c r="O272" s="122" t="s">
        <v>123</v>
      </c>
      <c r="P272" s="122" t="s">
        <v>124</v>
      </c>
      <c r="Q272" s="112">
        <v>11407</v>
      </c>
      <c r="R272" s="112">
        <v>24915</v>
      </c>
      <c r="S272" s="112">
        <v>36322</v>
      </c>
      <c r="T272" s="121" t="s">
        <v>127</v>
      </c>
      <c r="U272" s="141">
        <v>5.6</v>
      </c>
      <c r="V272" s="121" t="s">
        <v>24</v>
      </c>
      <c r="W272" s="122" t="s">
        <v>11</v>
      </c>
      <c r="X272" s="112">
        <v>303800</v>
      </c>
      <c r="Y272" s="112">
        <v>2555877</v>
      </c>
      <c r="Z272" s="139">
        <f t="shared" si="26"/>
        <v>2859677</v>
      </c>
      <c r="AA272" s="140">
        <f t="shared" si="28"/>
        <v>26.632769352152188</v>
      </c>
      <c r="AB272" s="140">
        <f t="shared" si="29"/>
        <v>102.58386514148104</v>
      </c>
      <c r="AC272" s="140">
        <f t="shared" si="30"/>
        <v>78.731264798193934</v>
      </c>
      <c r="AD272" s="176" t="s">
        <v>157</v>
      </c>
    </row>
    <row r="273" spans="1:30" s="124" customFormat="1" ht="21" customHeight="1" x14ac:dyDescent="0.2">
      <c r="A273" s="124" t="str">
        <f t="shared" si="25"/>
        <v>Citywalk Phase 5.04</v>
      </c>
      <c r="B273" s="120" t="str">
        <f t="shared" si="27"/>
        <v>Citywalk Phase 5.04 - Mechanical</v>
      </c>
      <c r="C273" s="120"/>
      <c r="D273" s="121" t="s">
        <v>82</v>
      </c>
      <c r="E273" s="121" t="s">
        <v>83</v>
      </c>
      <c r="F273" s="121" t="s">
        <v>84</v>
      </c>
      <c r="G273" s="121" t="s">
        <v>85</v>
      </c>
      <c r="H273" s="122" t="s">
        <v>112</v>
      </c>
      <c r="I273" s="121" t="s">
        <v>120</v>
      </c>
      <c r="J273" s="122">
        <v>2024</v>
      </c>
      <c r="K273" s="123" t="s">
        <v>89</v>
      </c>
      <c r="L273" s="122" t="s">
        <v>86</v>
      </c>
      <c r="M273" s="122" t="s">
        <v>104</v>
      </c>
      <c r="N273" s="122" t="s">
        <v>105</v>
      </c>
      <c r="O273" s="122" t="s">
        <v>123</v>
      </c>
      <c r="P273" s="122" t="s">
        <v>124</v>
      </c>
      <c r="Q273" s="112">
        <v>11407</v>
      </c>
      <c r="R273" s="112">
        <v>24915</v>
      </c>
      <c r="S273" s="112">
        <v>36322</v>
      </c>
      <c r="T273" s="121" t="s">
        <v>127</v>
      </c>
      <c r="U273" s="141">
        <v>5.6</v>
      </c>
      <c r="V273" s="121" t="s">
        <v>25</v>
      </c>
      <c r="W273" s="122" t="s">
        <v>11</v>
      </c>
      <c r="X273" s="112">
        <v>1838385</v>
      </c>
      <c r="Y273" s="112">
        <v>4179655</v>
      </c>
      <c r="Z273" s="139">
        <f t="shared" si="26"/>
        <v>6018040</v>
      </c>
      <c r="AA273" s="140">
        <f t="shared" si="28"/>
        <v>161.16288244060664</v>
      </c>
      <c r="AB273" s="140">
        <f t="shared" si="29"/>
        <v>167.75657234597631</v>
      </c>
      <c r="AC273" s="140">
        <f t="shared" si="30"/>
        <v>165.68581025273937</v>
      </c>
      <c r="AD273" s="176" t="s">
        <v>157</v>
      </c>
    </row>
    <row r="274" spans="1:30" s="124" customFormat="1" ht="21" customHeight="1" x14ac:dyDescent="0.2">
      <c r="A274" s="124" t="str">
        <f t="shared" si="25"/>
        <v>Citywalk Phase 5.04</v>
      </c>
      <c r="B274" s="120" t="str">
        <f t="shared" si="27"/>
        <v>Citywalk Phase 5.04 - Mechanical</v>
      </c>
      <c r="C274" s="120"/>
      <c r="D274" s="121" t="s">
        <v>82</v>
      </c>
      <c r="E274" s="121" t="s">
        <v>83</v>
      </c>
      <c r="F274" s="121" t="s">
        <v>84</v>
      </c>
      <c r="G274" s="121" t="s">
        <v>85</v>
      </c>
      <c r="H274" s="122" t="s">
        <v>112</v>
      </c>
      <c r="I274" s="121" t="s">
        <v>120</v>
      </c>
      <c r="J274" s="122">
        <v>2024</v>
      </c>
      <c r="K274" s="123" t="s">
        <v>89</v>
      </c>
      <c r="L274" s="122" t="s">
        <v>86</v>
      </c>
      <c r="M274" s="122" t="s">
        <v>104</v>
      </c>
      <c r="N274" s="122" t="s">
        <v>105</v>
      </c>
      <c r="O274" s="122" t="s">
        <v>123</v>
      </c>
      <c r="P274" s="122" t="s">
        <v>124</v>
      </c>
      <c r="Q274" s="112">
        <v>11407</v>
      </c>
      <c r="R274" s="112">
        <v>24915</v>
      </c>
      <c r="S274" s="112">
        <v>36322</v>
      </c>
      <c r="T274" s="121" t="s">
        <v>127</v>
      </c>
      <c r="U274" s="141">
        <v>5.6</v>
      </c>
      <c r="V274" s="121" t="s">
        <v>26</v>
      </c>
      <c r="W274" s="122" t="s">
        <v>11</v>
      </c>
      <c r="X274" s="112">
        <v>735963</v>
      </c>
      <c r="Y274" s="112">
        <v>1846303</v>
      </c>
      <c r="Z274" s="139">
        <f t="shared" si="26"/>
        <v>2582266</v>
      </c>
      <c r="AA274" s="140">
        <f t="shared" si="28"/>
        <v>64.518541246602965</v>
      </c>
      <c r="AB274" s="140">
        <f t="shared" si="29"/>
        <v>74.104073851093716</v>
      </c>
      <c r="AC274" s="140">
        <f t="shared" si="30"/>
        <v>71.093717306315725</v>
      </c>
      <c r="AD274" s="176" t="s">
        <v>157</v>
      </c>
    </row>
    <row r="275" spans="1:30" s="124" customFormat="1" ht="21" customHeight="1" x14ac:dyDescent="0.2">
      <c r="A275" s="124" t="str">
        <f t="shared" si="25"/>
        <v>Citywalk Phase 5.04</v>
      </c>
      <c r="B275" s="120" t="str">
        <f t="shared" si="27"/>
        <v>Citywalk Phase 5.04 - Mechanical</v>
      </c>
      <c r="C275" s="120"/>
      <c r="D275" s="121" t="s">
        <v>82</v>
      </c>
      <c r="E275" s="121" t="s">
        <v>83</v>
      </c>
      <c r="F275" s="121" t="s">
        <v>84</v>
      </c>
      <c r="G275" s="121" t="s">
        <v>85</v>
      </c>
      <c r="H275" s="122" t="s">
        <v>112</v>
      </c>
      <c r="I275" s="121" t="s">
        <v>120</v>
      </c>
      <c r="J275" s="122">
        <v>2024</v>
      </c>
      <c r="K275" s="123" t="s">
        <v>89</v>
      </c>
      <c r="L275" s="122" t="s">
        <v>86</v>
      </c>
      <c r="M275" s="122" t="s">
        <v>104</v>
      </c>
      <c r="N275" s="122" t="s">
        <v>105</v>
      </c>
      <c r="O275" s="122" t="s">
        <v>123</v>
      </c>
      <c r="P275" s="122" t="s">
        <v>124</v>
      </c>
      <c r="Q275" s="112">
        <v>11407</v>
      </c>
      <c r="R275" s="112">
        <v>24915</v>
      </c>
      <c r="S275" s="112">
        <v>36322</v>
      </c>
      <c r="T275" s="121" t="s">
        <v>127</v>
      </c>
      <c r="U275" s="141">
        <v>5.14</v>
      </c>
      <c r="V275" s="121" t="s">
        <v>27</v>
      </c>
      <c r="W275" s="122" t="s">
        <v>11</v>
      </c>
      <c r="X275" s="112">
        <v>48000</v>
      </c>
      <c r="Y275" s="112">
        <v>158443</v>
      </c>
      <c r="Z275" s="139">
        <f t="shared" si="26"/>
        <v>206443</v>
      </c>
      <c r="AA275" s="140">
        <f t="shared" si="28"/>
        <v>4.2079424914526165</v>
      </c>
      <c r="AB275" s="140">
        <f t="shared" si="29"/>
        <v>6.3593417619907688</v>
      </c>
      <c r="AC275" s="140">
        <f t="shared" si="30"/>
        <v>5.6836903254226092</v>
      </c>
      <c r="AD275" s="176" t="s">
        <v>157</v>
      </c>
    </row>
    <row r="276" spans="1:30" s="124" customFormat="1" ht="21" customHeight="1" x14ac:dyDescent="0.2">
      <c r="A276" s="124" t="str">
        <f t="shared" si="25"/>
        <v>Citywalk Phase 5.04</v>
      </c>
      <c r="B276" s="120" t="str">
        <f t="shared" si="27"/>
        <v>Citywalk Phase 5.04 - Electrical</v>
      </c>
      <c r="C276" s="120"/>
      <c r="D276" s="121" t="s">
        <v>82</v>
      </c>
      <c r="E276" s="121" t="s">
        <v>83</v>
      </c>
      <c r="F276" s="121" t="s">
        <v>84</v>
      </c>
      <c r="G276" s="121" t="s">
        <v>85</v>
      </c>
      <c r="H276" s="122" t="s">
        <v>112</v>
      </c>
      <c r="I276" s="121" t="s">
        <v>120</v>
      </c>
      <c r="J276" s="122">
        <v>2024</v>
      </c>
      <c r="K276" s="123" t="s">
        <v>89</v>
      </c>
      <c r="L276" s="122" t="s">
        <v>86</v>
      </c>
      <c r="M276" s="122" t="s">
        <v>104</v>
      </c>
      <c r="N276" s="122" t="s">
        <v>105</v>
      </c>
      <c r="O276" s="122" t="s">
        <v>123</v>
      </c>
      <c r="P276" s="122" t="s">
        <v>124</v>
      </c>
      <c r="Q276" s="112">
        <v>11407</v>
      </c>
      <c r="R276" s="112">
        <v>24915</v>
      </c>
      <c r="S276" s="112">
        <v>36322</v>
      </c>
      <c r="T276" s="121" t="s">
        <v>148</v>
      </c>
      <c r="U276" s="141">
        <v>5.8</v>
      </c>
      <c r="V276" s="121" t="s">
        <v>29</v>
      </c>
      <c r="W276" s="122" t="s">
        <v>11</v>
      </c>
      <c r="X276" s="112">
        <v>1901891</v>
      </c>
      <c r="Y276" s="112">
        <v>2435003</v>
      </c>
      <c r="Z276" s="139">
        <f t="shared" si="26"/>
        <v>4336894</v>
      </c>
      <c r="AA276" s="140">
        <f t="shared" si="28"/>
        <v>166.73016568773559</v>
      </c>
      <c r="AB276" s="140">
        <f t="shared" si="29"/>
        <v>97.732410194661853</v>
      </c>
      <c r="AC276" s="140">
        <f t="shared" si="30"/>
        <v>119.40129948791366</v>
      </c>
      <c r="AD276" s="176" t="s">
        <v>157</v>
      </c>
    </row>
    <row r="277" spans="1:30" s="124" customFormat="1" ht="21" customHeight="1" x14ac:dyDescent="0.2">
      <c r="A277" s="124" t="str">
        <f t="shared" si="25"/>
        <v>Citywalk Phase 5.04</v>
      </c>
      <c r="B277" s="120" t="str">
        <f t="shared" si="27"/>
        <v>Citywalk Phase 5.04 - Electrical</v>
      </c>
      <c r="C277" s="120"/>
      <c r="D277" s="121" t="s">
        <v>82</v>
      </c>
      <c r="E277" s="121" t="s">
        <v>83</v>
      </c>
      <c r="F277" s="121" t="s">
        <v>84</v>
      </c>
      <c r="G277" s="121" t="s">
        <v>85</v>
      </c>
      <c r="H277" s="122" t="s">
        <v>112</v>
      </c>
      <c r="I277" s="121" t="s">
        <v>120</v>
      </c>
      <c r="J277" s="122">
        <v>2024</v>
      </c>
      <c r="K277" s="123" t="s">
        <v>89</v>
      </c>
      <c r="L277" s="122" t="s">
        <v>86</v>
      </c>
      <c r="M277" s="122" t="s">
        <v>104</v>
      </c>
      <c r="N277" s="122" t="s">
        <v>105</v>
      </c>
      <c r="O277" s="122" t="s">
        <v>123</v>
      </c>
      <c r="P277" s="122" t="s">
        <v>124</v>
      </c>
      <c r="Q277" s="112">
        <v>11407</v>
      </c>
      <c r="R277" s="112">
        <v>24915</v>
      </c>
      <c r="S277" s="112">
        <v>36322</v>
      </c>
      <c r="T277" s="121" t="s">
        <v>148</v>
      </c>
      <c r="U277" s="141">
        <v>5.8</v>
      </c>
      <c r="V277" s="121" t="s">
        <v>55</v>
      </c>
      <c r="W277" s="122" t="s">
        <v>11</v>
      </c>
      <c r="X277" s="112">
        <v>0</v>
      </c>
      <c r="Y277" s="112">
        <v>3520928</v>
      </c>
      <c r="Z277" s="139">
        <f t="shared" si="26"/>
        <v>3520928</v>
      </c>
      <c r="AA277" s="140">
        <f t="shared" si="28"/>
        <v>0</v>
      </c>
      <c r="AB277" s="140">
        <f t="shared" si="29"/>
        <v>141.31759983945415</v>
      </c>
      <c r="AC277" s="140">
        <f t="shared" si="30"/>
        <v>96.936512306591041</v>
      </c>
      <c r="AD277" s="176" t="s">
        <v>157</v>
      </c>
    </row>
    <row r="278" spans="1:30" s="124" customFormat="1" ht="21" customHeight="1" x14ac:dyDescent="0.2">
      <c r="A278" s="124" t="str">
        <f t="shared" si="25"/>
        <v>Citywalk Phase 5.04</v>
      </c>
      <c r="B278" s="120" t="str">
        <f t="shared" si="27"/>
        <v>Citywalk Phase 5.04 - Electrical</v>
      </c>
      <c r="C278" s="120"/>
      <c r="D278" s="121" t="s">
        <v>82</v>
      </c>
      <c r="E278" s="121" t="s">
        <v>83</v>
      </c>
      <c r="F278" s="121" t="s">
        <v>84</v>
      </c>
      <c r="G278" s="121" t="s">
        <v>85</v>
      </c>
      <c r="H278" s="122" t="s">
        <v>112</v>
      </c>
      <c r="I278" s="121" t="s">
        <v>120</v>
      </c>
      <c r="J278" s="122">
        <v>2024</v>
      </c>
      <c r="K278" s="123" t="s">
        <v>89</v>
      </c>
      <c r="L278" s="122" t="s">
        <v>86</v>
      </c>
      <c r="M278" s="122" t="s">
        <v>104</v>
      </c>
      <c r="N278" s="122" t="s">
        <v>105</v>
      </c>
      <c r="O278" s="122" t="s">
        <v>123</v>
      </c>
      <c r="P278" s="122" t="s">
        <v>124</v>
      </c>
      <c r="Q278" s="112">
        <v>11407</v>
      </c>
      <c r="R278" s="112">
        <v>24915</v>
      </c>
      <c r="S278" s="112">
        <v>36322</v>
      </c>
      <c r="T278" s="121" t="s">
        <v>148</v>
      </c>
      <c r="U278" s="141">
        <v>5.8</v>
      </c>
      <c r="V278" s="121" t="s">
        <v>30</v>
      </c>
      <c r="W278" s="122" t="s">
        <v>11</v>
      </c>
      <c r="X278" s="112">
        <v>2650097</v>
      </c>
      <c r="Y278" s="112">
        <v>1381830</v>
      </c>
      <c r="Z278" s="139">
        <f t="shared" si="26"/>
        <v>4031927</v>
      </c>
      <c r="AA278" s="140">
        <f t="shared" si="28"/>
        <v>232.3219952660647</v>
      </c>
      <c r="AB278" s="140">
        <f t="shared" si="29"/>
        <v>55.461770018061408</v>
      </c>
      <c r="AC278" s="140">
        <f t="shared" si="30"/>
        <v>111.00509333186498</v>
      </c>
      <c r="AD278" s="176" t="s">
        <v>157</v>
      </c>
    </row>
    <row r="279" spans="1:30" s="124" customFormat="1" ht="21" customHeight="1" x14ac:dyDescent="0.2">
      <c r="A279" s="124" t="str">
        <f t="shared" si="25"/>
        <v>Citywalk Phase 5.04</v>
      </c>
      <c r="B279" s="120" t="str">
        <f t="shared" si="27"/>
        <v>Citywalk Phase 5.04 - Electrical</v>
      </c>
      <c r="C279" s="120"/>
      <c r="D279" s="121" t="s">
        <v>82</v>
      </c>
      <c r="E279" s="121" t="s">
        <v>83</v>
      </c>
      <c r="F279" s="121" t="s">
        <v>84</v>
      </c>
      <c r="G279" s="121" t="s">
        <v>85</v>
      </c>
      <c r="H279" s="122" t="s">
        <v>112</v>
      </c>
      <c r="I279" s="121" t="s">
        <v>120</v>
      </c>
      <c r="J279" s="122">
        <v>2024</v>
      </c>
      <c r="K279" s="123" t="s">
        <v>89</v>
      </c>
      <c r="L279" s="122" t="s">
        <v>86</v>
      </c>
      <c r="M279" s="122" t="s">
        <v>104</v>
      </c>
      <c r="N279" s="122" t="s">
        <v>105</v>
      </c>
      <c r="O279" s="122" t="s">
        <v>123</v>
      </c>
      <c r="P279" s="122" t="s">
        <v>124</v>
      </c>
      <c r="Q279" s="112">
        <v>11407</v>
      </c>
      <c r="R279" s="112">
        <v>24915</v>
      </c>
      <c r="S279" s="112">
        <v>36322</v>
      </c>
      <c r="T279" s="121" t="s">
        <v>148</v>
      </c>
      <c r="U279" s="141">
        <v>5.8</v>
      </c>
      <c r="V279" s="121" t="s">
        <v>31</v>
      </c>
      <c r="W279" s="122" t="s">
        <v>11</v>
      </c>
      <c r="X279" s="112">
        <v>110866</v>
      </c>
      <c r="Y279" s="112">
        <v>1917039</v>
      </c>
      <c r="Z279" s="139">
        <f t="shared" si="26"/>
        <v>2027905</v>
      </c>
      <c r="AA279" s="140">
        <f t="shared" si="28"/>
        <v>9.7191198386955371</v>
      </c>
      <c r="AB279" s="140">
        <f t="shared" si="29"/>
        <v>76.943166767007824</v>
      </c>
      <c r="AC279" s="140">
        <f t="shared" si="30"/>
        <v>55.831314354936403</v>
      </c>
      <c r="AD279" s="176" t="s">
        <v>157</v>
      </c>
    </row>
    <row r="280" spans="1:30" s="124" customFormat="1" ht="21" customHeight="1" x14ac:dyDescent="0.2">
      <c r="A280" s="124" t="str">
        <f t="shared" si="25"/>
        <v>Citywalk Phase 5.04</v>
      </c>
      <c r="B280" s="120" t="str">
        <f t="shared" si="27"/>
        <v>Citywalk Phase 5.04 - Electrical</v>
      </c>
      <c r="C280" s="120"/>
      <c r="D280" s="121" t="s">
        <v>82</v>
      </c>
      <c r="E280" s="121" t="s">
        <v>83</v>
      </c>
      <c r="F280" s="121" t="s">
        <v>84</v>
      </c>
      <c r="G280" s="121" t="s">
        <v>85</v>
      </c>
      <c r="H280" s="122" t="s">
        <v>112</v>
      </c>
      <c r="I280" s="121" t="s">
        <v>120</v>
      </c>
      <c r="J280" s="122">
        <v>2024</v>
      </c>
      <c r="K280" s="123" t="s">
        <v>89</v>
      </c>
      <c r="L280" s="122" t="s">
        <v>86</v>
      </c>
      <c r="M280" s="122" t="s">
        <v>104</v>
      </c>
      <c r="N280" s="122" t="s">
        <v>105</v>
      </c>
      <c r="O280" s="122" t="s">
        <v>123</v>
      </c>
      <c r="P280" s="122" t="s">
        <v>124</v>
      </c>
      <c r="Q280" s="112">
        <v>11407</v>
      </c>
      <c r="R280" s="112">
        <v>24915</v>
      </c>
      <c r="S280" s="112">
        <v>36322</v>
      </c>
      <c r="T280" s="121" t="s">
        <v>148</v>
      </c>
      <c r="U280" s="141">
        <v>5.8</v>
      </c>
      <c r="V280" s="121" t="s">
        <v>32</v>
      </c>
      <c r="W280" s="122" t="s">
        <v>11</v>
      </c>
      <c r="X280" s="112">
        <v>144443</v>
      </c>
      <c r="Y280" s="112">
        <v>1331193</v>
      </c>
      <c r="Z280" s="139">
        <f t="shared" si="26"/>
        <v>1475636</v>
      </c>
      <c r="AA280" s="140">
        <f t="shared" si="28"/>
        <v>12.662663276935215</v>
      </c>
      <c r="AB280" s="140">
        <f t="shared" si="29"/>
        <v>53.429379891631548</v>
      </c>
      <c r="AC280" s="140">
        <f t="shared" si="30"/>
        <v>40.626507350916796</v>
      </c>
      <c r="AD280" s="176" t="s">
        <v>157</v>
      </c>
    </row>
    <row r="281" spans="1:30" s="124" customFormat="1" ht="21" customHeight="1" x14ac:dyDescent="0.2">
      <c r="A281" s="124" t="str">
        <f t="shared" si="25"/>
        <v>Citywalk Phase 5.04</v>
      </c>
      <c r="B281" s="120" t="str">
        <f t="shared" si="27"/>
        <v>Citywalk Phase 5.04 - Electrical</v>
      </c>
      <c r="C281" s="120"/>
      <c r="D281" s="121" t="s">
        <v>82</v>
      </c>
      <c r="E281" s="121" t="s">
        <v>83</v>
      </c>
      <c r="F281" s="121" t="s">
        <v>84</v>
      </c>
      <c r="G281" s="121" t="s">
        <v>85</v>
      </c>
      <c r="H281" s="122" t="s">
        <v>112</v>
      </c>
      <c r="I281" s="121" t="s">
        <v>120</v>
      </c>
      <c r="J281" s="122">
        <v>2024</v>
      </c>
      <c r="K281" s="123" t="s">
        <v>89</v>
      </c>
      <c r="L281" s="122" t="s">
        <v>86</v>
      </c>
      <c r="M281" s="122" t="s">
        <v>104</v>
      </c>
      <c r="N281" s="122" t="s">
        <v>105</v>
      </c>
      <c r="O281" s="122" t="s">
        <v>123</v>
      </c>
      <c r="P281" s="122" t="s">
        <v>124</v>
      </c>
      <c r="Q281" s="112">
        <v>11407</v>
      </c>
      <c r="R281" s="112">
        <v>24915</v>
      </c>
      <c r="S281" s="112">
        <v>36322</v>
      </c>
      <c r="T281" s="121" t="s">
        <v>148</v>
      </c>
      <c r="U281" s="141">
        <v>5.8</v>
      </c>
      <c r="V281" s="121" t="s">
        <v>33</v>
      </c>
      <c r="W281" s="122" t="s">
        <v>11</v>
      </c>
      <c r="X281" s="112">
        <v>139803</v>
      </c>
      <c r="Y281" s="112">
        <v>1786809</v>
      </c>
      <c r="Z281" s="139">
        <f t="shared" si="26"/>
        <v>1926612</v>
      </c>
      <c r="AA281" s="140">
        <f t="shared" si="28"/>
        <v>12.255895502761462</v>
      </c>
      <c r="AB281" s="140">
        <f t="shared" si="29"/>
        <v>71.716195063214926</v>
      </c>
      <c r="AC281" s="140">
        <f t="shared" si="30"/>
        <v>53.042563735477124</v>
      </c>
      <c r="AD281" s="176" t="s">
        <v>157</v>
      </c>
    </row>
    <row r="282" spans="1:30" s="124" customFormat="1" ht="21" customHeight="1" x14ac:dyDescent="0.2">
      <c r="A282" s="124" t="str">
        <f t="shared" si="25"/>
        <v>Citywalk Phase 5.04</v>
      </c>
      <c r="B282" s="120" t="str">
        <f t="shared" si="27"/>
        <v>Citywalk Phase 5.04 - Electrical</v>
      </c>
      <c r="C282" s="120"/>
      <c r="D282" s="121" t="s">
        <v>82</v>
      </c>
      <c r="E282" s="121" t="s">
        <v>83</v>
      </c>
      <c r="F282" s="121" t="s">
        <v>84</v>
      </c>
      <c r="G282" s="121" t="s">
        <v>85</v>
      </c>
      <c r="H282" s="122" t="s">
        <v>112</v>
      </c>
      <c r="I282" s="121" t="s">
        <v>120</v>
      </c>
      <c r="J282" s="122">
        <v>2024</v>
      </c>
      <c r="K282" s="123" t="s">
        <v>89</v>
      </c>
      <c r="L282" s="122" t="s">
        <v>86</v>
      </c>
      <c r="M282" s="122" t="s">
        <v>104</v>
      </c>
      <c r="N282" s="122" t="s">
        <v>105</v>
      </c>
      <c r="O282" s="122" t="s">
        <v>123</v>
      </c>
      <c r="P282" s="122" t="s">
        <v>124</v>
      </c>
      <c r="Q282" s="112">
        <v>11407</v>
      </c>
      <c r="R282" s="112">
        <v>24915</v>
      </c>
      <c r="S282" s="112">
        <v>36322</v>
      </c>
      <c r="T282" s="121" t="s">
        <v>148</v>
      </c>
      <c r="U282" s="141">
        <v>5.8</v>
      </c>
      <c r="V282" s="121" t="s">
        <v>34</v>
      </c>
      <c r="W282" s="122" t="s">
        <v>11</v>
      </c>
      <c r="X282" s="112">
        <v>47750</v>
      </c>
      <c r="Y282" s="112">
        <v>513324</v>
      </c>
      <c r="Z282" s="139">
        <f t="shared" si="26"/>
        <v>561074</v>
      </c>
      <c r="AA282" s="140">
        <f t="shared" si="28"/>
        <v>4.1860261243096346</v>
      </c>
      <c r="AB282" s="140">
        <f t="shared" si="29"/>
        <v>20.603010234798315</v>
      </c>
      <c r="AC282" s="140">
        <f t="shared" si="30"/>
        <v>15.447222069269314</v>
      </c>
      <c r="AD282" s="176" t="s">
        <v>157</v>
      </c>
    </row>
    <row r="283" spans="1:30" s="124" customFormat="1" ht="21" customHeight="1" x14ac:dyDescent="0.2">
      <c r="A283" s="124" t="str">
        <f t="shared" si="25"/>
        <v>Citywalk Phase 5.04</v>
      </c>
      <c r="B283" s="120" t="str">
        <f t="shared" si="27"/>
        <v>Citywalk Phase 5.04 - Electrical</v>
      </c>
      <c r="C283" s="120"/>
      <c r="D283" s="121" t="s">
        <v>82</v>
      </c>
      <c r="E283" s="121" t="s">
        <v>83</v>
      </c>
      <c r="F283" s="121" t="s">
        <v>84</v>
      </c>
      <c r="G283" s="121" t="s">
        <v>85</v>
      </c>
      <c r="H283" s="122" t="s">
        <v>112</v>
      </c>
      <c r="I283" s="121" t="s">
        <v>120</v>
      </c>
      <c r="J283" s="122">
        <v>2024</v>
      </c>
      <c r="K283" s="123" t="s">
        <v>89</v>
      </c>
      <c r="L283" s="122" t="s">
        <v>86</v>
      </c>
      <c r="M283" s="122" t="s">
        <v>104</v>
      </c>
      <c r="N283" s="122" t="s">
        <v>105</v>
      </c>
      <c r="O283" s="122" t="s">
        <v>123</v>
      </c>
      <c r="P283" s="122" t="s">
        <v>124</v>
      </c>
      <c r="Q283" s="112">
        <v>11407</v>
      </c>
      <c r="R283" s="112">
        <v>24915</v>
      </c>
      <c r="S283" s="112">
        <v>36322</v>
      </c>
      <c r="T283" s="121" t="s">
        <v>148</v>
      </c>
      <c r="U283" s="141">
        <v>5.8</v>
      </c>
      <c r="V283" s="121" t="s">
        <v>35</v>
      </c>
      <c r="W283" s="122" t="s">
        <v>11</v>
      </c>
      <c r="X283" s="112">
        <v>213273</v>
      </c>
      <c r="Y283" s="112">
        <v>804243</v>
      </c>
      <c r="Z283" s="139">
        <f t="shared" si="26"/>
        <v>1017516</v>
      </c>
      <c r="AA283" s="140">
        <f t="shared" si="28"/>
        <v>18.696677478741123</v>
      </c>
      <c r="AB283" s="140">
        <f t="shared" si="29"/>
        <v>32.279470198675497</v>
      </c>
      <c r="AC283" s="140">
        <f t="shared" si="30"/>
        <v>28.013765761797259</v>
      </c>
      <c r="AD283" s="176" t="s">
        <v>157</v>
      </c>
    </row>
    <row r="284" spans="1:30" s="124" customFormat="1" ht="21" customHeight="1" x14ac:dyDescent="0.2">
      <c r="A284" s="124" t="str">
        <f t="shared" si="25"/>
        <v>Citywalk Phase 5.04</v>
      </c>
      <c r="B284" s="120" t="str">
        <f t="shared" si="27"/>
        <v>Citywalk Phase 5.04 - Electrical</v>
      </c>
      <c r="C284" s="120"/>
      <c r="D284" s="121" t="s">
        <v>82</v>
      </c>
      <c r="E284" s="121" t="s">
        <v>83</v>
      </c>
      <c r="F284" s="121" t="s">
        <v>84</v>
      </c>
      <c r="G284" s="121" t="s">
        <v>85</v>
      </c>
      <c r="H284" s="122" t="s">
        <v>112</v>
      </c>
      <c r="I284" s="121" t="s">
        <v>120</v>
      </c>
      <c r="J284" s="122">
        <v>2024</v>
      </c>
      <c r="K284" s="123" t="s">
        <v>89</v>
      </c>
      <c r="L284" s="122" t="s">
        <v>86</v>
      </c>
      <c r="M284" s="122" t="s">
        <v>104</v>
      </c>
      <c r="N284" s="122" t="s">
        <v>105</v>
      </c>
      <c r="O284" s="122" t="s">
        <v>123</v>
      </c>
      <c r="P284" s="122" t="s">
        <v>124</v>
      </c>
      <c r="Q284" s="112">
        <v>11407</v>
      </c>
      <c r="R284" s="112">
        <v>24915</v>
      </c>
      <c r="S284" s="112">
        <v>36322</v>
      </c>
      <c r="T284" s="121" t="s">
        <v>148</v>
      </c>
      <c r="U284" s="141">
        <v>5.8</v>
      </c>
      <c r="V284" s="121" t="s">
        <v>56</v>
      </c>
      <c r="W284" s="122" t="s">
        <v>11</v>
      </c>
      <c r="X284" s="112">
        <v>101926</v>
      </c>
      <c r="Y284" s="112">
        <v>610799</v>
      </c>
      <c r="Z284" s="139">
        <f t="shared" si="26"/>
        <v>712725</v>
      </c>
      <c r="AA284" s="140">
        <f t="shared" si="28"/>
        <v>8.9353905496624879</v>
      </c>
      <c r="AB284" s="140">
        <f t="shared" si="29"/>
        <v>24.515312061007425</v>
      </c>
      <c r="AC284" s="140">
        <f t="shared" si="30"/>
        <v>19.622405153901216</v>
      </c>
      <c r="AD284" s="176" t="s">
        <v>157</v>
      </c>
    </row>
    <row r="285" spans="1:30" s="124" customFormat="1" ht="21" customHeight="1" x14ac:dyDescent="0.2">
      <c r="A285" s="124" t="str">
        <f t="shared" si="25"/>
        <v>Citywalk Phase 5.04</v>
      </c>
      <c r="B285" s="120" t="str">
        <f t="shared" si="27"/>
        <v>Citywalk Phase 5.04 - Electrical</v>
      </c>
      <c r="C285" s="120"/>
      <c r="D285" s="121" t="s">
        <v>82</v>
      </c>
      <c r="E285" s="121" t="s">
        <v>83</v>
      </c>
      <c r="F285" s="121" t="s">
        <v>84</v>
      </c>
      <c r="G285" s="121" t="s">
        <v>85</v>
      </c>
      <c r="H285" s="122" t="s">
        <v>112</v>
      </c>
      <c r="I285" s="121" t="s">
        <v>120</v>
      </c>
      <c r="J285" s="122">
        <v>2024</v>
      </c>
      <c r="K285" s="123" t="s">
        <v>89</v>
      </c>
      <c r="L285" s="122" t="s">
        <v>86</v>
      </c>
      <c r="M285" s="122" t="s">
        <v>104</v>
      </c>
      <c r="N285" s="122" t="s">
        <v>105</v>
      </c>
      <c r="O285" s="122" t="s">
        <v>123</v>
      </c>
      <c r="P285" s="122" t="s">
        <v>124</v>
      </c>
      <c r="Q285" s="112">
        <v>11407</v>
      </c>
      <c r="R285" s="112">
        <v>24915</v>
      </c>
      <c r="S285" s="112">
        <v>36322</v>
      </c>
      <c r="T285" s="121" t="s">
        <v>148</v>
      </c>
      <c r="U285" s="141">
        <v>5.8</v>
      </c>
      <c r="V285" s="121" t="s">
        <v>36</v>
      </c>
      <c r="W285" s="122" t="s">
        <v>11</v>
      </c>
      <c r="X285" s="112">
        <v>64888</v>
      </c>
      <c r="Y285" s="112">
        <v>83326</v>
      </c>
      <c r="Z285" s="139">
        <f t="shared" si="26"/>
        <v>148214</v>
      </c>
      <c r="AA285" s="140">
        <f t="shared" si="28"/>
        <v>5.6884369246953623</v>
      </c>
      <c r="AB285" s="140">
        <f t="shared" si="29"/>
        <v>3.34441099739113</v>
      </c>
      <c r="AC285" s="140">
        <f t="shared" si="30"/>
        <v>4.080557238037553</v>
      </c>
      <c r="AD285" s="176" t="s">
        <v>157</v>
      </c>
    </row>
    <row r="286" spans="1:30" s="124" customFormat="1" ht="21" customHeight="1" x14ac:dyDescent="0.2">
      <c r="A286" s="124" t="str">
        <f t="shared" si="25"/>
        <v>Citywalk Phase 5.04</v>
      </c>
      <c r="B286" s="120" t="str">
        <f t="shared" si="27"/>
        <v>Citywalk Phase 5.04 - Electrical</v>
      </c>
      <c r="C286" s="120"/>
      <c r="D286" s="121" t="s">
        <v>82</v>
      </c>
      <c r="E286" s="121" t="s">
        <v>83</v>
      </c>
      <c r="F286" s="121" t="s">
        <v>84</v>
      </c>
      <c r="G286" s="121" t="s">
        <v>85</v>
      </c>
      <c r="H286" s="122" t="s">
        <v>112</v>
      </c>
      <c r="I286" s="121" t="s">
        <v>120</v>
      </c>
      <c r="J286" s="122">
        <v>2024</v>
      </c>
      <c r="K286" s="123" t="s">
        <v>89</v>
      </c>
      <c r="L286" s="122" t="s">
        <v>86</v>
      </c>
      <c r="M286" s="122" t="s">
        <v>104</v>
      </c>
      <c r="N286" s="122" t="s">
        <v>105</v>
      </c>
      <c r="O286" s="122" t="s">
        <v>123</v>
      </c>
      <c r="P286" s="122" t="s">
        <v>124</v>
      </c>
      <c r="Q286" s="112">
        <v>11407</v>
      </c>
      <c r="R286" s="112">
        <v>24915</v>
      </c>
      <c r="S286" s="112">
        <v>36322</v>
      </c>
      <c r="T286" s="121" t="s">
        <v>148</v>
      </c>
      <c r="U286" s="141">
        <v>5.8</v>
      </c>
      <c r="V286" s="121" t="s">
        <v>57</v>
      </c>
      <c r="W286" s="122" t="s">
        <v>11</v>
      </c>
      <c r="X286" s="112">
        <v>0</v>
      </c>
      <c r="Y286" s="112">
        <v>186297</v>
      </c>
      <c r="Z286" s="139">
        <f t="shared" si="26"/>
        <v>186297</v>
      </c>
      <c r="AA286" s="140">
        <f t="shared" si="28"/>
        <v>0</v>
      </c>
      <c r="AB286" s="140">
        <f t="shared" si="29"/>
        <v>7.4773028296207107</v>
      </c>
      <c r="AC286" s="140">
        <f t="shared" si="30"/>
        <v>5.1290402510874955</v>
      </c>
      <c r="AD286" s="176" t="s">
        <v>157</v>
      </c>
    </row>
    <row r="287" spans="1:30" s="124" customFormat="1" ht="21" customHeight="1" x14ac:dyDescent="0.2">
      <c r="A287" s="124" t="str">
        <f t="shared" si="25"/>
        <v>Citywalk Phase 5.04</v>
      </c>
      <c r="B287" s="120" t="str">
        <f t="shared" si="27"/>
        <v>Citywalk Phase 5.04 - Electrical</v>
      </c>
      <c r="C287" s="120"/>
      <c r="D287" s="121" t="s">
        <v>82</v>
      </c>
      <c r="E287" s="121" t="s">
        <v>83</v>
      </c>
      <c r="F287" s="121" t="s">
        <v>84</v>
      </c>
      <c r="G287" s="121" t="s">
        <v>85</v>
      </c>
      <c r="H287" s="122" t="s">
        <v>112</v>
      </c>
      <c r="I287" s="121" t="s">
        <v>120</v>
      </c>
      <c r="J287" s="122">
        <v>2024</v>
      </c>
      <c r="K287" s="123" t="s">
        <v>89</v>
      </c>
      <c r="L287" s="122" t="s">
        <v>86</v>
      </c>
      <c r="M287" s="122" t="s">
        <v>104</v>
      </c>
      <c r="N287" s="122" t="s">
        <v>105</v>
      </c>
      <c r="O287" s="122" t="s">
        <v>123</v>
      </c>
      <c r="P287" s="122" t="s">
        <v>124</v>
      </c>
      <c r="Q287" s="112">
        <v>11407</v>
      </c>
      <c r="R287" s="112">
        <v>24915</v>
      </c>
      <c r="S287" s="112">
        <v>36322</v>
      </c>
      <c r="T287" s="121" t="s">
        <v>148</v>
      </c>
      <c r="U287" s="141">
        <v>5.8</v>
      </c>
      <c r="V287" s="121" t="s">
        <v>37</v>
      </c>
      <c r="W287" s="122" t="s">
        <v>11</v>
      </c>
      <c r="X287" s="112">
        <v>335819</v>
      </c>
      <c r="Y287" s="112">
        <v>438144</v>
      </c>
      <c r="Z287" s="139">
        <f t="shared" si="26"/>
        <v>773963</v>
      </c>
      <c r="AA287" s="140">
        <f t="shared" si="28"/>
        <v>29.439729990356799</v>
      </c>
      <c r="AB287" s="140">
        <f t="shared" si="29"/>
        <v>17.585550872968092</v>
      </c>
      <c r="AC287" s="140">
        <f t="shared" si="30"/>
        <v>21.308380595782172</v>
      </c>
      <c r="AD287" s="176" t="s">
        <v>157</v>
      </c>
    </row>
    <row r="288" spans="1:30" s="124" customFormat="1" ht="21" customHeight="1" x14ac:dyDescent="0.2">
      <c r="A288" s="124" t="str">
        <f t="shared" si="25"/>
        <v>Citywalk Phase 5.04</v>
      </c>
      <c r="B288" s="120" t="str">
        <f t="shared" si="27"/>
        <v>Citywalk Phase 5.04 - Electrical</v>
      </c>
      <c r="C288" s="120"/>
      <c r="D288" s="121" t="s">
        <v>82</v>
      </c>
      <c r="E288" s="121" t="s">
        <v>83</v>
      </c>
      <c r="F288" s="121" t="s">
        <v>84</v>
      </c>
      <c r="G288" s="121" t="s">
        <v>85</v>
      </c>
      <c r="H288" s="122" t="s">
        <v>112</v>
      </c>
      <c r="I288" s="121" t="s">
        <v>120</v>
      </c>
      <c r="J288" s="122">
        <v>2024</v>
      </c>
      <c r="K288" s="123" t="s">
        <v>89</v>
      </c>
      <c r="L288" s="122" t="s">
        <v>86</v>
      </c>
      <c r="M288" s="122" t="s">
        <v>104</v>
      </c>
      <c r="N288" s="122" t="s">
        <v>105</v>
      </c>
      <c r="O288" s="122" t="s">
        <v>123</v>
      </c>
      <c r="P288" s="122" t="s">
        <v>124</v>
      </c>
      <c r="Q288" s="112">
        <v>11407</v>
      </c>
      <c r="R288" s="112">
        <v>24915</v>
      </c>
      <c r="S288" s="112">
        <v>36322</v>
      </c>
      <c r="T288" s="121" t="s">
        <v>148</v>
      </c>
      <c r="U288" s="141">
        <v>5.8</v>
      </c>
      <c r="V288" s="121" t="s">
        <v>38</v>
      </c>
      <c r="W288" s="122" t="s">
        <v>11</v>
      </c>
      <c r="X288" s="112">
        <v>18056</v>
      </c>
      <c r="Y288" s="112">
        <v>0</v>
      </c>
      <c r="Z288" s="139">
        <f t="shared" si="26"/>
        <v>18056</v>
      </c>
      <c r="AA288" s="140">
        <f t="shared" si="28"/>
        <v>1.5828877005347595</v>
      </c>
      <c r="AB288" s="140">
        <f t="shared" si="29"/>
        <v>0</v>
      </c>
      <c r="AC288" s="140">
        <f t="shared" si="30"/>
        <v>0.49710919002257586</v>
      </c>
      <c r="AD288" s="176" t="s">
        <v>157</v>
      </c>
    </row>
    <row r="289" spans="1:30" s="124" customFormat="1" ht="21" customHeight="1" x14ac:dyDescent="0.2">
      <c r="A289" s="124" t="str">
        <f t="shared" si="25"/>
        <v>Citywalk Phase 5.04</v>
      </c>
      <c r="B289" s="120" t="str">
        <f t="shared" si="27"/>
        <v>Citywalk Phase 5.04 - Electrical</v>
      </c>
      <c r="C289" s="120"/>
      <c r="D289" s="121" t="s">
        <v>82</v>
      </c>
      <c r="E289" s="121" t="s">
        <v>83</v>
      </c>
      <c r="F289" s="121" t="s">
        <v>84</v>
      </c>
      <c r="G289" s="121" t="s">
        <v>85</v>
      </c>
      <c r="H289" s="122" t="s">
        <v>112</v>
      </c>
      <c r="I289" s="121" t="s">
        <v>120</v>
      </c>
      <c r="J289" s="122">
        <v>2024</v>
      </c>
      <c r="K289" s="123" t="s">
        <v>89</v>
      </c>
      <c r="L289" s="122" t="s">
        <v>86</v>
      </c>
      <c r="M289" s="122" t="s">
        <v>104</v>
      </c>
      <c r="N289" s="122" t="s">
        <v>105</v>
      </c>
      <c r="O289" s="122" t="s">
        <v>123</v>
      </c>
      <c r="P289" s="122" t="s">
        <v>124</v>
      </c>
      <c r="Q289" s="112">
        <v>11407</v>
      </c>
      <c r="R289" s="112">
        <v>24915</v>
      </c>
      <c r="S289" s="112">
        <v>36322</v>
      </c>
      <c r="T289" s="121" t="s">
        <v>148</v>
      </c>
      <c r="U289" s="141">
        <v>5.8</v>
      </c>
      <c r="V289" s="121" t="s">
        <v>5</v>
      </c>
      <c r="W289" s="122" t="s">
        <v>11</v>
      </c>
      <c r="X289" s="112">
        <v>120238</v>
      </c>
      <c r="Y289" s="112">
        <v>50298</v>
      </c>
      <c r="Z289" s="139">
        <f t="shared" si="26"/>
        <v>170536</v>
      </c>
      <c r="AA289" s="140">
        <f t="shared" si="28"/>
        <v>10.540720610151661</v>
      </c>
      <c r="AB289" s="140">
        <f t="shared" si="29"/>
        <v>2.0187838651414811</v>
      </c>
      <c r="AC289" s="140">
        <f t="shared" si="30"/>
        <v>4.6951159077143325</v>
      </c>
      <c r="AD289" s="176" t="s">
        <v>157</v>
      </c>
    </row>
    <row r="290" spans="1:30" s="124" customFormat="1" ht="21" customHeight="1" x14ac:dyDescent="0.2">
      <c r="A290" s="124" t="str">
        <f t="shared" si="25"/>
        <v>Citywalk Phase 5.04</v>
      </c>
      <c r="B290" s="120" t="str">
        <f t="shared" si="27"/>
        <v>Citywalk Phase 5.04 - Electrical</v>
      </c>
      <c r="C290" s="120"/>
      <c r="D290" s="121" t="s">
        <v>82</v>
      </c>
      <c r="E290" s="121" t="s">
        <v>83</v>
      </c>
      <c r="F290" s="121" t="s">
        <v>84</v>
      </c>
      <c r="G290" s="121" t="s">
        <v>85</v>
      </c>
      <c r="H290" s="122" t="s">
        <v>112</v>
      </c>
      <c r="I290" s="121" t="s">
        <v>120</v>
      </c>
      <c r="J290" s="122">
        <v>2024</v>
      </c>
      <c r="K290" s="123" t="s">
        <v>89</v>
      </c>
      <c r="L290" s="122" t="s">
        <v>86</v>
      </c>
      <c r="M290" s="122" t="s">
        <v>104</v>
      </c>
      <c r="N290" s="122" t="s">
        <v>105</v>
      </c>
      <c r="O290" s="122" t="s">
        <v>123</v>
      </c>
      <c r="P290" s="122" t="s">
        <v>124</v>
      </c>
      <c r="Q290" s="112">
        <v>11407</v>
      </c>
      <c r="R290" s="112">
        <v>24915</v>
      </c>
      <c r="S290" s="112">
        <v>36322</v>
      </c>
      <c r="T290" s="121" t="s">
        <v>148</v>
      </c>
      <c r="U290" s="141" t="s">
        <v>52</v>
      </c>
      <c r="V290" s="121" t="s">
        <v>39</v>
      </c>
      <c r="W290" s="122" t="s">
        <v>11</v>
      </c>
      <c r="X290" s="112">
        <v>106317</v>
      </c>
      <c r="Y290" s="112">
        <v>867506</v>
      </c>
      <c r="Z290" s="139">
        <f t="shared" si="26"/>
        <v>973823</v>
      </c>
      <c r="AA290" s="140">
        <f t="shared" si="28"/>
        <v>9.3203296221618306</v>
      </c>
      <c r="AB290" s="140">
        <f t="shared" si="29"/>
        <v>34.818623319285571</v>
      </c>
      <c r="AC290" s="140">
        <f t="shared" si="30"/>
        <v>26.810830901382083</v>
      </c>
      <c r="AD290" s="176" t="s">
        <v>157</v>
      </c>
    </row>
    <row r="291" spans="1:30" s="124" customFormat="1" ht="21" customHeight="1" x14ac:dyDescent="0.2">
      <c r="A291" s="124" t="str">
        <f t="shared" si="25"/>
        <v>Citywalk Phase 5.04</v>
      </c>
      <c r="B291" s="120" t="str">
        <f t="shared" si="27"/>
        <v>Citywalk Phase 5.04 - Electrical</v>
      </c>
      <c r="C291" s="120"/>
      <c r="D291" s="121" t="s">
        <v>82</v>
      </c>
      <c r="E291" s="121" t="s">
        <v>83</v>
      </c>
      <c r="F291" s="121" t="s">
        <v>84</v>
      </c>
      <c r="G291" s="121" t="s">
        <v>85</v>
      </c>
      <c r="H291" s="122" t="s">
        <v>112</v>
      </c>
      <c r="I291" s="121" t="s">
        <v>120</v>
      </c>
      <c r="J291" s="122">
        <v>2024</v>
      </c>
      <c r="K291" s="123" t="s">
        <v>89</v>
      </c>
      <c r="L291" s="122" t="s">
        <v>86</v>
      </c>
      <c r="M291" s="122" t="s">
        <v>104</v>
      </c>
      <c r="N291" s="122" t="s">
        <v>105</v>
      </c>
      <c r="O291" s="122" t="s">
        <v>123</v>
      </c>
      <c r="P291" s="122" t="s">
        <v>124</v>
      </c>
      <c r="Q291" s="112">
        <v>11407</v>
      </c>
      <c r="R291" s="112">
        <v>24915</v>
      </c>
      <c r="S291" s="112">
        <v>36322</v>
      </c>
      <c r="T291" s="121" t="s">
        <v>148</v>
      </c>
      <c r="U291" s="141" t="s">
        <v>52</v>
      </c>
      <c r="V291" s="121" t="s">
        <v>40</v>
      </c>
      <c r="W291" s="122" t="s">
        <v>11</v>
      </c>
      <c r="X291" s="112">
        <v>56756</v>
      </c>
      <c r="Y291" s="112">
        <v>0</v>
      </c>
      <c r="Z291" s="139">
        <f t="shared" si="26"/>
        <v>56756</v>
      </c>
      <c r="AA291" s="140">
        <f t="shared" si="28"/>
        <v>4.9755413342684314</v>
      </c>
      <c r="AB291" s="140">
        <f t="shared" si="29"/>
        <v>0</v>
      </c>
      <c r="AC291" s="140">
        <f t="shared" si="30"/>
        <v>1.5625791531303341</v>
      </c>
      <c r="AD291" s="176" t="s">
        <v>157</v>
      </c>
    </row>
    <row r="292" spans="1:30" s="124" customFormat="1" ht="21" customHeight="1" x14ac:dyDescent="0.2">
      <c r="A292" s="124" t="str">
        <f t="shared" si="25"/>
        <v>Citywalk Phase 5.04</v>
      </c>
      <c r="B292" s="120" t="str">
        <f t="shared" si="27"/>
        <v>Citywalk Phase 5.04 - Electrical</v>
      </c>
      <c r="C292" s="120"/>
      <c r="D292" s="121" t="s">
        <v>82</v>
      </c>
      <c r="E292" s="121" t="s">
        <v>83</v>
      </c>
      <c r="F292" s="121" t="s">
        <v>84</v>
      </c>
      <c r="G292" s="121" t="s">
        <v>85</v>
      </c>
      <c r="H292" s="122" t="s">
        <v>112</v>
      </c>
      <c r="I292" s="121" t="s">
        <v>120</v>
      </c>
      <c r="J292" s="122">
        <v>2024</v>
      </c>
      <c r="K292" s="123" t="s">
        <v>89</v>
      </c>
      <c r="L292" s="122" t="s">
        <v>86</v>
      </c>
      <c r="M292" s="122" t="s">
        <v>104</v>
      </c>
      <c r="N292" s="122" t="s">
        <v>105</v>
      </c>
      <c r="O292" s="122" t="s">
        <v>123</v>
      </c>
      <c r="P292" s="122" t="s">
        <v>124</v>
      </c>
      <c r="Q292" s="112">
        <v>11407</v>
      </c>
      <c r="R292" s="112">
        <v>24915</v>
      </c>
      <c r="S292" s="112">
        <v>36322</v>
      </c>
      <c r="T292" s="121" t="s">
        <v>148</v>
      </c>
      <c r="U292" s="141">
        <v>5.12</v>
      </c>
      <c r="V292" s="121" t="s">
        <v>41</v>
      </c>
      <c r="W292" s="122" t="s">
        <v>11</v>
      </c>
      <c r="X292" s="112">
        <v>120319</v>
      </c>
      <c r="Y292" s="112">
        <v>1441115</v>
      </c>
      <c r="Z292" s="139">
        <f t="shared" si="26"/>
        <v>1561434</v>
      </c>
      <c r="AA292" s="140">
        <f t="shared" si="28"/>
        <v>10.547821513105987</v>
      </c>
      <c r="AB292" s="140">
        <f t="shared" si="29"/>
        <v>57.841260284968897</v>
      </c>
      <c r="AC292" s="140">
        <f t="shared" si="30"/>
        <v>42.988657012279063</v>
      </c>
      <c r="AD292" s="176" t="s">
        <v>157</v>
      </c>
    </row>
    <row r="293" spans="1:30" s="124" customFormat="1" ht="21" customHeight="1" x14ac:dyDescent="0.2">
      <c r="A293" s="124" t="str">
        <f t="shared" si="25"/>
        <v>Citywalk Phase 5.04</v>
      </c>
      <c r="B293" s="120" t="str">
        <f t="shared" si="27"/>
        <v>Citywalk Phase 5.04 - Electrical</v>
      </c>
      <c r="C293" s="120"/>
      <c r="D293" s="121" t="s">
        <v>82</v>
      </c>
      <c r="E293" s="121" t="s">
        <v>83</v>
      </c>
      <c r="F293" s="121" t="s">
        <v>84</v>
      </c>
      <c r="G293" s="121" t="s">
        <v>85</v>
      </c>
      <c r="H293" s="122" t="s">
        <v>112</v>
      </c>
      <c r="I293" s="121" t="s">
        <v>120</v>
      </c>
      <c r="J293" s="122">
        <v>2024</v>
      </c>
      <c r="K293" s="123" t="s">
        <v>89</v>
      </c>
      <c r="L293" s="122" t="s">
        <v>86</v>
      </c>
      <c r="M293" s="122" t="s">
        <v>104</v>
      </c>
      <c r="N293" s="122" t="s">
        <v>105</v>
      </c>
      <c r="O293" s="122" t="s">
        <v>123</v>
      </c>
      <c r="P293" s="122" t="s">
        <v>124</v>
      </c>
      <c r="Q293" s="112">
        <v>11407</v>
      </c>
      <c r="R293" s="112">
        <v>24915</v>
      </c>
      <c r="S293" s="112">
        <v>36322</v>
      </c>
      <c r="T293" s="121" t="s">
        <v>148</v>
      </c>
      <c r="U293" s="141">
        <v>5.12</v>
      </c>
      <c r="V293" s="121" t="s">
        <v>42</v>
      </c>
      <c r="W293" s="122" t="s">
        <v>11</v>
      </c>
      <c r="X293" s="112">
        <v>33694</v>
      </c>
      <c r="Y293" s="112">
        <v>256931</v>
      </c>
      <c r="Z293" s="139">
        <f t="shared" si="26"/>
        <v>290625</v>
      </c>
      <c r="AA293" s="140">
        <f t="shared" si="28"/>
        <v>2.953800298062593</v>
      </c>
      <c r="AB293" s="140">
        <f t="shared" si="29"/>
        <v>10.312301826209112</v>
      </c>
      <c r="AC293" s="140">
        <f t="shared" si="30"/>
        <v>8.0013490446561306</v>
      </c>
      <c r="AD293" s="176" t="s">
        <v>157</v>
      </c>
    </row>
    <row r="294" spans="1:30" s="124" customFormat="1" ht="21" customHeight="1" x14ac:dyDescent="0.2">
      <c r="A294" s="124" t="str">
        <f t="shared" si="25"/>
        <v>Citywalk Phase 5.04</v>
      </c>
      <c r="B294" s="120" t="str">
        <f t="shared" si="27"/>
        <v>Citywalk Phase 5.04 - Electrical</v>
      </c>
      <c r="C294" s="120"/>
      <c r="D294" s="121" t="s">
        <v>82</v>
      </c>
      <c r="E294" s="121" t="s">
        <v>83</v>
      </c>
      <c r="F294" s="121" t="s">
        <v>84</v>
      </c>
      <c r="G294" s="121" t="s">
        <v>85</v>
      </c>
      <c r="H294" s="122" t="s">
        <v>112</v>
      </c>
      <c r="I294" s="121" t="s">
        <v>120</v>
      </c>
      <c r="J294" s="122">
        <v>2024</v>
      </c>
      <c r="K294" s="123" t="s">
        <v>89</v>
      </c>
      <c r="L294" s="122" t="s">
        <v>86</v>
      </c>
      <c r="M294" s="122" t="s">
        <v>104</v>
      </c>
      <c r="N294" s="122" t="s">
        <v>105</v>
      </c>
      <c r="O294" s="122" t="s">
        <v>123</v>
      </c>
      <c r="P294" s="122" t="s">
        <v>124</v>
      </c>
      <c r="Q294" s="112">
        <v>11407</v>
      </c>
      <c r="R294" s="112">
        <v>24915</v>
      </c>
      <c r="S294" s="112">
        <v>36322</v>
      </c>
      <c r="T294" s="121" t="s">
        <v>148</v>
      </c>
      <c r="U294" s="141">
        <v>5.12</v>
      </c>
      <c r="V294" s="121" t="s">
        <v>60</v>
      </c>
      <c r="W294" s="122" t="s">
        <v>11</v>
      </c>
      <c r="X294" s="112">
        <v>264824</v>
      </c>
      <c r="Y294" s="112">
        <v>0</v>
      </c>
      <c r="Z294" s="139">
        <f t="shared" si="26"/>
        <v>264824</v>
      </c>
      <c r="AA294" s="140">
        <f t="shared" si="28"/>
        <v>23.215920049092663</v>
      </c>
      <c r="AB294" s="140">
        <f t="shared" si="29"/>
        <v>0</v>
      </c>
      <c r="AC294" s="140">
        <f t="shared" si="30"/>
        <v>7.2910082043940312</v>
      </c>
      <c r="AD294" s="176" t="s">
        <v>157</v>
      </c>
    </row>
    <row r="295" spans="1:30" s="124" customFormat="1" ht="21" customHeight="1" x14ac:dyDescent="0.2">
      <c r="A295" s="124" t="str">
        <f t="shared" si="25"/>
        <v>Citywalk Phase 5.04</v>
      </c>
      <c r="B295" s="120" t="str">
        <f t="shared" si="27"/>
        <v>Citywalk Phase 5.04 - Electrical</v>
      </c>
      <c r="C295" s="120"/>
      <c r="D295" s="121" t="s">
        <v>82</v>
      </c>
      <c r="E295" s="121" t="s">
        <v>83</v>
      </c>
      <c r="F295" s="121" t="s">
        <v>84</v>
      </c>
      <c r="G295" s="121" t="s">
        <v>85</v>
      </c>
      <c r="H295" s="122" t="s">
        <v>112</v>
      </c>
      <c r="I295" s="121" t="s">
        <v>120</v>
      </c>
      <c r="J295" s="122">
        <v>2024</v>
      </c>
      <c r="K295" s="123" t="s">
        <v>89</v>
      </c>
      <c r="L295" s="122" t="s">
        <v>86</v>
      </c>
      <c r="M295" s="122" t="s">
        <v>104</v>
      </c>
      <c r="N295" s="122" t="s">
        <v>105</v>
      </c>
      <c r="O295" s="122" t="s">
        <v>123</v>
      </c>
      <c r="P295" s="122" t="s">
        <v>124</v>
      </c>
      <c r="Q295" s="112">
        <v>11407</v>
      </c>
      <c r="R295" s="112">
        <v>24915</v>
      </c>
      <c r="S295" s="112">
        <v>36322</v>
      </c>
      <c r="T295" s="121" t="s">
        <v>148</v>
      </c>
      <c r="U295" s="141">
        <v>5.12</v>
      </c>
      <c r="V295" s="121" t="s">
        <v>43</v>
      </c>
      <c r="W295" s="122" t="s">
        <v>11</v>
      </c>
      <c r="X295" s="112">
        <v>10599</v>
      </c>
      <c r="Y295" s="112">
        <v>0</v>
      </c>
      <c r="Z295" s="139">
        <f t="shared" si="26"/>
        <v>10599</v>
      </c>
      <c r="AA295" s="140">
        <f t="shared" si="28"/>
        <v>0.9291663013938809</v>
      </c>
      <c r="AB295" s="140">
        <f t="shared" si="29"/>
        <v>0</v>
      </c>
      <c r="AC295" s="140">
        <f t="shared" si="30"/>
        <v>0.29180661857827211</v>
      </c>
      <c r="AD295" s="176" t="s">
        <v>157</v>
      </c>
    </row>
    <row r="296" spans="1:30" s="124" customFormat="1" ht="21" customHeight="1" x14ac:dyDescent="0.2">
      <c r="A296" s="124" t="str">
        <f t="shared" si="25"/>
        <v>Citywalk Phase 5.04</v>
      </c>
      <c r="B296" s="120" t="str">
        <f t="shared" si="27"/>
        <v>Citywalk Phase 5.04 - Electrical</v>
      </c>
      <c r="C296" s="120"/>
      <c r="D296" s="121" t="s">
        <v>82</v>
      </c>
      <c r="E296" s="121" t="s">
        <v>83</v>
      </c>
      <c r="F296" s="121" t="s">
        <v>84</v>
      </c>
      <c r="G296" s="121" t="s">
        <v>85</v>
      </c>
      <c r="H296" s="122" t="s">
        <v>112</v>
      </c>
      <c r="I296" s="121" t="s">
        <v>120</v>
      </c>
      <c r="J296" s="122">
        <v>2024</v>
      </c>
      <c r="K296" s="123" t="s">
        <v>89</v>
      </c>
      <c r="L296" s="122" t="s">
        <v>86</v>
      </c>
      <c r="M296" s="122" t="s">
        <v>104</v>
      </c>
      <c r="N296" s="122" t="s">
        <v>105</v>
      </c>
      <c r="O296" s="122" t="s">
        <v>123</v>
      </c>
      <c r="P296" s="122" t="s">
        <v>124</v>
      </c>
      <c r="Q296" s="112">
        <v>11407</v>
      </c>
      <c r="R296" s="112">
        <v>24915</v>
      </c>
      <c r="S296" s="112">
        <v>36322</v>
      </c>
      <c r="T296" s="121" t="s">
        <v>148</v>
      </c>
      <c r="U296" s="141">
        <v>5.12</v>
      </c>
      <c r="V296" s="121" t="s">
        <v>44</v>
      </c>
      <c r="W296" s="122" t="s">
        <v>11</v>
      </c>
      <c r="X296" s="112">
        <v>395018</v>
      </c>
      <c r="Y296" s="112">
        <v>251340</v>
      </c>
      <c r="Z296" s="139">
        <f t="shared" si="26"/>
        <v>646358</v>
      </c>
      <c r="AA296" s="140">
        <f t="shared" si="28"/>
        <v>34.629438064346452</v>
      </c>
      <c r="AB296" s="140">
        <f t="shared" si="29"/>
        <v>10.087898856110776</v>
      </c>
      <c r="AC296" s="140">
        <f t="shared" si="30"/>
        <v>17.795220527503993</v>
      </c>
      <c r="AD296" s="176" t="s">
        <v>157</v>
      </c>
    </row>
    <row r="297" spans="1:30" s="124" customFormat="1" ht="21" customHeight="1" x14ac:dyDescent="0.2">
      <c r="A297" s="124" t="str">
        <f t="shared" si="25"/>
        <v>Citywalk Phase 5.04</v>
      </c>
      <c r="B297" s="120" t="str">
        <f t="shared" si="27"/>
        <v>Citywalk Phase 5.04 - Electrical</v>
      </c>
      <c r="C297" s="120"/>
      <c r="D297" s="121" t="s">
        <v>82</v>
      </c>
      <c r="E297" s="121" t="s">
        <v>83</v>
      </c>
      <c r="F297" s="121" t="s">
        <v>84</v>
      </c>
      <c r="G297" s="121" t="s">
        <v>85</v>
      </c>
      <c r="H297" s="122" t="s">
        <v>112</v>
      </c>
      <c r="I297" s="121" t="s">
        <v>120</v>
      </c>
      <c r="J297" s="122">
        <v>2024</v>
      </c>
      <c r="K297" s="123" t="s">
        <v>89</v>
      </c>
      <c r="L297" s="122" t="s">
        <v>86</v>
      </c>
      <c r="M297" s="122" t="s">
        <v>104</v>
      </c>
      <c r="N297" s="122" t="s">
        <v>105</v>
      </c>
      <c r="O297" s="122" t="s">
        <v>123</v>
      </c>
      <c r="P297" s="122" t="s">
        <v>124</v>
      </c>
      <c r="Q297" s="112">
        <v>11407</v>
      </c>
      <c r="R297" s="112">
        <v>24915</v>
      </c>
      <c r="S297" s="112">
        <v>36322</v>
      </c>
      <c r="T297" s="121" t="s">
        <v>148</v>
      </c>
      <c r="U297" s="141">
        <v>5.12</v>
      </c>
      <c r="V297" s="121" t="s">
        <v>45</v>
      </c>
      <c r="W297" s="122" t="s">
        <v>11</v>
      </c>
      <c r="X297" s="112">
        <v>37318</v>
      </c>
      <c r="Y297" s="112">
        <v>515004</v>
      </c>
      <c r="Z297" s="139">
        <f t="shared" si="26"/>
        <v>552322</v>
      </c>
      <c r="AA297" s="140">
        <f t="shared" si="28"/>
        <v>3.2714999561672657</v>
      </c>
      <c r="AB297" s="140">
        <f t="shared" si="29"/>
        <v>20.670439494280554</v>
      </c>
      <c r="AC297" s="140">
        <f t="shared" si="30"/>
        <v>15.206266174770112</v>
      </c>
      <c r="AD297" s="176" t="s">
        <v>157</v>
      </c>
    </row>
    <row r="298" spans="1:30" s="124" customFormat="1" ht="21" customHeight="1" x14ac:dyDescent="0.2">
      <c r="A298" s="124" t="str">
        <f t="shared" si="25"/>
        <v>Citywalk Phase 5.04</v>
      </c>
      <c r="B298" s="120" t="str">
        <f t="shared" si="27"/>
        <v>Citywalk Phase 5.04 - Electrical</v>
      </c>
      <c r="C298" s="120"/>
      <c r="D298" s="121" t="s">
        <v>82</v>
      </c>
      <c r="E298" s="121" t="s">
        <v>83</v>
      </c>
      <c r="F298" s="121" t="s">
        <v>84</v>
      </c>
      <c r="G298" s="121" t="s">
        <v>85</v>
      </c>
      <c r="H298" s="122" t="s">
        <v>112</v>
      </c>
      <c r="I298" s="121" t="s">
        <v>120</v>
      </c>
      <c r="J298" s="122">
        <v>2024</v>
      </c>
      <c r="K298" s="123" t="s">
        <v>89</v>
      </c>
      <c r="L298" s="122" t="s">
        <v>86</v>
      </c>
      <c r="M298" s="122" t="s">
        <v>104</v>
      </c>
      <c r="N298" s="122" t="s">
        <v>105</v>
      </c>
      <c r="O298" s="122" t="s">
        <v>123</v>
      </c>
      <c r="P298" s="122" t="s">
        <v>124</v>
      </c>
      <c r="Q298" s="112">
        <v>11407</v>
      </c>
      <c r="R298" s="112">
        <v>24915</v>
      </c>
      <c r="S298" s="112">
        <v>36322</v>
      </c>
      <c r="T298" s="121" t="s">
        <v>148</v>
      </c>
      <c r="U298" s="141">
        <v>5.12</v>
      </c>
      <c r="V298" s="121" t="s">
        <v>46</v>
      </c>
      <c r="W298" s="122" t="s">
        <v>11</v>
      </c>
      <c r="X298" s="112">
        <v>200716</v>
      </c>
      <c r="Y298" s="112">
        <v>25266</v>
      </c>
      <c r="Z298" s="139">
        <f t="shared" si="26"/>
        <v>225982</v>
      </c>
      <c r="AA298" s="140">
        <f t="shared" si="28"/>
        <v>17.595862189883405</v>
      </c>
      <c r="AB298" s="140">
        <f t="shared" si="29"/>
        <v>1.0140878988561108</v>
      </c>
      <c r="AC298" s="140">
        <f t="shared" si="30"/>
        <v>6.2216287649358515</v>
      </c>
      <c r="AD298" s="176" t="s">
        <v>157</v>
      </c>
    </row>
    <row r="299" spans="1:30" s="124" customFormat="1" ht="21" customHeight="1" x14ac:dyDescent="0.2">
      <c r="A299" s="124" t="str">
        <f t="shared" si="25"/>
        <v>Citywalk Phase 5.04</v>
      </c>
      <c r="B299" s="120" t="str">
        <f t="shared" si="27"/>
        <v>Citywalk Phase 5.04 - Electrical</v>
      </c>
      <c r="C299" s="120"/>
      <c r="D299" s="121" t="s">
        <v>82</v>
      </c>
      <c r="E299" s="121" t="s">
        <v>83</v>
      </c>
      <c r="F299" s="121" t="s">
        <v>84</v>
      </c>
      <c r="G299" s="121" t="s">
        <v>85</v>
      </c>
      <c r="H299" s="122" t="s">
        <v>112</v>
      </c>
      <c r="I299" s="121" t="s">
        <v>120</v>
      </c>
      <c r="J299" s="122">
        <v>2024</v>
      </c>
      <c r="K299" s="123" t="s">
        <v>89</v>
      </c>
      <c r="L299" s="122" t="s">
        <v>86</v>
      </c>
      <c r="M299" s="122" t="s">
        <v>104</v>
      </c>
      <c r="N299" s="122" t="s">
        <v>105</v>
      </c>
      <c r="O299" s="122" t="s">
        <v>123</v>
      </c>
      <c r="P299" s="122" t="s">
        <v>124</v>
      </c>
      <c r="Q299" s="112">
        <v>11407</v>
      </c>
      <c r="R299" s="112">
        <v>24915</v>
      </c>
      <c r="S299" s="112">
        <v>36322</v>
      </c>
      <c r="T299" s="121" t="s">
        <v>148</v>
      </c>
      <c r="U299" s="141">
        <v>5.12</v>
      </c>
      <c r="V299" s="121" t="s">
        <v>47</v>
      </c>
      <c r="W299" s="122" t="s">
        <v>11</v>
      </c>
      <c r="X299" s="112">
        <v>93161</v>
      </c>
      <c r="Y299" s="112">
        <v>46416</v>
      </c>
      <c r="Z299" s="139">
        <f t="shared" si="26"/>
        <v>139577</v>
      </c>
      <c r="AA299" s="140">
        <f t="shared" si="28"/>
        <v>8.1670027176295257</v>
      </c>
      <c r="AB299" s="140">
        <f t="shared" si="29"/>
        <v>1.8629741119807346</v>
      </c>
      <c r="AC299" s="140">
        <f t="shared" si="30"/>
        <v>3.8427674687517208</v>
      </c>
      <c r="AD299" s="176" t="s">
        <v>157</v>
      </c>
    </row>
    <row r="300" spans="1:30" s="124" customFormat="1" ht="21" customHeight="1" x14ac:dyDescent="0.2">
      <c r="A300" s="124" t="str">
        <f t="shared" si="25"/>
        <v>Citywalk Phase 5.04</v>
      </c>
      <c r="B300" s="120" t="str">
        <f t="shared" si="27"/>
        <v>Citywalk Phase 5.04 - Electrical</v>
      </c>
      <c r="C300" s="120"/>
      <c r="D300" s="121" t="s">
        <v>82</v>
      </c>
      <c r="E300" s="121" t="s">
        <v>83</v>
      </c>
      <c r="F300" s="121" t="s">
        <v>84</v>
      </c>
      <c r="G300" s="121" t="s">
        <v>85</v>
      </c>
      <c r="H300" s="122" t="s">
        <v>112</v>
      </c>
      <c r="I300" s="121" t="s">
        <v>120</v>
      </c>
      <c r="J300" s="122">
        <v>2024</v>
      </c>
      <c r="K300" s="123" t="s">
        <v>89</v>
      </c>
      <c r="L300" s="122" t="s">
        <v>86</v>
      </c>
      <c r="M300" s="122" t="s">
        <v>104</v>
      </c>
      <c r="N300" s="122" t="s">
        <v>105</v>
      </c>
      <c r="O300" s="122" t="s">
        <v>123</v>
      </c>
      <c r="P300" s="122" t="s">
        <v>124</v>
      </c>
      <c r="Q300" s="112">
        <v>11407</v>
      </c>
      <c r="R300" s="112">
        <v>24915</v>
      </c>
      <c r="S300" s="112">
        <v>36322</v>
      </c>
      <c r="T300" s="121" t="s">
        <v>148</v>
      </c>
      <c r="U300" s="141">
        <v>5.12</v>
      </c>
      <c r="V300" s="121" t="s">
        <v>48</v>
      </c>
      <c r="W300" s="122" t="s">
        <v>11</v>
      </c>
      <c r="X300" s="112">
        <v>2648</v>
      </c>
      <c r="Y300" s="112">
        <v>44034</v>
      </c>
      <c r="Z300" s="139">
        <f t="shared" si="26"/>
        <v>46682</v>
      </c>
      <c r="AA300" s="140">
        <f t="shared" si="28"/>
        <v>0.23213816077846935</v>
      </c>
      <c r="AB300" s="140">
        <f t="shared" si="29"/>
        <v>1.7673690547862733</v>
      </c>
      <c r="AC300" s="140">
        <f t="shared" si="30"/>
        <v>1.2852265844391828</v>
      </c>
      <c r="AD300" s="176" t="s">
        <v>157</v>
      </c>
    </row>
    <row r="301" spans="1:30" s="124" customFormat="1" ht="21" customHeight="1" x14ac:dyDescent="0.2">
      <c r="A301" s="124" t="str">
        <f t="shared" si="25"/>
        <v>Citywalk Phase 5.04</v>
      </c>
      <c r="B301" s="120" t="str">
        <f t="shared" si="27"/>
        <v>Citywalk Phase 5.04 - Electrical</v>
      </c>
      <c r="C301" s="120"/>
      <c r="D301" s="121" t="s">
        <v>82</v>
      </c>
      <c r="E301" s="121" t="s">
        <v>83</v>
      </c>
      <c r="F301" s="121" t="s">
        <v>84</v>
      </c>
      <c r="G301" s="121" t="s">
        <v>85</v>
      </c>
      <c r="H301" s="122" t="s">
        <v>112</v>
      </c>
      <c r="I301" s="121" t="s">
        <v>120</v>
      </c>
      <c r="J301" s="122">
        <v>2024</v>
      </c>
      <c r="K301" s="123" t="s">
        <v>89</v>
      </c>
      <c r="L301" s="122" t="s">
        <v>86</v>
      </c>
      <c r="M301" s="122" t="s">
        <v>104</v>
      </c>
      <c r="N301" s="122" t="s">
        <v>105</v>
      </c>
      <c r="O301" s="122" t="s">
        <v>123</v>
      </c>
      <c r="P301" s="122" t="s">
        <v>124</v>
      </c>
      <c r="Q301" s="112">
        <v>11407</v>
      </c>
      <c r="R301" s="112">
        <v>24915</v>
      </c>
      <c r="S301" s="112">
        <v>36322</v>
      </c>
      <c r="T301" s="121" t="s">
        <v>148</v>
      </c>
      <c r="U301" s="141">
        <v>5.12</v>
      </c>
      <c r="V301" s="121" t="s">
        <v>49</v>
      </c>
      <c r="W301" s="122" t="s">
        <v>11</v>
      </c>
      <c r="X301" s="112">
        <v>10953</v>
      </c>
      <c r="Y301" s="112">
        <v>0</v>
      </c>
      <c r="Z301" s="139">
        <f t="shared" si="26"/>
        <v>10953</v>
      </c>
      <c r="AA301" s="140">
        <f t="shared" si="28"/>
        <v>0.96019987726834399</v>
      </c>
      <c r="AB301" s="140">
        <f t="shared" si="29"/>
        <v>0</v>
      </c>
      <c r="AC301" s="140">
        <f t="shared" si="30"/>
        <v>0.30155277793073071</v>
      </c>
      <c r="AD301" s="176" t="s">
        <v>157</v>
      </c>
    </row>
    <row r="302" spans="1:30" s="124" customFormat="1" ht="21" customHeight="1" x14ac:dyDescent="0.2">
      <c r="A302" s="124" t="str">
        <f t="shared" si="25"/>
        <v>Citywalk Phase 5.04</v>
      </c>
      <c r="B302" s="120" t="str">
        <f t="shared" si="27"/>
        <v>Citywalk Phase 5.04 - Electrical</v>
      </c>
      <c r="C302" s="120"/>
      <c r="D302" s="121" t="s">
        <v>82</v>
      </c>
      <c r="E302" s="121" t="s">
        <v>83</v>
      </c>
      <c r="F302" s="121" t="s">
        <v>84</v>
      </c>
      <c r="G302" s="121" t="s">
        <v>85</v>
      </c>
      <c r="H302" s="122" t="s">
        <v>112</v>
      </c>
      <c r="I302" s="121" t="s">
        <v>120</v>
      </c>
      <c r="J302" s="122">
        <v>2024</v>
      </c>
      <c r="K302" s="123" t="s">
        <v>89</v>
      </c>
      <c r="L302" s="122" t="s">
        <v>86</v>
      </c>
      <c r="M302" s="122" t="s">
        <v>104</v>
      </c>
      <c r="N302" s="122" t="s">
        <v>105</v>
      </c>
      <c r="O302" s="122" t="s">
        <v>123</v>
      </c>
      <c r="P302" s="122" t="s">
        <v>124</v>
      </c>
      <c r="Q302" s="112">
        <v>11407</v>
      </c>
      <c r="R302" s="112">
        <v>24915</v>
      </c>
      <c r="S302" s="112">
        <v>36322</v>
      </c>
      <c r="T302" s="121" t="s">
        <v>148</v>
      </c>
      <c r="U302" s="141">
        <v>5.12</v>
      </c>
      <c r="V302" s="121" t="s">
        <v>50</v>
      </c>
      <c r="W302" s="122" t="s">
        <v>11</v>
      </c>
      <c r="X302" s="112">
        <v>40926</v>
      </c>
      <c r="Y302" s="112">
        <v>0</v>
      </c>
      <c r="Z302" s="139">
        <f t="shared" si="26"/>
        <v>40926</v>
      </c>
      <c r="AA302" s="140">
        <f t="shared" si="28"/>
        <v>3.5877969667747873</v>
      </c>
      <c r="AB302" s="140">
        <f t="shared" si="29"/>
        <v>0</v>
      </c>
      <c r="AC302" s="140">
        <f t="shared" si="30"/>
        <v>1.1267551346291504</v>
      </c>
      <c r="AD302" s="176" t="s">
        <v>157</v>
      </c>
    </row>
    <row r="303" spans="1:30" s="124" customFormat="1" ht="21" customHeight="1" x14ac:dyDescent="0.2">
      <c r="A303" s="124" t="str">
        <f t="shared" si="25"/>
        <v>Citywalk Phase 5.04</v>
      </c>
      <c r="B303" s="120" t="str">
        <f t="shared" si="27"/>
        <v>Citywalk Phase 5.04 - Electrical</v>
      </c>
      <c r="C303" s="120"/>
      <c r="D303" s="121" t="s">
        <v>82</v>
      </c>
      <c r="E303" s="121" t="s">
        <v>83</v>
      </c>
      <c r="F303" s="121" t="s">
        <v>84</v>
      </c>
      <c r="G303" s="121" t="s">
        <v>85</v>
      </c>
      <c r="H303" s="122" t="s">
        <v>112</v>
      </c>
      <c r="I303" s="121" t="s">
        <v>120</v>
      </c>
      <c r="J303" s="122">
        <v>2024</v>
      </c>
      <c r="K303" s="123" t="s">
        <v>89</v>
      </c>
      <c r="L303" s="122" t="s">
        <v>86</v>
      </c>
      <c r="M303" s="122" t="s">
        <v>104</v>
      </c>
      <c r="N303" s="122" t="s">
        <v>105</v>
      </c>
      <c r="O303" s="122" t="s">
        <v>123</v>
      </c>
      <c r="P303" s="122" t="s">
        <v>124</v>
      </c>
      <c r="Q303" s="112">
        <v>11407</v>
      </c>
      <c r="R303" s="112">
        <v>24915</v>
      </c>
      <c r="S303" s="112">
        <v>36322</v>
      </c>
      <c r="T303" s="121" t="s">
        <v>148</v>
      </c>
      <c r="U303" s="141">
        <v>5.12</v>
      </c>
      <c r="V303" s="121" t="s">
        <v>51</v>
      </c>
      <c r="W303" s="122" t="s">
        <v>11</v>
      </c>
      <c r="X303" s="112">
        <v>722220</v>
      </c>
      <c r="Y303" s="112">
        <v>0</v>
      </c>
      <c r="Z303" s="139">
        <f t="shared" si="26"/>
        <v>722220</v>
      </c>
      <c r="AA303" s="140">
        <f t="shared" si="28"/>
        <v>63.313754712018934</v>
      </c>
      <c r="AB303" s="140">
        <f t="shared" si="29"/>
        <v>0</v>
      </c>
      <c r="AC303" s="140">
        <f t="shared" si="30"/>
        <v>19.883816970431145</v>
      </c>
      <c r="AD303" s="176" t="s">
        <v>157</v>
      </c>
    </row>
    <row r="304" spans="1:30" s="124" customFormat="1" ht="21" customHeight="1" x14ac:dyDescent="0.2">
      <c r="A304" s="124" t="str">
        <f t="shared" si="25"/>
        <v>Citywalk Phase 5.04</v>
      </c>
      <c r="B304" s="120" t="str">
        <f t="shared" si="27"/>
        <v>Citywalk Phase 5.04 - Electrical</v>
      </c>
      <c r="C304" s="120"/>
      <c r="D304" s="121" t="s">
        <v>82</v>
      </c>
      <c r="E304" s="121" t="s">
        <v>83</v>
      </c>
      <c r="F304" s="121" t="s">
        <v>84</v>
      </c>
      <c r="G304" s="121" t="s">
        <v>85</v>
      </c>
      <c r="H304" s="122" t="s">
        <v>112</v>
      </c>
      <c r="I304" s="121" t="s">
        <v>120</v>
      </c>
      <c r="J304" s="122">
        <v>2024</v>
      </c>
      <c r="K304" s="123" t="s">
        <v>89</v>
      </c>
      <c r="L304" s="122" t="s">
        <v>86</v>
      </c>
      <c r="M304" s="122" t="s">
        <v>104</v>
      </c>
      <c r="N304" s="122" t="s">
        <v>105</v>
      </c>
      <c r="O304" s="122" t="s">
        <v>123</v>
      </c>
      <c r="P304" s="122" t="s">
        <v>124</v>
      </c>
      <c r="Q304" s="112">
        <v>11407</v>
      </c>
      <c r="R304" s="112">
        <v>24915</v>
      </c>
      <c r="S304" s="112">
        <v>36322</v>
      </c>
      <c r="T304" s="121" t="s">
        <v>148</v>
      </c>
      <c r="U304" s="142" t="s">
        <v>53</v>
      </c>
      <c r="V304" s="121" t="s">
        <v>27</v>
      </c>
      <c r="W304" s="122" t="s">
        <v>11</v>
      </c>
      <c r="X304" s="112">
        <v>37100</v>
      </c>
      <c r="Y304" s="112">
        <v>141000</v>
      </c>
      <c r="Z304" s="139">
        <f t="shared" si="26"/>
        <v>178100</v>
      </c>
      <c r="AA304" s="140">
        <f t="shared" si="28"/>
        <v>3.2523888840185853</v>
      </c>
      <c r="AB304" s="140">
        <f t="shared" si="29"/>
        <v>5.659241420830825</v>
      </c>
      <c r="AC304" s="140">
        <f t="shared" si="30"/>
        <v>4.9033643521832495</v>
      </c>
      <c r="AD304" s="176" t="s">
        <v>157</v>
      </c>
    </row>
    <row r="305" spans="1:30" s="146" customFormat="1" ht="21" customHeight="1" x14ac:dyDescent="0.2">
      <c r="A305" s="146" t="str">
        <f t="shared" si="25"/>
        <v>Citywalk Phase 5.05</v>
      </c>
      <c r="B305" s="147" t="str">
        <f t="shared" si="27"/>
        <v>Citywalk Phase 5.05 - Mechanical</v>
      </c>
      <c r="C305" s="147"/>
      <c r="D305" s="148" t="s">
        <v>82</v>
      </c>
      <c r="E305" s="148" t="s">
        <v>83</v>
      </c>
      <c r="F305" s="148" t="s">
        <v>84</v>
      </c>
      <c r="G305" s="148" t="s">
        <v>85</v>
      </c>
      <c r="H305" s="149" t="s">
        <v>113</v>
      </c>
      <c r="I305" s="148" t="s">
        <v>121</v>
      </c>
      <c r="J305" s="149">
        <v>2024</v>
      </c>
      <c r="K305" s="150" t="s">
        <v>89</v>
      </c>
      <c r="L305" s="149" t="s">
        <v>86</v>
      </c>
      <c r="M305" s="149" t="s">
        <v>104</v>
      </c>
      <c r="N305" s="149" t="s">
        <v>105</v>
      </c>
      <c r="O305" s="149" t="s">
        <v>123</v>
      </c>
      <c r="P305" s="149" t="s">
        <v>124</v>
      </c>
      <c r="Q305" s="151">
        <v>8917</v>
      </c>
      <c r="R305" s="151">
        <v>17188</v>
      </c>
      <c r="S305" s="151">
        <v>26105</v>
      </c>
      <c r="T305" s="148" t="s">
        <v>127</v>
      </c>
      <c r="U305" s="154">
        <v>5.3</v>
      </c>
      <c r="V305" s="148" t="s">
        <v>14</v>
      </c>
      <c r="W305" s="149" t="s">
        <v>11</v>
      </c>
      <c r="X305" s="151">
        <v>539470</v>
      </c>
      <c r="Y305" s="151">
        <v>1206310</v>
      </c>
      <c r="Z305" s="152">
        <f t="shared" si="26"/>
        <v>1745780</v>
      </c>
      <c r="AA305" s="153">
        <f t="shared" si="28"/>
        <v>60.499046764606931</v>
      </c>
      <c r="AB305" s="153">
        <f t="shared" si="29"/>
        <v>70.18326739585757</v>
      </c>
      <c r="AC305" s="153">
        <f t="shared" si="30"/>
        <v>66.875311243056885</v>
      </c>
      <c r="AD305" s="175" t="s">
        <v>157</v>
      </c>
    </row>
    <row r="306" spans="1:30" s="146" customFormat="1" ht="21" customHeight="1" x14ac:dyDescent="0.2">
      <c r="A306" s="146" t="str">
        <f t="shared" si="25"/>
        <v>Citywalk Phase 5.05</v>
      </c>
      <c r="B306" s="147" t="str">
        <f t="shared" si="27"/>
        <v>Citywalk Phase 5.05 - Mechanical</v>
      </c>
      <c r="C306" s="147"/>
      <c r="D306" s="148" t="s">
        <v>82</v>
      </c>
      <c r="E306" s="148" t="s">
        <v>83</v>
      </c>
      <c r="F306" s="148" t="s">
        <v>84</v>
      </c>
      <c r="G306" s="148" t="s">
        <v>85</v>
      </c>
      <c r="H306" s="149" t="s">
        <v>113</v>
      </c>
      <c r="I306" s="148" t="s">
        <v>121</v>
      </c>
      <c r="J306" s="149">
        <v>2024</v>
      </c>
      <c r="K306" s="150" t="s">
        <v>89</v>
      </c>
      <c r="L306" s="149" t="s">
        <v>86</v>
      </c>
      <c r="M306" s="149" t="s">
        <v>104</v>
      </c>
      <c r="N306" s="149" t="s">
        <v>105</v>
      </c>
      <c r="O306" s="149" t="s">
        <v>123</v>
      </c>
      <c r="P306" s="149" t="s">
        <v>124</v>
      </c>
      <c r="Q306" s="151">
        <v>8917</v>
      </c>
      <c r="R306" s="151">
        <v>17188</v>
      </c>
      <c r="S306" s="151">
        <v>26105</v>
      </c>
      <c r="T306" s="148" t="s">
        <v>127</v>
      </c>
      <c r="U306" s="154">
        <v>5.3</v>
      </c>
      <c r="V306" s="148" t="s">
        <v>15</v>
      </c>
      <c r="W306" s="149" t="s">
        <v>11</v>
      </c>
      <c r="X306" s="151">
        <v>55000</v>
      </c>
      <c r="Y306" s="151">
        <v>0</v>
      </c>
      <c r="Z306" s="152">
        <f t="shared" si="26"/>
        <v>55000</v>
      </c>
      <c r="AA306" s="153">
        <f t="shared" si="28"/>
        <v>6.1679937198609398</v>
      </c>
      <c r="AB306" s="153">
        <f t="shared" si="29"/>
        <v>0</v>
      </c>
      <c r="AC306" s="153">
        <f t="shared" si="30"/>
        <v>2.1068760773798121</v>
      </c>
      <c r="AD306" s="175" t="s">
        <v>157</v>
      </c>
    </row>
    <row r="307" spans="1:30" s="146" customFormat="1" ht="21" customHeight="1" x14ac:dyDescent="0.2">
      <c r="A307" s="146" t="str">
        <f t="shared" si="25"/>
        <v>Citywalk Phase 5.05</v>
      </c>
      <c r="B307" s="147" t="str">
        <f t="shared" si="27"/>
        <v>Citywalk Phase 5.05 - Mechanical</v>
      </c>
      <c r="C307" s="147"/>
      <c r="D307" s="148" t="s">
        <v>82</v>
      </c>
      <c r="E307" s="148" t="s">
        <v>83</v>
      </c>
      <c r="F307" s="148" t="s">
        <v>84</v>
      </c>
      <c r="G307" s="148" t="s">
        <v>85</v>
      </c>
      <c r="H307" s="149" t="s">
        <v>113</v>
      </c>
      <c r="I307" s="148" t="s">
        <v>121</v>
      </c>
      <c r="J307" s="149">
        <v>2024</v>
      </c>
      <c r="K307" s="150" t="s">
        <v>89</v>
      </c>
      <c r="L307" s="149" t="s">
        <v>86</v>
      </c>
      <c r="M307" s="149" t="s">
        <v>104</v>
      </c>
      <c r="N307" s="149" t="s">
        <v>105</v>
      </c>
      <c r="O307" s="149" t="s">
        <v>123</v>
      </c>
      <c r="P307" s="149" t="s">
        <v>124</v>
      </c>
      <c r="Q307" s="151">
        <v>8917</v>
      </c>
      <c r="R307" s="151">
        <v>17188</v>
      </c>
      <c r="S307" s="151">
        <v>26105</v>
      </c>
      <c r="T307" s="148" t="s">
        <v>127</v>
      </c>
      <c r="U307" s="154">
        <v>5.4</v>
      </c>
      <c r="V307" s="148" t="s">
        <v>16</v>
      </c>
      <c r="W307" s="149" t="s">
        <v>11</v>
      </c>
      <c r="X307" s="151">
        <v>107918</v>
      </c>
      <c r="Y307" s="151">
        <v>1650911</v>
      </c>
      <c r="Z307" s="152">
        <f t="shared" si="26"/>
        <v>1758829</v>
      </c>
      <c r="AA307" s="153">
        <f t="shared" si="28"/>
        <v>12.102500841090052</v>
      </c>
      <c r="AB307" s="153">
        <f t="shared" si="29"/>
        <v>96.050209448452406</v>
      </c>
      <c r="AC307" s="153">
        <f t="shared" si="30"/>
        <v>67.375177169124683</v>
      </c>
      <c r="AD307" s="175" t="s">
        <v>157</v>
      </c>
    </row>
    <row r="308" spans="1:30" s="146" customFormat="1" ht="21" customHeight="1" x14ac:dyDescent="0.2">
      <c r="A308" s="146" t="str">
        <f t="shared" si="25"/>
        <v>Citywalk Phase 5.05</v>
      </c>
      <c r="B308" s="147" t="str">
        <f t="shared" si="27"/>
        <v>Citywalk Phase 5.05 - Mechanical</v>
      </c>
      <c r="C308" s="147"/>
      <c r="D308" s="148" t="s">
        <v>82</v>
      </c>
      <c r="E308" s="148" t="s">
        <v>83</v>
      </c>
      <c r="F308" s="148" t="s">
        <v>84</v>
      </c>
      <c r="G308" s="148" t="s">
        <v>85</v>
      </c>
      <c r="H308" s="149" t="s">
        <v>113</v>
      </c>
      <c r="I308" s="148" t="s">
        <v>121</v>
      </c>
      <c r="J308" s="149">
        <v>2024</v>
      </c>
      <c r="K308" s="150" t="s">
        <v>89</v>
      </c>
      <c r="L308" s="149" t="s">
        <v>86</v>
      </c>
      <c r="M308" s="149" t="s">
        <v>104</v>
      </c>
      <c r="N308" s="149" t="s">
        <v>105</v>
      </c>
      <c r="O308" s="149" t="s">
        <v>123</v>
      </c>
      <c r="P308" s="149" t="s">
        <v>124</v>
      </c>
      <c r="Q308" s="151">
        <v>8917</v>
      </c>
      <c r="R308" s="151">
        <v>17188</v>
      </c>
      <c r="S308" s="151">
        <v>26105</v>
      </c>
      <c r="T308" s="148" t="s">
        <v>127</v>
      </c>
      <c r="U308" s="154">
        <v>5.4</v>
      </c>
      <c r="V308" s="148" t="s">
        <v>17</v>
      </c>
      <c r="W308" s="149" t="s">
        <v>11</v>
      </c>
      <c r="X308" s="151">
        <v>72150</v>
      </c>
      <c r="Y308" s="151">
        <v>500115</v>
      </c>
      <c r="Z308" s="152">
        <f t="shared" si="26"/>
        <v>572265</v>
      </c>
      <c r="AA308" s="153">
        <f t="shared" si="28"/>
        <v>8.0912863070539416</v>
      </c>
      <c r="AB308" s="153">
        <f t="shared" si="29"/>
        <v>29.096753548987667</v>
      </c>
      <c r="AC308" s="153">
        <f t="shared" si="30"/>
        <v>21.921662516759241</v>
      </c>
      <c r="AD308" s="175" t="s">
        <v>157</v>
      </c>
    </row>
    <row r="309" spans="1:30" s="146" customFormat="1" ht="21" customHeight="1" x14ac:dyDescent="0.2">
      <c r="A309" s="146" t="str">
        <f t="shared" si="25"/>
        <v>Citywalk Phase 5.05</v>
      </c>
      <c r="B309" s="147" t="str">
        <f t="shared" si="27"/>
        <v>Citywalk Phase 5.05 - Mechanical</v>
      </c>
      <c r="C309" s="147"/>
      <c r="D309" s="148" t="s">
        <v>82</v>
      </c>
      <c r="E309" s="148" t="s">
        <v>83</v>
      </c>
      <c r="F309" s="148" t="s">
        <v>84</v>
      </c>
      <c r="G309" s="148" t="s">
        <v>85</v>
      </c>
      <c r="H309" s="149" t="s">
        <v>113</v>
      </c>
      <c r="I309" s="148" t="s">
        <v>121</v>
      </c>
      <c r="J309" s="149">
        <v>2024</v>
      </c>
      <c r="K309" s="150" t="s">
        <v>89</v>
      </c>
      <c r="L309" s="149" t="s">
        <v>86</v>
      </c>
      <c r="M309" s="149" t="s">
        <v>104</v>
      </c>
      <c r="N309" s="149" t="s">
        <v>105</v>
      </c>
      <c r="O309" s="149" t="s">
        <v>123</v>
      </c>
      <c r="P309" s="149" t="s">
        <v>124</v>
      </c>
      <c r="Q309" s="151">
        <v>8917</v>
      </c>
      <c r="R309" s="151">
        <v>17188</v>
      </c>
      <c r="S309" s="151">
        <v>26105</v>
      </c>
      <c r="T309" s="148" t="s">
        <v>127</v>
      </c>
      <c r="U309" s="154" t="s">
        <v>28</v>
      </c>
      <c r="V309" s="148" t="s">
        <v>18</v>
      </c>
      <c r="W309" s="149" t="s">
        <v>11</v>
      </c>
      <c r="X309" s="151">
        <v>733221</v>
      </c>
      <c r="Y309" s="151">
        <v>1304443</v>
      </c>
      <c r="Z309" s="152">
        <f t="shared" si="26"/>
        <v>2037664</v>
      </c>
      <c r="AA309" s="153">
        <f t="shared" si="28"/>
        <v>82.227318604911972</v>
      </c>
      <c r="AB309" s="153">
        <f t="shared" si="29"/>
        <v>75.892657668140558</v>
      </c>
      <c r="AC309" s="153">
        <f t="shared" si="30"/>
        <v>78.056464278873776</v>
      </c>
      <c r="AD309" s="175" t="s">
        <v>157</v>
      </c>
    </row>
    <row r="310" spans="1:30" s="146" customFormat="1" ht="21" customHeight="1" x14ac:dyDescent="0.2">
      <c r="A310" s="146" t="str">
        <f t="shared" ref="A310:A347" si="31">I310</f>
        <v>Citywalk Phase 5.05</v>
      </c>
      <c r="B310" s="147" t="str">
        <f t="shared" si="27"/>
        <v>Citywalk Phase 5.05 - Mechanical</v>
      </c>
      <c r="C310" s="147"/>
      <c r="D310" s="148" t="s">
        <v>82</v>
      </c>
      <c r="E310" s="148" t="s">
        <v>83</v>
      </c>
      <c r="F310" s="148" t="s">
        <v>84</v>
      </c>
      <c r="G310" s="148" t="s">
        <v>85</v>
      </c>
      <c r="H310" s="149" t="s">
        <v>113</v>
      </c>
      <c r="I310" s="148" t="s">
        <v>121</v>
      </c>
      <c r="J310" s="149">
        <v>2024</v>
      </c>
      <c r="K310" s="150" t="s">
        <v>89</v>
      </c>
      <c r="L310" s="149" t="s">
        <v>86</v>
      </c>
      <c r="M310" s="149" t="s">
        <v>104</v>
      </c>
      <c r="N310" s="149" t="s">
        <v>105</v>
      </c>
      <c r="O310" s="149" t="s">
        <v>123</v>
      </c>
      <c r="P310" s="149" t="s">
        <v>124</v>
      </c>
      <c r="Q310" s="151">
        <v>8917</v>
      </c>
      <c r="R310" s="151">
        <v>17188</v>
      </c>
      <c r="S310" s="151">
        <v>26105</v>
      </c>
      <c r="T310" s="148" t="s">
        <v>127</v>
      </c>
      <c r="U310" s="154" t="s">
        <v>28</v>
      </c>
      <c r="V310" s="148" t="s">
        <v>19</v>
      </c>
      <c r="W310" s="149" t="s">
        <v>11</v>
      </c>
      <c r="X310" s="151">
        <v>328980</v>
      </c>
      <c r="Y310" s="151">
        <v>0</v>
      </c>
      <c r="Z310" s="152">
        <f t="shared" ref="Z310:Z347" si="32">SUM(X310:Y310)</f>
        <v>328980</v>
      </c>
      <c r="AA310" s="153">
        <f t="shared" si="28"/>
        <v>36.893574071997307</v>
      </c>
      <c r="AB310" s="153">
        <f t="shared" si="29"/>
        <v>0</v>
      </c>
      <c r="AC310" s="153">
        <f t="shared" si="30"/>
        <v>12.602183489752921</v>
      </c>
      <c r="AD310" s="175" t="s">
        <v>157</v>
      </c>
    </row>
    <row r="311" spans="1:30" s="146" customFormat="1" ht="21" customHeight="1" x14ac:dyDescent="0.2">
      <c r="A311" s="146" t="str">
        <f t="shared" si="31"/>
        <v>Citywalk Phase 5.05</v>
      </c>
      <c r="B311" s="147" t="str">
        <f t="shared" ref="B311:B347" si="33">CONCATENATE(I311, " - ",T311)</f>
        <v>Citywalk Phase 5.05 - Mechanical</v>
      </c>
      <c r="C311" s="147"/>
      <c r="D311" s="148" t="s">
        <v>82</v>
      </c>
      <c r="E311" s="148" t="s">
        <v>83</v>
      </c>
      <c r="F311" s="148" t="s">
        <v>84</v>
      </c>
      <c r="G311" s="148" t="s">
        <v>85</v>
      </c>
      <c r="H311" s="149" t="s">
        <v>113</v>
      </c>
      <c r="I311" s="148" t="s">
        <v>121</v>
      </c>
      <c r="J311" s="149">
        <v>2024</v>
      </c>
      <c r="K311" s="150" t="s">
        <v>89</v>
      </c>
      <c r="L311" s="149" t="s">
        <v>86</v>
      </c>
      <c r="M311" s="149" t="s">
        <v>104</v>
      </c>
      <c r="N311" s="149" t="s">
        <v>105</v>
      </c>
      <c r="O311" s="149" t="s">
        <v>123</v>
      </c>
      <c r="P311" s="149" t="s">
        <v>124</v>
      </c>
      <c r="Q311" s="151">
        <v>8917</v>
      </c>
      <c r="R311" s="151">
        <v>17188</v>
      </c>
      <c r="S311" s="151">
        <v>26105</v>
      </c>
      <c r="T311" s="148" t="s">
        <v>127</v>
      </c>
      <c r="U311" s="154" t="s">
        <v>28</v>
      </c>
      <c r="V311" s="148" t="s">
        <v>20</v>
      </c>
      <c r="W311" s="149" t="s">
        <v>11</v>
      </c>
      <c r="X311" s="151">
        <v>199800</v>
      </c>
      <c r="Y311" s="151">
        <v>0</v>
      </c>
      <c r="Z311" s="152">
        <f t="shared" si="32"/>
        <v>199800</v>
      </c>
      <c r="AA311" s="153">
        <f t="shared" si="28"/>
        <v>22.406639004149376</v>
      </c>
      <c r="AB311" s="153">
        <f t="shared" si="29"/>
        <v>0</v>
      </c>
      <c r="AC311" s="153">
        <f t="shared" si="30"/>
        <v>7.6537061865542997</v>
      </c>
      <c r="AD311" s="175" t="s">
        <v>157</v>
      </c>
    </row>
    <row r="312" spans="1:30" s="146" customFormat="1" ht="21" customHeight="1" x14ac:dyDescent="0.2">
      <c r="A312" s="146" t="str">
        <f t="shared" si="31"/>
        <v>Citywalk Phase 5.05</v>
      </c>
      <c r="B312" s="147" t="str">
        <f t="shared" si="33"/>
        <v>Citywalk Phase 5.05 - Mechanical</v>
      </c>
      <c r="C312" s="147"/>
      <c r="D312" s="148" t="s">
        <v>82</v>
      </c>
      <c r="E312" s="148" t="s">
        <v>83</v>
      </c>
      <c r="F312" s="148" t="s">
        <v>84</v>
      </c>
      <c r="G312" s="148" t="s">
        <v>85</v>
      </c>
      <c r="H312" s="149" t="s">
        <v>113</v>
      </c>
      <c r="I312" s="148" t="s">
        <v>121</v>
      </c>
      <c r="J312" s="149">
        <v>2024</v>
      </c>
      <c r="K312" s="150" t="s">
        <v>89</v>
      </c>
      <c r="L312" s="149" t="s">
        <v>86</v>
      </c>
      <c r="M312" s="149" t="s">
        <v>104</v>
      </c>
      <c r="N312" s="149" t="s">
        <v>105</v>
      </c>
      <c r="O312" s="149" t="s">
        <v>123</v>
      </c>
      <c r="P312" s="149" t="s">
        <v>124</v>
      </c>
      <c r="Q312" s="151">
        <v>8917</v>
      </c>
      <c r="R312" s="151">
        <v>17188</v>
      </c>
      <c r="S312" s="151">
        <v>26105</v>
      </c>
      <c r="T312" s="148" t="s">
        <v>127</v>
      </c>
      <c r="U312" s="154">
        <v>5.6</v>
      </c>
      <c r="V312" s="148" t="s">
        <v>21</v>
      </c>
      <c r="W312" s="149" t="s">
        <v>11</v>
      </c>
      <c r="X312" s="151">
        <v>144696</v>
      </c>
      <c r="Y312" s="151">
        <v>2092091</v>
      </c>
      <c r="Z312" s="152">
        <f t="shared" si="32"/>
        <v>2236787</v>
      </c>
      <c r="AA312" s="153">
        <f t="shared" si="28"/>
        <v>16.226982168890881</v>
      </c>
      <c r="AB312" s="153">
        <f t="shared" si="29"/>
        <v>121.71811729113335</v>
      </c>
      <c r="AC312" s="153">
        <f t="shared" si="30"/>
        <v>85.684236736257418</v>
      </c>
      <c r="AD312" s="175" t="s">
        <v>157</v>
      </c>
    </row>
    <row r="313" spans="1:30" s="146" customFormat="1" ht="21" customHeight="1" x14ac:dyDescent="0.2">
      <c r="A313" s="146" t="str">
        <f t="shared" si="31"/>
        <v>Citywalk Phase 5.05</v>
      </c>
      <c r="B313" s="147" t="str">
        <f t="shared" si="33"/>
        <v>Citywalk Phase 5.05 - Mechanical</v>
      </c>
      <c r="C313" s="147"/>
      <c r="D313" s="148" t="s">
        <v>82</v>
      </c>
      <c r="E313" s="148" t="s">
        <v>83</v>
      </c>
      <c r="F313" s="148" t="s">
        <v>84</v>
      </c>
      <c r="G313" s="148" t="s">
        <v>85</v>
      </c>
      <c r="H313" s="149" t="s">
        <v>113</v>
      </c>
      <c r="I313" s="148" t="s">
        <v>121</v>
      </c>
      <c r="J313" s="149">
        <v>2024</v>
      </c>
      <c r="K313" s="150" t="s">
        <v>89</v>
      </c>
      <c r="L313" s="149" t="s">
        <v>86</v>
      </c>
      <c r="M313" s="149" t="s">
        <v>104</v>
      </c>
      <c r="N313" s="149" t="s">
        <v>105</v>
      </c>
      <c r="O313" s="149" t="s">
        <v>123</v>
      </c>
      <c r="P313" s="149" t="s">
        <v>124</v>
      </c>
      <c r="Q313" s="151">
        <v>8917</v>
      </c>
      <c r="R313" s="151">
        <v>17188</v>
      </c>
      <c r="S313" s="151">
        <v>26105</v>
      </c>
      <c r="T313" s="148" t="s">
        <v>127</v>
      </c>
      <c r="U313" s="154">
        <v>5.6</v>
      </c>
      <c r="V313" s="148" t="s">
        <v>22</v>
      </c>
      <c r="W313" s="149" t="s">
        <v>11</v>
      </c>
      <c r="X313" s="151">
        <v>0</v>
      </c>
      <c r="Y313" s="151">
        <v>3015696</v>
      </c>
      <c r="Z313" s="152">
        <f t="shared" si="32"/>
        <v>3015696</v>
      </c>
      <c r="AA313" s="153">
        <f t="shared" si="28"/>
        <v>0</v>
      </c>
      <c r="AB313" s="153">
        <f t="shared" si="29"/>
        <v>175.45357225971608</v>
      </c>
      <c r="AC313" s="153">
        <f t="shared" si="30"/>
        <v>115.52177743727255</v>
      </c>
      <c r="AD313" s="175" t="s">
        <v>157</v>
      </c>
    </row>
    <row r="314" spans="1:30" s="146" customFormat="1" ht="21" customHeight="1" x14ac:dyDescent="0.2">
      <c r="A314" s="146" t="str">
        <f t="shared" si="31"/>
        <v>Citywalk Phase 5.05</v>
      </c>
      <c r="B314" s="147" t="str">
        <f t="shared" si="33"/>
        <v>Citywalk Phase 5.05 - Mechanical</v>
      </c>
      <c r="C314" s="147"/>
      <c r="D314" s="148" t="s">
        <v>82</v>
      </c>
      <c r="E314" s="148" t="s">
        <v>83</v>
      </c>
      <c r="F314" s="148" t="s">
        <v>84</v>
      </c>
      <c r="G314" s="148" t="s">
        <v>85</v>
      </c>
      <c r="H314" s="149" t="s">
        <v>113</v>
      </c>
      <c r="I314" s="148" t="s">
        <v>121</v>
      </c>
      <c r="J314" s="149">
        <v>2024</v>
      </c>
      <c r="K314" s="150" t="s">
        <v>89</v>
      </c>
      <c r="L314" s="149" t="s">
        <v>86</v>
      </c>
      <c r="M314" s="149" t="s">
        <v>104</v>
      </c>
      <c r="N314" s="149" t="s">
        <v>105</v>
      </c>
      <c r="O314" s="149" t="s">
        <v>123</v>
      </c>
      <c r="P314" s="149" t="s">
        <v>124</v>
      </c>
      <c r="Q314" s="151">
        <v>8917</v>
      </c>
      <c r="R314" s="151">
        <v>17188</v>
      </c>
      <c r="S314" s="151">
        <v>26105</v>
      </c>
      <c r="T314" s="148" t="s">
        <v>127</v>
      </c>
      <c r="U314" s="154">
        <v>5.6</v>
      </c>
      <c r="V314" s="148" t="s">
        <v>23</v>
      </c>
      <c r="W314" s="149" t="s">
        <v>11</v>
      </c>
      <c r="X314" s="151">
        <v>110464</v>
      </c>
      <c r="Y314" s="151">
        <v>1619629</v>
      </c>
      <c r="Z314" s="152">
        <f t="shared" si="32"/>
        <v>1730093</v>
      </c>
      <c r="AA314" s="153">
        <f t="shared" si="28"/>
        <v>12.388022877649433</v>
      </c>
      <c r="AB314" s="153">
        <f t="shared" si="29"/>
        <v>94.23021875727251</v>
      </c>
      <c r="AC314" s="153">
        <f t="shared" si="30"/>
        <v>66.274391878950397</v>
      </c>
      <c r="AD314" s="175" t="s">
        <v>157</v>
      </c>
    </row>
    <row r="315" spans="1:30" s="146" customFormat="1" ht="21" customHeight="1" x14ac:dyDescent="0.2">
      <c r="A315" s="146" t="str">
        <f t="shared" si="31"/>
        <v>Citywalk Phase 5.05</v>
      </c>
      <c r="B315" s="147" t="str">
        <f t="shared" si="33"/>
        <v>Citywalk Phase 5.05 - Mechanical</v>
      </c>
      <c r="C315" s="147"/>
      <c r="D315" s="148" t="s">
        <v>82</v>
      </c>
      <c r="E315" s="148" t="s">
        <v>83</v>
      </c>
      <c r="F315" s="148" t="s">
        <v>84</v>
      </c>
      <c r="G315" s="148" t="s">
        <v>85</v>
      </c>
      <c r="H315" s="149" t="s">
        <v>113</v>
      </c>
      <c r="I315" s="148" t="s">
        <v>121</v>
      </c>
      <c r="J315" s="149">
        <v>2024</v>
      </c>
      <c r="K315" s="150" t="s">
        <v>89</v>
      </c>
      <c r="L315" s="149" t="s">
        <v>86</v>
      </c>
      <c r="M315" s="149" t="s">
        <v>104</v>
      </c>
      <c r="N315" s="149" t="s">
        <v>105</v>
      </c>
      <c r="O315" s="149" t="s">
        <v>123</v>
      </c>
      <c r="P315" s="149" t="s">
        <v>124</v>
      </c>
      <c r="Q315" s="151">
        <v>8917</v>
      </c>
      <c r="R315" s="151">
        <v>17188</v>
      </c>
      <c r="S315" s="151">
        <v>26105</v>
      </c>
      <c r="T315" s="148" t="s">
        <v>127</v>
      </c>
      <c r="U315" s="154">
        <v>5.6</v>
      </c>
      <c r="V315" s="148" t="s">
        <v>24</v>
      </c>
      <c r="W315" s="149" t="s">
        <v>11</v>
      </c>
      <c r="X315" s="151">
        <v>332819</v>
      </c>
      <c r="Y315" s="151">
        <v>3095568</v>
      </c>
      <c r="Z315" s="152">
        <f t="shared" si="32"/>
        <v>3428387</v>
      </c>
      <c r="AA315" s="153">
        <f t="shared" si="28"/>
        <v>37.324100033643603</v>
      </c>
      <c r="AB315" s="153">
        <f t="shared" si="29"/>
        <v>180.10053525715617</v>
      </c>
      <c r="AC315" s="153">
        <f t="shared" si="30"/>
        <v>131.33066462363533</v>
      </c>
      <c r="AD315" s="175" t="s">
        <v>157</v>
      </c>
    </row>
    <row r="316" spans="1:30" s="146" customFormat="1" ht="21" customHeight="1" x14ac:dyDescent="0.2">
      <c r="A316" s="146" t="str">
        <f t="shared" si="31"/>
        <v>Citywalk Phase 5.05</v>
      </c>
      <c r="B316" s="147" t="str">
        <f t="shared" si="33"/>
        <v>Citywalk Phase 5.05 - Mechanical</v>
      </c>
      <c r="C316" s="147"/>
      <c r="D316" s="148" t="s">
        <v>82</v>
      </c>
      <c r="E316" s="148" t="s">
        <v>83</v>
      </c>
      <c r="F316" s="148" t="s">
        <v>84</v>
      </c>
      <c r="G316" s="148" t="s">
        <v>85</v>
      </c>
      <c r="H316" s="149" t="s">
        <v>113</v>
      </c>
      <c r="I316" s="148" t="s">
        <v>121</v>
      </c>
      <c r="J316" s="149">
        <v>2024</v>
      </c>
      <c r="K316" s="150" t="s">
        <v>89</v>
      </c>
      <c r="L316" s="149" t="s">
        <v>86</v>
      </c>
      <c r="M316" s="149" t="s">
        <v>104</v>
      </c>
      <c r="N316" s="149" t="s">
        <v>105</v>
      </c>
      <c r="O316" s="149" t="s">
        <v>123</v>
      </c>
      <c r="P316" s="149" t="s">
        <v>124</v>
      </c>
      <c r="Q316" s="151">
        <v>8917</v>
      </c>
      <c r="R316" s="151">
        <v>17188</v>
      </c>
      <c r="S316" s="151">
        <v>26105</v>
      </c>
      <c r="T316" s="148" t="s">
        <v>127</v>
      </c>
      <c r="U316" s="154">
        <v>5.6</v>
      </c>
      <c r="V316" s="148" t="s">
        <v>25</v>
      </c>
      <c r="W316" s="149" t="s">
        <v>11</v>
      </c>
      <c r="X316" s="151">
        <v>1045882</v>
      </c>
      <c r="Y316" s="151">
        <v>1688967</v>
      </c>
      <c r="Z316" s="152">
        <f t="shared" si="32"/>
        <v>2734849</v>
      </c>
      <c r="AA316" s="153">
        <f t="shared" si="28"/>
        <v>117.29079286755635</v>
      </c>
      <c r="AB316" s="153">
        <f t="shared" si="29"/>
        <v>98.26431231091459</v>
      </c>
      <c r="AC316" s="153">
        <f t="shared" si="30"/>
        <v>104.76341696992914</v>
      </c>
      <c r="AD316" s="175" t="s">
        <v>157</v>
      </c>
    </row>
    <row r="317" spans="1:30" s="146" customFormat="1" ht="21" customHeight="1" x14ac:dyDescent="0.2">
      <c r="A317" s="146" t="str">
        <f t="shared" si="31"/>
        <v>Citywalk Phase 5.05</v>
      </c>
      <c r="B317" s="147" t="str">
        <f t="shared" si="33"/>
        <v>Citywalk Phase 5.05 - Mechanical</v>
      </c>
      <c r="C317" s="147"/>
      <c r="D317" s="148" t="s">
        <v>82</v>
      </c>
      <c r="E317" s="148" t="s">
        <v>83</v>
      </c>
      <c r="F317" s="148" t="s">
        <v>84</v>
      </c>
      <c r="G317" s="148" t="s">
        <v>85</v>
      </c>
      <c r="H317" s="149" t="s">
        <v>113</v>
      </c>
      <c r="I317" s="148" t="s">
        <v>121</v>
      </c>
      <c r="J317" s="149">
        <v>2024</v>
      </c>
      <c r="K317" s="150" t="s">
        <v>89</v>
      </c>
      <c r="L317" s="149" t="s">
        <v>86</v>
      </c>
      <c r="M317" s="149" t="s">
        <v>104</v>
      </c>
      <c r="N317" s="149" t="s">
        <v>105</v>
      </c>
      <c r="O317" s="149" t="s">
        <v>123</v>
      </c>
      <c r="P317" s="149" t="s">
        <v>124</v>
      </c>
      <c r="Q317" s="151">
        <v>8917</v>
      </c>
      <c r="R317" s="151">
        <v>17188</v>
      </c>
      <c r="S317" s="151">
        <v>26105</v>
      </c>
      <c r="T317" s="148" t="s">
        <v>127</v>
      </c>
      <c r="U317" s="154">
        <v>5.6</v>
      </c>
      <c r="V317" s="148" t="s">
        <v>26</v>
      </c>
      <c r="W317" s="149" t="s">
        <v>11</v>
      </c>
      <c r="X317" s="151">
        <v>421330</v>
      </c>
      <c r="Y317" s="151">
        <v>960947</v>
      </c>
      <c r="Z317" s="152">
        <f t="shared" si="32"/>
        <v>1382277</v>
      </c>
      <c r="AA317" s="153">
        <f t="shared" si="28"/>
        <v>47.250196254345632</v>
      </c>
      <c r="AB317" s="153">
        <f t="shared" si="29"/>
        <v>55.908017221317195</v>
      </c>
      <c r="AC317" s="153">
        <f t="shared" si="30"/>
        <v>52.950660792951545</v>
      </c>
      <c r="AD317" s="175" t="s">
        <v>157</v>
      </c>
    </row>
    <row r="318" spans="1:30" s="146" customFormat="1" ht="21" customHeight="1" x14ac:dyDescent="0.2">
      <c r="A318" s="146" t="str">
        <f t="shared" si="31"/>
        <v>Citywalk Phase 5.05</v>
      </c>
      <c r="B318" s="147" t="str">
        <f t="shared" si="33"/>
        <v>Citywalk Phase 5.05 - Mechanical</v>
      </c>
      <c r="C318" s="147"/>
      <c r="D318" s="148" t="s">
        <v>82</v>
      </c>
      <c r="E318" s="148" t="s">
        <v>83</v>
      </c>
      <c r="F318" s="148" t="s">
        <v>84</v>
      </c>
      <c r="G318" s="148" t="s">
        <v>85</v>
      </c>
      <c r="H318" s="149" t="s">
        <v>113</v>
      </c>
      <c r="I318" s="148" t="s">
        <v>121</v>
      </c>
      <c r="J318" s="149">
        <v>2024</v>
      </c>
      <c r="K318" s="150" t="s">
        <v>89</v>
      </c>
      <c r="L318" s="149" t="s">
        <v>86</v>
      </c>
      <c r="M318" s="149" t="s">
        <v>104</v>
      </c>
      <c r="N318" s="149" t="s">
        <v>105</v>
      </c>
      <c r="O318" s="149" t="s">
        <v>123</v>
      </c>
      <c r="P318" s="149" t="s">
        <v>124</v>
      </c>
      <c r="Q318" s="151">
        <v>8917</v>
      </c>
      <c r="R318" s="151">
        <v>17188</v>
      </c>
      <c r="S318" s="151">
        <v>26105</v>
      </c>
      <c r="T318" s="148" t="s">
        <v>127</v>
      </c>
      <c r="U318" s="154">
        <v>5.14</v>
      </c>
      <c r="V318" s="148" t="s">
        <v>27</v>
      </c>
      <c r="W318" s="149" t="s">
        <v>11</v>
      </c>
      <c r="X318" s="151">
        <v>204830</v>
      </c>
      <c r="Y318" s="151">
        <v>286480</v>
      </c>
      <c r="Z318" s="152">
        <f t="shared" si="32"/>
        <v>491310</v>
      </c>
      <c r="AA318" s="153">
        <f t="shared" si="28"/>
        <v>22.97073006616575</v>
      </c>
      <c r="AB318" s="153">
        <f t="shared" si="29"/>
        <v>16.667442401675586</v>
      </c>
      <c r="AC318" s="153">
        <f t="shared" si="30"/>
        <v>18.820532465045009</v>
      </c>
      <c r="AD318" s="175" t="s">
        <v>157</v>
      </c>
    </row>
    <row r="319" spans="1:30" s="146" customFormat="1" ht="21" customHeight="1" x14ac:dyDescent="0.2">
      <c r="A319" s="146" t="str">
        <f t="shared" si="31"/>
        <v>Citywalk Phase 5.05</v>
      </c>
      <c r="B319" s="147" t="str">
        <f t="shared" si="33"/>
        <v>Citywalk Phase 5.05 - Electrical</v>
      </c>
      <c r="C319" s="147"/>
      <c r="D319" s="148" t="s">
        <v>82</v>
      </c>
      <c r="E319" s="148" t="s">
        <v>83</v>
      </c>
      <c r="F319" s="148" t="s">
        <v>84</v>
      </c>
      <c r="G319" s="148" t="s">
        <v>85</v>
      </c>
      <c r="H319" s="149" t="s">
        <v>113</v>
      </c>
      <c r="I319" s="148" t="s">
        <v>121</v>
      </c>
      <c r="J319" s="149">
        <v>2024</v>
      </c>
      <c r="K319" s="150" t="s">
        <v>89</v>
      </c>
      <c r="L319" s="149" t="s">
        <v>86</v>
      </c>
      <c r="M319" s="149" t="s">
        <v>104</v>
      </c>
      <c r="N319" s="149" t="s">
        <v>105</v>
      </c>
      <c r="O319" s="149" t="s">
        <v>123</v>
      </c>
      <c r="P319" s="149" t="s">
        <v>124</v>
      </c>
      <c r="Q319" s="151">
        <v>8917</v>
      </c>
      <c r="R319" s="151">
        <v>17188</v>
      </c>
      <c r="S319" s="151">
        <v>26105</v>
      </c>
      <c r="T319" s="148" t="s">
        <v>148</v>
      </c>
      <c r="U319" s="154">
        <v>5.8</v>
      </c>
      <c r="V319" s="148" t="s">
        <v>29</v>
      </c>
      <c r="W319" s="149" t="s">
        <v>11</v>
      </c>
      <c r="X319" s="151">
        <v>792114</v>
      </c>
      <c r="Y319" s="151">
        <v>1419851</v>
      </c>
      <c r="Z319" s="152">
        <f t="shared" si="32"/>
        <v>2211965</v>
      </c>
      <c r="AA319" s="153">
        <f t="shared" si="28"/>
        <v>88.831894134798702</v>
      </c>
      <c r="AB319" s="153">
        <f t="shared" si="29"/>
        <v>82.607109611356762</v>
      </c>
      <c r="AC319" s="153">
        <f t="shared" si="30"/>
        <v>84.733384409117022</v>
      </c>
      <c r="AD319" s="175" t="s">
        <v>157</v>
      </c>
    </row>
    <row r="320" spans="1:30" s="146" customFormat="1" ht="21" customHeight="1" x14ac:dyDescent="0.2">
      <c r="A320" s="146" t="str">
        <f t="shared" si="31"/>
        <v>Citywalk Phase 5.05</v>
      </c>
      <c r="B320" s="147" t="str">
        <f t="shared" si="33"/>
        <v>Citywalk Phase 5.05 - Electrical</v>
      </c>
      <c r="C320" s="147"/>
      <c r="D320" s="148" t="s">
        <v>82</v>
      </c>
      <c r="E320" s="148" t="s">
        <v>83</v>
      </c>
      <c r="F320" s="148" t="s">
        <v>84</v>
      </c>
      <c r="G320" s="148" t="s">
        <v>85</v>
      </c>
      <c r="H320" s="149" t="s">
        <v>113</v>
      </c>
      <c r="I320" s="148" t="s">
        <v>121</v>
      </c>
      <c r="J320" s="149">
        <v>2024</v>
      </c>
      <c r="K320" s="150" t="s">
        <v>89</v>
      </c>
      <c r="L320" s="149" t="s">
        <v>86</v>
      </c>
      <c r="M320" s="149" t="s">
        <v>104</v>
      </c>
      <c r="N320" s="149" t="s">
        <v>105</v>
      </c>
      <c r="O320" s="149" t="s">
        <v>123</v>
      </c>
      <c r="P320" s="149" t="s">
        <v>124</v>
      </c>
      <c r="Q320" s="151">
        <v>8917</v>
      </c>
      <c r="R320" s="151">
        <v>17188</v>
      </c>
      <c r="S320" s="151">
        <v>26105</v>
      </c>
      <c r="T320" s="148" t="s">
        <v>148</v>
      </c>
      <c r="U320" s="154">
        <v>5.8</v>
      </c>
      <c r="V320" s="148" t="s">
        <v>55</v>
      </c>
      <c r="W320" s="149" t="s">
        <v>11</v>
      </c>
      <c r="X320" s="151">
        <v>0</v>
      </c>
      <c r="Y320" s="151">
        <v>959396</v>
      </c>
      <c r="Z320" s="152">
        <f t="shared" si="32"/>
        <v>959396</v>
      </c>
      <c r="AA320" s="153">
        <f t="shared" si="28"/>
        <v>0</v>
      </c>
      <c r="AB320" s="153">
        <f t="shared" si="29"/>
        <v>55.81777984640447</v>
      </c>
      <c r="AC320" s="153">
        <f t="shared" si="30"/>
        <v>36.751426929706952</v>
      </c>
      <c r="AD320" s="175" t="s">
        <v>157</v>
      </c>
    </row>
    <row r="321" spans="1:30" s="146" customFormat="1" ht="21" customHeight="1" x14ac:dyDescent="0.2">
      <c r="A321" s="146" t="str">
        <f t="shared" si="31"/>
        <v>Citywalk Phase 5.05</v>
      </c>
      <c r="B321" s="147" t="str">
        <f t="shared" si="33"/>
        <v>Citywalk Phase 5.05 - Electrical</v>
      </c>
      <c r="C321" s="147"/>
      <c r="D321" s="148" t="s">
        <v>82</v>
      </c>
      <c r="E321" s="148" t="s">
        <v>83</v>
      </c>
      <c r="F321" s="148" t="s">
        <v>84</v>
      </c>
      <c r="G321" s="148" t="s">
        <v>85</v>
      </c>
      <c r="H321" s="149" t="s">
        <v>113</v>
      </c>
      <c r="I321" s="148" t="s">
        <v>121</v>
      </c>
      <c r="J321" s="149">
        <v>2024</v>
      </c>
      <c r="K321" s="150" t="s">
        <v>89</v>
      </c>
      <c r="L321" s="149" t="s">
        <v>86</v>
      </c>
      <c r="M321" s="149" t="s">
        <v>104</v>
      </c>
      <c r="N321" s="149" t="s">
        <v>105</v>
      </c>
      <c r="O321" s="149" t="s">
        <v>123</v>
      </c>
      <c r="P321" s="149" t="s">
        <v>124</v>
      </c>
      <c r="Q321" s="151">
        <v>8917</v>
      </c>
      <c r="R321" s="151">
        <v>17188</v>
      </c>
      <c r="S321" s="151">
        <v>26105</v>
      </c>
      <c r="T321" s="148" t="s">
        <v>148</v>
      </c>
      <c r="U321" s="154">
        <v>5.8</v>
      </c>
      <c r="V321" s="148" t="s">
        <v>30</v>
      </c>
      <c r="W321" s="149" t="s">
        <v>11</v>
      </c>
      <c r="X321" s="151">
        <v>1776096</v>
      </c>
      <c r="Y321" s="151">
        <v>825357</v>
      </c>
      <c r="Z321" s="152">
        <f t="shared" si="32"/>
        <v>2601453</v>
      </c>
      <c r="AA321" s="153">
        <f t="shared" si="28"/>
        <v>199.18089043400246</v>
      </c>
      <c r="AB321" s="153">
        <f t="shared" si="29"/>
        <v>48.019373981847799</v>
      </c>
      <c r="AC321" s="153">
        <f t="shared" si="30"/>
        <v>99.653438038689913</v>
      </c>
      <c r="AD321" s="175" t="s">
        <v>157</v>
      </c>
    </row>
    <row r="322" spans="1:30" s="146" customFormat="1" ht="21" customHeight="1" x14ac:dyDescent="0.2">
      <c r="A322" s="146" t="str">
        <f t="shared" si="31"/>
        <v>Citywalk Phase 5.05</v>
      </c>
      <c r="B322" s="147" t="str">
        <f t="shared" si="33"/>
        <v>Citywalk Phase 5.05 - Electrical</v>
      </c>
      <c r="C322" s="147"/>
      <c r="D322" s="148" t="s">
        <v>82</v>
      </c>
      <c r="E322" s="148" t="s">
        <v>83</v>
      </c>
      <c r="F322" s="148" t="s">
        <v>84</v>
      </c>
      <c r="G322" s="148" t="s">
        <v>85</v>
      </c>
      <c r="H322" s="149" t="s">
        <v>113</v>
      </c>
      <c r="I322" s="148" t="s">
        <v>121</v>
      </c>
      <c r="J322" s="149">
        <v>2024</v>
      </c>
      <c r="K322" s="150" t="s">
        <v>89</v>
      </c>
      <c r="L322" s="149" t="s">
        <v>86</v>
      </c>
      <c r="M322" s="149" t="s">
        <v>104</v>
      </c>
      <c r="N322" s="149" t="s">
        <v>105</v>
      </c>
      <c r="O322" s="149" t="s">
        <v>123</v>
      </c>
      <c r="P322" s="149" t="s">
        <v>124</v>
      </c>
      <c r="Q322" s="151">
        <v>8917</v>
      </c>
      <c r="R322" s="151">
        <v>17188</v>
      </c>
      <c r="S322" s="151">
        <v>26105</v>
      </c>
      <c r="T322" s="148" t="s">
        <v>148</v>
      </c>
      <c r="U322" s="154">
        <v>5.8</v>
      </c>
      <c r="V322" s="148" t="s">
        <v>31</v>
      </c>
      <c r="W322" s="149" t="s">
        <v>11</v>
      </c>
      <c r="X322" s="151">
        <v>135937</v>
      </c>
      <c r="Y322" s="151">
        <v>2401698</v>
      </c>
      <c r="Z322" s="152">
        <f t="shared" si="32"/>
        <v>2537635</v>
      </c>
      <c r="AA322" s="153">
        <f t="shared" si="28"/>
        <v>15.244701132667938</v>
      </c>
      <c r="AB322" s="153">
        <f t="shared" si="29"/>
        <v>139.73109145915754</v>
      </c>
      <c r="AC322" s="153">
        <f t="shared" si="30"/>
        <v>97.208772265849447</v>
      </c>
      <c r="AD322" s="175" t="s">
        <v>157</v>
      </c>
    </row>
    <row r="323" spans="1:30" s="146" customFormat="1" ht="21" customHeight="1" x14ac:dyDescent="0.2">
      <c r="A323" s="146" t="str">
        <f t="shared" si="31"/>
        <v>Citywalk Phase 5.05</v>
      </c>
      <c r="B323" s="147" t="str">
        <f t="shared" si="33"/>
        <v>Citywalk Phase 5.05 - Electrical</v>
      </c>
      <c r="C323" s="147"/>
      <c r="D323" s="148" t="s">
        <v>82</v>
      </c>
      <c r="E323" s="148" t="s">
        <v>83</v>
      </c>
      <c r="F323" s="148" t="s">
        <v>84</v>
      </c>
      <c r="G323" s="148" t="s">
        <v>85</v>
      </c>
      <c r="H323" s="149" t="s">
        <v>113</v>
      </c>
      <c r="I323" s="148" t="s">
        <v>121</v>
      </c>
      <c r="J323" s="149">
        <v>2024</v>
      </c>
      <c r="K323" s="150" t="s">
        <v>89</v>
      </c>
      <c r="L323" s="149" t="s">
        <v>86</v>
      </c>
      <c r="M323" s="149" t="s">
        <v>104</v>
      </c>
      <c r="N323" s="149" t="s">
        <v>105</v>
      </c>
      <c r="O323" s="149" t="s">
        <v>123</v>
      </c>
      <c r="P323" s="149" t="s">
        <v>124</v>
      </c>
      <c r="Q323" s="151">
        <v>8917</v>
      </c>
      <c r="R323" s="151">
        <v>17188</v>
      </c>
      <c r="S323" s="151">
        <v>26105</v>
      </c>
      <c r="T323" s="148" t="s">
        <v>148</v>
      </c>
      <c r="U323" s="154">
        <v>5.8</v>
      </c>
      <c r="V323" s="148" t="s">
        <v>32</v>
      </c>
      <c r="W323" s="149" t="s">
        <v>11</v>
      </c>
      <c r="X323" s="151">
        <v>197050</v>
      </c>
      <c r="Y323" s="151">
        <v>2624615</v>
      </c>
      <c r="Z323" s="152">
        <f t="shared" si="32"/>
        <v>2821665</v>
      </c>
      <c r="AA323" s="153">
        <f t="shared" si="28"/>
        <v>22.098239318156331</v>
      </c>
      <c r="AB323" s="153">
        <f t="shared" si="29"/>
        <v>152.70043053292994</v>
      </c>
      <c r="AC323" s="153">
        <f t="shared" si="30"/>
        <v>108.08906339781652</v>
      </c>
      <c r="AD323" s="175" t="s">
        <v>157</v>
      </c>
    </row>
    <row r="324" spans="1:30" s="146" customFormat="1" ht="21" customHeight="1" x14ac:dyDescent="0.2">
      <c r="A324" s="146" t="str">
        <f t="shared" si="31"/>
        <v>Citywalk Phase 5.05</v>
      </c>
      <c r="B324" s="147" t="str">
        <f t="shared" si="33"/>
        <v>Citywalk Phase 5.05 - Electrical</v>
      </c>
      <c r="C324" s="147"/>
      <c r="D324" s="148" t="s">
        <v>82</v>
      </c>
      <c r="E324" s="148" t="s">
        <v>83</v>
      </c>
      <c r="F324" s="148" t="s">
        <v>84</v>
      </c>
      <c r="G324" s="148" t="s">
        <v>85</v>
      </c>
      <c r="H324" s="149" t="s">
        <v>113</v>
      </c>
      <c r="I324" s="148" t="s">
        <v>121</v>
      </c>
      <c r="J324" s="149">
        <v>2024</v>
      </c>
      <c r="K324" s="150" t="s">
        <v>89</v>
      </c>
      <c r="L324" s="149" t="s">
        <v>86</v>
      </c>
      <c r="M324" s="149" t="s">
        <v>104</v>
      </c>
      <c r="N324" s="149" t="s">
        <v>105</v>
      </c>
      <c r="O324" s="149" t="s">
        <v>123</v>
      </c>
      <c r="P324" s="149" t="s">
        <v>124</v>
      </c>
      <c r="Q324" s="151">
        <v>8917</v>
      </c>
      <c r="R324" s="151">
        <v>17188</v>
      </c>
      <c r="S324" s="151">
        <v>26105</v>
      </c>
      <c r="T324" s="148" t="s">
        <v>148</v>
      </c>
      <c r="U324" s="154">
        <v>5.8</v>
      </c>
      <c r="V324" s="148" t="s">
        <v>33</v>
      </c>
      <c r="W324" s="149" t="s">
        <v>11</v>
      </c>
      <c r="X324" s="151">
        <v>120445</v>
      </c>
      <c r="Y324" s="151">
        <v>1248203</v>
      </c>
      <c r="Z324" s="152">
        <f t="shared" si="32"/>
        <v>1368648</v>
      </c>
      <c r="AA324" s="153">
        <f t="shared" ref="AA324:AA346" si="34">X324/Q324</f>
        <v>13.507345519793652</v>
      </c>
      <c r="AB324" s="153">
        <f t="shared" ref="AB324:AB346" si="35">Y324/R324</f>
        <v>72.620607400511986</v>
      </c>
      <c r="AC324" s="153">
        <f t="shared" ref="AC324:AC346" si="36">Z324/S324</f>
        <v>52.428576900976822</v>
      </c>
      <c r="AD324" s="175" t="s">
        <v>157</v>
      </c>
    </row>
    <row r="325" spans="1:30" s="146" customFormat="1" ht="21" customHeight="1" x14ac:dyDescent="0.2">
      <c r="A325" s="146" t="str">
        <f t="shared" si="31"/>
        <v>Citywalk Phase 5.05</v>
      </c>
      <c r="B325" s="147" t="str">
        <f t="shared" si="33"/>
        <v>Citywalk Phase 5.05 - Electrical</v>
      </c>
      <c r="C325" s="147"/>
      <c r="D325" s="148" t="s">
        <v>82</v>
      </c>
      <c r="E325" s="148" t="s">
        <v>83</v>
      </c>
      <c r="F325" s="148" t="s">
        <v>84</v>
      </c>
      <c r="G325" s="148" t="s">
        <v>85</v>
      </c>
      <c r="H325" s="149" t="s">
        <v>113</v>
      </c>
      <c r="I325" s="148" t="s">
        <v>121</v>
      </c>
      <c r="J325" s="149">
        <v>2024</v>
      </c>
      <c r="K325" s="150" t="s">
        <v>89</v>
      </c>
      <c r="L325" s="149" t="s">
        <v>86</v>
      </c>
      <c r="M325" s="149" t="s">
        <v>104</v>
      </c>
      <c r="N325" s="149" t="s">
        <v>105</v>
      </c>
      <c r="O325" s="149" t="s">
        <v>123</v>
      </c>
      <c r="P325" s="149" t="s">
        <v>124</v>
      </c>
      <c r="Q325" s="151">
        <v>8917</v>
      </c>
      <c r="R325" s="151">
        <v>17188</v>
      </c>
      <c r="S325" s="151">
        <v>26105</v>
      </c>
      <c r="T325" s="148" t="s">
        <v>148</v>
      </c>
      <c r="U325" s="154">
        <v>5.8</v>
      </c>
      <c r="V325" s="148" t="s">
        <v>34</v>
      </c>
      <c r="W325" s="149" t="s">
        <v>11</v>
      </c>
      <c r="X325" s="151">
        <v>14181</v>
      </c>
      <c r="Y325" s="151">
        <v>340866</v>
      </c>
      <c r="Z325" s="152">
        <f t="shared" si="32"/>
        <v>355047</v>
      </c>
      <c r="AA325" s="153">
        <f t="shared" si="34"/>
        <v>1.5903330716608726</v>
      </c>
      <c r="AB325" s="153">
        <f t="shared" si="35"/>
        <v>19.831626716313707</v>
      </c>
      <c r="AC325" s="153">
        <f t="shared" si="36"/>
        <v>13.60072782991764</v>
      </c>
      <c r="AD325" s="175" t="s">
        <v>157</v>
      </c>
    </row>
    <row r="326" spans="1:30" s="146" customFormat="1" ht="21" customHeight="1" x14ac:dyDescent="0.2">
      <c r="A326" s="146" t="str">
        <f t="shared" si="31"/>
        <v>Citywalk Phase 5.05</v>
      </c>
      <c r="B326" s="147" t="str">
        <f t="shared" si="33"/>
        <v>Citywalk Phase 5.05 - Electrical</v>
      </c>
      <c r="C326" s="147"/>
      <c r="D326" s="148" t="s">
        <v>82</v>
      </c>
      <c r="E326" s="148" t="s">
        <v>83</v>
      </c>
      <c r="F326" s="148" t="s">
        <v>84</v>
      </c>
      <c r="G326" s="148" t="s">
        <v>85</v>
      </c>
      <c r="H326" s="149" t="s">
        <v>113</v>
      </c>
      <c r="I326" s="148" t="s">
        <v>121</v>
      </c>
      <c r="J326" s="149">
        <v>2024</v>
      </c>
      <c r="K326" s="150" t="s">
        <v>89</v>
      </c>
      <c r="L326" s="149" t="s">
        <v>86</v>
      </c>
      <c r="M326" s="149" t="s">
        <v>104</v>
      </c>
      <c r="N326" s="149" t="s">
        <v>105</v>
      </c>
      <c r="O326" s="149" t="s">
        <v>123</v>
      </c>
      <c r="P326" s="149" t="s">
        <v>124</v>
      </c>
      <c r="Q326" s="151">
        <v>8917</v>
      </c>
      <c r="R326" s="151">
        <v>17188</v>
      </c>
      <c r="S326" s="151">
        <v>26105</v>
      </c>
      <c r="T326" s="148" t="s">
        <v>148</v>
      </c>
      <c r="U326" s="154">
        <v>5.8</v>
      </c>
      <c r="V326" s="148" t="s">
        <v>35</v>
      </c>
      <c r="W326" s="149" t="s">
        <v>11</v>
      </c>
      <c r="X326" s="151">
        <v>42601</v>
      </c>
      <c r="Y326" s="151">
        <v>469126</v>
      </c>
      <c r="Z326" s="152">
        <f t="shared" si="32"/>
        <v>511727</v>
      </c>
      <c r="AA326" s="153">
        <f t="shared" si="34"/>
        <v>4.7775036447235619</v>
      </c>
      <c r="AB326" s="153">
        <f t="shared" si="35"/>
        <v>27.293809634628811</v>
      </c>
      <c r="AC326" s="153">
        <f t="shared" si="36"/>
        <v>19.602643171806168</v>
      </c>
      <c r="AD326" s="175" t="s">
        <v>157</v>
      </c>
    </row>
    <row r="327" spans="1:30" s="146" customFormat="1" ht="21" customHeight="1" x14ac:dyDescent="0.2">
      <c r="A327" s="146" t="str">
        <f t="shared" si="31"/>
        <v>Citywalk Phase 5.05</v>
      </c>
      <c r="B327" s="147" t="str">
        <f t="shared" si="33"/>
        <v>Citywalk Phase 5.05 - Electrical</v>
      </c>
      <c r="C327" s="147"/>
      <c r="D327" s="148" t="s">
        <v>82</v>
      </c>
      <c r="E327" s="148" t="s">
        <v>83</v>
      </c>
      <c r="F327" s="148" t="s">
        <v>84</v>
      </c>
      <c r="G327" s="148" t="s">
        <v>85</v>
      </c>
      <c r="H327" s="149" t="s">
        <v>113</v>
      </c>
      <c r="I327" s="148" t="s">
        <v>121</v>
      </c>
      <c r="J327" s="149">
        <v>2024</v>
      </c>
      <c r="K327" s="150" t="s">
        <v>89</v>
      </c>
      <c r="L327" s="149" t="s">
        <v>86</v>
      </c>
      <c r="M327" s="149" t="s">
        <v>104</v>
      </c>
      <c r="N327" s="149" t="s">
        <v>105</v>
      </c>
      <c r="O327" s="149" t="s">
        <v>123</v>
      </c>
      <c r="P327" s="149" t="s">
        <v>124</v>
      </c>
      <c r="Q327" s="151">
        <v>8917</v>
      </c>
      <c r="R327" s="151">
        <v>17188</v>
      </c>
      <c r="S327" s="151">
        <v>26105</v>
      </c>
      <c r="T327" s="148" t="s">
        <v>148</v>
      </c>
      <c r="U327" s="154">
        <v>5.8</v>
      </c>
      <c r="V327" s="148" t="s">
        <v>56</v>
      </c>
      <c r="W327" s="149" t="s">
        <v>11</v>
      </c>
      <c r="X327" s="151">
        <v>75559</v>
      </c>
      <c r="Y327" s="151">
        <v>600554</v>
      </c>
      <c r="Z327" s="152">
        <f t="shared" si="32"/>
        <v>676113</v>
      </c>
      <c r="AA327" s="153">
        <f t="shared" si="34"/>
        <v>8.4735897723449582</v>
      </c>
      <c r="AB327" s="153">
        <f t="shared" si="35"/>
        <v>34.940307191063532</v>
      </c>
      <c r="AC327" s="153">
        <f t="shared" si="36"/>
        <v>25.899751005554492</v>
      </c>
      <c r="AD327" s="175" t="s">
        <v>157</v>
      </c>
    </row>
    <row r="328" spans="1:30" s="146" customFormat="1" ht="21" customHeight="1" x14ac:dyDescent="0.2">
      <c r="A328" s="146" t="str">
        <f t="shared" si="31"/>
        <v>Citywalk Phase 5.05</v>
      </c>
      <c r="B328" s="147" t="str">
        <f t="shared" si="33"/>
        <v>Citywalk Phase 5.05 - Electrical</v>
      </c>
      <c r="C328" s="147"/>
      <c r="D328" s="148" t="s">
        <v>82</v>
      </c>
      <c r="E328" s="148" t="s">
        <v>83</v>
      </c>
      <c r="F328" s="148" t="s">
        <v>84</v>
      </c>
      <c r="G328" s="148" t="s">
        <v>85</v>
      </c>
      <c r="H328" s="149" t="s">
        <v>113</v>
      </c>
      <c r="I328" s="148" t="s">
        <v>121</v>
      </c>
      <c r="J328" s="149">
        <v>2024</v>
      </c>
      <c r="K328" s="150" t="s">
        <v>89</v>
      </c>
      <c r="L328" s="149" t="s">
        <v>86</v>
      </c>
      <c r="M328" s="149" t="s">
        <v>104</v>
      </c>
      <c r="N328" s="149" t="s">
        <v>105</v>
      </c>
      <c r="O328" s="149" t="s">
        <v>123</v>
      </c>
      <c r="P328" s="149" t="s">
        <v>124</v>
      </c>
      <c r="Q328" s="151">
        <v>8917</v>
      </c>
      <c r="R328" s="151">
        <v>17188</v>
      </c>
      <c r="S328" s="151">
        <v>26105</v>
      </c>
      <c r="T328" s="148" t="s">
        <v>148</v>
      </c>
      <c r="U328" s="154">
        <v>5.8</v>
      </c>
      <c r="V328" s="148" t="s">
        <v>36</v>
      </c>
      <c r="W328" s="149" t="s">
        <v>11</v>
      </c>
      <c r="X328" s="151">
        <v>44400</v>
      </c>
      <c r="Y328" s="151">
        <v>16650</v>
      </c>
      <c r="Z328" s="152">
        <f t="shared" si="32"/>
        <v>61050</v>
      </c>
      <c r="AA328" s="153">
        <f t="shared" si="34"/>
        <v>4.9792531120331951</v>
      </c>
      <c r="AB328" s="153">
        <f t="shared" si="35"/>
        <v>0.9686990923900396</v>
      </c>
      <c r="AC328" s="153">
        <f t="shared" si="36"/>
        <v>2.3386324458915917</v>
      </c>
      <c r="AD328" s="175" t="s">
        <v>157</v>
      </c>
    </row>
    <row r="329" spans="1:30" s="146" customFormat="1" ht="21" customHeight="1" x14ac:dyDescent="0.2">
      <c r="A329" s="146" t="str">
        <f t="shared" si="31"/>
        <v>Citywalk Phase 5.05</v>
      </c>
      <c r="B329" s="147" t="str">
        <f t="shared" si="33"/>
        <v>Citywalk Phase 5.05 - Electrical</v>
      </c>
      <c r="C329" s="147"/>
      <c r="D329" s="148" t="s">
        <v>82</v>
      </c>
      <c r="E329" s="148" t="s">
        <v>83</v>
      </c>
      <c r="F329" s="148" t="s">
        <v>84</v>
      </c>
      <c r="G329" s="148" t="s">
        <v>85</v>
      </c>
      <c r="H329" s="149" t="s">
        <v>113</v>
      </c>
      <c r="I329" s="148" t="s">
        <v>121</v>
      </c>
      <c r="J329" s="149">
        <v>2024</v>
      </c>
      <c r="K329" s="150" t="s">
        <v>89</v>
      </c>
      <c r="L329" s="149" t="s">
        <v>86</v>
      </c>
      <c r="M329" s="149" t="s">
        <v>104</v>
      </c>
      <c r="N329" s="149" t="s">
        <v>105</v>
      </c>
      <c r="O329" s="149" t="s">
        <v>123</v>
      </c>
      <c r="P329" s="149" t="s">
        <v>124</v>
      </c>
      <c r="Q329" s="151">
        <v>8917</v>
      </c>
      <c r="R329" s="151">
        <v>17188</v>
      </c>
      <c r="S329" s="151">
        <v>26105</v>
      </c>
      <c r="T329" s="148" t="s">
        <v>148</v>
      </c>
      <c r="U329" s="154">
        <v>5.8</v>
      </c>
      <c r="V329" s="148" t="s">
        <v>57</v>
      </c>
      <c r="W329" s="149" t="s">
        <v>11</v>
      </c>
      <c r="X329" s="151">
        <v>0</v>
      </c>
      <c r="Y329" s="151">
        <v>47175</v>
      </c>
      <c r="Z329" s="152">
        <f t="shared" si="32"/>
        <v>47175</v>
      </c>
      <c r="AA329" s="153">
        <f t="shared" si="34"/>
        <v>0</v>
      </c>
      <c r="AB329" s="153">
        <f t="shared" si="35"/>
        <v>2.7446474284384452</v>
      </c>
      <c r="AC329" s="153">
        <f t="shared" si="36"/>
        <v>1.8071250718253209</v>
      </c>
      <c r="AD329" s="175" t="s">
        <v>157</v>
      </c>
    </row>
    <row r="330" spans="1:30" s="146" customFormat="1" ht="21" customHeight="1" x14ac:dyDescent="0.2">
      <c r="A330" s="146" t="str">
        <f t="shared" si="31"/>
        <v>Citywalk Phase 5.05</v>
      </c>
      <c r="B330" s="147" t="str">
        <f t="shared" si="33"/>
        <v>Citywalk Phase 5.05 - Electrical</v>
      </c>
      <c r="C330" s="147"/>
      <c r="D330" s="148" t="s">
        <v>82</v>
      </c>
      <c r="E330" s="148" t="s">
        <v>83</v>
      </c>
      <c r="F330" s="148" t="s">
        <v>84</v>
      </c>
      <c r="G330" s="148" t="s">
        <v>85</v>
      </c>
      <c r="H330" s="149" t="s">
        <v>113</v>
      </c>
      <c r="I330" s="148" t="s">
        <v>121</v>
      </c>
      <c r="J330" s="149">
        <v>2024</v>
      </c>
      <c r="K330" s="150" t="s">
        <v>89</v>
      </c>
      <c r="L330" s="149" t="s">
        <v>86</v>
      </c>
      <c r="M330" s="149" t="s">
        <v>104</v>
      </c>
      <c r="N330" s="149" t="s">
        <v>105</v>
      </c>
      <c r="O330" s="149" t="s">
        <v>123</v>
      </c>
      <c r="P330" s="149" t="s">
        <v>124</v>
      </c>
      <c r="Q330" s="151">
        <v>8917</v>
      </c>
      <c r="R330" s="151">
        <v>17188</v>
      </c>
      <c r="S330" s="151">
        <v>26105</v>
      </c>
      <c r="T330" s="148" t="s">
        <v>148</v>
      </c>
      <c r="U330" s="154">
        <v>5.8</v>
      </c>
      <c r="V330" s="148" t="s">
        <v>37</v>
      </c>
      <c r="W330" s="149" t="s">
        <v>11</v>
      </c>
      <c r="X330" s="151">
        <v>157176</v>
      </c>
      <c r="Y330" s="151">
        <v>213786</v>
      </c>
      <c r="Z330" s="152">
        <f t="shared" si="32"/>
        <v>370962</v>
      </c>
      <c r="AA330" s="153">
        <f t="shared" si="34"/>
        <v>17.626556016597512</v>
      </c>
      <c r="AB330" s="153">
        <f t="shared" si="35"/>
        <v>12.438096346288107</v>
      </c>
      <c r="AC330" s="153">
        <f t="shared" si="36"/>
        <v>14.210381153035817</v>
      </c>
      <c r="AD330" s="175" t="s">
        <v>157</v>
      </c>
    </row>
    <row r="331" spans="1:30" s="146" customFormat="1" ht="21" customHeight="1" x14ac:dyDescent="0.2">
      <c r="A331" s="146" t="str">
        <f t="shared" si="31"/>
        <v>Citywalk Phase 5.05</v>
      </c>
      <c r="B331" s="147" t="str">
        <f t="shared" si="33"/>
        <v>Citywalk Phase 5.05 - Electrical</v>
      </c>
      <c r="C331" s="147"/>
      <c r="D331" s="148" t="s">
        <v>82</v>
      </c>
      <c r="E331" s="148" t="s">
        <v>83</v>
      </c>
      <c r="F331" s="148" t="s">
        <v>84</v>
      </c>
      <c r="G331" s="148" t="s">
        <v>85</v>
      </c>
      <c r="H331" s="149" t="s">
        <v>113</v>
      </c>
      <c r="I331" s="148" t="s">
        <v>121</v>
      </c>
      <c r="J331" s="149">
        <v>2024</v>
      </c>
      <c r="K331" s="150" t="s">
        <v>89</v>
      </c>
      <c r="L331" s="149" t="s">
        <v>86</v>
      </c>
      <c r="M331" s="149" t="s">
        <v>104</v>
      </c>
      <c r="N331" s="149" t="s">
        <v>105</v>
      </c>
      <c r="O331" s="149" t="s">
        <v>123</v>
      </c>
      <c r="P331" s="149" t="s">
        <v>124</v>
      </c>
      <c r="Q331" s="151">
        <v>8917</v>
      </c>
      <c r="R331" s="151">
        <v>17188</v>
      </c>
      <c r="S331" s="151">
        <v>26105</v>
      </c>
      <c r="T331" s="148" t="s">
        <v>148</v>
      </c>
      <c r="U331" s="154">
        <v>5.8</v>
      </c>
      <c r="V331" s="148" t="s">
        <v>38</v>
      </c>
      <c r="W331" s="149" t="s">
        <v>11</v>
      </c>
      <c r="X331" s="151">
        <v>27750</v>
      </c>
      <c r="Y331" s="151">
        <v>0</v>
      </c>
      <c r="Z331" s="152">
        <f t="shared" si="32"/>
        <v>27750</v>
      </c>
      <c r="AA331" s="153">
        <f t="shared" si="34"/>
        <v>3.1120331950207469</v>
      </c>
      <c r="AB331" s="153">
        <f t="shared" si="35"/>
        <v>0</v>
      </c>
      <c r="AC331" s="153">
        <f t="shared" si="36"/>
        <v>1.0630147481325416</v>
      </c>
      <c r="AD331" s="175" t="s">
        <v>157</v>
      </c>
    </row>
    <row r="332" spans="1:30" s="146" customFormat="1" ht="21" customHeight="1" x14ac:dyDescent="0.2">
      <c r="A332" s="146" t="str">
        <f t="shared" si="31"/>
        <v>Citywalk Phase 5.05</v>
      </c>
      <c r="B332" s="147" t="str">
        <f t="shared" si="33"/>
        <v>Citywalk Phase 5.05 - Electrical</v>
      </c>
      <c r="C332" s="147"/>
      <c r="D332" s="148" t="s">
        <v>82</v>
      </c>
      <c r="E332" s="148" t="s">
        <v>83</v>
      </c>
      <c r="F332" s="148" t="s">
        <v>84</v>
      </c>
      <c r="G332" s="148" t="s">
        <v>85</v>
      </c>
      <c r="H332" s="149" t="s">
        <v>113</v>
      </c>
      <c r="I332" s="148" t="s">
        <v>121</v>
      </c>
      <c r="J332" s="149">
        <v>2024</v>
      </c>
      <c r="K332" s="150" t="s">
        <v>89</v>
      </c>
      <c r="L332" s="149" t="s">
        <v>86</v>
      </c>
      <c r="M332" s="149" t="s">
        <v>104</v>
      </c>
      <c r="N332" s="149" t="s">
        <v>105</v>
      </c>
      <c r="O332" s="149" t="s">
        <v>123</v>
      </c>
      <c r="P332" s="149" t="s">
        <v>124</v>
      </c>
      <c r="Q332" s="151">
        <v>8917</v>
      </c>
      <c r="R332" s="151">
        <v>17188</v>
      </c>
      <c r="S332" s="151">
        <v>26105</v>
      </c>
      <c r="T332" s="148" t="s">
        <v>148</v>
      </c>
      <c r="U332" s="154">
        <v>5.8</v>
      </c>
      <c r="V332" s="148" t="s">
        <v>5</v>
      </c>
      <c r="W332" s="149" t="s">
        <v>11</v>
      </c>
      <c r="X332" s="151">
        <v>321012</v>
      </c>
      <c r="Y332" s="151">
        <v>685852</v>
      </c>
      <c r="Z332" s="152">
        <f t="shared" si="32"/>
        <v>1006864</v>
      </c>
      <c r="AA332" s="153">
        <f t="shared" si="34"/>
        <v>36</v>
      </c>
      <c r="AB332" s="153">
        <f t="shared" si="35"/>
        <v>39.902955550383986</v>
      </c>
      <c r="AC332" s="153">
        <f t="shared" si="36"/>
        <v>38.569775904999041</v>
      </c>
      <c r="AD332" s="175" t="s">
        <v>157</v>
      </c>
    </row>
    <row r="333" spans="1:30" s="146" customFormat="1" ht="21" customHeight="1" x14ac:dyDescent="0.2">
      <c r="A333" s="146" t="str">
        <f t="shared" si="31"/>
        <v>Citywalk Phase 5.05</v>
      </c>
      <c r="B333" s="147" t="str">
        <f t="shared" si="33"/>
        <v>Citywalk Phase 5.05 - Electrical</v>
      </c>
      <c r="C333" s="147"/>
      <c r="D333" s="148" t="s">
        <v>82</v>
      </c>
      <c r="E333" s="148" t="s">
        <v>83</v>
      </c>
      <c r="F333" s="148" t="s">
        <v>84</v>
      </c>
      <c r="G333" s="148" t="s">
        <v>85</v>
      </c>
      <c r="H333" s="149" t="s">
        <v>113</v>
      </c>
      <c r="I333" s="148" t="s">
        <v>121</v>
      </c>
      <c r="J333" s="149">
        <v>2024</v>
      </c>
      <c r="K333" s="150" t="s">
        <v>89</v>
      </c>
      <c r="L333" s="149" t="s">
        <v>86</v>
      </c>
      <c r="M333" s="149" t="s">
        <v>104</v>
      </c>
      <c r="N333" s="149" t="s">
        <v>105</v>
      </c>
      <c r="O333" s="149" t="s">
        <v>123</v>
      </c>
      <c r="P333" s="149" t="s">
        <v>124</v>
      </c>
      <c r="Q333" s="151">
        <v>8917</v>
      </c>
      <c r="R333" s="151">
        <v>17188</v>
      </c>
      <c r="S333" s="151">
        <v>26105</v>
      </c>
      <c r="T333" s="148" t="s">
        <v>148</v>
      </c>
      <c r="U333" s="154" t="s">
        <v>52</v>
      </c>
      <c r="V333" s="148" t="s">
        <v>39</v>
      </c>
      <c r="W333" s="149" t="s">
        <v>11</v>
      </c>
      <c r="X333" s="151">
        <v>110776</v>
      </c>
      <c r="Y333" s="151">
        <v>846824</v>
      </c>
      <c r="Z333" s="152">
        <f t="shared" si="32"/>
        <v>957600</v>
      </c>
      <c r="AA333" s="153">
        <f t="shared" si="34"/>
        <v>12.423012223842099</v>
      </c>
      <c r="AB333" s="153">
        <f t="shared" si="35"/>
        <v>49.26832673958576</v>
      </c>
      <c r="AC333" s="153">
        <f t="shared" si="36"/>
        <v>36.682627849071061</v>
      </c>
      <c r="AD333" s="175" t="s">
        <v>157</v>
      </c>
    </row>
    <row r="334" spans="1:30" s="146" customFormat="1" ht="21" customHeight="1" x14ac:dyDescent="0.2">
      <c r="A334" s="146" t="str">
        <f t="shared" si="31"/>
        <v>Citywalk Phase 5.05</v>
      </c>
      <c r="B334" s="147" t="str">
        <f t="shared" si="33"/>
        <v>Citywalk Phase 5.05 - Electrical</v>
      </c>
      <c r="C334" s="147"/>
      <c r="D334" s="148" t="s">
        <v>82</v>
      </c>
      <c r="E334" s="148" t="s">
        <v>83</v>
      </c>
      <c r="F334" s="148" t="s">
        <v>84</v>
      </c>
      <c r="G334" s="148" t="s">
        <v>85</v>
      </c>
      <c r="H334" s="149" t="s">
        <v>113</v>
      </c>
      <c r="I334" s="148" t="s">
        <v>121</v>
      </c>
      <c r="J334" s="149">
        <v>2024</v>
      </c>
      <c r="K334" s="150" t="s">
        <v>89</v>
      </c>
      <c r="L334" s="149" t="s">
        <v>86</v>
      </c>
      <c r="M334" s="149" t="s">
        <v>104</v>
      </c>
      <c r="N334" s="149" t="s">
        <v>105</v>
      </c>
      <c r="O334" s="149" t="s">
        <v>123</v>
      </c>
      <c r="P334" s="149" t="s">
        <v>124</v>
      </c>
      <c r="Q334" s="151">
        <v>8917</v>
      </c>
      <c r="R334" s="151">
        <v>17188</v>
      </c>
      <c r="S334" s="151">
        <v>26105</v>
      </c>
      <c r="T334" s="148" t="s">
        <v>148</v>
      </c>
      <c r="U334" s="154" t="s">
        <v>52</v>
      </c>
      <c r="V334" s="148" t="s">
        <v>40</v>
      </c>
      <c r="W334" s="149" t="s">
        <v>11</v>
      </c>
      <c r="X334" s="151">
        <v>72705</v>
      </c>
      <c r="Y334" s="151">
        <v>0</v>
      </c>
      <c r="Z334" s="152">
        <f t="shared" si="32"/>
        <v>72705</v>
      </c>
      <c r="AA334" s="153">
        <f t="shared" si="34"/>
        <v>8.1535269709543563</v>
      </c>
      <c r="AB334" s="153">
        <f t="shared" si="35"/>
        <v>0</v>
      </c>
      <c r="AC334" s="153">
        <f t="shared" si="36"/>
        <v>2.7850986401072593</v>
      </c>
      <c r="AD334" s="175" t="s">
        <v>157</v>
      </c>
    </row>
    <row r="335" spans="1:30" s="146" customFormat="1" ht="21" customHeight="1" x14ac:dyDescent="0.2">
      <c r="A335" s="146" t="str">
        <f t="shared" si="31"/>
        <v>Citywalk Phase 5.05</v>
      </c>
      <c r="B335" s="147" t="str">
        <f t="shared" si="33"/>
        <v>Citywalk Phase 5.05 - Electrical</v>
      </c>
      <c r="C335" s="147"/>
      <c r="D335" s="148" t="s">
        <v>82</v>
      </c>
      <c r="E335" s="148" t="s">
        <v>83</v>
      </c>
      <c r="F335" s="148" t="s">
        <v>84</v>
      </c>
      <c r="G335" s="148" t="s">
        <v>85</v>
      </c>
      <c r="H335" s="149" t="s">
        <v>113</v>
      </c>
      <c r="I335" s="148" t="s">
        <v>121</v>
      </c>
      <c r="J335" s="149">
        <v>2024</v>
      </c>
      <c r="K335" s="150" t="s">
        <v>89</v>
      </c>
      <c r="L335" s="149" t="s">
        <v>86</v>
      </c>
      <c r="M335" s="149" t="s">
        <v>104</v>
      </c>
      <c r="N335" s="149" t="s">
        <v>105</v>
      </c>
      <c r="O335" s="149" t="s">
        <v>123</v>
      </c>
      <c r="P335" s="149" t="s">
        <v>124</v>
      </c>
      <c r="Q335" s="151">
        <v>8917</v>
      </c>
      <c r="R335" s="151">
        <v>17188</v>
      </c>
      <c r="S335" s="151">
        <v>26105</v>
      </c>
      <c r="T335" s="148" t="s">
        <v>148</v>
      </c>
      <c r="U335" s="154">
        <v>5.12</v>
      </c>
      <c r="V335" s="148" t="s">
        <v>41</v>
      </c>
      <c r="W335" s="149" t="s">
        <v>11</v>
      </c>
      <c r="X335" s="151">
        <v>45475</v>
      </c>
      <c r="Y335" s="151">
        <v>736084</v>
      </c>
      <c r="Z335" s="152">
        <f t="shared" si="32"/>
        <v>781559</v>
      </c>
      <c r="AA335" s="153">
        <f t="shared" si="34"/>
        <v>5.0998093529213859</v>
      </c>
      <c r="AB335" s="153">
        <f t="shared" si="35"/>
        <v>42.825459622992788</v>
      </c>
      <c r="AC335" s="153">
        <f t="shared" si="36"/>
        <v>29.939053821107066</v>
      </c>
      <c r="AD335" s="175" t="s">
        <v>157</v>
      </c>
    </row>
    <row r="336" spans="1:30" s="146" customFormat="1" ht="21" customHeight="1" x14ac:dyDescent="0.2">
      <c r="A336" s="146" t="str">
        <f t="shared" si="31"/>
        <v>Citywalk Phase 5.05</v>
      </c>
      <c r="B336" s="147" t="str">
        <f t="shared" si="33"/>
        <v>Citywalk Phase 5.05 - Electrical</v>
      </c>
      <c r="C336" s="147"/>
      <c r="D336" s="148" t="s">
        <v>82</v>
      </c>
      <c r="E336" s="148" t="s">
        <v>83</v>
      </c>
      <c r="F336" s="148" t="s">
        <v>84</v>
      </c>
      <c r="G336" s="148" t="s">
        <v>85</v>
      </c>
      <c r="H336" s="149" t="s">
        <v>113</v>
      </c>
      <c r="I336" s="148" t="s">
        <v>121</v>
      </c>
      <c r="J336" s="149">
        <v>2024</v>
      </c>
      <c r="K336" s="150" t="s">
        <v>89</v>
      </c>
      <c r="L336" s="149" t="s">
        <v>86</v>
      </c>
      <c r="M336" s="149" t="s">
        <v>104</v>
      </c>
      <c r="N336" s="149" t="s">
        <v>105</v>
      </c>
      <c r="O336" s="149" t="s">
        <v>123</v>
      </c>
      <c r="P336" s="149" t="s">
        <v>124</v>
      </c>
      <c r="Q336" s="151">
        <v>8917</v>
      </c>
      <c r="R336" s="151">
        <v>17188</v>
      </c>
      <c r="S336" s="151">
        <v>26105</v>
      </c>
      <c r="T336" s="148" t="s">
        <v>148</v>
      </c>
      <c r="U336" s="154">
        <v>5.12</v>
      </c>
      <c r="V336" s="148" t="s">
        <v>42</v>
      </c>
      <c r="W336" s="149" t="s">
        <v>11</v>
      </c>
      <c r="X336" s="151">
        <v>134880</v>
      </c>
      <c r="Y336" s="151">
        <v>182560</v>
      </c>
      <c r="Z336" s="152">
        <f t="shared" si="32"/>
        <v>317440</v>
      </c>
      <c r="AA336" s="153">
        <f t="shared" si="34"/>
        <v>15.126163507906247</v>
      </c>
      <c r="AB336" s="153">
        <f t="shared" si="35"/>
        <v>10.621363742145682</v>
      </c>
      <c r="AC336" s="153">
        <f t="shared" si="36"/>
        <v>12.160122581880866</v>
      </c>
      <c r="AD336" s="175" t="s">
        <v>157</v>
      </c>
    </row>
    <row r="337" spans="1:30" s="146" customFormat="1" ht="21" customHeight="1" x14ac:dyDescent="0.2">
      <c r="A337" s="146" t="str">
        <f t="shared" si="31"/>
        <v>Citywalk Phase 5.05</v>
      </c>
      <c r="B337" s="147" t="str">
        <f t="shared" si="33"/>
        <v>Citywalk Phase 5.05 - Electrical</v>
      </c>
      <c r="C337" s="147"/>
      <c r="D337" s="148" t="s">
        <v>82</v>
      </c>
      <c r="E337" s="148" t="s">
        <v>83</v>
      </c>
      <c r="F337" s="148" t="s">
        <v>84</v>
      </c>
      <c r="G337" s="148" t="s">
        <v>85</v>
      </c>
      <c r="H337" s="149" t="s">
        <v>113</v>
      </c>
      <c r="I337" s="148" t="s">
        <v>121</v>
      </c>
      <c r="J337" s="149">
        <v>2024</v>
      </c>
      <c r="K337" s="150" t="s">
        <v>89</v>
      </c>
      <c r="L337" s="149" t="s">
        <v>86</v>
      </c>
      <c r="M337" s="149" t="s">
        <v>104</v>
      </c>
      <c r="N337" s="149" t="s">
        <v>105</v>
      </c>
      <c r="O337" s="149" t="s">
        <v>123</v>
      </c>
      <c r="P337" s="149" t="s">
        <v>124</v>
      </c>
      <c r="Q337" s="151">
        <v>8917</v>
      </c>
      <c r="R337" s="151">
        <v>17188</v>
      </c>
      <c r="S337" s="151">
        <v>26105</v>
      </c>
      <c r="T337" s="148" t="s">
        <v>148</v>
      </c>
      <c r="U337" s="154">
        <v>5.12</v>
      </c>
      <c r="V337" s="148" t="s">
        <v>60</v>
      </c>
      <c r="W337" s="149" t="s">
        <v>11</v>
      </c>
      <c r="X337" s="151">
        <v>0</v>
      </c>
      <c r="Y337" s="151">
        <v>3330</v>
      </c>
      <c r="Z337" s="152">
        <f t="shared" si="32"/>
        <v>3330</v>
      </c>
      <c r="AA337" s="153">
        <f t="shared" si="34"/>
        <v>0</v>
      </c>
      <c r="AB337" s="153">
        <f t="shared" si="35"/>
        <v>0.19373981847800792</v>
      </c>
      <c r="AC337" s="153">
        <f t="shared" si="36"/>
        <v>0.127561769775905</v>
      </c>
      <c r="AD337" s="175" t="s">
        <v>157</v>
      </c>
    </row>
    <row r="338" spans="1:30" s="146" customFormat="1" ht="21" customHeight="1" x14ac:dyDescent="0.2">
      <c r="A338" s="146" t="str">
        <f t="shared" si="31"/>
        <v>Citywalk Phase 5.05</v>
      </c>
      <c r="B338" s="147" t="str">
        <f t="shared" si="33"/>
        <v>Citywalk Phase 5.05 - Electrical</v>
      </c>
      <c r="C338" s="147"/>
      <c r="D338" s="148" t="s">
        <v>82</v>
      </c>
      <c r="E338" s="148" t="s">
        <v>83</v>
      </c>
      <c r="F338" s="148" t="s">
        <v>84</v>
      </c>
      <c r="G338" s="148" t="s">
        <v>85</v>
      </c>
      <c r="H338" s="149" t="s">
        <v>113</v>
      </c>
      <c r="I338" s="148" t="s">
        <v>121</v>
      </c>
      <c r="J338" s="149">
        <v>2024</v>
      </c>
      <c r="K338" s="150" t="s">
        <v>89</v>
      </c>
      <c r="L338" s="149" t="s">
        <v>86</v>
      </c>
      <c r="M338" s="149" t="s">
        <v>104</v>
      </c>
      <c r="N338" s="149" t="s">
        <v>105</v>
      </c>
      <c r="O338" s="149" t="s">
        <v>123</v>
      </c>
      <c r="P338" s="149" t="s">
        <v>124</v>
      </c>
      <c r="Q338" s="151">
        <v>8917</v>
      </c>
      <c r="R338" s="151">
        <v>17188</v>
      </c>
      <c r="S338" s="151">
        <v>26105</v>
      </c>
      <c r="T338" s="148" t="s">
        <v>148</v>
      </c>
      <c r="U338" s="154">
        <v>5.12</v>
      </c>
      <c r="V338" s="148" t="s">
        <v>43</v>
      </c>
      <c r="W338" s="149" t="s">
        <v>11</v>
      </c>
      <c r="X338" s="151">
        <v>126210</v>
      </c>
      <c r="Y338" s="151">
        <v>3330</v>
      </c>
      <c r="Z338" s="152">
        <f t="shared" si="32"/>
        <v>129540</v>
      </c>
      <c r="AA338" s="153">
        <f t="shared" si="34"/>
        <v>14.153863406975439</v>
      </c>
      <c r="AB338" s="153">
        <f t="shared" si="35"/>
        <v>0.19373981847800792</v>
      </c>
      <c r="AC338" s="153">
        <f t="shared" si="36"/>
        <v>4.9622677647960165</v>
      </c>
      <c r="AD338" s="175" t="s">
        <v>157</v>
      </c>
    </row>
    <row r="339" spans="1:30" s="146" customFormat="1" ht="21" customHeight="1" x14ac:dyDescent="0.2">
      <c r="A339" s="146" t="str">
        <f t="shared" si="31"/>
        <v>Citywalk Phase 5.05</v>
      </c>
      <c r="B339" s="147" t="str">
        <f t="shared" si="33"/>
        <v>Citywalk Phase 5.05 - Electrical</v>
      </c>
      <c r="C339" s="147"/>
      <c r="D339" s="148" t="s">
        <v>82</v>
      </c>
      <c r="E339" s="148" t="s">
        <v>83</v>
      </c>
      <c r="F339" s="148" t="s">
        <v>84</v>
      </c>
      <c r="G339" s="148" t="s">
        <v>85</v>
      </c>
      <c r="H339" s="149" t="s">
        <v>113</v>
      </c>
      <c r="I339" s="148" t="s">
        <v>121</v>
      </c>
      <c r="J339" s="149">
        <v>2024</v>
      </c>
      <c r="K339" s="150" t="s">
        <v>89</v>
      </c>
      <c r="L339" s="149" t="s">
        <v>86</v>
      </c>
      <c r="M339" s="149" t="s">
        <v>104</v>
      </c>
      <c r="N339" s="149" t="s">
        <v>105</v>
      </c>
      <c r="O339" s="149" t="s">
        <v>123</v>
      </c>
      <c r="P339" s="149" t="s">
        <v>124</v>
      </c>
      <c r="Q339" s="151">
        <v>8917</v>
      </c>
      <c r="R339" s="151">
        <v>17188</v>
      </c>
      <c r="S339" s="151">
        <v>26105</v>
      </c>
      <c r="T339" s="148" t="s">
        <v>148</v>
      </c>
      <c r="U339" s="154">
        <v>5.12</v>
      </c>
      <c r="V339" s="148" t="s">
        <v>44</v>
      </c>
      <c r="W339" s="149" t="s">
        <v>11</v>
      </c>
      <c r="X339" s="151">
        <v>355999</v>
      </c>
      <c r="Y339" s="151">
        <v>189939</v>
      </c>
      <c r="Z339" s="152">
        <f t="shared" si="32"/>
        <v>545938</v>
      </c>
      <c r="AA339" s="153">
        <f t="shared" si="34"/>
        <v>39.923629023214083</v>
      </c>
      <c r="AB339" s="153">
        <f t="shared" si="35"/>
        <v>11.050674889457762</v>
      </c>
      <c r="AC339" s="153">
        <f t="shared" si="36"/>
        <v>20.913158398774183</v>
      </c>
      <c r="AD339" s="175" t="s">
        <v>157</v>
      </c>
    </row>
    <row r="340" spans="1:30" s="146" customFormat="1" ht="21" customHeight="1" x14ac:dyDescent="0.2">
      <c r="A340" s="146" t="str">
        <f t="shared" si="31"/>
        <v>Citywalk Phase 5.05</v>
      </c>
      <c r="B340" s="147" t="str">
        <f t="shared" si="33"/>
        <v>Citywalk Phase 5.05 - Electrical</v>
      </c>
      <c r="C340" s="147"/>
      <c r="D340" s="148" t="s">
        <v>82</v>
      </c>
      <c r="E340" s="148" t="s">
        <v>83</v>
      </c>
      <c r="F340" s="148" t="s">
        <v>84</v>
      </c>
      <c r="G340" s="148" t="s">
        <v>85</v>
      </c>
      <c r="H340" s="149" t="s">
        <v>113</v>
      </c>
      <c r="I340" s="148" t="s">
        <v>121</v>
      </c>
      <c r="J340" s="149">
        <v>2024</v>
      </c>
      <c r="K340" s="150" t="s">
        <v>89</v>
      </c>
      <c r="L340" s="149" t="s">
        <v>86</v>
      </c>
      <c r="M340" s="149" t="s">
        <v>104</v>
      </c>
      <c r="N340" s="149" t="s">
        <v>105</v>
      </c>
      <c r="O340" s="149" t="s">
        <v>123</v>
      </c>
      <c r="P340" s="149" t="s">
        <v>124</v>
      </c>
      <c r="Q340" s="151">
        <v>8917</v>
      </c>
      <c r="R340" s="151">
        <v>17188</v>
      </c>
      <c r="S340" s="151">
        <v>26105</v>
      </c>
      <c r="T340" s="148" t="s">
        <v>148</v>
      </c>
      <c r="U340" s="154">
        <v>5.12</v>
      </c>
      <c r="V340" s="148" t="s">
        <v>45</v>
      </c>
      <c r="W340" s="149" t="s">
        <v>11</v>
      </c>
      <c r="X340" s="151">
        <v>242535</v>
      </c>
      <c r="Y340" s="151">
        <v>391425</v>
      </c>
      <c r="Z340" s="152">
        <f t="shared" si="32"/>
        <v>633960</v>
      </c>
      <c r="AA340" s="153">
        <f t="shared" si="34"/>
        <v>27.199170124481327</v>
      </c>
      <c r="AB340" s="153">
        <f t="shared" si="35"/>
        <v>22.773155690016292</v>
      </c>
      <c r="AC340" s="153">
        <f t="shared" si="36"/>
        <v>24.285002873012832</v>
      </c>
      <c r="AD340" s="175" t="s">
        <v>157</v>
      </c>
    </row>
    <row r="341" spans="1:30" s="146" customFormat="1" ht="21" customHeight="1" x14ac:dyDescent="0.2">
      <c r="A341" s="146" t="str">
        <f t="shared" si="31"/>
        <v>Citywalk Phase 5.05</v>
      </c>
      <c r="B341" s="147" t="str">
        <f t="shared" si="33"/>
        <v>Citywalk Phase 5.05 - Electrical</v>
      </c>
      <c r="C341" s="147"/>
      <c r="D341" s="148" t="s">
        <v>82</v>
      </c>
      <c r="E341" s="148" t="s">
        <v>83</v>
      </c>
      <c r="F341" s="148" t="s">
        <v>84</v>
      </c>
      <c r="G341" s="148" t="s">
        <v>85</v>
      </c>
      <c r="H341" s="149" t="s">
        <v>113</v>
      </c>
      <c r="I341" s="148" t="s">
        <v>121</v>
      </c>
      <c r="J341" s="149">
        <v>2024</v>
      </c>
      <c r="K341" s="150" t="s">
        <v>89</v>
      </c>
      <c r="L341" s="149" t="s">
        <v>86</v>
      </c>
      <c r="M341" s="149" t="s">
        <v>104</v>
      </c>
      <c r="N341" s="149" t="s">
        <v>105</v>
      </c>
      <c r="O341" s="149" t="s">
        <v>123</v>
      </c>
      <c r="P341" s="149" t="s">
        <v>124</v>
      </c>
      <c r="Q341" s="151">
        <v>8917</v>
      </c>
      <c r="R341" s="151">
        <v>17188</v>
      </c>
      <c r="S341" s="151">
        <v>26105</v>
      </c>
      <c r="T341" s="148" t="s">
        <v>148</v>
      </c>
      <c r="U341" s="154">
        <v>5.12</v>
      </c>
      <c r="V341" s="148" t="s">
        <v>46</v>
      </c>
      <c r="W341" s="149" t="s">
        <v>11</v>
      </c>
      <c r="X341" s="151">
        <v>95472</v>
      </c>
      <c r="Y341" s="151">
        <v>33300</v>
      </c>
      <c r="Z341" s="152">
        <f t="shared" si="32"/>
        <v>128772</v>
      </c>
      <c r="AA341" s="153">
        <f t="shared" si="34"/>
        <v>10.706739934955703</v>
      </c>
      <c r="AB341" s="153">
        <f t="shared" si="35"/>
        <v>1.9373981847800792</v>
      </c>
      <c r="AC341" s="153">
        <f t="shared" si="36"/>
        <v>4.93284811338824</v>
      </c>
      <c r="AD341" s="175" t="s">
        <v>157</v>
      </c>
    </row>
    <row r="342" spans="1:30" s="146" customFormat="1" ht="21" customHeight="1" x14ac:dyDescent="0.2">
      <c r="A342" s="146" t="str">
        <f t="shared" si="31"/>
        <v>Citywalk Phase 5.05</v>
      </c>
      <c r="B342" s="147" t="str">
        <f t="shared" si="33"/>
        <v>Citywalk Phase 5.05 - Electrical</v>
      </c>
      <c r="C342" s="147"/>
      <c r="D342" s="148" t="s">
        <v>82</v>
      </c>
      <c r="E342" s="148" t="s">
        <v>83</v>
      </c>
      <c r="F342" s="148" t="s">
        <v>84</v>
      </c>
      <c r="G342" s="148" t="s">
        <v>85</v>
      </c>
      <c r="H342" s="149" t="s">
        <v>113</v>
      </c>
      <c r="I342" s="148" t="s">
        <v>121</v>
      </c>
      <c r="J342" s="149">
        <v>2024</v>
      </c>
      <c r="K342" s="150" t="s">
        <v>89</v>
      </c>
      <c r="L342" s="149" t="s">
        <v>86</v>
      </c>
      <c r="M342" s="149" t="s">
        <v>104</v>
      </c>
      <c r="N342" s="149" t="s">
        <v>105</v>
      </c>
      <c r="O342" s="149" t="s">
        <v>123</v>
      </c>
      <c r="P342" s="149" t="s">
        <v>124</v>
      </c>
      <c r="Q342" s="151">
        <v>8917</v>
      </c>
      <c r="R342" s="151">
        <v>17188</v>
      </c>
      <c r="S342" s="151">
        <v>26105</v>
      </c>
      <c r="T342" s="148" t="s">
        <v>148</v>
      </c>
      <c r="U342" s="154">
        <v>5.12</v>
      </c>
      <c r="V342" s="148" t="s">
        <v>47</v>
      </c>
      <c r="W342" s="149" t="s">
        <v>11</v>
      </c>
      <c r="X342" s="151">
        <v>56173</v>
      </c>
      <c r="Y342" s="151">
        <v>73273</v>
      </c>
      <c r="Z342" s="152">
        <f t="shared" si="32"/>
        <v>129446</v>
      </c>
      <c r="AA342" s="153">
        <f t="shared" si="34"/>
        <v>6.2995402041045194</v>
      </c>
      <c r="AB342" s="153">
        <f t="shared" si="35"/>
        <v>4.2630323481498724</v>
      </c>
      <c r="AC342" s="153">
        <f t="shared" si="36"/>
        <v>4.9586669220455848</v>
      </c>
      <c r="AD342" s="175" t="s">
        <v>157</v>
      </c>
    </row>
    <row r="343" spans="1:30" s="146" customFormat="1" ht="21" customHeight="1" x14ac:dyDescent="0.2">
      <c r="A343" s="146" t="str">
        <f t="shared" si="31"/>
        <v>Citywalk Phase 5.05</v>
      </c>
      <c r="B343" s="147" t="str">
        <f t="shared" si="33"/>
        <v>Citywalk Phase 5.05 - Electrical</v>
      </c>
      <c r="C343" s="147"/>
      <c r="D343" s="148" t="s">
        <v>82</v>
      </c>
      <c r="E343" s="148" t="s">
        <v>83</v>
      </c>
      <c r="F343" s="148" t="s">
        <v>84</v>
      </c>
      <c r="G343" s="148" t="s">
        <v>85</v>
      </c>
      <c r="H343" s="149" t="s">
        <v>113</v>
      </c>
      <c r="I343" s="148" t="s">
        <v>121</v>
      </c>
      <c r="J343" s="149">
        <v>2024</v>
      </c>
      <c r="K343" s="150" t="s">
        <v>89</v>
      </c>
      <c r="L343" s="149" t="s">
        <v>86</v>
      </c>
      <c r="M343" s="149" t="s">
        <v>104</v>
      </c>
      <c r="N343" s="149" t="s">
        <v>105</v>
      </c>
      <c r="O343" s="149" t="s">
        <v>123</v>
      </c>
      <c r="P343" s="149" t="s">
        <v>124</v>
      </c>
      <c r="Q343" s="151">
        <v>8917</v>
      </c>
      <c r="R343" s="151">
        <v>17188</v>
      </c>
      <c r="S343" s="151">
        <v>26105</v>
      </c>
      <c r="T343" s="148" t="s">
        <v>148</v>
      </c>
      <c r="U343" s="154">
        <v>5.12</v>
      </c>
      <c r="V343" s="148" t="s">
        <v>48</v>
      </c>
      <c r="W343" s="149" t="s">
        <v>11</v>
      </c>
      <c r="X343" s="151">
        <v>2054</v>
      </c>
      <c r="Y343" s="151">
        <v>54945</v>
      </c>
      <c r="Z343" s="152">
        <f t="shared" si="32"/>
        <v>56999</v>
      </c>
      <c r="AA343" s="153">
        <f t="shared" si="34"/>
        <v>0.23034652910171582</v>
      </c>
      <c r="AB343" s="153">
        <f t="shared" si="35"/>
        <v>3.1967070048871307</v>
      </c>
      <c r="AC343" s="153">
        <f t="shared" si="36"/>
        <v>2.1834514460831258</v>
      </c>
      <c r="AD343" s="175" t="s">
        <v>157</v>
      </c>
    </row>
    <row r="344" spans="1:30" s="146" customFormat="1" ht="21" customHeight="1" x14ac:dyDescent="0.2">
      <c r="A344" s="146" t="str">
        <f t="shared" si="31"/>
        <v>Citywalk Phase 5.05</v>
      </c>
      <c r="B344" s="147" t="str">
        <f t="shared" si="33"/>
        <v>Citywalk Phase 5.05 - Electrical</v>
      </c>
      <c r="C344" s="147"/>
      <c r="D344" s="148" t="s">
        <v>82</v>
      </c>
      <c r="E344" s="148" t="s">
        <v>83</v>
      </c>
      <c r="F344" s="148" t="s">
        <v>84</v>
      </c>
      <c r="G344" s="148" t="s">
        <v>85</v>
      </c>
      <c r="H344" s="149" t="s">
        <v>113</v>
      </c>
      <c r="I344" s="148" t="s">
        <v>121</v>
      </c>
      <c r="J344" s="149">
        <v>2024</v>
      </c>
      <c r="K344" s="150" t="s">
        <v>89</v>
      </c>
      <c r="L344" s="149" t="s">
        <v>86</v>
      </c>
      <c r="M344" s="149" t="s">
        <v>104</v>
      </c>
      <c r="N344" s="149" t="s">
        <v>105</v>
      </c>
      <c r="O344" s="149" t="s">
        <v>123</v>
      </c>
      <c r="P344" s="149" t="s">
        <v>124</v>
      </c>
      <c r="Q344" s="151">
        <v>8917</v>
      </c>
      <c r="R344" s="151">
        <v>17188</v>
      </c>
      <c r="S344" s="151">
        <v>26105</v>
      </c>
      <c r="T344" s="148" t="s">
        <v>148</v>
      </c>
      <c r="U344" s="154">
        <v>5.12</v>
      </c>
      <c r="V344" s="148" t="s">
        <v>49</v>
      </c>
      <c r="W344" s="149" t="s">
        <v>11</v>
      </c>
      <c r="X344" s="151">
        <v>4665</v>
      </c>
      <c r="Y344" s="151">
        <v>1222</v>
      </c>
      <c r="Z344" s="152">
        <f t="shared" si="32"/>
        <v>5887</v>
      </c>
      <c r="AA344" s="153">
        <f t="shared" si="34"/>
        <v>0.52315801278456875</v>
      </c>
      <c r="AB344" s="153">
        <f t="shared" si="35"/>
        <v>7.1096113567605312E-2</v>
      </c>
      <c r="AC344" s="153">
        <f t="shared" si="36"/>
        <v>0.22551235395518099</v>
      </c>
      <c r="AD344" s="175" t="s">
        <v>157</v>
      </c>
    </row>
    <row r="345" spans="1:30" s="146" customFormat="1" ht="21" customHeight="1" x14ac:dyDescent="0.2">
      <c r="A345" s="146" t="str">
        <f t="shared" si="31"/>
        <v>Citywalk Phase 5.05</v>
      </c>
      <c r="B345" s="147" t="str">
        <f t="shared" si="33"/>
        <v>Citywalk Phase 5.05 - Electrical</v>
      </c>
      <c r="C345" s="147"/>
      <c r="D345" s="148" t="s">
        <v>82</v>
      </c>
      <c r="E345" s="148" t="s">
        <v>83</v>
      </c>
      <c r="F345" s="148" t="s">
        <v>84</v>
      </c>
      <c r="G345" s="148" t="s">
        <v>85</v>
      </c>
      <c r="H345" s="149" t="s">
        <v>113</v>
      </c>
      <c r="I345" s="148" t="s">
        <v>121</v>
      </c>
      <c r="J345" s="149">
        <v>2024</v>
      </c>
      <c r="K345" s="150" t="s">
        <v>89</v>
      </c>
      <c r="L345" s="149" t="s">
        <v>86</v>
      </c>
      <c r="M345" s="149" t="s">
        <v>104</v>
      </c>
      <c r="N345" s="149" t="s">
        <v>105</v>
      </c>
      <c r="O345" s="149" t="s">
        <v>123</v>
      </c>
      <c r="P345" s="149" t="s">
        <v>124</v>
      </c>
      <c r="Q345" s="151">
        <v>8917</v>
      </c>
      <c r="R345" s="151">
        <v>17188</v>
      </c>
      <c r="S345" s="151">
        <v>26105</v>
      </c>
      <c r="T345" s="148" t="s">
        <v>148</v>
      </c>
      <c r="U345" s="154">
        <v>5.12</v>
      </c>
      <c r="V345" s="148" t="s">
        <v>50</v>
      </c>
      <c r="W345" s="149" t="s">
        <v>11</v>
      </c>
      <c r="X345" s="151">
        <v>22200</v>
      </c>
      <c r="Y345" s="151">
        <v>2999</v>
      </c>
      <c r="Z345" s="152">
        <f t="shared" si="32"/>
        <v>25199</v>
      </c>
      <c r="AA345" s="153">
        <f t="shared" si="34"/>
        <v>2.4896265560165975</v>
      </c>
      <c r="AB345" s="153">
        <f t="shared" si="35"/>
        <v>0.17448219688154526</v>
      </c>
      <c r="AC345" s="153">
        <f t="shared" si="36"/>
        <v>0.96529400497988893</v>
      </c>
      <c r="AD345" s="175" t="s">
        <v>157</v>
      </c>
    </row>
    <row r="346" spans="1:30" s="146" customFormat="1" ht="21" customHeight="1" x14ac:dyDescent="0.2">
      <c r="A346" s="146" t="str">
        <f t="shared" si="31"/>
        <v>Citywalk Phase 5.05</v>
      </c>
      <c r="B346" s="147" t="str">
        <f t="shared" si="33"/>
        <v>Citywalk Phase 5.05 - Electrical</v>
      </c>
      <c r="C346" s="147"/>
      <c r="D346" s="148" t="s">
        <v>82</v>
      </c>
      <c r="E346" s="148" t="s">
        <v>83</v>
      </c>
      <c r="F346" s="148" t="s">
        <v>84</v>
      </c>
      <c r="G346" s="148" t="s">
        <v>85</v>
      </c>
      <c r="H346" s="149" t="s">
        <v>113</v>
      </c>
      <c r="I346" s="148" t="s">
        <v>121</v>
      </c>
      <c r="J346" s="149">
        <v>2024</v>
      </c>
      <c r="K346" s="150" t="s">
        <v>89</v>
      </c>
      <c r="L346" s="149" t="s">
        <v>86</v>
      </c>
      <c r="M346" s="149" t="s">
        <v>104</v>
      </c>
      <c r="N346" s="149" t="s">
        <v>105</v>
      </c>
      <c r="O346" s="149" t="s">
        <v>123</v>
      </c>
      <c r="P346" s="149" t="s">
        <v>124</v>
      </c>
      <c r="Q346" s="151">
        <v>8917</v>
      </c>
      <c r="R346" s="151">
        <v>17188</v>
      </c>
      <c r="S346" s="151">
        <v>26105</v>
      </c>
      <c r="T346" s="148" t="s">
        <v>148</v>
      </c>
      <c r="U346" s="154">
        <v>5.12</v>
      </c>
      <c r="V346" s="148" t="s">
        <v>51</v>
      </c>
      <c r="W346" s="149" t="s">
        <v>11</v>
      </c>
      <c r="X346" s="151">
        <v>0</v>
      </c>
      <c r="Y346" s="151">
        <v>767208</v>
      </c>
      <c r="Z346" s="152">
        <f t="shared" si="32"/>
        <v>767208</v>
      </c>
      <c r="AA346" s="153">
        <f t="shared" si="34"/>
        <v>0</v>
      </c>
      <c r="AB346" s="153">
        <f t="shared" si="35"/>
        <v>44.636257854316966</v>
      </c>
      <c r="AC346" s="153">
        <f t="shared" si="36"/>
        <v>29.389312392262021</v>
      </c>
      <c r="AD346" s="175" t="s">
        <v>157</v>
      </c>
    </row>
    <row r="347" spans="1:30" s="156" customFormat="1" ht="21" customHeight="1" x14ac:dyDescent="0.2">
      <c r="A347" s="146" t="str">
        <f t="shared" si="31"/>
        <v>Citywalk Phase 5.05</v>
      </c>
      <c r="B347" s="147" t="str">
        <f t="shared" si="33"/>
        <v>Citywalk Phase 5.05 - Electrical</v>
      </c>
      <c r="C347" s="147"/>
      <c r="D347" s="148" t="s">
        <v>82</v>
      </c>
      <c r="E347" s="148" t="s">
        <v>83</v>
      </c>
      <c r="F347" s="148" t="s">
        <v>84</v>
      </c>
      <c r="G347" s="148" t="s">
        <v>85</v>
      </c>
      <c r="H347" s="149" t="s">
        <v>113</v>
      </c>
      <c r="I347" s="148" t="s">
        <v>121</v>
      </c>
      <c r="J347" s="149">
        <v>2024</v>
      </c>
      <c r="K347" s="150" t="s">
        <v>89</v>
      </c>
      <c r="L347" s="149" t="s">
        <v>86</v>
      </c>
      <c r="M347" s="149" t="s">
        <v>104</v>
      </c>
      <c r="N347" s="149" t="s">
        <v>105</v>
      </c>
      <c r="O347" s="149" t="s">
        <v>123</v>
      </c>
      <c r="P347" s="149" t="s">
        <v>124</v>
      </c>
      <c r="Q347" s="151">
        <v>8917</v>
      </c>
      <c r="R347" s="151">
        <v>17188</v>
      </c>
      <c r="S347" s="151">
        <v>26105</v>
      </c>
      <c r="T347" s="148" t="s">
        <v>148</v>
      </c>
      <c r="U347" s="155" t="s">
        <v>53</v>
      </c>
      <c r="V347" s="148" t="s">
        <v>27</v>
      </c>
      <c r="W347" s="149" t="s">
        <v>11</v>
      </c>
      <c r="X347" s="151">
        <v>37000</v>
      </c>
      <c r="Y347" s="151">
        <v>141000</v>
      </c>
      <c r="Z347" s="152">
        <f t="shared" si="32"/>
        <v>178000</v>
      </c>
      <c r="AA347" s="153">
        <f t="shared" ref="AA310:AA347" si="37">X347/Q347</f>
        <v>4.1493775933609962</v>
      </c>
      <c r="AB347" s="153">
        <f t="shared" ref="AB310:AB347" si="38">Y347/R347</f>
        <v>8.2033977193390744</v>
      </c>
      <c r="AC347" s="153">
        <f t="shared" ref="AC310:AC347" si="39">Z347/S347</f>
        <v>6.8186171231564838</v>
      </c>
      <c r="AD347" s="175" t="s">
        <v>157</v>
      </c>
    </row>
    <row r="348" spans="1:30" ht="21" customHeight="1" x14ac:dyDescent="0.2">
      <c r="B348" s="113"/>
      <c r="C348" s="113"/>
      <c r="X348" s="174">
        <f>SUM(X4:X347)/8</f>
        <v>13256910.585000001</v>
      </c>
      <c r="Y348" s="174">
        <f t="shared" ref="Y348:AC348" si="40">SUM(Y4:Y347)/8</f>
        <v>37682822.799999997</v>
      </c>
      <c r="Z348" s="174">
        <f t="shared" si="40"/>
        <v>50939733.385000005</v>
      </c>
    </row>
    <row r="349" spans="1:30" ht="21" customHeight="1" x14ac:dyDescent="0.2">
      <c r="B349" s="113"/>
      <c r="C349" s="113"/>
      <c r="X349" s="174">
        <f>X348/Q359</f>
        <v>1354.0412981806576</v>
      </c>
      <c r="Y349" s="174">
        <f t="shared" ref="Y349:Z349" si="41">Y348/R359</f>
        <v>1781.957040933944</v>
      </c>
      <c r="Z349" s="174">
        <f t="shared" si="41"/>
        <v>1646.5235314462107</v>
      </c>
      <c r="AA349" s="145"/>
      <c r="AB349" s="145"/>
      <c r="AC349" s="145"/>
    </row>
    <row r="350" spans="1:30" s="113" customFormat="1" ht="54" customHeight="1" x14ac:dyDescent="0.2">
      <c r="D350" s="114" t="s">
        <v>91</v>
      </c>
      <c r="E350" s="115" t="s">
        <v>96</v>
      </c>
      <c r="F350" s="115" t="s">
        <v>92</v>
      </c>
      <c r="G350" s="115" t="s">
        <v>97</v>
      </c>
      <c r="H350" s="115" t="s">
        <v>98</v>
      </c>
      <c r="I350" s="116" t="s">
        <v>93</v>
      </c>
      <c r="J350" s="117" t="s">
        <v>99</v>
      </c>
      <c r="K350" s="116" t="s">
        <v>95</v>
      </c>
      <c r="L350" s="116" t="s">
        <v>94</v>
      </c>
      <c r="M350" s="116" t="s">
        <v>100</v>
      </c>
      <c r="N350" s="116" t="s">
        <v>101</v>
      </c>
      <c r="O350" s="116" t="s">
        <v>128</v>
      </c>
      <c r="P350" s="116" t="s">
        <v>129</v>
      </c>
      <c r="Q350" s="129" t="s">
        <v>131</v>
      </c>
      <c r="R350" s="129" t="s">
        <v>132</v>
      </c>
      <c r="S350" s="129" t="s">
        <v>133</v>
      </c>
      <c r="T350" s="127" t="s">
        <v>126</v>
      </c>
      <c r="U350" s="118" t="s">
        <v>125</v>
      </c>
      <c r="V350" s="128" t="s">
        <v>130</v>
      </c>
      <c r="W350" s="118" t="s">
        <v>102</v>
      </c>
      <c r="X350" s="132" t="s">
        <v>134</v>
      </c>
      <c r="Y350" s="132" t="s">
        <v>135</v>
      </c>
      <c r="Z350" s="129" t="s">
        <v>136</v>
      </c>
      <c r="AA350" s="119" t="s">
        <v>137</v>
      </c>
      <c r="AB350" s="119" t="s">
        <v>138</v>
      </c>
      <c r="AC350" s="119" t="s">
        <v>139</v>
      </c>
      <c r="AD350" s="119" t="s">
        <v>103</v>
      </c>
    </row>
    <row r="351" spans="1:30" s="161" customFormat="1" ht="18" customHeight="1" x14ac:dyDescent="0.2">
      <c r="A351" s="160" t="s">
        <v>114</v>
      </c>
      <c r="D351" s="162"/>
      <c r="E351" s="162"/>
      <c r="F351" s="162"/>
      <c r="G351" s="162"/>
      <c r="H351" s="162"/>
      <c r="I351" s="163"/>
      <c r="J351" s="164"/>
      <c r="K351" s="163"/>
      <c r="L351" s="163"/>
      <c r="M351" s="163"/>
      <c r="N351" s="163"/>
      <c r="O351" s="163"/>
      <c r="P351" s="163"/>
      <c r="Q351" s="143">
        <f>SUMIF($A$4:$A$347,$A351,Q$4:Q$347)/43</f>
        <v>6454</v>
      </c>
      <c r="R351" s="143">
        <f t="shared" ref="R351:S351" si="42">SUMIF($A$4:$A$347,$A351,R$4:R$347)/43</f>
        <v>12201</v>
      </c>
      <c r="S351" s="143">
        <f t="shared" si="42"/>
        <v>18655</v>
      </c>
      <c r="T351" s="165"/>
      <c r="U351" s="166"/>
      <c r="V351" s="167"/>
      <c r="W351" s="166"/>
      <c r="X351" s="143">
        <f>SUMIF($A$4:$A$347,$A351,X$4:X$347)</f>
        <v>10355993</v>
      </c>
      <c r="Y351" s="143">
        <f t="shared" ref="Y351:AC351" si="43">SUMIF($A$4:$A$347,$A351,Y$4:Y$347)</f>
        <v>23011270</v>
      </c>
      <c r="Z351" s="143">
        <f t="shared" si="43"/>
        <v>33367263</v>
      </c>
      <c r="AA351" s="143">
        <f t="shared" si="43"/>
        <v>1604.5852184691662</v>
      </c>
      <c r="AB351" s="143">
        <f t="shared" si="43"/>
        <v>1886.0150807310879</v>
      </c>
      <c r="AC351" s="143">
        <f t="shared" si="43"/>
        <v>1788.6498525864379</v>
      </c>
      <c r="AD351" s="168"/>
    </row>
    <row r="352" spans="1:30" s="161" customFormat="1" ht="18" customHeight="1" x14ac:dyDescent="0.2">
      <c r="A352" s="160" t="s">
        <v>115</v>
      </c>
      <c r="D352" s="162"/>
      <c r="E352" s="162"/>
      <c r="F352" s="162"/>
      <c r="G352" s="162"/>
      <c r="H352" s="162"/>
      <c r="I352" s="163"/>
      <c r="J352" s="164"/>
      <c r="K352" s="163"/>
      <c r="L352" s="163"/>
      <c r="M352" s="163"/>
      <c r="N352" s="163"/>
      <c r="O352" s="163"/>
      <c r="P352" s="163"/>
      <c r="Q352" s="143">
        <f t="shared" ref="Q352:S358" si="44">SUMIF($A$4:$A$347,$A352,Q$4:Q$347)/43</f>
        <v>6339</v>
      </c>
      <c r="R352" s="143">
        <f t="shared" si="44"/>
        <v>11767</v>
      </c>
      <c r="S352" s="143">
        <f t="shared" si="44"/>
        <v>18108</v>
      </c>
      <c r="T352" s="165"/>
      <c r="U352" s="166"/>
      <c r="V352" s="167"/>
      <c r="W352" s="166"/>
      <c r="X352" s="143">
        <f t="shared" ref="X352:AC358" si="45">SUMIF($A$4:$A$347,$A352,X$4:X$347)</f>
        <v>10296839</v>
      </c>
      <c r="Y352" s="143">
        <f t="shared" si="45"/>
        <v>23024993.399999999</v>
      </c>
      <c r="Z352" s="143">
        <f t="shared" si="45"/>
        <v>33321832.399999999</v>
      </c>
      <c r="AA352" s="143">
        <f t="shared" si="45"/>
        <v>1624.363306515223</v>
      </c>
      <c r="AB352" s="143">
        <f t="shared" si="45"/>
        <v>1956.7428741395433</v>
      </c>
      <c r="AC352" s="143">
        <f t="shared" si="45"/>
        <v>1840.1718798321185</v>
      </c>
      <c r="AD352" s="168"/>
    </row>
    <row r="353" spans="1:30" s="161" customFormat="1" ht="18" customHeight="1" x14ac:dyDescent="0.2">
      <c r="A353" s="160" t="s">
        <v>116</v>
      </c>
      <c r="D353" s="162"/>
      <c r="E353" s="162"/>
      <c r="F353" s="162"/>
      <c r="G353" s="162"/>
      <c r="H353" s="162"/>
      <c r="I353" s="163"/>
      <c r="J353" s="164"/>
      <c r="K353" s="163"/>
      <c r="L353" s="163"/>
      <c r="M353" s="163"/>
      <c r="N353" s="163"/>
      <c r="O353" s="163"/>
      <c r="P353" s="163"/>
      <c r="Q353" s="143">
        <f t="shared" si="44"/>
        <v>10390</v>
      </c>
      <c r="R353" s="143">
        <f t="shared" si="44"/>
        <v>17125</v>
      </c>
      <c r="S353" s="143">
        <f t="shared" si="44"/>
        <v>27515</v>
      </c>
      <c r="T353" s="165"/>
      <c r="U353" s="166"/>
      <c r="V353" s="167"/>
      <c r="W353" s="166"/>
      <c r="X353" s="143">
        <f t="shared" si="45"/>
        <v>15755640.68</v>
      </c>
      <c r="Y353" s="143">
        <f t="shared" si="45"/>
        <v>31174256</v>
      </c>
      <c r="Z353" s="143">
        <f t="shared" si="45"/>
        <v>46929896.68</v>
      </c>
      <c r="AA353" s="143">
        <f t="shared" si="45"/>
        <v>1516.4235495668911</v>
      </c>
      <c r="AB353" s="143">
        <f t="shared" si="45"/>
        <v>1820.3945109489046</v>
      </c>
      <c r="AC353" s="143">
        <f t="shared" si="45"/>
        <v>1705.611363983282</v>
      </c>
      <c r="AD353" s="168"/>
    </row>
    <row r="354" spans="1:30" s="161" customFormat="1" ht="18" customHeight="1" x14ac:dyDescent="0.2">
      <c r="A354" s="160" t="s">
        <v>117</v>
      </c>
      <c r="D354" s="162"/>
      <c r="E354" s="162"/>
      <c r="F354" s="162"/>
      <c r="G354" s="162"/>
      <c r="H354" s="162"/>
      <c r="I354" s="163"/>
      <c r="J354" s="164"/>
      <c r="K354" s="163"/>
      <c r="L354" s="163"/>
      <c r="M354" s="163"/>
      <c r="N354" s="163"/>
      <c r="O354" s="163"/>
      <c r="P354" s="163"/>
      <c r="Q354" s="143">
        <f t="shared" si="44"/>
        <v>11393</v>
      </c>
      <c r="R354" s="143">
        <f t="shared" si="44"/>
        <v>28819</v>
      </c>
      <c r="S354" s="143">
        <f t="shared" si="44"/>
        <v>40212</v>
      </c>
      <c r="T354" s="165"/>
      <c r="U354" s="166"/>
      <c r="V354" s="167"/>
      <c r="W354" s="166"/>
      <c r="X354" s="143">
        <f t="shared" si="45"/>
        <v>14547572</v>
      </c>
      <c r="Y354" s="143">
        <f t="shared" si="45"/>
        <v>45272948</v>
      </c>
      <c r="Z354" s="143">
        <f t="shared" si="45"/>
        <v>59820520</v>
      </c>
      <c r="AA354" s="143">
        <f t="shared" si="45"/>
        <v>1276.8868603528476</v>
      </c>
      <c r="AB354" s="143">
        <f t="shared" si="45"/>
        <v>1570.9409764391539</v>
      </c>
      <c r="AC354" s="143">
        <f t="shared" si="45"/>
        <v>1487.6285685864918</v>
      </c>
      <c r="AD354" s="168"/>
    </row>
    <row r="355" spans="1:30" s="161" customFormat="1" ht="18" customHeight="1" x14ac:dyDescent="0.2">
      <c r="A355" s="160" t="s">
        <v>118</v>
      </c>
      <c r="D355" s="162"/>
      <c r="E355" s="162"/>
      <c r="F355" s="162"/>
      <c r="G355" s="162"/>
      <c r="H355" s="162"/>
      <c r="I355" s="163"/>
      <c r="J355" s="164"/>
      <c r="K355" s="163"/>
      <c r="L355" s="163"/>
      <c r="M355" s="163"/>
      <c r="N355" s="163"/>
      <c r="O355" s="163"/>
      <c r="P355" s="163"/>
      <c r="Q355" s="143">
        <f t="shared" si="44"/>
        <v>11393</v>
      </c>
      <c r="R355" s="143">
        <f t="shared" si="44"/>
        <v>28819</v>
      </c>
      <c r="S355" s="143">
        <f t="shared" si="44"/>
        <v>40212</v>
      </c>
      <c r="T355" s="165"/>
      <c r="U355" s="166"/>
      <c r="V355" s="167"/>
      <c r="W355" s="166"/>
      <c r="X355" s="143">
        <f t="shared" si="45"/>
        <v>14450383</v>
      </c>
      <c r="Y355" s="143">
        <f t="shared" si="45"/>
        <v>45072720</v>
      </c>
      <c r="Z355" s="143">
        <f t="shared" si="45"/>
        <v>59523103</v>
      </c>
      <c r="AA355" s="143">
        <f t="shared" si="45"/>
        <v>1268.3562713947158</v>
      </c>
      <c r="AB355" s="143">
        <f t="shared" si="45"/>
        <v>1563.9931989312604</v>
      </c>
      <c r="AC355" s="143">
        <f t="shared" si="45"/>
        <v>1480.2323435790311</v>
      </c>
      <c r="AD355" s="168"/>
    </row>
    <row r="356" spans="1:30" s="161" customFormat="1" ht="18" customHeight="1" x14ac:dyDescent="0.2">
      <c r="A356" s="160" t="s">
        <v>119</v>
      </c>
      <c r="D356" s="162"/>
      <c r="E356" s="162"/>
      <c r="F356" s="162"/>
      <c r="G356" s="162"/>
      <c r="H356" s="162"/>
      <c r="I356" s="163"/>
      <c r="J356" s="164"/>
      <c r="K356" s="163"/>
      <c r="L356" s="163"/>
      <c r="M356" s="163"/>
      <c r="N356" s="163"/>
      <c r="O356" s="163"/>
      <c r="P356" s="163"/>
      <c r="Q356" s="143">
        <f t="shared" si="44"/>
        <v>12032</v>
      </c>
      <c r="R356" s="143">
        <f t="shared" si="44"/>
        <v>28341</v>
      </c>
      <c r="S356" s="143">
        <f t="shared" si="44"/>
        <v>40373</v>
      </c>
      <c r="T356" s="165"/>
      <c r="U356" s="166"/>
      <c r="V356" s="167"/>
      <c r="W356" s="166"/>
      <c r="X356" s="143">
        <f t="shared" si="45"/>
        <v>17156300</v>
      </c>
      <c r="Y356" s="143">
        <f t="shared" si="45"/>
        <v>52653394</v>
      </c>
      <c r="Z356" s="143">
        <f t="shared" si="45"/>
        <v>69809694</v>
      </c>
      <c r="AA356" s="143">
        <f t="shared" si="45"/>
        <v>1425.8892952127662</v>
      </c>
      <c r="AB356" s="143">
        <f t="shared" si="45"/>
        <v>1857.85236935888</v>
      </c>
      <c r="AC356" s="143">
        <f t="shared" si="45"/>
        <v>1729.1183216506081</v>
      </c>
      <c r="AD356" s="168"/>
    </row>
    <row r="357" spans="1:30" s="161" customFormat="1" ht="18" customHeight="1" x14ac:dyDescent="0.2">
      <c r="A357" s="160" t="s">
        <v>120</v>
      </c>
      <c r="D357" s="162"/>
      <c r="E357" s="162"/>
      <c r="F357" s="162"/>
      <c r="G357" s="162"/>
      <c r="H357" s="162"/>
      <c r="I357" s="163"/>
      <c r="J357" s="164"/>
      <c r="K357" s="163"/>
      <c r="L357" s="163"/>
      <c r="M357" s="163"/>
      <c r="N357" s="163"/>
      <c r="O357" s="163"/>
      <c r="P357" s="163"/>
      <c r="Q357" s="143">
        <f t="shared" si="44"/>
        <v>11407</v>
      </c>
      <c r="R357" s="143">
        <f t="shared" si="44"/>
        <v>24915</v>
      </c>
      <c r="S357" s="143">
        <f t="shared" si="44"/>
        <v>36322</v>
      </c>
      <c r="T357" s="165"/>
      <c r="U357" s="166"/>
      <c r="V357" s="167"/>
      <c r="W357" s="166"/>
      <c r="X357" s="143">
        <f t="shared" si="45"/>
        <v>14185532</v>
      </c>
      <c r="Y357" s="143">
        <f t="shared" si="45"/>
        <v>48551276</v>
      </c>
      <c r="Z357" s="143">
        <f t="shared" si="45"/>
        <v>62736808</v>
      </c>
      <c r="AA357" s="143">
        <f t="shared" si="45"/>
        <v>1243.5813097221001</v>
      </c>
      <c r="AB357" s="143">
        <f t="shared" si="45"/>
        <v>1948.6765402368048</v>
      </c>
      <c r="AC357" s="143">
        <f t="shared" si="45"/>
        <v>1727.2399096966024</v>
      </c>
      <c r="AD357" s="168"/>
    </row>
    <row r="358" spans="1:30" s="161" customFormat="1" ht="18" customHeight="1" x14ac:dyDescent="0.2">
      <c r="A358" s="160" t="s">
        <v>121</v>
      </c>
      <c r="D358" s="162"/>
      <c r="E358" s="162"/>
      <c r="F358" s="162"/>
      <c r="G358" s="162"/>
      <c r="H358" s="162"/>
      <c r="I358" s="163"/>
      <c r="J358" s="164"/>
      <c r="K358" s="163"/>
      <c r="L358" s="163"/>
      <c r="M358" s="163"/>
      <c r="N358" s="163"/>
      <c r="O358" s="163"/>
      <c r="P358" s="163"/>
      <c r="Q358" s="143">
        <f t="shared" si="44"/>
        <v>8917</v>
      </c>
      <c r="R358" s="143">
        <f t="shared" si="44"/>
        <v>17188</v>
      </c>
      <c r="S358" s="143">
        <f t="shared" si="44"/>
        <v>26105</v>
      </c>
      <c r="T358" s="165"/>
      <c r="U358" s="166"/>
      <c r="V358" s="167"/>
      <c r="W358" s="166"/>
      <c r="X358" s="143">
        <f t="shared" si="45"/>
        <v>9307025</v>
      </c>
      <c r="Y358" s="143">
        <f t="shared" si="45"/>
        <v>32701725</v>
      </c>
      <c r="Z358" s="143">
        <f t="shared" si="45"/>
        <v>42008750</v>
      </c>
      <c r="AA358" s="143">
        <f t="shared" si="45"/>
        <v>1043.7394863743411</v>
      </c>
      <c r="AB358" s="143">
        <f t="shared" si="45"/>
        <v>1902.5904700954152</v>
      </c>
      <c r="AC358" s="143">
        <f t="shared" si="45"/>
        <v>1609.2223711932575</v>
      </c>
      <c r="AD358" s="168"/>
    </row>
    <row r="359" spans="1:30" s="161" customFormat="1" ht="18" customHeight="1" x14ac:dyDescent="0.2">
      <c r="D359" s="162"/>
      <c r="E359" s="162"/>
      <c r="F359" s="162"/>
      <c r="G359" s="162"/>
      <c r="H359" s="162"/>
      <c r="I359" s="163"/>
      <c r="J359" s="164"/>
      <c r="K359" s="163"/>
      <c r="L359" s="163"/>
      <c r="M359" s="163"/>
      <c r="N359" s="163"/>
      <c r="O359" s="163"/>
      <c r="P359" s="163"/>
      <c r="Q359" s="169">
        <f>SUM(Q351:Q358)/8</f>
        <v>9790.625</v>
      </c>
      <c r="R359" s="169">
        <f t="shared" ref="R359:S359" si="46">SUM(R351:R358)/8</f>
        <v>21146.875</v>
      </c>
      <c r="S359" s="169">
        <f t="shared" si="46"/>
        <v>30937.75</v>
      </c>
      <c r="T359" s="165"/>
      <c r="U359" s="166"/>
      <c r="V359" s="167"/>
      <c r="W359" s="166"/>
      <c r="X359" s="170"/>
      <c r="Y359" s="170"/>
      <c r="Z359" s="171"/>
      <c r="AA359" s="172"/>
      <c r="AB359" s="172"/>
      <c r="AC359" s="172"/>
      <c r="AD359" s="168"/>
    </row>
    <row r="360" spans="1:30" s="173" customFormat="1" ht="18" customHeight="1" x14ac:dyDescent="0.2">
      <c r="B360" s="173" t="s">
        <v>140</v>
      </c>
      <c r="W360" s="126"/>
      <c r="X360" s="143">
        <f>SUMIF($B$4:$B$347,$B360,X$4:X$347)</f>
        <v>4211630</v>
      </c>
      <c r="Y360" s="143">
        <f>SUMIF($B$4:$B$347,$B360,Y$4:Y$347)</f>
        <v>11189001</v>
      </c>
      <c r="Z360" s="143">
        <f>SUMIF($B$4:$B$347,$B360,Z$4:Z$347)</f>
        <v>15400631</v>
      </c>
      <c r="AA360" s="143">
        <f>SUMIF($B$4:$B$347,$B360,AA$4:AA$347)</f>
        <v>652.56120235512844</v>
      </c>
      <c r="AB360" s="143">
        <f>SUMIF($B$4:$B$347,$B360,AB$4:AB$347)</f>
        <v>917.05606097860846</v>
      </c>
      <c r="AC360" s="143">
        <f>SUMIF($B$4:$B$347,$B360,AC$4:AC$347)</f>
        <v>825.54977217904059</v>
      </c>
    </row>
    <row r="361" spans="1:30" s="173" customFormat="1" ht="18" customHeight="1" x14ac:dyDescent="0.2">
      <c r="B361" s="173" t="s">
        <v>149</v>
      </c>
      <c r="W361" s="126"/>
      <c r="X361" s="143">
        <f>SUMIF($B$4:$B$347,$B361,X$4:X$347)</f>
        <v>6144363</v>
      </c>
      <c r="Y361" s="143">
        <f>SUMIF($B$4:$B$347,$B361,Y$4:Y$347)</f>
        <v>11822269</v>
      </c>
      <c r="Z361" s="143">
        <f>SUMIF($B$4:$B$347,$B361,Z$4:Z$347)</f>
        <v>17966632</v>
      </c>
      <c r="AA361" s="143">
        <f>SUMIF($B$4:$B$347,$B361,AA$4:AA$347)</f>
        <v>952.02401611403764</v>
      </c>
      <c r="AB361" s="143">
        <f>SUMIF($B$4:$B$347,$B361,AB$4:AB$347)</f>
        <v>968.95901975247932</v>
      </c>
      <c r="AC361" s="143">
        <f>SUMIF($B$4:$B$347,$B361,AC$4:AC$347)</f>
        <v>963.10008040739751</v>
      </c>
    </row>
    <row r="362" spans="1:30" s="173" customFormat="1" ht="18" customHeight="1" x14ac:dyDescent="0.2">
      <c r="B362" s="173" t="s">
        <v>141</v>
      </c>
      <c r="W362" s="126"/>
      <c r="X362" s="143">
        <f>SUMIF($B$4:$B$347,$B362,X$4:X$347)</f>
        <v>4116458</v>
      </c>
      <c r="Y362" s="143">
        <f>SUMIF($B$4:$B$347,$B362,Y$4:Y$347)</f>
        <v>11202724.4</v>
      </c>
      <c r="Z362" s="143">
        <f>SUMIF($B$4:$B$347,$B362,Z$4:Z$347)</f>
        <v>15319182.4</v>
      </c>
      <c r="AA362" s="143">
        <f>SUMIF($B$4:$B$347,$B362,AA$4:AA$347)</f>
        <v>649.38602303202401</v>
      </c>
      <c r="AB362" s="143">
        <f>SUMIF($B$4:$B$347,$B362,AB$4:AB$347)</f>
        <v>952.04592504461618</v>
      </c>
      <c r="AC362" s="143">
        <f>SUMIF($B$4:$B$347,$B362,AC$4:AC$347)</f>
        <v>845.98975038656943</v>
      </c>
    </row>
    <row r="363" spans="1:30" s="173" customFormat="1" ht="18" customHeight="1" x14ac:dyDescent="0.2">
      <c r="B363" s="173" t="s">
        <v>150</v>
      </c>
      <c r="Q363" s="161"/>
      <c r="U363" s="161"/>
      <c r="V363" s="161"/>
      <c r="W363" s="138"/>
      <c r="X363" s="143">
        <f>SUMIF($B$4:$B$347,$B363,X$4:X$347)</f>
        <v>6180381</v>
      </c>
      <c r="Y363" s="143">
        <f>SUMIF($B$4:$B$347,$B363,Y$4:Y$347)</f>
        <v>11822269</v>
      </c>
      <c r="Z363" s="143">
        <f>SUMIF($B$4:$B$347,$B363,Z$4:Z$347)</f>
        <v>18002650</v>
      </c>
      <c r="AA363" s="143">
        <f>SUMIF($B$4:$B$347,$B363,AA$4:AA$347)</f>
        <v>974.97728348319936</v>
      </c>
      <c r="AB363" s="143">
        <f>SUMIF($B$4:$B$347,$B363,AB$4:AB$347)</f>
        <v>1004.6969490949266</v>
      </c>
      <c r="AC363" s="143">
        <f>SUMIF($B$4:$B$347,$B363,AC$4:AC$347)</f>
        <v>994.18212944554887</v>
      </c>
    </row>
    <row r="364" spans="1:30" s="173" customFormat="1" ht="18" customHeight="1" x14ac:dyDescent="0.2">
      <c r="B364" s="173" t="s">
        <v>142</v>
      </c>
      <c r="W364" s="126"/>
      <c r="X364" s="143">
        <f>SUMIF($B$4:$B$347,$B364,X$4:X$347)</f>
        <v>6212006</v>
      </c>
      <c r="Y364" s="143">
        <f>SUMIF($B$4:$B$347,$B364,Y$4:Y$347)</f>
        <v>14535483</v>
      </c>
      <c r="Z364" s="143">
        <f>SUMIF($B$4:$B$347,$B364,Z$4:Z$347)</f>
        <v>20747489</v>
      </c>
      <c r="AA364" s="143">
        <f>SUMIF($B$4:$B$347,$B364,AA$4:AA$347)</f>
        <v>597.88315688161697</v>
      </c>
      <c r="AB364" s="143">
        <f>SUMIF($B$4:$B$347,$B364,AB$4:AB$347)</f>
        <v>848.7873284671532</v>
      </c>
      <c r="AC364" s="143">
        <f>SUMIF($B$4:$B$347,$B364,AC$4:AC$347)</f>
        <v>754.04284935489727</v>
      </c>
    </row>
    <row r="365" spans="1:30" s="173" customFormat="1" ht="18" customHeight="1" x14ac:dyDescent="0.2">
      <c r="B365" s="173" t="s">
        <v>151</v>
      </c>
      <c r="W365" s="126"/>
      <c r="X365" s="143">
        <f>SUMIF($B$4:$B$347,$B365,X$4:X$347)</f>
        <v>9543634.6799999997</v>
      </c>
      <c r="Y365" s="143">
        <f>SUMIF($B$4:$B$347,$B365,Y$4:Y$347)</f>
        <v>16638773</v>
      </c>
      <c r="Z365" s="143">
        <f>SUMIF($B$4:$B$347,$B365,Z$4:Z$347)</f>
        <v>26182407.68</v>
      </c>
      <c r="AA365" s="143">
        <f>SUMIF($B$4:$B$347,$B365,AA$4:AA$347)</f>
        <v>918.54039268527424</v>
      </c>
      <c r="AB365" s="143">
        <f>SUMIF($B$4:$B$347,$B365,AB$4:AB$347)</f>
        <v>971.60718248175215</v>
      </c>
      <c r="AC365" s="143">
        <f>SUMIF($B$4:$B$347,$B365,AC$4:AC$347)</f>
        <v>951.56851462838449</v>
      </c>
    </row>
    <row r="366" spans="1:30" s="173" customFormat="1" ht="18" customHeight="1" x14ac:dyDescent="0.2">
      <c r="B366" s="173" t="s">
        <v>143</v>
      </c>
      <c r="W366" s="126"/>
      <c r="X366" s="143">
        <f>SUMIF($B$4:$B$347,$B366,X$4:X$347)</f>
        <v>7124943</v>
      </c>
      <c r="Y366" s="143">
        <f>SUMIF($B$4:$B$347,$B366,Y$4:Y$347)</f>
        <v>23774729</v>
      </c>
      <c r="Z366" s="143">
        <f>SUMIF($B$4:$B$347,$B366,Z$4:Z$347)</f>
        <v>30899672</v>
      </c>
      <c r="AA366" s="143">
        <f>SUMIF($B$4:$B$347,$B366,AA$4:AA$347)</f>
        <v>625.37900465197936</v>
      </c>
      <c r="AB366" s="143">
        <f>SUMIF($B$4:$B$347,$B366,AB$4:AB$347)</f>
        <v>824.96717443353339</v>
      </c>
      <c r="AC366" s="143">
        <f>SUMIF($B$4:$B$347,$B366,AC$4:AC$347)</f>
        <v>768.41917835471997</v>
      </c>
    </row>
    <row r="367" spans="1:30" s="173" customFormat="1" ht="18" customHeight="1" x14ac:dyDescent="0.2">
      <c r="B367" s="173" t="s">
        <v>152</v>
      </c>
      <c r="W367" s="126"/>
      <c r="X367" s="143">
        <f>SUMIF($B$4:$B$347,$B367,X$4:X$347)</f>
        <v>7422629</v>
      </c>
      <c r="Y367" s="143">
        <f>SUMIF($B$4:$B$347,$B367,Y$4:Y$347)</f>
        <v>21498219</v>
      </c>
      <c r="Z367" s="143">
        <f>SUMIF($B$4:$B$347,$B367,Z$4:Z$347)</f>
        <v>28920848</v>
      </c>
      <c r="AA367" s="143">
        <f>SUMIF($B$4:$B$347,$B367,AA$4:AA$347)</f>
        <v>651.50785570086873</v>
      </c>
      <c r="AB367" s="143">
        <f>SUMIF($B$4:$B$347,$B367,AB$4:AB$347)</f>
        <v>745.97380200562134</v>
      </c>
      <c r="AC367" s="143">
        <f>SUMIF($B$4:$B$347,$B367,AC$4:AC$347)</f>
        <v>719.20939023177164</v>
      </c>
    </row>
    <row r="368" spans="1:30" s="173" customFormat="1" ht="18" customHeight="1" x14ac:dyDescent="0.2">
      <c r="B368" s="173" t="s">
        <v>144</v>
      </c>
      <c r="W368" s="126"/>
      <c r="X368" s="143">
        <f>SUMIF($B$4:$B$347,$B368,X$4:X$347)</f>
        <v>7044457</v>
      </c>
      <c r="Y368" s="143">
        <f>SUMIF($B$4:$B$347,$B368,Y$4:Y$347)</f>
        <v>23525763</v>
      </c>
      <c r="Z368" s="143">
        <f>SUMIF($B$4:$B$347,$B368,Z$4:Z$347)</f>
        <v>30570220</v>
      </c>
      <c r="AA368" s="143">
        <f>SUMIF($B$4:$B$347,$B368,AA$4:AA$347)</f>
        <v>618.31449135434025</v>
      </c>
      <c r="AB368" s="143">
        <f>SUMIF($B$4:$B$347,$B368,AB$4:AB$347)</f>
        <v>816.32822096533539</v>
      </c>
      <c r="AC368" s="143">
        <f>SUMIF($B$4:$B$347,$B368,AC$4:AC$347)</f>
        <v>760.22630060678409</v>
      </c>
    </row>
    <row r="369" spans="2:29" s="173" customFormat="1" ht="18" customHeight="1" x14ac:dyDescent="0.2">
      <c r="B369" s="173" t="s">
        <v>153</v>
      </c>
      <c r="W369" s="126"/>
      <c r="X369" s="143">
        <f>SUMIF($B$4:$B$347,$B369,X$4:X$347)</f>
        <v>7405926</v>
      </c>
      <c r="Y369" s="143">
        <f>SUMIF($B$4:$B$347,$B369,Y$4:Y$347)</f>
        <v>21546957</v>
      </c>
      <c r="Z369" s="143">
        <f>SUMIF($B$4:$B$347,$B369,Z$4:Z$347)</f>
        <v>28952883</v>
      </c>
      <c r="AA369" s="143">
        <f>SUMIF($B$4:$B$347,$B369,AA$4:AA$347)</f>
        <v>650.04178004037544</v>
      </c>
      <c r="AB369" s="143">
        <f>SUMIF($B$4:$B$347,$B369,AB$4:AB$347)</f>
        <v>747.66497796592535</v>
      </c>
      <c r="AC369" s="143">
        <f>SUMIF($B$4:$B$347,$B369,AC$4:AC$347)</f>
        <v>720.00604297224709</v>
      </c>
    </row>
    <row r="370" spans="2:29" s="173" customFormat="1" ht="18" customHeight="1" x14ac:dyDescent="0.2">
      <c r="B370" s="173" t="s">
        <v>145</v>
      </c>
      <c r="W370" s="126"/>
      <c r="X370" s="143">
        <f>SUMIF($B$4:$B$347,$B370,X$4:X$347)</f>
        <v>9021833</v>
      </c>
      <c r="Y370" s="143">
        <f>SUMIF($B$4:$B$347,$B370,Y$4:Y$347)</f>
        <v>27723550</v>
      </c>
      <c r="Z370" s="143">
        <f>SUMIF($B$4:$B$347,$B370,Z$4:Z$347)</f>
        <v>36745383</v>
      </c>
      <c r="AA370" s="143">
        <f>SUMIF($B$4:$B$347,$B370,AA$4:AA$347)</f>
        <v>749.81989694148945</v>
      </c>
      <c r="AB370" s="143">
        <f>SUMIF($B$4:$B$347,$B370,AB$4:AB$347)</f>
        <v>978.21354221798799</v>
      </c>
      <c r="AC370" s="143">
        <f>SUMIF($B$4:$B$347,$B370,AC$4:AC$347)</f>
        <v>910.1474500284844</v>
      </c>
    </row>
    <row r="371" spans="2:29" s="173" customFormat="1" ht="18" customHeight="1" x14ac:dyDescent="0.2">
      <c r="B371" s="173" t="s">
        <v>154</v>
      </c>
      <c r="W371" s="126"/>
      <c r="X371" s="143">
        <f>SUMIF($B$4:$B$347,$B371,X$4:X$347)</f>
        <v>8134467</v>
      </c>
      <c r="Y371" s="143">
        <f>SUMIF($B$4:$B$347,$B371,Y$4:Y$347)</f>
        <v>24929844</v>
      </c>
      <c r="Z371" s="143">
        <f>SUMIF($B$4:$B$347,$B371,Z$4:Z$347)</f>
        <v>33064311</v>
      </c>
      <c r="AA371" s="143">
        <f>SUMIF($B$4:$B$347,$B371,AA$4:AA$347)</f>
        <v>676.06939827127667</v>
      </c>
      <c r="AB371" s="143">
        <f>SUMIF($B$4:$B$347,$B371,AB$4:AB$347)</f>
        <v>879.63882714089107</v>
      </c>
      <c r="AC371" s="143">
        <f>SUMIF($B$4:$B$347,$B371,AC$4:AC$347)</f>
        <v>818.9708716221237</v>
      </c>
    </row>
    <row r="372" spans="2:29" s="173" customFormat="1" ht="18" customHeight="1" x14ac:dyDescent="0.2">
      <c r="B372" s="173" t="s">
        <v>146</v>
      </c>
      <c r="W372" s="126"/>
      <c r="X372" s="143">
        <f>SUMIF($B$4:$B$347,$B372,X$4:X$347)</f>
        <v>6203913</v>
      </c>
      <c r="Y372" s="143">
        <f>SUMIF($B$4:$B$347,$B372,Y$4:Y$347)</f>
        <v>29903431</v>
      </c>
      <c r="Z372" s="143">
        <f>SUMIF($B$4:$B$347,$B372,Z$4:Z$347)</f>
        <v>36107344</v>
      </c>
      <c r="AA372" s="143">
        <f>SUMIF($B$4:$B$347,$B372,AA$4:AA$347)</f>
        <v>543.86894012448499</v>
      </c>
      <c r="AB372" s="143">
        <f>SUMIF($B$4:$B$347,$B372,AB$4:AB$347)</f>
        <v>1200.2179811358619</v>
      </c>
      <c r="AC372" s="143">
        <f>SUMIF($B$4:$B$347,$B372,AC$4:AC$347)</f>
        <v>994.09019327129556</v>
      </c>
    </row>
    <row r="373" spans="2:29" s="173" customFormat="1" ht="18" customHeight="1" x14ac:dyDescent="0.2">
      <c r="B373" s="173" t="s">
        <v>155</v>
      </c>
      <c r="W373" s="126"/>
      <c r="X373" s="143">
        <f>SUMIF($B$4:$B$347,$B373,X$4:X$347)</f>
        <v>7981619</v>
      </c>
      <c r="Y373" s="143">
        <f>SUMIF($B$4:$B$347,$B373,Y$4:Y$347)</f>
        <v>18647845</v>
      </c>
      <c r="Z373" s="143">
        <f>SUMIF($B$4:$B$347,$B373,Z$4:Z$347)</f>
        <v>26629464</v>
      </c>
      <c r="AA373" s="143">
        <f>SUMIF($B$4:$B$347,$B373,AA$4:AA$347)</f>
        <v>699.71236959761563</v>
      </c>
      <c r="AB373" s="143">
        <f>SUMIF($B$4:$B$347,$B373,AB$4:AB$347)</f>
        <v>748.45855910094338</v>
      </c>
      <c r="AC373" s="143">
        <f>SUMIF($B$4:$B$347,$B373,AC$4:AC$347)</f>
        <v>733.14971642530713</v>
      </c>
    </row>
    <row r="374" spans="2:29" s="173" customFormat="1" ht="18" customHeight="1" x14ac:dyDescent="0.2">
      <c r="B374" s="173" t="s">
        <v>147</v>
      </c>
      <c r="W374" s="126"/>
      <c r="X374" s="143">
        <f>SUMIF($B$4:$B$347,$B374,X$4:X$347)</f>
        <v>4296560</v>
      </c>
      <c r="Y374" s="143">
        <f>SUMIF($B$4:$B$347,$B374,Y$4:Y$347)</f>
        <v>17421157</v>
      </c>
      <c r="Z374" s="143">
        <f>SUMIF($B$4:$B$347,$B374,Z$4:Z$347)</f>
        <v>21717717</v>
      </c>
      <c r="AA374" s="143">
        <f>SUMIF($B$4:$B$347,$B374,AA$4:AA$347)</f>
        <v>481.83918358192216</v>
      </c>
      <c r="AB374" s="143">
        <f>SUMIF($B$4:$B$347,$B374,AB$4:AB$347)</f>
        <v>1013.5651035606237</v>
      </c>
      <c r="AC374" s="143">
        <f>SUMIF($B$4:$B$347,$B374,AC$4:AC$347)</f>
        <v>831.93706186554311</v>
      </c>
    </row>
    <row r="375" spans="2:29" s="173" customFormat="1" ht="18" customHeight="1" x14ac:dyDescent="0.2">
      <c r="B375" s="173" t="s">
        <v>156</v>
      </c>
      <c r="W375" s="126"/>
      <c r="X375" s="143">
        <f>SUMIF($B$4:$B$347,$B375,X$4:X$347)</f>
        <v>5010465</v>
      </c>
      <c r="Y375" s="143">
        <f>SUMIF($B$4:$B$347,$B375,Y$4:Y$347)</f>
        <v>15280568</v>
      </c>
      <c r="Z375" s="143">
        <f>SUMIF($B$4:$B$347,$B375,Z$4:Z$347)</f>
        <v>20291033</v>
      </c>
      <c r="AA375" s="143">
        <f>SUMIF($B$4:$B$347,$B375,AA$4:AA$347)</f>
        <v>561.9003027924191</v>
      </c>
      <c r="AB375" s="143">
        <f>SUMIF($B$4:$B$347,$B375,AB$4:AB$347)</f>
        <v>889.02536653479171</v>
      </c>
      <c r="AC375" s="143">
        <f>SUMIF($B$4:$B$347,$B375,AC$4:AC$347)</f>
        <v>777.28530932771491</v>
      </c>
    </row>
    <row r="376" spans="2:29" ht="21" customHeight="1" x14ac:dyDescent="0.2">
      <c r="X376" s="144">
        <f t="shared" ref="X376:Y376" si="47">SUM(X360:X375)/8</f>
        <v>13256910.585000001</v>
      </c>
      <c r="Y376" s="144">
        <f t="shared" si="47"/>
        <v>37682822.799999997</v>
      </c>
      <c r="Z376" s="144">
        <f>SUM(Z360:Z375)/8</f>
        <v>50939733.385000005</v>
      </c>
    </row>
    <row r="377" spans="2:29" ht="21" customHeight="1" x14ac:dyDescent="0.2">
      <c r="X377" s="133"/>
    </row>
    <row r="378" spans="2:29" ht="21" customHeight="1" x14ac:dyDescent="0.2">
      <c r="X378" s="133"/>
    </row>
    <row r="379" spans="2:29" ht="21" customHeight="1" x14ac:dyDescent="0.2">
      <c r="X379" s="133"/>
    </row>
    <row r="380" spans="2:29" ht="21" customHeight="1" x14ac:dyDescent="0.2">
      <c r="X380" s="133"/>
    </row>
    <row r="381" spans="2:29" ht="21" customHeight="1" x14ac:dyDescent="0.2">
      <c r="X381" s="133"/>
    </row>
    <row r="382" spans="2:29" ht="21" customHeight="1" x14ac:dyDescent="0.2">
      <c r="X382" s="133"/>
    </row>
    <row r="383" spans="2:29" ht="21" customHeight="1" x14ac:dyDescent="0.2">
      <c r="X383" s="133"/>
    </row>
    <row r="384" spans="2:29" ht="21" customHeight="1" x14ac:dyDescent="0.2">
      <c r="X384" s="133"/>
    </row>
    <row r="385" spans="24:24" ht="21" customHeight="1" x14ac:dyDescent="0.2">
      <c r="X385" s="133"/>
    </row>
    <row r="386" spans="24:24" ht="21" customHeight="1" x14ac:dyDescent="0.2">
      <c r="X386" s="133"/>
    </row>
    <row r="387" spans="24:24" ht="21" customHeight="1" x14ac:dyDescent="0.2">
      <c r="X387" s="133"/>
    </row>
    <row r="388" spans="24:24" ht="21" customHeight="1" x14ac:dyDescent="0.2">
      <c r="X388" s="133"/>
    </row>
    <row r="389" spans="24:24" ht="21" customHeight="1" x14ac:dyDescent="0.2">
      <c r="X389" s="133"/>
    </row>
    <row r="390" spans="24:24" ht="21" customHeight="1" x14ac:dyDescent="0.2">
      <c r="X390" s="133"/>
    </row>
    <row r="391" spans="24:24" ht="21" customHeight="1" x14ac:dyDescent="0.2">
      <c r="X391" s="133"/>
    </row>
    <row r="392" spans="24:24" ht="21" customHeight="1" x14ac:dyDescent="0.2">
      <c r="X392" s="133"/>
    </row>
    <row r="393" spans="24:24" ht="21" customHeight="1" x14ac:dyDescent="0.2">
      <c r="X393" s="133"/>
    </row>
  </sheetData>
  <autoFilter ref="A3:AD376" xr:uid="{9FC474AE-AEED-6846-8D22-9038E7BF7E50}"/>
  <sortState xmlns:xlrd2="http://schemas.microsoft.com/office/spreadsheetml/2017/richdata2" ref="B4:CR304">
    <sortCondition ref="H4:H304"/>
  </sortState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066AEE-B417-41F2-892F-E92F2109847F}"/>
</file>

<file path=customXml/itemProps2.xml><?xml version="1.0" encoding="utf-8"?>
<ds:datastoreItem xmlns:ds="http://schemas.openxmlformats.org/officeDocument/2006/customXml" ds:itemID="{B232FB85-E1AE-4917-9489-A0BD182E8906}"/>
</file>

<file path=customXml/itemProps3.xml><?xml version="1.0" encoding="utf-8"?>
<ds:datastoreItem xmlns:ds="http://schemas.openxmlformats.org/officeDocument/2006/customXml" ds:itemID="{AE3DA126-A7A0-46DB-BCC3-529CFA24C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NRM</vt:lpstr>
      <vt:lpstr>City Walk - Comparison</vt:lpstr>
      <vt:lpstr>Sheet1</vt:lpstr>
      <vt:lpstr>'City Walk - Comparison'!Print_Area</vt:lpstr>
      <vt:lpstr>'City Walk - Comparison'!Print_Titles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Eastwood</dc:creator>
  <cp:lastModifiedBy>David Parry</cp:lastModifiedBy>
  <dcterms:created xsi:type="dcterms:W3CDTF">2024-10-16T04:15:18Z</dcterms:created>
  <dcterms:modified xsi:type="dcterms:W3CDTF">2025-01-28T13:41:51Z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